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540" documentId="8_{CE5C6F22-4BE2-41D0-BCDC-905D26C0C4E3}" xr6:coauthVersionLast="47" xr6:coauthVersionMax="47" xr10:uidLastSave="{E47893E7-C7F7-49D7-9939-9E2A82995A89}"/>
  <bookViews>
    <workbookView xWindow="-120" yWindow="-120" windowWidth="20730" windowHeight="11040" tabRatio="678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BD!$A$4:$AB$792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 calcCompleted="0"/>
  <pivotCaches>
    <pivotCache cacheId="7" r:id="rId9"/>
    <pivotCache cacheId="12" r:id="rId10"/>
    <pivotCache cacheId="18" r:id="rId11"/>
    <pivotCache cacheId="24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83" i="1" l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<sst xmlns="http://schemas.openxmlformats.org/spreadsheetml/2006/main" count="10209" uniqueCount="3026">
  <si>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</si>
  <si>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</si>
  <si>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</si>
  <si>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</si>
  <si>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</si>
  <si>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</si>
  <si>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</si>
  <si>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</si>
  <si>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</si>
  <si>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</si>
  <si>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</si>
  <si>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</si>
  <si>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</si>
  <si>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</si>
  <si>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</si>
  <si>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</si>
  <si>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</si>
  <si>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</si>
  <si>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</si>
  <si>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</si>
  <si>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</si>
  <si>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</si>
  <si>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</si>
  <si>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</si>
  <si>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</si>
  <si>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</si>
  <si>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</si>
  <si>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</si>
  <si>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</si>
  <si>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</si>
  <si>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</si>
  <si>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</si>
  <si>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</si>
  <si>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</si>
  <si>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</si>
  <si>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</si>
  <si>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</si>
  <si>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</si>
  <si>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</si>
  <si>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</si>
  <si>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</si>
  <si>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</si>
  <si>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</si>
  <si>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</si>
  <si>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</si>
  <si>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</si>
  <si>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</si>
  <si>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</si>
  <si>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</si>
  <si>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</si>
  <si>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</si>
  <si>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</si>
  <si>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</si>
  <si>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</si>
  <si>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</si>
  <si>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</si>
  <si>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</si>
  <si>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</si>
  <si>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</si>
  <si>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</si>
  <si>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</si>
  <si>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</si>
  <si>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</si>
  <si>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</si>
  <si>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</si>
  <si>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</si>
  <si>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</si>
  <si>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</si>
  <si>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</si>
  <si>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</si>
  <si>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</si>
  <si>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</si>
  <si>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</si>
  <si>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</si>
  <si>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</si>
  <si>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</si>
  <si>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</si>
  <si>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</si>
  <si>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</si>
  <si>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</si>
  <si>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</si>
  <si>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</si>
  <si>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</si>
  <si>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</si>
  <si>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</si>
  <si>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</si>
  <si>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</si>
  <si>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</si>
  <si>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</si>
  <si>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</si>
  <si>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</si>
  <si>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</si>
  <si>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</si>
  <si>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</si>
  <si>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</si>
  <si>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</si>
  <si>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</si>
  <si>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</si>
  <si>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</si>
  <si>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</si>
  <si>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</si>
  <si>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</si>
  <si>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</si>
  <si>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</si>
  <si>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</si>
  <si>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</si>
  <si>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</si>
  <si>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</si>
  <si>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</si>
  <si>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</si>
  <si>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</si>
  <si>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</si>
  <si>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</si>
  <si>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</si>
  <si>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</si>
  <si>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</si>
  <si>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</si>
  <si>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</si>
  <si>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</si>
  <si>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</si>
  <si>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</si>
  <si>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</si>
  <si>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</si>
  <si>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</si>
  <si>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</si>
  <si>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</si>
  <si>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</si>
  <si>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</si>
  <si>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</si>
  <si>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</si>
  <si>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</si>
  <si>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</si>
  <si>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</si>
  <si>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</si>
  <si>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</si>
  <si>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</si>
  <si>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</si>
  <si>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</si>
  <si>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</si>
  <si>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</si>
  <si>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</si>
  <si>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</si>
  <si>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</si>
  <si>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</si>
  <si>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</si>
  <si>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</si>
  <si>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</si>
  <si>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</si>
  <si>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</si>
  <si>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</si>
  <si>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</si>
  <si>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</si>
  <si>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</si>
  <si>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</si>
  <si>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</si>
  <si>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</si>
  <si>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</si>
  <si>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</si>
  <si>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</si>
  <si>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</si>
  <si>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</si>
  <si>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</si>
  <si>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</si>
  <si>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</si>
  <si>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</si>
  <si>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</si>
  <si>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</si>
  <si>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</si>
  <si>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</si>
  <si>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</si>
  <si>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</si>
  <si>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</si>
  <si>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</si>
  <si>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</si>
  <si>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</si>
  <si>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</si>
  <si>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</si>
  <si>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</si>
  <si>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</si>
  <si>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</si>
  <si>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</si>
  <si>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</si>
  <si>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</si>
  <si>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</si>
  <si>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</si>
  <si>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</si>
  <si>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</si>
  <si>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</si>
  <si>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</si>
  <si>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</si>
  <si>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</si>
  <si>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</si>
  <si>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</si>
  <si>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</si>
  <si>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</si>
  <si>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</si>
  <si>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</si>
  <si>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</si>
  <si>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</si>
  <si>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</si>
  <si>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</si>
  <si>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</si>
  <si>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</si>
  <si>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</si>
  <si>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</si>
  <si>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</si>
  <si>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</si>
  <si>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</si>
  <si>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</si>
  <si>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</si>
  <si>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</si>
  <si>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</si>
  <si>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</si>
  <si>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</si>
  <si>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</si>
  <si>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</si>
  <si>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</si>
  <si>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</si>
  <si>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</si>
  <si>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</si>
  <si>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</si>
  <si>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</si>
  <si>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</si>
  <si>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</si>
  <si>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</si>
  <si>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</si>
  <si>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</si>
  <si>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</si>
  <si>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</si>
  <si>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</si>
  <si>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</si>
  <si>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</si>
  <si>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</si>
  <si>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</si>
  <si>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</si>
  <si>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</si>
  <si>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</si>
  <si>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</si>
  <si>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</si>
  <si>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</si>
  <si>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</si>
  <si>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</si>
  <si>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</si>
  <si>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</si>
  <si>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</si>
  <si>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</si>
  <si>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</si>
  <si>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</si>
  <si>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</si>
  <si>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</si>
  <si>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</si>
  <si>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</si>
  <si>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</si>
  <si>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</si>
  <si>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</si>
  <si>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</si>
  <si>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</si>
  <si>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</si>
  <si>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</si>
  <si>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</si>
  <si>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</si>
  <si>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</si>
  <si>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</si>
  <si>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</si>
  <si>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</si>
  <si>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</si>
  <si>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</si>
  <si>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</si>
  <si>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</si>
  <si>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</si>
  <si>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</si>
  <si>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</si>
  <si>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</si>
  <si>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</si>
  <si>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</si>
  <si>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</si>
  <si>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</si>
  <si>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</si>
  <si>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</si>
  <si>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</si>
  <si>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</si>
  <si>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</si>
  <si>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</si>
  <si>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</si>
  <si>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</si>
  <si>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</si>
  <si>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</si>
  <si>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</si>
  <si>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</si>
  <si>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</si>
  <si>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</si>
  <si>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</si>
  <si>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</si>
  <si>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</si>
  <si>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</si>
  <si>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</si>
  <si>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</si>
  <si>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</si>
  <si>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</si>
  <si>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</si>
  <si>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</si>
  <si>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</si>
  <si>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</si>
  <si>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</si>
  <si>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</si>
  <si>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</si>
  <si>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</si>
  <si>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</si>
  <si>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</si>
  <si>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</si>
  <si>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</si>
  <si>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</si>
  <si>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</si>
  <si>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</si>
  <si>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</si>
  <si>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</si>
  <si>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</si>
  <si>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</si>
  <si>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</si>
  <si>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</si>
  <si>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</si>
  <si>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</si>
  <si>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</si>
  <si>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</si>
  <si>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</si>
  <si>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</si>
  <si>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</si>
  <si>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</si>
  <si>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</si>
  <si>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</si>
  <si>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</si>
  <si>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</si>
  <si>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</si>
  <si>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</si>
  <si>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</si>
  <si>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</si>
  <si>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</si>
  <si>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</si>
  <si>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</si>
  <si>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</si>
  <si>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</si>
  <si>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</si>
  <si>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</si>
  <si>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</si>
  <si>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</si>
  <si>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</si>
  <si>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</si>
  <si>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</si>
  <si>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</si>
  <si>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</si>
  <si>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</si>
  <si>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</si>
  <si>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</si>
  <si>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</si>
  <si>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</si>
  <si>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</si>
  <si>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</si>
  <si>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</si>
  <si>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</si>
  <si>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</si>
  <si>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</si>
  <si>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</si>
  <si>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</si>
  <si>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</si>
  <si>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</si>
  <si>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</si>
  <si>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</si>
  <si>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</si>
  <si>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</si>
  <si>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</si>
  <si>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</si>
  <si>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</si>
  <si>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</si>
  <si>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</si>
  <si>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</si>
  <si>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</si>
  <si>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</si>
  <si>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</si>
  <si>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</si>
  <si>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</si>
  <si>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</si>
  <si>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</si>
  <si>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</si>
  <si>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</si>
  <si>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</si>
  <si>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</si>
  <si>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</si>
  <si>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</si>
  <si>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</si>
  <si>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</si>
  <si>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</si>
  <si>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</si>
  <si>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</si>
  <si>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</si>
  <si>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</si>
  <si>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</si>
  <si>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</si>
  <si>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</si>
  <si>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</si>
  <si>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</si>
  <si>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</si>
  <si>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</si>
  <si>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</si>
  <si>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</si>
  <si>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</si>
  <si>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</si>
  <si>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</si>
  <si>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</si>
  <si>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</si>
  <si>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</si>
  <si>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</si>
  <si>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</si>
  <si>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</si>
  <si>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</si>
  <si>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</si>
  <si>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</si>
  <si>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</si>
  <si>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</si>
  <si>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</si>
  <si>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</si>
  <si>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</si>
  <si>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</si>
  <si>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</si>
  <si>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</si>
  <si>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</si>
  <si>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</si>
  <si>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</si>
  <si>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</si>
  <si>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</si>
  <si>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</si>
  <si>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</si>
  <si>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</si>
  <si>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</si>
  <si>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</si>
  <si>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</si>
  <si>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</si>
  <si>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</si>
  <si>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</si>
  <si>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</si>
  <si>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</si>
  <si>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</si>
  <si>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</si>
  <si>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</si>
  <si>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</si>
  <si>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</si>
  <si>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</si>
  <si>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</si>
  <si>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</si>
  <si>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</si>
  <si>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</si>
  <si>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</si>
  <si>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</si>
  <si>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</si>
  <si>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</si>
  <si>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</si>
  <si>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</si>
  <si>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</si>
  <si>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</si>
  <si>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</si>
  <si>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</si>
  <si>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</si>
  <si>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</si>
  <si>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</si>
  <si>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</si>
  <si>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</si>
  <si>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</si>
  <si>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</si>
  <si>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</si>
  <si>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</si>
  <si>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</si>
  <si>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</si>
  <si>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</si>
  <si>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</si>
  <si>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</si>
  <si>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</si>
  <si>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</si>
  <si>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</si>
  <si>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</si>
  <si>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</si>
  <si>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</si>
  <si>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</si>
  <si>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</si>
  <si>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</si>
  <si>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</si>
  <si>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</si>
  <si>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</si>
  <si>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</si>
  <si>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</si>
  <si>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</si>
  <si>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</si>
  <si>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</si>
  <si>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</si>
  <si>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</si>
  <si>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</si>
  <si>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</si>
  <si>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</si>
  <si>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</si>
  <si>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</si>
  <si>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</si>
  <si>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</si>
  <si>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</si>
  <si>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</si>
  <si>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</si>
  <si>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</si>
  <si>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</si>
  <si>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</si>
  <si>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</si>
  <si>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</si>
  <si>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</si>
  <si>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</si>
  <si>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</si>
  <si>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</si>
  <si>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</si>
  <si>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</si>
  <si>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</si>
  <si>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</si>
  <si>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</si>
  <si>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</si>
  <si>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</si>
  <si>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</si>
  <si>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</si>
  <si>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</si>
  <si>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</si>
  <si>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</si>
  <si>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</si>
  <si>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</si>
  <si>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</si>
  <si>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</si>
  <si>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</si>
  <si>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</si>
  <si>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</si>
  <si>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</si>
  <si>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</si>
  <si>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</si>
  <si>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</si>
  <si>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</si>
  <si>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</si>
  <si>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</si>
  <si>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</si>
  <si>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</si>
  <si>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</si>
  <si>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</si>
  <si>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</si>
  <si>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</si>
  <si>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</si>
  <si>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</si>
  <si>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</si>
  <si>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</si>
  <si>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</si>
  <si>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</si>
  <si>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</si>
  <si>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</si>
  <si>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</si>
  <si>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</si>
  <si>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</si>
  <si>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</si>
  <si>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</si>
  <si>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</si>
  <si>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</si>
  <si>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</si>
  <si>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</si>
  <si>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</si>
  <si>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</si>
  <si>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</si>
  <si>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</si>
  <si>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</si>
  <si>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</si>
  <si>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</si>
  <si>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</si>
  <si>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</si>
  <si>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</si>
  <si>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</si>
  <si>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</si>
  <si>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</si>
  <si>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</si>
  <si>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</si>
  <si>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</si>
  <si>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</si>
  <si>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</si>
  <si>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</si>
  <si>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</si>
  <si>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</si>
  <si>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</si>
  <si>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</si>
  <si>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</si>
  <si>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</si>
  <si>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</si>
  <si>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</si>
  <si>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</si>
  <si>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</si>
  <si>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</si>
  <si>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</si>
  <si>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</si>
  <si>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</si>
  <si>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</si>
  <si>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</si>
  <si>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</si>
  <si>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</si>
  <si>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</si>
  <si>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</si>
  <si>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</si>
  <si>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</si>
  <si>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</si>
  <si>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</si>
  <si>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</si>
  <si>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</si>
  <si>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</si>
  <si>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</si>
  <si>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</si>
  <si>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</si>
  <si>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</si>
  <si>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</si>
  <si>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</si>
  <si>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</si>
  <si>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</si>
  <si>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</si>
  <si>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</si>
  <si>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</si>
  <si>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</si>
  <si>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</si>
  <si>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</si>
  <si>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</si>
  <si>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</si>
  <si>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</si>
  <si>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</si>
  <si>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</si>
  <si>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</si>
  <si>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</si>
  <si>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</si>
  <si>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</si>
  <si>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</si>
  <si>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</si>
  <si>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</si>
  <si>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</si>
  <si>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</si>
  <si>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</si>
  <si>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</si>
  <si>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</si>
  <si>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</si>
  <si>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</si>
  <si>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</si>
  <si>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</si>
  <si>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</si>
  <si>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</si>
  <si>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</si>
  <si>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</si>
  <si>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</si>
  <si>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</si>
  <si>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</si>
  <si>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</si>
  <si>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</si>
  <si>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</si>
  <si>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</si>
  <si>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</si>
  <si>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</si>
  <si>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</si>
  <si>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</si>
  <si>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</si>
  <si>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</si>
  <si>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</si>
  <si>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</si>
  <si>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</si>
  <si>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</si>
  <si>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</si>
  <si>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</si>
  <si>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</si>
  <si>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</si>
  <si>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</si>
  <si>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</si>
  <si>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</si>
  <si>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</si>
  <si>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</si>
  <si>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</si>
  <si>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</si>
  <si>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</si>
  <si>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</si>
  <si>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</si>
  <si>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</si>
  <si>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</si>
  <si>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</si>
  <si>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</si>
  <si>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</si>
  <si>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</si>
  <si>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</si>
  <si>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</si>
  <si>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</si>
  <si>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</si>
  <si>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</si>
  <si>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</si>
  <si>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</si>
  <si>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</si>
  <si>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</si>
  <si>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</si>
  <si>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</si>
  <si>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</si>
  <si>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</si>
  <si>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</si>
  <si>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</si>
  <si>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</si>
  <si>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</si>
  <si>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</si>
  <si>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</si>
  <si>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</si>
  <si>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</si>
  <si>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</si>
  <si>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</si>
  <si>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</si>
  <si>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</si>
  <si>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</si>
  <si>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</si>
  <si>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</si>
  <si>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</si>
  <si>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</si>
  <si>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</si>
  <si>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</si>
  <si>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</si>
  <si>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</si>
  <si>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</si>
  <si>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</si>
  <si>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</si>
  <si>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</si>
  <si>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</si>
  <si>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</si>
  <si>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</si>
  <si>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</si>
  <si>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</si>
  <si>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</si>
  <si>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</si>
  <si>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</si>
  <si>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</si>
  <si>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</si>
  <si>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</si>
  <si>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</si>
  <si>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</si>
  <si>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</si>
  <si>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</si>
  <si>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</si>
  <si>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</si>
  <si>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</si>
  <si>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</si>
  <si>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</si>
  <si>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</si>
  <si>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</si>
  <si>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</si>
  <si>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</si>
  <si>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</si>
  <si>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</si>
  <si>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</si>
  <si>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</si>
  <si>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</si>
  <si>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</si>
  <si>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</si>
  <si>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</si>
  <si>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</si>
  <si>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</si>
  <si>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</si>
  <si>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</si>
  <si>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</si>
  <si>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</si>
  <si>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</si>
  <si>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</si>
  <si>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</si>
  <si>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</si>
  <si>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</si>
  <si>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</si>
  <si>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</si>
  <si>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</si>
  <si>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</si>
  <si>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</si>
  <si>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</si>
  <si>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</si>
  <si>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</si>
  <si>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</si>
  <si>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</si>
  <si>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</si>
  <si>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</si>
  <si>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</si>
  <si>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</si>
  <si>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</si>
  <si>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</si>
  <si>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</si>
  <si>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</si>
  <si>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</si>
  <si>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</si>
  <si>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</si>
  <si>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</si>
  <si>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</si>
  <si>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</si>
  <si>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</si>
  <si>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</si>
  <si>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</si>
  <si>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</si>
  <si>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</si>
  <si>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</si>
  <si>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</si>
  <si>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</si>
  <si>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</si>
  <si>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</si>
  <si>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</si>
  <si>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</si>
  <si>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</si>
  <si>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</si>
  <si>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</si>
  <si>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</si>
  <si>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</si>
  <si>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</si>
  <si>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</si>
  <si>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</si>
  <si>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</si>
  <si>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</si>
  <si>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</si>
  <si>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</si>
  <si>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</si>
  <si>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</si>
  <si>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</si>
  <si>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</si>
  <si>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</si>
  <si>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</si>
  <si>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</si>
  <si>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</si>
  <si>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</si>
  <si>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</si>
  <si>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</si>
  <si>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</si>
  <si>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</si>
  <si>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</si>
  <si>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</si>
  <si>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</si>
  <si>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</si>
  <si>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</si>
  <si>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</si>
  <si>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</si>
  <si>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</si>
  <si>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</si>
  <si>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</si>
  <si>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</si>
  <si>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</si>
  <si>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</si>
  <si>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</si>
  <si>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</si>
  <si>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</si>
  <si>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</si>
  <si>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</si>
  <si>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</si>
  <si>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</si>
  <si>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</si>
  <si>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</si>
  <si>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</si>
  <si>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</si>
  <si>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</si>
  <si>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</si>
  <si>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</si>
  <si>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</si>
  <si>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</si>
  <si>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</si>
  <si>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</si>
  <si>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</si>
  <si>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</si>
  <si>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</si>
  <si>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</si>
  <si>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</si>
  <si>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</si>
  <si>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</si>
  <si>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</si>
  <si>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</si>
  <si>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</si>
  <si>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</si>
  <si>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</si>
  <si>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</si>
  <si>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</si>
  <si>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</si>
  <si>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</si>
  <si>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</si>
  <si>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</si>
  <si>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</si>
  <si>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</si>
  <si>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</si>
  <si>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</si>
  <si>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</si>
  <si>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</si>
  <si>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</si>
  <si>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</si>
  <si>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</si>
  <si>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</si>
  <si>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</si>
  <si>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</si>
  <si>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</si>
  <si>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</si>
  <si>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</si>
  <si>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</si>
  <si>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</si>
  <si>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</si>
  <si>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</si>
  <si>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</si>
  <si>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</si>
  <si>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</si>
  <si>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</si>
  <si>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</si>
  <si>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</si>
  <si>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</si>
  <si>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</si>
  <si>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</si>
  <si>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</si>
  <si>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</si>
  <si>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</si>
  <si>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</si>
  <si>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</si>
  <si>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</si>
  <si>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</si>
  <si>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</si>
  <si>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</si>
  <si>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</si>
  <si>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</si>
  <si>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</si>
  <si>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</si>
  <si>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</si>
  <si>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</si>
  <si>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</si>
  <si>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</si>
  <si>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</si>
  <si>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</si>
  <si>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</si>
  <si>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</si>
  <si>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</si>
  <si>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</si>
  <si>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</si>
  <si>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</si>
  <si>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</si>
  <si>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</si>
  <si>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</si>
  <si>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</si>
  <si>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</si>
  <si>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</si>
  <si>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</si>
  <si>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</si>
  <si>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</si>
  <si>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</si>
  <si>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</si>
  <si>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</si>
  <si>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</si>
  <si>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</si>
  <si>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</si>
  <si>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</si>
  <si>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</si>
  <si>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</si>
  <si>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</si>
  <si>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</si>
  <si>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</si>
  <si>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</si>
  <si>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</si>
  <si>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</si>
  <si>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</si>
  <si>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</si>
  <si>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</si>
  <si>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</si>
  <si>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</si>
  <si>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</si>
  <si>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</si>
  <si>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</si>
  <si>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</si>
  <si>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</si>
  <si>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</si>
  <si>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</si>
  <si>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</si>
  <si>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</si>
  <si>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</si>
  <si>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</si>
  <si>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</si>
  <si>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</si>
  <si>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</si>
  <si>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</si>
  <si>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</si>
  <si>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</si>
  <si>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</si>
  <si>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</si>
  <si>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</si>
  <si>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</si>
  <si>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</si>
  <si>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</si>
  <si>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</si>
  <si>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</si>
  <si>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</si>
  <si>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</si>
  <si>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</si>
  <si>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</si>
  <si>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</si>
  <si>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</si>
  <si>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</si>
  <si>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</si>
  <si>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</si>
  <si>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</si>
  <si>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</si>
  <si>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</si>
  <si>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</si>
  <si>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</si>
  <si>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</si>
  <si>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</si>
  <si>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</si>
  <si>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</si>
  <si>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</si>
  <si>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</si>
  <si>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</si>
  <si>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</si>
  <si>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</si>
  <si>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</si>
  <si>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</si>
  <si>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</si>
  <si>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</si>
  <si>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</si>
  <si>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</si>
  <si>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</si>
  <si>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</si>
  <si>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</si>
  <si>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</si>
  <si>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</si>
  <si>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</si>
  <si>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</si>
  <si>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</si>
  <si>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</si>
  <si>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</si>
  <si>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</si>
  <si>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</si>
  <si>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</si>
  <si>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</si>
  <si>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</si>
  <si>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</si>
  <si>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</si>
  <si>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</si>
  <si>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</si>
  <si>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</si>
  <si>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</si>
  <si>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</si>
  <si>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</si>
  <si>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</si>
  <si>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</si>
  <si>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</si>
  <si>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</si>
  <si>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</si>
  <si>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</si>
  <si>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</si>
  <si>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</si>
  <si>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</si>
  <si>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</si>
  <si>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</si>
  <si>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</si>
  <si>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</si>
  <si>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</si>
  <si>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</si>
  <si>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</si>
  <si>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</si>
  <si>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</si>
  <si>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</si>
  <si>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</si>
  <si>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</si>
  <si>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</si>
  <si>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</si>
  <si>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</si>
  <si>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</si>
  <si>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</si>
  <si>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</si>
  <si>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</si>
  <si>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</si>
  <si>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</si>
  <si>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</si>
  <si>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</si>
  <si>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</si>
  <si>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</si>
  <si>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</si>
  <si>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</si>
  <si>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</si>
  <si>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</si>
  <si>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</si>
  <si>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</si>
  <si>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</si>
  <si>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</si>
  <si>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</si>
  <si>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</si>
  <si>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</si>
  <si>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</si>
  <si>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</si>
  <si>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</si>
  <si>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</si>
  <si>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</si>
  <si>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</si>
  <si>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</si>
  <si>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</si>
  <si>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</si>
  <si>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</si>
  <si>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</si>
  <si>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</si>
  <si>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</si>
  <si>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</si>
  <si>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</si>
  <si>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</si>
  <si>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</si>
  <si>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</si>
  <si>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</si>
  <si>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</si>
  <si>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</si>
  <si>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</si>
  <si>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</si>
  <si>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</si>
  <si>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</si>
  <si>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</si>
  <si>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</si>
  <si>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</si>
  <si>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</si>
  <si>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</si>
  <si>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</si>
  <si>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</si>
  <si>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</si>
  <si>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</si>
  <si>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</si>
  <si>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</si>
  <si>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</si>
  <si>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</si>
  <si>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</si>
  <si>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</si>
  <si>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</si>
  <si>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</si>
  <si>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</si>
  <si>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</si>
  <si>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</si>
  <si>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</si>
  <si>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</si>
  <si>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</si>
  <si>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</si>
  <si>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</si>
  <si>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</si>
  <si>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</si>
  <si>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</si>
  <si>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</si>
  <si>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</si>
  <si>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</si>
  <si>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</si>
  <si>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</si>
  <si>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</si>
  <si>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</si>
  <si>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</si>
  <si>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</si>
  <si>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</si>
  <si>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</si>
  <si>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</si>
  <si>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</si>
  <si>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</si>
  <si>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</si>
  <si>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</si>
  <si>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</si>
  <si>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</si>
  <si>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</si>
  <si>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</si>
  <si>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</si>
  <si>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</si>
  <si>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</si>
  <si>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</si>
  <si>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</si>
  <si>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</si>
  <si>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</si>
  <si>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</si>
  <si>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</si>
  <si>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</si>
  <si>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</si>
  <si>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</si>
  <si>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</si>
  <si>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</si>
  <si>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</si>
  <si>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</si>
  <si>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</si>
  <si>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</si>
  <si>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</si>
  <si>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</si>
  <si>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</si>
  <si>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</si>
  <si>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</si>
  <si>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</si>
  <si>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</si>
  <si>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</si>
  <si>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</si>
  <si>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</si>
  <si>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</si>
  <si>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</si>
  <si>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</si>
  <si>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</si>
  <si>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</si>
  <si>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</si>
  <si>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</si>
  <si>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</si>
  <si>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</si>
  <si>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</si>
  <si>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</si>
  <si>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</si>
  <si>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</si>
  <si>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</si>
  <si>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</si>
  <si>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</si>
  <si>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</si>
  <si>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</si>
  <si>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</si>
  <si>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</si>
  <si>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</si>
  <si>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</si>
  <si>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</si>
  <si>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</si>
  <si>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</si>
  <si>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</si>
  <si>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</si>
  <si>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</si>
  <si>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</si>
  <si>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</si>
  <si>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</si>
  <si>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</si>
  <si>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</si>
  <si>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</si>
  <si>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</si>
  <si>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</si>
  <si>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</si>
  <si>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</si>
  <si>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</si>
  <si>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</si>
  <si>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</si>
  <si>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</si>
  <si>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</si>
  <si>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</si>
  <si>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</si>
  <si>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</si>
  <si>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</si>
  <si>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</si>
  <si>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</si>
  <si>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</si>
  <si>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</si>
  <si>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</si>
  <si>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</si>
  <si>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</si>
  <si>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</si>
  <si>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</si>
  <si>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</si>
  <si>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</si>
  <si>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</si>
  <si>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</si>
  <si>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</si>
  <si>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</si>
  <si>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</si>
  <si>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</si>
  <si>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</si>
  <si>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</si>
  <si>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</si>
  <si>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</si>
  <si>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</si>
  <si>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</si>
  <si>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</si>
  <si>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</si>
  <si>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</si>
  <si>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</si>
  <si>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</si>
  <si>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</si>
  <si>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</si>
  <si>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</si>
  <si>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</si>
  <si>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</si>
  <si>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</si>
  <si>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</si>
  <si>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</si>
  <si>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</si>
  <si>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</si>
  <si>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</si>
  <si>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</si>
  <si>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</si>
  <si>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</si>
  <si>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</si>
  <si>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</si>
  <si>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</si>
  <si>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</si>
  <si>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</si>
  <si>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</si>
  <si>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</si>
  <si>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</si>
  <si>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</si>
  <si>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</si>
  <si>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</si>
  <si>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</si>
  <si>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</si>
  <si>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</si>
  <si>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</si>
  <si>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</si>
  <si>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</si>
  <si>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</si>
  <si>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</si>
  <si>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</si>
  <si>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</si>
  <si>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</si>
  <si>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</si>
  <si>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</si>
  <si>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</si>
  <si>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</si>
  <si>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</si>
  <si>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</si>
  <si>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</si>
  <si>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</si>
  <si>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</si>
  <si>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</si>
  <si>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</si>
  <si>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</si>
  <si>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</si>
  <si>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</si>
  <si>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</si>
  <si>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</si>
  <si>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</si>
  <si>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</si>
  <si>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</si>
  <si>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</si>
  <si>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</si>
  <si>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</si>
  <si>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</si>
  <si>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</si>
  <si>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</si>
  <si>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</si>
  <si>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</si>
  <si>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</si>
  <si>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</si>
  <si>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</si>
  <si>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</si>
  <si>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</si>
  <si>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</si>
  <si>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</si>
  <si>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</si>
  <si>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</si>
  <si>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</si>
  <si>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</si>
  <si>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</si>
  <si>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</si>
  <si>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</si>
  <si>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</si>
  <si>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</si>
  <si>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</si>
  <si>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</si>
  <si>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</si>
  <si>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</si>
  <si>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</si>
  <si>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</si>
  <si>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</si>
  <si>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</si>
  <si>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</si>
  <si>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</si>
  <si>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</si>
  <si>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</si>
  <si>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</si>
  <si>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</si>
  <si>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</si>
  <si>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</si>
  <si>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</si>
  <si>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</si>
  <si>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</si>
  <si>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</si>
  <si>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</si>
  <si>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</si>
  <si>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</si>
  <si>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</si>
  <si>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</si>
  <si>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</si>
  <si>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</si>
  <si>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</si>
  <si>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</si>
  <si>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</si>
  <si>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</si>
  <si>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</si>
  <si>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</si>
  <si>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</si>
  <si>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</si>
  <si>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</si>
  <si>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</si>
  <si>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</si>
  <si>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</si>
  <si>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</si>
  <si>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</si>
  <si>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</si>
  <si>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</si>
  <si>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</si>
  <si>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</si>
  <si>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</si>
  <si>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</si>
  <si>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</si>
  <si>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</si>
  <si>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</si>
  <si>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</si>
  <si>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</si>
  <si>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</si>
  <si>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</si>
  <si>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</si>
  <si>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</si>
  <si>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</si>
  <si>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</si>
  <si>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</si>
  <si>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</si>
  <si>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</si>
  <si>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</si>
  <si>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</si>
  <si>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</si>
  <si>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</si>
  <si>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</si>
  <si>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</si>
  <si>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</si>
  <si>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</si>
  <si>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</si>
  <si>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</si>
  <si>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</si>
  <si>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</si>
  <si>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</si>
  <si>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</si>
  <si>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</si>
  <si>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</si>
  <si>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</si>
  <si>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</si>
  <si>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</si>
  <si>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</si>
  <si>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</si>
  <si>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</si>
  <si>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</si>
  <si>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</si>
  <si>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</si>
  <si>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</si>
  <si>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</si>
  <si>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</si>
  <si>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</si>
  <si>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</si>
  <si>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</si>
  <si>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</si>
  <si>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</si>
  <si>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</si>
  <si>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</si>
  <si>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</si>
  <si>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</si>
  <si>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</si>
  <si>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</si>
  <si>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</si>
  <si>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</si>
  <si>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</si>
  <si>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</si>
  <si>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</si>
  <si>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</si>
  <si>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</si>
  <si>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</si>
  <si>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</si>
  <si>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</si>
  <si>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</si>
  <si>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</si>
  <si>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</si>
  <si>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</si>
  <si>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</si>
  <si>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</si>
  <si>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</si>
  <si>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</si>
  <si>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</si>
  <si>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</si>
  <si>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</si>
  <si>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</si>
  <si>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</si>
  <si>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</si>
  <si>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</si>
  <si>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</si>
  <si>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</si>
  <si>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</si>
  <si>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</si>
  <si>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</si>
  <si>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</si>
  <si>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</si>
  <si>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</si>
  <si>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</si>
  <si>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</si>
  <si>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</si>
  <si>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</si>
  <si>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</si>
  <si>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</si>
  <si>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</si>
  <si>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</si>
  <si>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</si>
  <si>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</si>
  <si>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</si>
  <si>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</si>
  <si>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</si>
  <si>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</si>
  <si>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</si>
  <si>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</si>
  <si>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</si>
  <si>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</si>
  <si>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</si>
  <si>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</si>
  <si>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</si>
  <si>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</si>
  <si>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</si>
  <si>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</si>
  <si>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</si>
  <si>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</si>
  <si>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</si>
  <si>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</si>
  <si>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</si>
  <si>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</si>
  <si>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</si>
  <si>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</si>
  <si>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</si>
  <si>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</si>
  <si>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</si>
  <si>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</si>
  <si>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</si>
  <si>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</si>
  <si>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</si>
  <si>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</si>
  <si>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</si>
  <si>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</si>
  <si>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</si>
  <si>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</si>
  <si>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</si>
  <si>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</si>
  <si>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</si>
  <si>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</si>
  <si>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</si>
  <si>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</si>
  <si>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</si>
  <si>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</si>
  <si>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</si>
  <si>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</si>
  <si>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</si>
  <si>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</si>
  <si>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</si>
  <si>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</si>
  <si>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</si>
  <si>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</si>
  <si>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</si>
  <si>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</si>
  <si>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</si>
  <si>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</si>
  <si>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</si>
  <si>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</si>
  <si>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</si>
  <si>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</si>
  <si>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</si>
  <si>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</si>
  <si>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</si>
  <si>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</si>
  <si>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</si>
  <si>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</si>
  <si>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</si>
  <si>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</si>
  <si>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</si>
  <si>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</si>
  <si>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</si>
  <si>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</si>
  <si>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</si>
  <si>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</si>
  <si>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</si>
  <si>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</si>
  <si>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</si>
  <si>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</si>
  <si>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</si>
  <si>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</si>
  <si>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</si>
  <si>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</si>
  <si>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</si>
  <si>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</si>
  <si>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</si>
  <si>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</si>
  <si>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</si>
  <si>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</si>
  <si>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</si>
  <si>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</si>
  <si>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</si>
  <si>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</si>
  <si>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</si>
  <si>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</si>
  <si>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</si>
  <si>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</si>
  <si>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</si>
  <si>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</si>
  <si>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</si>
  <si>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</si>
  <si>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</si>
  <si>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</si>
  <si>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</si>
  <si>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</si>
  <si>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</si>
  <si>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</si>
  <si>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</si>
  <si>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</si>
  <si>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</si>
  <si>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</si>
  <si>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</si>
  <si>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</si>
  <si>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</si>
  <si>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</si>
  <si>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</si>
  <si>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</si>
  <si>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</si>
  <si>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</si>
  <si>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</si>
  <si>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</si>
  <si>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</si>
  <si>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</si>
  <si>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</si>
  <si>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</si>
  <si>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</si>
  <si>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</si>
  <si>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</si>
  <si>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</si>
  <si>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</si>
  <si>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</si>
  <si>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</si>
  <si>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</si>
  <si>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</si>
  <si>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</si>
  <si>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</si>
  <si>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</si>
  <si>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</si>
  <si>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</si>
  <si>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</si>
  <si>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</si>
  <si>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</si>
  <si>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</si>
  <si>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</si>
  <si>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</si>
  <si>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</si>
  <si>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</si>
  <si>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</si>
  <si>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</si>
  <si>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</si>
  <si>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</si>
  <si>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</si>
  <si>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</si>
  <si>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</si>
  <si>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</si>
  <si>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</si>
  <si>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</si>
  <si>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</si>
  <si>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</si>
  <si>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</si>
  <si>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</si>
  <si>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</si>
  <si>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</si>
  <si>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</si>
  <si>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</si>
  <si>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</si>
  <si>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</si>
  <si>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</si>
  <si>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</si>
  <si>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</si>
  <si>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</si>
  <si>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</si>
  <si>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</si>
  <si>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</si>
  <si>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</si>
  <si>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</si>
  <si>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</si>
  <si>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</si>
  <si>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</si>
  <si>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</si>
  <si>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</si>
  <si>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</si>
  <si>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</si>
  <si>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</si>
  <si>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</si>
  <si>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</si>
  <si>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</si>
  <si>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</si>
  <si>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</si>
  <si>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</si>
  <si>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</si>
  <si>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</si>
  <si>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</si>
  <si>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</si>
  <si>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</si>
  <si>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</si>
  <si>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</si>
  <si>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</si>
  <si>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</si>
  <si>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</si>
  <si>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</si>
  <si>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</si>
  <si>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</si>
  <si>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</si>
  <si>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</si>
  <si>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</si>
  <si>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</si>
  <si>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</si>
  <si>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</si>
  <si>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</si>
  <si>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</si>
  <si>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</si>
  <si>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</si>
  <si>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</si>
  <si>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</si>
  <si>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</si>
  <si>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</si>
  <si>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</si>
  <si>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</si>
  <si>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</si>
  <si>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</si>
  <si>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</si>
  <si>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</si>
  <si>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</si>
  <si>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</si>
  <si>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</si>
  <si>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</si>
  <si>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</si>
  <si>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</si>
  <si>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</si>
  <si>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</si>
  <si>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</si>
  <si>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</si>
  <si>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</si>
  <si>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</si>
  <si>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</si>
  <si>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</si>
  <si>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</si>
  <si>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</si>
  <si>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</si>
  <si>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</si>
  <si>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</si>
  <si>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</si>
  <si>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</si>
  <si>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</si>
  <si>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</si>
  <si>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</si>
  <si>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</si>
  <si>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</si>
  <si>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</si>
  <si>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</si>
  <si>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</si>
  <si>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</si>
  <si>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</si>
  <si>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</si>
  <si>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</si>
  <si>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</si>
  <si>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</si>
  <si>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</si>
  <si>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</si>
  <si>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</si>
  <si>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</si>
  <si>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</si>
  <si>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</si>
  <si>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</si>
  <si>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</si>
  <si>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</si>
  <si>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</si>
  <si>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</si>
  <si>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</si>
  <si>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</si>
  <si>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</si>
  <si>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</si>
  <si>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</si>
  <si>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</si>
  <si>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</si>
  <si>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</si>
  <si>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</si>
  <si>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</si>
  <si>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</si>
  <si>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</si>
  <si>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</si>
  <si>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</si>
  <si>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</si>
  <si>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</si>
  <si>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</si>
  <si>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</si>
  <si>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</si>
  <si>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</si>
  <si>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</si>
  <si>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</si>
  <si>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</si>
  <si>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</si>
  <si>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</si>
  <si>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</si>
  <si>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</si>
  <si>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</si>
  <si>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</si>
  <si>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</si>
  <si>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</si>
  <si>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</si>
  <si>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</si>
  <si>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</si>
  <si>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</si>
  <si>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</si>
  <si>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</si>
  <si>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</si>
  <si>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</si>
  <si>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</si>
  <si>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</si>
  <si>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</si>
  <si>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</si>
  <si>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</si>
  <si>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</si>
  <si>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</si>
  <si>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</si>
  <si>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</si>
  <si>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</si>
  <si>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</si>
  <si>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</si>
  <si>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</si>
  <si>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</si>
  <si>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</si>
  <si>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</si>
  <si>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</si>
  <si>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</si>
  <si>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</si>
  <si>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</si>
  <si>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</si>
  <si>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</si>
  <si>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</si>
  <si>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</si>
  <si>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</si>
  <si>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</si>
  <si>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</si>
  <si>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</si>
  <si>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</si>
  <si>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</si>
  <si>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</si>
  <si>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</si>
  <si>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</si>
  <si>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</si>
  <si>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</si>
  <si>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</si>
  <si>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</si>
  <si>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</si>
  <si>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</si>
  <si>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</si>
  <si>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</si>
  <si>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</si>
  <si>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</si>
  <si>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</si>
  <si>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</si>
  <si>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</si>
  <si>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</si>
  <si>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</si>
  <si>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</si>
  <si>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</si>
  <si>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</si>
  <si>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</si>
  <si>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</si>
  <si>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</si>
  <si>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</si>
  <si>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</si>
  <si>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</si>
  <si>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</si>
  <si>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</si>
  <si>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</si>
  <si>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</si>
  <si>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</si>
  <si>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</si>
  <si>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</si>
  <si>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</si>
  <si>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</si>
  <si>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</si>
  <si>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</si>
  <si>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</si>
  <si>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</si>
  <si>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</si>
  <si>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</si>
  <si>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</si>
  <si>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</si>
  <si>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</si>
  <si>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</si>
  <si>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</si>
  <si>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</si>
  <si>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</si>
  <si>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</si>
  <si>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</si>
  <si>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</si>
  <si>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</si>
  <si>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</si>
  <si>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</si>
  <si>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</si>
  <si>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</si>
  <si>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</si>
  <si>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</si>
  <si>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</si>
  <si>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</si>
  <si>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</si>
  <si>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</si>
  <si>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</si>
  <si>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</si>
  <si>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</si>
  <si>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</si>
  <si>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</si>
  <si>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</si>
  <si>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</si>
  <si>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</si>
  <si>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</si>
  <si>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</si>
  <si>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</si>
  <si>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</si>
  <si>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</si>
  <si>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</si>
  <si>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</si>
  <si>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</si>
  <si>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</si>
  <si>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</si>
  <si>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</si>
  <si>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</si>
  <si>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</si>
  <si>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</si>
  <si>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</si>
  <si>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</si>
  <si>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</si>
  <si>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</si>
  <si>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</si>
  <si>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</si>
  <si>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</si>
  <si>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</si>
  <si>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</si>
  <si>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</si>
  <si>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</si>
  <si>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</si>
  <si>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</si>
  <si>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</si>
  <si>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</si>
  <si>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</si>
  <si>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</si>
  <si>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</si>
  <si>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</si>
  <si>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</si>
  <si>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</si>
  <si>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</si>
  <si>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</si>
  <si>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</si>
  <si>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</si>
  <si>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</si>
  <si>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</si>
  <si>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</si>
  <si>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</si>
  <si>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</si>
  <si>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</si>
  <si>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</si>
  <si>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</si>
  <si>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</si>
  <si>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</si>
  <si>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</si>
  <si>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</si>
  <si>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</si>
  <si>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</si>
  <si>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</si>
  <si>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</si>
  <si>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</si>
  <si>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</si>
  <si>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</si>
  <si>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</si>
  <si>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</si>
  <si>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</si>
  <si>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</si>
  <si>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</si>
  <si>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</si>
  <si>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</si>
  <si>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</si>
  <si>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</si>
  <si>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</si>
  <si>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</si>
  <si>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</si>
  <si>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</si>
  <si>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</si>
  <si>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</si>
  <si>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</si>
  <si>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</si>
  <si>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</si>
  <si>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</si>
  <si>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</si>
  <si>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</si>
  <si>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</si>
  <si>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</si>
  <si>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</si>
  <si>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</si>
  <si>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</si>
  <si>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</si>
  <si>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</si>
  <si>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</si>
  <si>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</si>
  <si>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</si>
  <si>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</si>
  <si>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</si>
  <si>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</si>
  <si>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</si>
  <si>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</si>
  <si>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</si>
  <si>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</si>
  <si>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</si>
  <si>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</si>
  <si>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</si>
  <si>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</si>
  <si>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</si>
  <si>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</si>
  <si>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</si>
  <si>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</si>
  <si>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</si>
  <si>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</si>
  <si>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</si>
  <si>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</si>
  <si>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</si>
  <si>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</si>
  <si>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</si>
  <si>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</si>
  <si>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</si>
  <si>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</si>
  <si>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</si>
  <si>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</si>
  <si>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</si>
  <si>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</si>
  <si>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</si>
  <si>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</si>
  <si>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</si>
  <si>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</si>
  <si>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</si>
  <si>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</si>
  <si>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</si>
  <si>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</si>
  <si>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</si>
  <si>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</si>
  <si>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</si>
  <si>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</si>
  <si>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</si>
  <si>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</si>
  <si>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</si>
  <si>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</si>
  <si>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</si>
  <si>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</si>
  <si>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</si>
  <si>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</si>
  <si>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</si>
  <si>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</si>
  <si>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</si>
  <si>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</si>
  <si>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</si>
  <si>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</si>
  <si>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</si>
  <si>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</si>
  <si>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</si>
  <si>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</si>
  <si>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</si>
  <si>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</si>
  <si>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</si>
  <si>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</si>
  <si>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</si>
  <si>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</si>
  <si>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</si>
  <si>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</si>
  <si>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</si>
  <si>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</si>
  <si>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</si>
  <si>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</si>
  <si>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</si>
  <si>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</si>
  <si>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</si>
  <si>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</si>
  <si>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</si>
  <si>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</si>
  <si>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</si>
  <si>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</si>
  <si>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</si>
  <si>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</si>
  <si>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</si>
  <si>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</si>
  <si>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</si>
  <si>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</si>
  <si>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</si>
  <si>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</si>
  <si>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</si>
  <si>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</si>
  <si>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</si>
  <si>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</si>
  <si>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</si>
  <si>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</si>
  <si>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</si>
  <si>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</si>
  <si>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</si>
  <si>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</si>
  <si>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</si>
  <si>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</si>
  <si>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</si>
  <si>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</si>
  <si>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</si>
  <si>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</si>
  <si>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</si>
  <si>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</si>
  <si>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</si>
  <si>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</si>
  <si>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</si>
  <si>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</si>
  <si>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</si>
  <si>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</si>
  <si>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</si>
  <si>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</si>
  <si>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</si>
  <si>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</si>
  <si>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</si>
  <si>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</si>
  <si>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</si>
  <si>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</si>
  <si>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</si>
  <si>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</si>
  <si>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</si>
  <si>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</si>
  <si>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</si>
  <si>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</si>
  <si>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</si>
  <si>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</si>
  <si>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</si>
  <si>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</si>
  <si>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</si>
  <si>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</si>
  <si>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</si>
  <si>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</si>
  <si>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</si>
  <si>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</si>
  <si>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</si>
  <si>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</si>
  <si>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</si>
  <si>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</si>
  <si>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</si>
  <si>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</si>
  <si>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</si>
  <si>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</si>
  <si>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</si>
  <si>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</si>
  <si>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</si>
  <si>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</si>
  <si>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</si>
  <si>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</si>
  <si>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</si>
  <si>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</si>
  <si>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</si>
  <si>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</si>
  <si>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</si>
  <si>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</si>
  <si>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</si>
  <si>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</si>
  <si>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</si>
  <si>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</si>
  <si>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</si>
  <si>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</si>
  <si>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</si>
  <si>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</si>
  <si>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</si>
  <si>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</si>
  <si>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</si>
  <si>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</si>
  <si>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</si>
  <si>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</si>
  <si>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</si>
  <si>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</si>
  <si>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</si>
  <si>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</si>
  <si>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</si>
  <si>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</si>
  <si>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</si>
  <si>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</si>
  <si>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</si>
  <si>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</si>
  <si>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</si>
  <si>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</si>
  <si>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</si>
  <si>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</si>
  <si>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</si>
  <si>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</si>
  <si>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</si>
  <si>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</si>
  <si>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</si>
  <si>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</si>
  <si>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</si>
  <si>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</si>
  <si>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</si>
  <si>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</si>
  <si>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</si>
  <si>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</si>
  <si>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</si>
  <si>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</si>
  <si>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</si>
  <si>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</si>
  <si>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</si>
  <si>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</si>
  <si>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</si>
  <si>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</si>
  <si>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</si>
  <si>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</si>
  <si>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</si>
  <si>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</si>
  <si>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</si>
  <si>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</si>
  <si>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</si>
  <si>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</si>
  <si>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</si>
  <si>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</si>
  <si>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</si>
  <si>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</si>
  <si>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</si>
  <si>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</si>
  <si>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</si>
  <si>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</si>
  <si>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</si>
  <si>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</si>
  <si>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</si>
  <si>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</si>
  <si>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</si>
  <si>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</si>
  <si>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</si>
  <si>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</si>
  <si>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</si>
  <si>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</si>
  <si>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</si>
  <si>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</si>
  <si>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</si>
  <si>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</si>
  <si>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</si>
  <si>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</si>
  <si>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</si>
  <si>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</si>
  <si>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</si>
  <si>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</si>
  <si>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</si>
  <si>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</si>
  <si>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</si>
  <si>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</si>
  <si>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</si>
  <si>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</si>
  <si>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</si>
  <si>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</si>
  <si>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</si>
  <si>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</si>
  <si>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</si>
  <si>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</si>
  <si>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</si>
  <si>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</si>
  <si>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</si>
  <si>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</si>
  <si>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</si>
  <si>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</si>
  <si>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</si>
  <si>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</si>
  <si>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</si>
  <si>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</si>
  <si>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</si>
  <si>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</si>
  <si>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</si>
  <si>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</si>
  <si>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</si>
  <si>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</si>
  <si>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</si>
  <si>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</si>
  <si>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</si>
  <si>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</si>
  <si>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</si>
  <si>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</si>
  <si>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</si>
  <si>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</si>
  <si>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</si>
  <si>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</si>
  <si>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</si>
  <si>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</si>
  <si>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</si>
  <si>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</si>
  <si>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</si>
  <si>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</si>
  <si>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</si>
  <si>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</si>
  <si>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</si>
  <si>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</si>
  <si>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</si>
  <si>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</si>
  <si>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</si>
  <si>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</si>
  <si>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</si>
  <si>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</si>
  <si>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</si>
  <si>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</si>
  <si>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</si>
  <si>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</si>
  <si>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</si>
  <si>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</si>
  <si>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</si>
  <si>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</si>
  <si>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</si>
  <si>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</si>
  <si>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</si>
  <si>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</si>
  <si>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</si>
  <si>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</si>
  <si>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</si>
  <si>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</si>
  <si>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</si>
  <si>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</si>
  <si>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</si>
  <si>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</si>
  <si>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</si>
  <si>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</si>
  <si>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</si>
  <si>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</si>
  <si>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</si>
  <si>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</si>
  <si>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</si>
  <si>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</si>
  <si>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</si>
  <si>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</si>
  <si>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</si>
  <si>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</si>
  <si>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</si>
  <si>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</si>
  <si>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</si>
  <si>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</si>
  <si>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</si>
  <si>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</si>
  <si>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</si>
  <si>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</si>
  <si>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</si>
  <si>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</si>
  <si>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</si>
  <si>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</si>
  <si>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</si>
  <si>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</si>
  <si>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</si>
  <si>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</si>
  <si>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</si>
  <si>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</si>
  <si>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</si>
  <si>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</si>
  <si>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</si>
  <si>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</si>
  <si>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</si>
  <si>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</si>
  <si>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</si>
  <si>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</si>
  <si>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</si>
  <si>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</si>
  <si>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</si>
  <si>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</si>
  <si>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</si>
  <si>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</si>
  <si>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</si>
  <si>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</si>
  <si>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</si>
  <si>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</si>
  <si>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</si>
  <si>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</si>
  <si>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</si>
  <si>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</si>
  <si>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</si>
  <si>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</si>
  <si>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</si>
  <si>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</si>
  <si>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</si>
  <si>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</si>
  <si>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</si>
  <si>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</si>
  <si>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</si>
  <si>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</si>
  <si>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</si>
  <si>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</si>
  <si>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</si>
  <si>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</si>
  <si>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</si>
  <si>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</si>
  <si>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</si>
  <si>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</si>
  <si>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</si>
  <si>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</si>
  <si>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</si>
  <si>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</si>
  <si>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</si>
  <si>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</si>
  <si>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</si>
  <si>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</si>
  <si>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</si>
  <si>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</si>
  <si>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</si>
  <si>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</si>
  <si>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</si>
  <si>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</si>
  <si>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</si>
  <si>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</si>
  <si>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</si>
  <si>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</si>
  <si>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</si>
  <si>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</si>
  <si>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</si>
  <si>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</si>
  <si>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</si>
  <si>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</si>
  <si>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</si>
  <si>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</si>
  <si>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</si>
  <si>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</si>
  <si>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</si>
  <si>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</si>
  <si>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</si>
  <si>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</si>
  <si>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</si>
  <si>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</si>
  <si>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</si>
  <si>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</si>
  <si>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</si>
  <si>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</si>
  <si>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</si>
  <si>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</si>
  <si>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</si>
  <si>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</si>
  <si>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</si>
  <si>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</si>
  <si>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</si>
  <si>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</si>
  <si>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</si>
  <si>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</si>
  <si>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</si>
  <si>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</si>
  <si>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</si>
  <si>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</si>
  <si>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</si>
  <si>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</si>
  <si>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</si>
  <si>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</si>
  <si>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</si>
  <si>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</si>
  <si>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</si>
  <si>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</si>
  <si>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</si>
  <si>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</si>
  <si>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</si>
  <si>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</si>
  <si>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</si>
  <si>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</si>
  <si>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</si>
  <si>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</si>
  <si>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</si>
  <si>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</si>
  <si>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</si>
  <si>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</si>
  <si>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</si>
  <si>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</si>
  <si>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</si>
  <si>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</si>
  <si>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</si>
  <si>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</si>
  <si>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</si>
  <si>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</si>
  <si>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</si>
  <si>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</si>
  <si>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</si>
  <si>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</si>
  <si>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</si>
  <si>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</si>
  <si>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</si>
  <si>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</si>
  <si>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</si>
  <si>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</si>
  <si>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</si>
  <si>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</si>
  <si>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</si>
  <si>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</si>
  <si>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</si>
  <si>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</si>
  <si>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</si>
  <si>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</si>
  <si>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</si>
  <si>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</si>
  <si>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</si>
  <si>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</si>
  <si>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</si>
  <si>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</si>
  <si>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</si>
  <si>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</si>
  <si>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</si>
  <si>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</si>
  <si>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</si>
  <si>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</si>
  <si>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</si>
  <si>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</si>
  <si>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</si>
  <si>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</si>
  <si>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</si>
  <si>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</si>
  <si>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</si>
  <si>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</si>
  <si>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</si>
  <si>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</si>
  <si>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</si>
  <si>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</si>
  <si>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</si>
  <si>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</si>
  <si>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</si>
  <si>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</si>
  <si>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</si>
  <si>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</si>
  <si>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</si>
  <si>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</si>
  <si>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</si>
  <si>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</si>
  <si>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</si>
  <si>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</si>
  <si>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</si>
  <si>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</si>
  <si>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</si>
  <si>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</si>
  <si>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</si>
  <si>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</si>
  <si>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</si>
  <si>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</si>
  <si>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</si>
  <si>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</si>
  <si>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</si>
  <si>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</si>
  <si>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</si>
  <si>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</si>
  <si>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</si>
  <si>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</si>
  <si>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</si>
  <si>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</si>
  <si>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</si>
  <si>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</si>
  <si>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</si>
  <si>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</si>
  <si>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</si>
  <si>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</si>
  <si>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</si>
  <si>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</si>
  <si>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</si>
  <si>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</si>
  <si>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</si>
  <si>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</si>
  <si>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</si>
  <si>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</si>
  <si>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</si>
  <si>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</si>
  <si>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</si>
  <si>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</si>
  <si>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</si>
  <si>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</si>
  <si>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</si>
  <si>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</si>
  <si>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</si>
  <si>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</si>
  <si>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</si>
  <si>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</si>
  <si>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</si>
  <si>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</si>
  <si>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</si>
  <si>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</si>
  <si>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</si>
  <si>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</si>
  <si>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</si>
  <si>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</si>
  <si>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</si>
  <si>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</si>
  <si>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</si>
  <si>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</si>
  <si>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</si>
  <si>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</si>
  <si>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</si>
  <si>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</si>
  <si>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</si>
  <si>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</si>
  <si>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</si>
  <si>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</si>
  <si>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</si>
  <si>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</si>
  <si>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</si>
  <si>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</si>
  <si>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</si>
  <si>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</si>
  <si>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</si>
  <si>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</si>
  <si>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</si>
  <si>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</si>
  <si>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</si>
  <si>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</si>
  <si>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</si>
  <si>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</si>
  <si>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</si>
  <si>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</si>
  <si>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</si>
  <si>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</si>
  <si>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</si>
  <si>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</si>
  <si>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</si>
  <si>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</si>
  <si>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</si>
  <si>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</si>
  <si>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</si>
  <si>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</si>
  <si>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</si>
  <si>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</si>
  <si>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</si>
  <si>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</si>
  <si>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</si>
  <si>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</si>
  <si>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</si>
  <si>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</si>
  <si>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</si>
  <si>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</si>
  <si>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</si>
  <si>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</si>
  <si>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</si>
  <si>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</si>
  <si>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</si>
  <si>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</si>
  <si>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</si>
  <si>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</si>
  <si>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</si>
  <si>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</si>
  <si>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</si>
  <si>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</si>
  <si>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</si>
  <si>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</si>
  <si>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</si>
  <si>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</si>
  <si>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</si>
  <si>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</si>
  <si>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</si>
  <si>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</si>
  <si>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</si>
  <si>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</si>
  <si>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</si>
  <si>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</si>
  <si>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</si>
  <si>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</si>
  <si>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</si>
  <si>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</si>
  <si>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</si>
  <si>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</si>
  <si>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</si>
  <si>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</si>
  <si>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</si>
  <si>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</si>
  <si>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</si>
  <si>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</si>
  <si>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</si>
  <si>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</si>
  <si>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</si>
  <si>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</si>
  <si>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</si>
  <si>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</si>
  <si>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</si>
  <si>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</si>
  <si>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</si>
  <si>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</si>
  <si>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</si>
  <si>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</si>
  <si>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</si>
  <si>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</si>
  <si>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</si>
  <si>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</si>
  <si>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</si>
  <si>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</si>
  <si>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</si>
  <si>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</si>
  <si>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</si>
  <si>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</si>
  <si>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</si>
  <si>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</si>
  <si>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</si>
  <si>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</si>
  <si>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</si>
  <si>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</si>
  <si>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</si>
  <si>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</si>
  <si>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</si>
  <si>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</si>
  <si>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</si>
  <si>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</si>
  <si>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</si>
  <si>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</si>
  <si>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</si>
  <si>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</si>
  <si>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</si>
  <si>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</si>
  <si>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</si>
  <si>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</si>
  <si>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</si>
  <si>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</si>
  <si>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</si>
  <si>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</si>
  <si>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</si>
  <si>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</si>
  <si>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</si>
  <si>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</si>
  <si>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</si>
  <si>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</si>
  <si>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</si>
  <si>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</si>
  <si>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</si>
  <si>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</si>
  <si>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</si>
  <si>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</si>
  <si>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</si>
  <si>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</si>
  <si>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</si>
  <si>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</si>
  <si>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</si>
  <si>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</si>
  <si>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</si>
  <si>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</si>
  <si>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</si>
  <si>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</si>
  <si>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</si>
  <si>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</si>
  <si>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</si>
  <si>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</si>
  <si>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</si>
  <si>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</si>
  <si>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</si>
  <si>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</si>
  <si>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</si>
  <si>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</si>
  <si>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</si>
  <si>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</si>
  <si>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</si>
  <si>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</si>
  <si>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</si>
  <si>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</si>
  <si>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</si>
  <si>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</si>
  <si>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</si>
  <si>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</si>
  <si>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</si>
  <si>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</si>
  <si>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</si>
  <si>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</si>
  <si>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</si>
  <si>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</si>
  <si>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</si>
  <si>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</si>
  <si>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</si>
  <si>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</si>
  <si>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</si>
  <si>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</si>
  <si>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</si>
  <si>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</si>
  <si>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</si>
  <si>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</si>
  <si>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</si>
  <si>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</si>
  <si>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</si>
  <si>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</si>
  <si>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</si>
  <si>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</si>
  <si>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</si>
  <si>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S33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</si>
  <si>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</si>
  <si>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</si>
  <si>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</si>
  <si>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</si>
  <si>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</si>
  <si>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</si>
  <si>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</si>
  <si>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</si>
  <si>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</si>
  <si>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</si>
  <si>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</si>
  <si>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</si>
  <si>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</si>
  <si>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</si>
  <si>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</si>
  <si>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</si>
  <si>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</si>
  <si>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</si>
  <si>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</si>
  <si>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</si>
  <si>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</si>
  <si>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</si>
  <si>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</si>
  <si>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</si>
  <si>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</si>
  <si>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</si>
  <si>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</si>
  <si>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</si>
  <si>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</si>
  <si>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</si>
  <si>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</si>
  <si>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</si>
  <si>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</si>
  <si>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</si>
  <si>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</si>
  <si>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</si>
  <si>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</si>
  <si>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</si>
  <si>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</si>
  <si>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</si>
  <si>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</si>
  <si>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</si>
  <si>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</si>
  <si>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</si>
  <si>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</si>
  <si>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</si>
  <si>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</si>
  <si>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</si>
  <si>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</si>
  <si>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</si>
  <si>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</si>
  <si>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</si>
  <si>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</si>
  <si>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</si>
  <si>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</si>
  <si>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</si>
  <si>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</si>
  <si>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</si>
  <si>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</si>
  <si>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</si>
  <si>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</si>
  <si>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</si>
  <si>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</si>
  <si>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</si>
  <si>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</si>
  <si>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</si>
  <si>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</si>
  <si>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</si>
  <si>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</si>
  <si>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</si>
  <si>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</si>
  <si>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</si>
  <si>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</si>
  <si>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</si>
  <si>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</si>
  <si>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</si>
  <si>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</si>
  <si>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</si>
  <si>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</si>
  <si>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</si>
  <si>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</si>
  <si>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</si>
  <si>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</si>
  <si>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</si>
  <si>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</si>
  <si>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</si>
  <si>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</si>
  <si>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</si>
  <si>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</si>
  <si>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</si>
  <si>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</si>
  <si>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</si>
  <si>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</si>
  <si>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</si>
  <si>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</si>
  <si>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</si>
  <si>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</si>
  <si>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</si>
  <si>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</si>
  <si>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</si>
  <si>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</si>
  <si>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</si>
  <si>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</si>
  <si>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</si>
  <si>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</si>
  <si>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</si>
  <si>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</si>
  <si>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</si>
  <si>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</si>
  <si>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</si>
  <si>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</si>
  <si>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</si>
  <si>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</si>
  <si>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</si>
  <si>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</si>
  <si>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</si>
  <si>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</si>
  <si>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</si>
  <si>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</si>
  <si>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</si>
  <si>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</si>
  <si>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</si>
  <si>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</si>
  <si>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</si>
  <si>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</si>
  <si>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</si>
  <si>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</si>
  <si>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</si>
  <si>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</si>
  <si>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</si>
  <si>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</si>
  <si>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</si>
  <si>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</si>
  <si>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</si>
  <si>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</si>
  <si>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</si>
  <si>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</si>
  <si>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</si>
  <si>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</si>
  <si>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</si>
  <si>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</si>
  <si>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</si>
  <si>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</si>
  <si>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</si>
  <si>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</si>
  <si>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</si>
  <si>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</si>
  <si>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</si>
  <si>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</si>
  <si>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</si>
  <si>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</si>
  <si>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</si>
  <si>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</si>
  <si>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</si>
  <si>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</si>
  <si>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</si>
  <si>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</si>
  <si>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</si>
  <si>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</si>
  <si>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</si>
  <si>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</si>
  <si>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</si>
  <si>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</si>
  <si>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</si>
  <si>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</si>
  <si>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</si>
  <si>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</si>
  <si>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</si>
  <si>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</si>
  <si>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</si>
  <si>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</si>
  <si>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</si>
  <si>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</si>
  <si>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</si>
  <si>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</si>
  <si>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</si>
  <si>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</si>
  <si>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</si>
  <si>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</si>
  <si>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</si>
  <si>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</si>
  <si>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</si>
  <si>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</si>
  <si>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</si>
  <si>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</si>
  <si>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</si>
  <si>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</si>
  <si>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</si>
  <si>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</si>
  <si>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</si>
  <si>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</si>
  <si>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</si>
  <si>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</si>
  <si>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</si>
  <si>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</si>
  <si>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</si>
  <si>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</si>
  <si>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</si>
  <si>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</si>
  <si>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</si>
  <si>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</si>
  <si>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</si>
  <si>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</si>
  <si>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</si>
  <si>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</si>
  <si>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</si>
  <si>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</si>
  <si>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</si>
  <si>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</si>
  <si>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</si>
  <si>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</si>
  <si>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</si>
  <si>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</si>
  <si>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</si>
  <si>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</si>
  <si>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</si>
  <si>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</si>
  <si>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</si>
  <si>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</si>
  <si>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</si>
  <si>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</si>
  <si>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</si>
  <si>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</si>
  <si>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</si>
  <si>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</si>
  <si>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</si>
  <si>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</si>
  <si>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</si>
  <si>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</si>
  <si>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</si>
  <si>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</si>
  <si>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</si>
  <si>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</si>
  <si>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</si>
  <si>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</si>
  <si>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</si>
  <si>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</si>
  <si>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</si>
  <si>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</si>
  <si>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</si>
  <si>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</si>
  <si>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</si>
  <si>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</si>
  <si>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</si>
  <si>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</si>
  <si>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</si>
  <si>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</si>
  <si>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</si>
  <si>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</si>
  <si>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</si>
  <si>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</si>
  <si>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</si>
  <si>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</si>
  <si>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</si>
  <si>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</si>
  <si>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</si>
  <si>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</si>
  <si>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</si>
  <si>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</si>
  <si>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</si>
  <si>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</si>
  <si>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</si>
  <si>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</si>
  <si>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</si>
  <si>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</si>
  <si>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</si>
  <si>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</si>
  <si>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</si>
  <si>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</si>
  <si>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</si>
  <si>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</si>
  <si>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174289</t>
  </si>
  <si>
    <t>334891</t>
  </si>
  <si>
    <t>801</t>
  </si>
  <si>
    <t>1309</t>
  </si>
  <si>
    <t>117004</t>
  </si>
  <si>
    <t>261327</t>
  </si>
  <si>
    <t>132458</t>
  </si>
  <si>
    <t>393555</t>
  </si>
  <si>
    <t>541</t>
  </si>
  <si>
    <t>825</t>
  </si>
  <si>
    <t>431195</t>
  </si>
  <si>
    <t>1559739</t>
  </si>
  <si>
    <t>1430</t>
  </si>
  <si>
    <t>441</t>
  </si>
  <si>
    <t>430370</t>
  </si>
  <si>
    <t>1555089</t>
  </si>
  <si>
    <t>792</t>
  </si>
  <si>
    <t>203415</t>
  </si>
  <si>
    <t>684681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</si>
</sst>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51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9967</c:v>
                </c:pt>
                <c:pt idx="1">
                  <c:v>13601</c:v>
                </c:pt>
                <c:pt idx="2">
                  <c:v>12983</c:v>
                </c:pt>
                <c:pt idx="3">
                  <c:v>13036</c:v>
                </c:pt>
                <c:pt idx="4">
                  <c:v>10698</c:v>
                </c:pt>
                <c:pt idx="5">
                  <c:v>9990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12857.142857142857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8451</c:v>
                </c:pt>
                <c:pt idx="1">
                  <c:v>21413</c:v>
                </c:pt>
                <c:pt idx="2">
                  <c:v>23332</c:v>
                </c:pt>
                <c:pt idx="3">
                  <c:v>37834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6570</c:v>
                </c:pt>
                <c:pt idx="1">
                  <c:v>17022</c:v>
                </c:pt>
                <c:pt idx="2">
                  <c:v>17642</c:v>
                </c:pt>
                <c:pt idx="3">
                  <c:v>29549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23999.999999999996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0596643519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0597106481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0597453704" createdVersion="8" refreshedVersion="8" minRefreshableVersion="3" recordCount="853" xr:uid="{9D45AC4C-13ED-4258-A051-E1A0E0BEF410}">
  <cacheSource type="worksheet">
    <worksheetSource ref="A4:AB7109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0598032404" createdVersion="8" refreshedVersion="8" minRefreshableVersion="3" recordCount="853" xr:uid="{8D9D6DB7-C64F-4C80-9A78-61C3071D7139}">
  <cacheSource type="worksheet">
    <worksheetSource ref="A4:AB2543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3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5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3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5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sd="0" x="11"/>
        <item sd="0" x="12"/>
        <item sd="0" x="13"/>
        <item sd="0" x="14"/>
        <item h="1" x="15"/>
        <item h="1" x="16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49">
      <pivotArea outline="0" collapsedLevelsAreSubtotals="1" fieldPosition="0"/>
    </format>
    <format dxfId="48">
      <pivotArea dataOnly="0" labelOnly="1" fieldPosition="0">
        <references count="1">
          <reference field="1" count="0"/>
        </references>
      </pivotArea>
    </format>
    <format dxfId="47">
      <pivotArea dataOnly="0" labelOnly="1" grandRow="1" outline="0" fieldPosition="0"/>
    </format>
    <format dxfId="46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45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44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0"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6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x="15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6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5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5"/>
        <i x="17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 s="1"/>
        <i x="12" s="1"/>
        <i x="13" s="1"/>
        <i x="14" s="1"/>
        <i x="15" nd="1"/>
        <i x="16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8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tabSelected="1" topLeftCell="A4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46206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27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46216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29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5"/>
  <sheetViews>
    <sheetView zoomScaleNormal="100" workbookViewId="0">
      <pane ySplit="4" topLeftCell="A777" activePane="bottomLeft" state="frozen"/>
      <selection pane="bottomLeft" activeCell="G788" sqref="G788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 t="shared" ref="H733:H740" si="0">15000/7</f>
        <v>2142.8571428571427</v>
      </c>
      <c r="I733" s="6">
        <f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>IFERROR(O734/K734,)</f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 t="shared" si="0"/>
        <v>2142.8571428571427</v>
      </c>
      <c r="I735" s="6">
        <f>IFERROR(O735/K735,)</f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 t="shared" si="0"/>
        <v>2142.8571428571427</v>
      </c>
      <c r="I736" s="6">
        <f>IFERROR(O736/K736,)</f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 t="shared" si="0"/>
        <v>2142.8571428571427</v>
      </c>
      <c r="I737" s="6">
        <f>IFERROR(O737/K737,)</f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 t="shared" si="0"/>
        <v>2142.8571428571427</v>
      </c>
      <c r="I738" s="6">
        <f>IFERROR(O738/K738,)</f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>IFERROR(O739/K739,)</f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2735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 t="shared" si="0"/>
        <v>2142.8571428571427</v>
      </c>
      <c r="I740" s="6">
        <f>IFERROR(O740/K740,)</f>
        <v>513.37760910815939</v>
      </c>
      <c r="J740" s="2" t="s">
        <v>1213</v>
      </c>
      <c r="K740" s="2">
        <v>10.54</v>
      </c>
      <c r="L740" s="2" t="s">
        <v>605</v>
      </c>
      <c r="M740" s="2" t="s">
        <v>2736</v>
      </c>
      <c r="N740" s="2" t="s">
        <v>2737</v>
      </c>
      <c r="O740" s="56">
        <v>5411</v>
      </c>
      <c r="P740" s="2" t="s">
        <v>2738</v>
      </c>
      <c r="Q740" s="2" t="s">
        <v>2739</v>
      </c>
      <c r="R740" s="2" t="s">
        <v>2740</v>
      </c>
      <c r="S740" s="2" t="s">
        <v>816</v>
      </c>
      <c r="T740" s="2" t="s">
        <v>2741</v>
      </c>
      <c r="U740" s="2" t="s">
        <v>2742</v>
      </c>
      <c r="V740" s="2" t="s">
        <v>2743</v>
      </c>
      <c r="W740" s="2" t="s">
        <v>2744</v>
      </c>
      <c r="X740" s="2" t="s">
        <v>2745</v>
      </c>
      <c r="Y740" s="2" t="s">
        <v>2746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>IFERROR(O741/K741,)</f>
        <v>266.7140825035562</v>
      </c>
      <c r="J741" s="2" t="s">
        <v>2747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2748</v>
      </c>
      <c r="R741" s="2" t="s">
        <v>2749</v>
      </c>
      <c r="S741" s="2" t="s">
        <v>642</v>
      </c>
      <c r="T741" s="2" t="s">
        <v>2170</v>
      </c>
      <c r="U741" s="2" t="s">
        <v>2750</v>
      </c>
      <c r="V741" s="2" t="s">
        <v>2751</v>
      </c>
      <c r="W741" s="2" t="s">
        <v>2752</v>
      </c>
      <c r="X741" s="2" t="s">
        <v>2753</v>
      </c>
      <c r="Y741" s="2" t="s">
        <v>2754</v>
      </c>
      <c r="Z741" s="2" t="s">
        <v>649</v>
      </c>
      <c r="AA741" s="2" t="s">
        <v>548</v>
      </c>
      <c r="AB741" s="2" t="s">
        <v>2755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>IFERROR(O742/K742,)</f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2756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2757</v>
      </c>
      <c r="V742" s="2" t="s">
        <v>2758</v>
      </c>
      <c r="W742" s="2" t="s">
        <v>2759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2760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>IFERROR(O743/K743,)</f>
        <v>129.42307692307691</v>
      </c>
      <c r="J743" s="2" t="s">
        <v>1354</v>
      </c>
      <c r="K743" s="2">
        <v>5.2</v>
      </c>
      <c r="L743" s="2" t="s">
        <v>602</v>
      </c>
      <c r="M743" s="2" t="s">
        <v>2761</v>
      </c>
      <c r="N743" s="2" t="s">
        <v>2762</v>
      </c>
      <c r="O743" s="56">
        <v>673</v>
      </c>
      <c r="P743" s="2" t="s">
        <v>2763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2764</v>
      </c>
      <c r="X743" s="2" t="s">
        <v>2765</v>
      </c>
      <c r="Y743" s="2" t="s">
        <v>2766</v>
      </c>
      <c r="Z743" s="2" t="s">
        <v>602</v>
      </c>
      <c r="AA743" s="2" t="s">
        <v>548</v>
      </c>
      <c r="AB743" s="2" t="s">
        <v>2767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>IFERROR(O744/K744,)</f>
        <v>312.78735632183907</v>
      </c>
      <c r="J744" s="2" t="s">
        <v>2407</v>
      </c>
      <c r="K744" s="2">
        <v>6.96</v>
      </c>
      <c r="L744" s="2" t="s">
        <v>636</v>
      </c>
      <c r="M744" s="2" t="s">
        <v>2768</v>
      </c>
      <c r="N744" s="2" t="s">
        <v>2769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2770</v>
      </c>
      <c r="X744" s="2" t="s">
        <v>2771</v>
      </c>
      <c r="Y744" s="2" t="s">
        <v>2772</v>
      </c>
      <c r="Z744" s="2" t="s">
        <v>618</v>
      </c>
      <c r="AA744" s="2" t="s">
        <v>548</v>
      </c>
      <c r="AB744" s="2" t="s">
        <v>2773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>IFERROR(O745/K745,)</f>
        <v>0</v>
      </c>
      <c r="J745" s="2" t="s">
        <v>1433</v>
      </c>
      <c r="K745" s="2">
        <v>0.28000000000000003</v>
      </c>
      <c r="L745" s="2" t="s">
        <v>1654</v>
      </c>
      <c r="M745" s="2" t="s">
        <v>2774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2775</v>
      </c>
      <c r="W745" s="2" t="s">
        <v>2776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>IFERROR(O746/K746,)</f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2777</v>
      </c>
      <c r="O746" s="56">
        <v>2084</v>
      </c>
      <c r="P746" s="2" t="s">
        <v>564</v>
      </c>
      <c r="Q746" s="2" t="s">
        <v>2778</v>
      </c>
      <c r="R746" s="2" t="s">
        <v>1866</v>
      </c>
      <c r="S746" s="2" t="s">
        <v>627</v>
      </c>
      <c r="T746" s="2" t="s">
        <v>2302</v>
      </c>
      <c r="U746" s="2" t="s">
        <v>2779</v>
      </c>
      <c r="V746" s="2" t="s">
        <v>1218</v>
      </c>
      <c r="W746" s="2" t="s">
        <v>2780</v>
      </c>
      <c r="X746" s="2" t="s">
        <v>2781</v>
      </c>
      <c r="Y746" s="2" t="s">
        <v>2782</v>
      </c>
      <c r="Z746" s="2" t="s">
        <v>800</v>
      </c>
      <c r="AA746" s="2" t="s">
        <v>548</v>
      </c>
      <c r="AB746" s="2" t="s">
        <v>2783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>IFERROR(O747/K747,)</f>
        <v>823.85496183206101</v>
      </c>
      <c r="J747" s="2" t="s">
        <v>1011</v>
      </c>
      <c r="K747" s="2">
        <v>10.48</v>
      </c>
      <c r="L747" s="2" t="s">
        <v>561</v>
      </c>
      <c r="M747" s="2" t="s">
        <v>2784</v>
      </c>
      <c r="N747" s="2" t="s">
        <v>2785</v>
      </c>
      <c r="O747" s="56">
        <v>8634</v>
      </c>
      <c r="P747" s="2" t="s">
        <v>2786</v>
      </c>
      <c r="Q747" s="2" t="s">
        <v>1435</v>
      </c>
      <c r="R747" s="2" t="s">
        <v>2787</v>
      </c>
      <c r="S747" s="2" t="s">
        <v>839</v>
      </c>
      <c r="T747" s="2" t="s">
        <v>2788</v>
      </c>
      <c r="U747" s="2" t="s">
        <v>2789</v>
      </c>
      <c r="V747" s="2" t="s">
        <v>2790</v>
      </c>
      <c r="W747" s="2" t="s">
        <v>2791</v>
      </c>
      <c r="X747" s="2" t="s">
        <v>2792</v>
      </c>
      <c r="Y747" s="2" t="s">
        <v>2793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>IFERROR(O748/K748,)</f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2794</v>
      </c>
      <c r="O748" s="56">
        <v>3889</v>
      </c>
      <c r="P748" s="2" t="s">
        <v>1389</v>
      </c>
      <c r="Q748" s="2" t="s">
        <v>2795</v>
      </c>
      <c r="R748" s="2" t="s">
        <v>2796</v>
      </c>
      <c r="S748" s="2" t="s">
        <v>712</v>
      </c>
      <c r="T748" s="2" t="s">
        <v>1447</v>
      </c>
      <c r="U748" s="2" t="s">
        <v>2434</v>
      </c>
      <c r="V748" s="2" t="s">
        <v>2797</v>
      </c>
      <c r="W748" s="2" t="s">
        <v>2798</v>
      </c>
      <c r="X748" s="2" t="s">
        <v>2799</v>
      </c>
      <c r="Y748" s="2" t="s">
        <v>2800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>IFERROR(O749/K749,)</f>
        <v>372.47474747474746</v>
      </c>
      <c r="J749" s="2" t="s">
        <v>2801</v>
      </c>
      <c r="K749" s="2">
        <v>7.92</v>
      </c>
      <c r="L749" s="2" t="s">
        <v>561</v>
      </c>
      <c r="M749" s="2" t="s">
        <v>2802</v>
      </c>
      <c r="N749" s="2" t="s">
        <v>2803</v>
      </c>
      <c r="O749" s="56">
        <v>2950</v>
      </c>
      <c r="P749" s="2" t="s">
        <v>2057</v>
      </c>
      <c r="Q749" s="2" t="s">
        <v>2804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2805</v>
      </c>
      <c r="X749" s="2" t="s">
        <v>2806</v>
      </c>
      <c r="Y749" s="2" t="s">
        <v>2807</v>
      </c>
      <c r="Z749" s="2" t="s">
        <v>580</v>
      </c>
      <c r="AA749" s="2" t="s">
        <v>548</v>
      </c>
      <c r="AB749" s="2" t="s">
        <v>2808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ref="H750:H766" si="1">15000/7</f>
        <v>2142.8571428571427</v>
      </c>
      <c r="I750" s="6">
        <f>IFERROR(O750/K750,)</f>
        <v>52.950075642965203</v>
      </c>
      <c r="J750" s="2" t="s">
        <v>2809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2810</v>
      </c>
      <c r="V750" s="2" t="s">
        <v>2811</v>
      </c>
      <c r="W750" s="2" t="s">
        <v>2812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2813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1"/>
        <v>2142.8571428571427</v>
      </c>
      <c r="I751" s="6">
        <f>IFERROR(O751/K751,)</f>
        <v>394.23347398030938</v>
      </c>
      <c r="J751" s="2" t="s">
        <v>2814</v>
      </c>
      <c r="K751" s="2">
        <v>7.11</v>
      </c>
      <c r="L751" s="2" t="s">
        <v>777</v>
      </c>
      <c r="M751" s="2" t="s">
        <v>2815</v>
      </c>
      <c r="N751" s="2" t="s">
        <v>2816</v>
      </c>
      <c r="O751" s="56">
        <v>2803</v>
      </c>
      <c r="P751" s="2" t="s">
        <v>1066</v>
      </c>
      <c r="Q751" s="2" t="s">
        <v>2817</v>
      </c>
      <c r="R751" s="2" t="s">
        <v>725</v>
      </c>
      <c r="S751" s="2" t="s">
        <v>567</v>
      </c>
      <c r="T751" s="2" t="s">
        <v>1131</v>
      </c>
      <c r="U751" s="2" t="s">
        <v>2818</v>
      </c>
      <c r="V751" s="2" t="s">
        <v>2819</v>
      </c>
      <c r="W751" s="2" t="s">
        <v>2820</v>
      </c>
      <c r="X751" s="2" t="s">
        <v>2821</v>
      </c>
      <c r="Y751" s="2" t="s">
        <v>2822</v>
      </c>
      <c r="Z751" s="2" t="s">
        <v>579</v>
      </c>
      <c r="AA751" s="2" t="s">
        <v>548</v>
      </c>
      <c r="AB751" s="2" t="s">
        <v>2823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1"/>
        <v>2142.8571428571427</v>
      </c>
      <c r="I752" s="6">
        <f>IFERROR(O752/K752,)</f>
        <v>301.35542168674698</v>
      </c>
      <c r="J752" s="2" t="s">
        <v>2824</v>
      </c>
      <c r="K752" s="2">
        <v>6.64</v>
      </c>
      <c r="L752" s="2" t="s">
        <v>817</v>
      </c>
      <c r="M752" s="2" t="s">
        <v>1853</v>
      </c>
      <c r="N752" s="2" t="s">
        <v>2825</v>
      </c>
      <c r="O752" s="56">
        <v>2001</v>
      </c>
      <c r="P752" s="2" t="s">
        <v>2380</v>
      </c>
      <c r="Q752" s="2" t="s">
        <v>2826</v>
      </c>
      <c r="R752" s="2" t="s">
        <v>1130</v>
      </c>
      <c r="S752" s="2" t="s">
        <v>961</v>
      </c>
      <c r="T752" s="2" t="s">
        <v>726</v>
      </c>
      <c r="U752" s="2" t="s">
        <v>2827</v>
      </c>
      <c r="V752" s="2" t="s">
        <v>2828</v>
      </c>
      <c r="W752" s="2" t="s">
        <v>2829</v>
      </c>
      <c r="X752" s="2" t="s">
        <v>2830</v>
      </c>
      <c r="Y752" s="2" t="s">
        <v>2831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1"/>
        <v>2142.8571428571427</v>
      </c>
      <c r="I753" s="6">
        <f>IFERROR(O753/K753,)</f>
        <v>236.83304647160071</v>
      </c>
      <c r="J753" s="2" t="s">
        <v>2832</v>
      </c>
      <c r="K753" s="2">
        <v>5.81</v>
      </c>
      <c r="L753" s="2" t="s">
        <v>1696</v>
      </c>
      <c r="M753" s="2" t="s">
        <v>2833</v>
      </c>
      <c r="N753" s="2" t="s">
        <v>2834</v>
      </c>
      <c r="O753" s="56">
        <v>1376</v>
      </c>
      <c r="P753" s="2" t="s">
        <v>2410</v>
      </c>
      <c r="Q753" s="2" t="s">
        <v>2835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2836</v>
      </c>
      <c r="W753" s="2" t="s">
        <v>2837</v>
      </c>
      <c r="X753" s="2" t="s">
        <v>2838</v>
      </c>
      <c r="Y753" s="2" t="s">
        <v>2839</v>
      </c>
      <c r="Z753" s="2" t="s">
        <v>652</v>
      </c>
      <c r="AA753" s="2" t="s">
        <v>548</v>
      </c>
      <c r="AB753" s="2" t="s">
        <v>2840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1"/>
        <v>2142.8571428571427</v>
      </c>
      <c r="I754" s="6">
        <f>IFERROR(O754/K754,)</f>
        <v>187.24727838258167</v>
      </c>
      <c r="J754" s="2" t="s">
        <v>2841</v>
      </c>
      <c r="K754" s="2">
        <v>6.43</v>
      </c>
      <c r="L754" s="2" t="s">
        <v>756</v>
      </c>
      <c r="M754" s="2" t="s">
        <v>724</v>
      </c>
      <c r="N754" s="2" t="s">
        <v>2842</v>
      </c>
      <c r="O754" s="56">
        <v>1204</v>
      </c>
      <c r="P754" s="2" t="s">
        <v>592</v>
      </c>
      <c r="Q754" s="2" t="s">
        <v>2843</v>
      </c>
      <c r="R754" s="2" t="s">
        <v>2844</v>
      </c>
      <c r="S754" s="2" t="s">
        <v>712</v>
      </c>
      <c r="T754" s="2" t="s">
        <v>1043</v>
      </c>
      <c r="U754" s="2" t="s">
        <v>1417</v>
      </c>
      <c r="V754" s="2" t="s">
        <v>2845</v>
      </c>
      <c r="W754" s="2" t="s">
        <v>2846</v>
      </c>
      <c r="X754" s="2" t="s">
        <v>2847</v>
      </c>
      <c r="Y754" s="2" t="s">
        <v>2848</v>
      </c>
      <c r="Z754" s="2" t="s">
        <v>580</v>
      </c>
      <c r="AA754" s="2" t="s">
        <v>548</v>
      </c>
      <c r="AB754" s="2" t="s">
        <v>2849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>IFERROR(O755/K755,)</f>
        <v>514.65428276573789</v>
      </c>
      <c r="J755" s="2" t="s">
        <v>2850</v>
      </c>
      <c r="K755" s="2">
        <v>9.69</v>
      </c>
      <c r="L755" s="2" t="s">
        <v>734</v>
      </c>
      <c r="M755" s="2" t="s">
        <v>2851</v>
      </c>
      <c r="N755" s="2" t="s">
        <v>2852</v>
      </c>
      <c r="O755" s="56">
        <v>4987</v>
      </c>
      <c r="P755" s="2" t="s">
        <v>2853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2854</v>
      </c>
      <c r="X755" s="2" t="s">
        <v>2855</v>
      </c>
      <c r="Y755" s="2" t="s">
        <v>2856</v>
      </c>
      <c r="Z755" s="2" t="s">
        <v>649</v>
      </c>
      <c r="AA755" s="2" t="s">
        <v>548</v>
      </c>
      <c r="AB755" s="2" t="s">
        <v>2857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 t="shared" si="1"/>
        <v>2142.8571428571427</v>
      </c>
      <c r="I756" s="6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2858</v>
      </c>
      <c r="N756" s="2" t="s">
        <v>2859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2860</v>
      </c>
      <c r="U756" s="2" t="s">
        <v>2059</v>
      </c>
      <c r="V756" s="2" t="s">
        <v>2861</v>
      </c>
      <c r="W756" s="2" t="s">
        <v>2862</v>
      </c>
      <c r="X756" s="2" t="s">
        <v>2863</v>
      </c>
      <c r="Y756" s="2" t="s">
        <v>2864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 t="shared" si="1"/>
        <v>2142.8571428571427</v>
      </c>
      <c r="I757" s="6">
        <f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2865</v>
      </c>
      <c r="N757" s="2" t="s">
        <v>2866</v>
      </c>
      <c r="O757" s="56">
        <v>5450</v>
      </c>
      <c r="P757" s="2" t="s">
        <v>2867</v>
      </c>
      <c r="Q757" s="2" t="s">
        <v>2868</v>
      </c>
      <c r="R757" s="2" t="s">
        <v>1278</v>
      </c>
      <c r="S757" s="2" t="s">
        <v>658</v>
      </c>
      <c r="T757" s="2" t="s">
        <v>1374</v>
      </c>
      <c r="U757" s="2" t="s">
        <v>2869</v>
      </c>
      <c r="V757" s="2" t="s">
        <v>2870</v>
      </c>
      <c r="W757" s="2" t="s">
        <v>2871</v>
      </c>
      <c r="X757" s="2" t="s">
        <v>2872</v>
      </c>
      <c r="Y757" s="2" t="s">
        <v>2873</v>
      </c>
      <c r="Z757" s="2" t="s">
        <v>649</v>
      </c>
      <c r="AA757" s="2" t="s">
        <v>548</v>
      </c>
      <c r="AB757" s="2" t="s">
        <v>2874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 t="shared" si="1"/>
        <v>2142.8571428571427</v>
      </c>
      <c r="I758" s="6">
        <f>IFERROR(O758/K758,)</f>
        <v>12.88659793814433</v>
      </c>
      <c r="J758" s="2" t="s">
        <v>2875</v>
      </c>
      <c r="K758" s="2">
        <v>7.76</v>
      </c>
      <c r="L758" s="2" t="s">
        <v>1595</v>
      </c>
      <c r="M758" s="2" t="s">
        <v>2876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2877</v>
      </c>
      <c r="V758" s="2" t="s">
        <v>2878</v>
      </c>
      <c r="W758" s="2" t="s">
        <v>2879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2880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>IFERROR(O759/K759,)</f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 t="shared" si="1"/>
        <v>2142.8571428571427</v>
      </c>
      <c r="I760" s="6">
        <f>IFERROR(O760/K760,)</f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2881</v>
      </c>
      <c r="O760" s="56">
        <v>1156</v>
      </c>
      <c r="P760" s="2" t="s">
        <v>2190</v>
      </c>
      <c r="Q760" s="2" t="s">
        <v>2882</v>
      </c>
      <c r="R760" s="2" t="s">
        <v>2883</v>
      </c>
      <c r="S760" s="2" t="s">
        <v>685</v>
      </c>
      <c r="T760" s="2" t="s">
        <v>2344</v>
      </c>
      <c r="U760" s="2" t="s">
        <v>1375</v>
      </c>
      <c r="V760" s="2" t="s">
        <v>2884</v>
      </c>
      <c r="W760" s="2" t="s">
        <v>2885</v>
      </c>
      <c r="X760" s="2" t="s">
        <v>2886</v>
      </c>
      <c r="Y760" s="2" t="s">
        <v>2887</v>
      </c>
      <c r="Z760" s="2" t="s">
        <v>636</v>
      </c>
      <c r="AA760" s="2" t="s">
        <v>548</v>
      </c>
      <c r="AB760" s="2" t="s">
        <v>2888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 t="shared" si="1"/>
        <v>2142.8571428571427</v>
      </c>
      <c r="I761" s="6">
        <f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2889</v>
      </c>
      <c r="Q761" s="2" t="s">
        <v>2890</v>
      </c>
      <c r="R761" s="2" t="s">
        <v>2827</v>
      </c>
      <c r="S761" s="2" t="s">
        <v>839</v>
      </c>
      <c r="T761" s="2" t="s">
        <v>685</v>
      </c>
      <c r="U761" s="2" t="s">
        <v>2891</v>
      </c>
      <c r="V761" s="2" t="s">
        <v>2477</v>
      </c>
      <c r="W761" s="2" t="s">
        <v>2892</v>
      </c>
      <c r="X761" s="2" t="s">
        <v>2893</v>
      </c>
      <c r="Y761" s="2" t="s">
        <v>2894</v>
      </c>
      <c r="Z761" s="2" t="s">
        <v>580</v>
      </c>
      <c r="AA761" s="2" t="s">
        <v>548</v>
      </c>
      <c r="AB761" s="2" t="s">
        <v>2895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 t="shared" si="1"/>
        <v>2142.8571428571427</v>
      </c>
      <c r="I762" s="6">
        <f>IFERROR(O762/K762,)</f>
        <v>242.7682737169518</v>
      </c>
      <c r="J762" s="2" t="s">
        <v>2841</v>
      </c>
      <c r="K762" s="2">
        <v>6.43</v>
      </c>
      <c r="L762" s="2" t="s">
        <v>756</v>
      </c>
      <c r="M762" s="2" t="s">
        <v>724</v>
      </c>
      <c r="N762" s="2" t="s">
        <v>2896</v>
      </c>
      <c r="O762" s="56">
        <v>1561</v>
      </c>
      <c r="P762" s="2" t="s">
        <v>627</v>
      </c>
      <c r="Q762" s="2" t="s">
        <v>2897</v>
      </c>
      <c r="R762" s="2" t="s">
        <v>2898</v>
      </c>
      <c r="S762" s="2" t="s">
        <v>839</v>
      </c>
      <c r="T762" s="2" t="s">
        <v>628</v>
      </c>
      <c r="U762" s="2" t="s">
        <v>2899</v>
      </c>
      <c r="V762" s="2" t="s">
        <v>2900</v>
      </c>
      <c r="W762" s="2" t="s">
        <v>2901</v>
      </c>
      <c r="X762" s="2" t="s">
        <v>2902</v>
      </c>
      <c r="Y762" s="2" t="s">
        <v>2903</v>
      </c>
      <c r="Z762" s="2" t="s">
        <v>580</v>
      </c>
      <c r="AA762" s="2" t="s">
        <v>548</v>
      </c>
      <c r="AB762" s="2" t="s">
        <v>2904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 t="shared" si="1"/>
        <v>2142.8571428571427</v>
      </c>
      <c r="I763" s="6">
        <f>IFERROR(O763/K763,)</f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2905</v>
      </c>
      <c r="O763" s="56">
        <f>1047-75</f>
        <v>972</v>
      </c>
      <c r="P763" s="2" t="s">
        <v>2906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2907</v>
      </c>
      <c r="W763" s="2" t="s">
        <v>2908</v>
      </c>
      <c r="X763" s="2" t="s">
        <v>2909</v>
      </c>
      <c r="Y763" s="2" t="s">
        <v>2910</v>
      </c>
      <c r="Z763" s="2" t="s">
        <v>800</v>
      </c>
      <c r="AA763" s="2" t="s">
        <v>548</v>
      </c>
      <c r="AB763" s="2" t="s">
        <v>2911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>IFERROR(O764/K764,)</f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2912</v>
      </c>
      <c r="O765" s="56">
        <v>3942</v>
      </c>
      <c r="P765" s="2" t="s">
        <v>2913</v>
      </c>
      <c r="Q765" s="2" t="s">
        <v>2914</v>
      </c>
      <c r="R765" s="2" t="s">
        <v>1889</v>
      </c>
      <c r="S765" s="2" t="s">
        <v>595</v>
      </c>
      <c r="T765" s="2" t="s">
        <v>737</v>
      </c>
      <c r="U765" s="2" t="s">
        <v>2915</v>
      </c>
      <c r="V765" s="2" t="s">
        <v>2916</v>
      </c>
      <c r="W765" s="2" t="s">
        <v>2917</v>
      </c>
      <c r="X765" s="2" t="s">
        <v>2918</v>
      </c>
      <c r="Y765" s="2" t="s">
        <v>2919</v>
      </c>
      <c r="Z765" s="2" t="s">
        <v>649</v>
      </c>
      <c r="AA765" s="2" t="s">
        <v>548</v>
      </c>
      <c r="AB765" s="2" t="s">
        <v>2920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 t="shared" si="1"/>
        <v>2142.8571428571427</v>
      </c>
      <c r="I766" s="6">
        <f>IFERROR(O766/K766,)</f>
        <v>0</v>
      </c>
      <c r="J766" s="2" t="s">
        <v>2921</v>
      </c>
      <c r="K766" s="2" t="s">
        <v>1227</v>
      </c>
      <c r="L766" s="2" t="s">
        <v>784</v>
      </c>
      <c r="M766" s="2" t="s">
        <v>2922</v>
      </c>
      <c r="N766" s="2" t="s">
        <v>2923</v>
      </c>
      <c r="O766" s="56">
        <v>1515</v>
      </c>
      <c r="P766" s="2" t="s">
        <v>2924</v>
      </c>
      <c r="Q766" s="2" t="s">
        <v>733</v>
      </c>
      <c r="R766" s="2" t="s">
        <v>2925</v>
      </c>
      <c r="S766" s="2" t="s">
        <v>902</v>
      </c>
      <c r="T766" s="2" t="s">
        <v>903</v>
      </c>
      <c r="U766" s="2" t="s">
        <v>629</v>
      </c>
      <c r="V766" s="2" t="s">
        <v>2926</v>
      </c>
      <c r="W766" s="2" t="s">
        <v>2927</v>
      </c>
      <c r="X766" s="2" t="s">
        <v>2928</v>
      </c>
      <c r="Y766" s="2" t="s">
        <v>2929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>IFERROR(O767/K767,)</f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2981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2982</v>
      </c>
      <c r="Y767" s="2" t="s">
        <v>2983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 t="shared" ref="H768:H774" si="2">15000/6</f>
        <v>2500</v>
      </c>
      <c r="I768" s="6">
        <f>IFERROR(O768/K768,)</f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2984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 t="shared" si="2"/>
        <v>2500</v>
      </c>
      <c r="I769" s="6">
        <f>IFERROR(O769/K769,)</f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2985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2986</v>
      </c>
      <c r="Y769" s="2" t="s">
        <v>2987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 t="shared" si="2"/>
        <v>2500</v>
      </c>
      <c r="I770" s="6">
        <f>IFERROR(O770/K770,)</f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2988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2989</v>
      </c>
      <c r="Y770" s="2" t="s">
        <v>2990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 t="shared" si="2"/>
        <v>2500</v>
      </c>
      <c r="I771" s="6">
        <f>IFERROR(O771/K771,)</f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2813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2991</v>
      </c>
      <c r="Y771" s="2" t="s">
        <v>2992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>IFERROR(O772/K772,)</f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2993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2994</v>
      </c>
      <c r="Y772" s="2" t="s">
        <v>2995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>IFERROR(O773/K773,)</f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2996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2997</v>
      </c>
      <c r="Y773" s="2" t="s">
        <v>2998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 t="shared" si="2"/>
        <v>2500</v>
      </c>
      <c r="I774" s="6">
        <f>IFERROR(O774/K774,)</f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2999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3000</v>
      </c>
      <c r="Y774" s="2" t="s">
        <v>3001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>IFERROR(O775/K775,)</f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3002</v>
      </c>
      <c r="Y775" s="2" t="s">
        <v>3003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>IFERROR(O776/K776,)</f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 t="shared" ref="H777:H783" si="3">15000/5</f>
        <v>3000</v>
      </c>
      <c r="I777" s="6">
        <f>IFERROR(O777/K777,)</f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3004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3005</v>
      </c>
      <c r="Y777" s="2" t="s">
        <v>3006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>IFERROR(O778/K778,)</f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>IFERROR(O779/K779,)</f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3009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3007</v>
      </c>
      <c r="Y779" s="2" t="s">
        <v>3008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 t="shared" si="3"/>
        <v>3000</v>
      </c>
      <c r="I780" s="6">
        <f>IFERROR(O780/K780,)</f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3010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3011</v>
      </c>
      <c r="Y780" s="2" t="s">
        <v>3012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>IFERROR(O781/K781,)</f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3015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3013</v>
      </c>
      <c r="Y781" s="2" t="s">
        <v>3014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>IFERROR(O782/K782,)</f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3019</v>
      </c>
      <c r="O782" s="79">
        <v>5749</v>
      </c>
      <c r="P782" s="2">
        <v>5.3</v>
      </c>
      <c r="Q782" s="2">
        <v>17.18</v>
      </c>
      <c r="R782" s="2" t="s">
        <v>3020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3021</v>
      </c>
      <c r="Y782" s="2" t="s">
        <v>3022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 t="shared" si="3"/>
        <v>3000</v>
      </c>
      <c r="I783" s="6">
        <f>IFERROR(O783/K783,)</f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3023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3024</v>
      </c>
      <c r="Y783" s="2" t="s">
        <v>3025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44"/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3002</v>
      </c>
      <c r="Y785" s="2" t="s">
        <v>3003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>IFERROR(O786/K786,)</f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>IFERROR(O787/K787,)</f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>IFERROR(O788/K788,)</f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3007</v>
      </c>
      <c r="Y788" s="2" t="s">
        <v>3008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>IFERROR(O789/K789,)</f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>IFERROR(O790/K790,)</f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3013</v>
      </c>
      <c r="Y790" s="2" t="s">
        <v>3014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>IFERROR(O791/K791,)</f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3016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3017</v>
      </c>
      <c r="Y791" s="2" t="s">
        <v>3018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>IFERROR(O792/K792,)</f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</sheetData>
  <autoFilter ref="A4:AB792" xr:uid="{00000000-0001-0000-0000-000000000000}">
    <sortState xmlns:xlrd2="http://schemas.microsoft.com/office/spreadsheetml/2017/richdata2" ref="A5:AB792">
      <sortCondition ref="A4:A792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R17" sqref="R17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2930</v>
      </c>
      <c r="R1" t="s">
        <v>2931</v>
      </c>
      <c r="S1" t="s">
        <v>2932</v>
      </c>
      <c r="T1" t="s">
        <v>2933</v>
      </c>
    </row>
    <row r="2" spans="1:20" x14ac:dyDescent="0.2">
      <c r="Q2" s="18" t="s">
        <v>1361</v>
      </c>
      <c r="R2" s="19">
        <v>8451</v>
      </c>
      <c r="S2" s="19">
        <v>24000</v>
      </c>
      <c r="T2" s="19">
        <v>6570</v>
      </c>
    </row>
    <row r="3" spans="1:20" x14ac:dyDescent="0.2">
      <c r="A3" s="9" t="s">
        <v>2930</v>
      </c>
      <c r="B3" s="15" t="s">
        <v>2932</v>
      </c>
      <c r="C3" s="15" t="s">
        <v>2931</v>
      </c>
      <c r="D3" t="s">
        <v>2934</v>
      </c>
      <c r="Q3" s="18" t="s">
        <v>1827</v>
      </c>
      <c r="R3" s="19">
        <v>21413</v>
      </c>
      <c r="S3" s="19">
        <v>24000</v>
      </c>
      <c r="T3" s="19">
        <v>17022</v>
      </c>
    </row>
    <row r="4" spans="1:20" x14ac:dyDescent="0.2">
      <c r="A4" s="10" t="s">
        <v>2681</v>
      </c>
      <c r="B4" s="15">
        <v>87857.142857142899</v>
      </c>
      <c r="C4" s="15">
        <v>70275</v>
      </c>
      <c r="D4" s="85">
        <v>35</v>
      </c>
      <c r="Q4" s="18" t="s">
        <v>2254</v>
      </c>
      <c r="R4" s="19">
        <v>23332</v>
      </c>
      <c r="S4" s="19">
        <v>23999.999999999996</v>
      </c>
      <c r="T4" s="19">
        <v>17642</v>
      </c>
    </row>
    <row r="5" spans="1:20" x14ac:dyDescent="0.2">
      <c r="A5" s="11" t="s">
        <v>47</v>
      </c>
      <c r="B5" s="15">
        <v>87857.142857142899</v>
      </c>
      <c r="C5" s="15">
        <v>70275</v>
      </c>
      <c r="D5" s="85">
        <v>35</v>
      </c>
      <c r="Q5" s="18" t="s">
        <v>2681</v>
      </c>
      <c r="R5" s="19">
        <v>37834</v>
      </c>
      <c r="S5" s="19">
        <v>23999.999999999996</v>
      </c>
      <c r="T5" s="19">
        <v>29549</v>
      </c>
    </row>
    <row r="6" spans="1:20" x14ac:dyDescent="0.2">
      <c r="A6" s="12">
        <v>46242</v>
      </c>
      <c r="B6" s="15">
        <v>15000</v>
      </c>
      <c r="C6" s="15">
        <v>9967</v>
      </c>
      <c r="D6" s="85">
        <v>4</v>
      </c>
      <c r="Q6" s="18" t="s">
        <v>2935</v>
      </c>
      <c r="R6" s="19">
        <v>91030</v>
      </c>
      <c r="S6" s="19">
        <v>96000</v>
      </c>
      <c r="T6" s="19">
        <v>70783</v>
      </c>
    </row>
    <row r="7" spans="1:20" x14ac:dyDescent="0.2">
      <c r="A7" s="12">
        <v>46241</v>
      </c>
      <c r="B7" s="15">
        <v>15000</v>
      </c>
      <c r="C7" s="15">
        <v>13601</v>
      </c>
      <c r="D7" s="85">
        <v>6</v>
      </c>
    </row>
    <row r="8" spans="1:20" x14ac:dyDescent="0.2">
      <c r="A8" s="12">
        <v>46240</v>
      </c>
      <c r="B8" s="15">
        <v>15000</v>
      </c>
      <c r="C8" s="15">
        <v>12983</v>
      </c>
      <c r="D8" s="85">
        <v>7</v>
      </c>
    </row>
    <row r="9" spans="1:20" x14ac:dyDescent="0.2">
      <c r="A9" s="12">
        <v>46239</v>
      </c>
      <c r="B9" s="15">
        <v>15000</v>
      </c>
      <c r="C9" s="15">
        <v>13036</v>
      </c>
      <c r="D9" s="85">
        <v>7</v>
      </c>
    </row>
    <row r="10" spans="1:20" x14ac:dyDescent="0.2">
      <c r="A10" s="12">
        <v>46238</v>
      </c>
      <c r="B10" s="15">
        <v>15000</v>
      </c>
      <c r="C10" s="15">
        <v>10698</v>
      </c>
      <c r="D10" s="85">
        <v>5</v>
      </c>
    </row>
    <row r="11" spans="1:20" x14ac:dyDescent="0.2">
      <c r="A11" s="12">
        <v>46237</v>
      </c>
      <c r="B11" s="15">
        <v>12857.142857142857</v>
      </c>
      <c r="C11" s="15">
        <v>9990</v>
      </c>
      <c r="D11" s="85">
        <v>6</v>
      </c>
    </row>
    <row r="12" spans="1:20" hidden="1" x14ac:dyDescent="0.2">
      <c r="A12" s="10" t="s">
        <v>2935</v>
      </c>
      <c r="B12" s="15">
        <v>87857.142857142899</v>
      </c>
      <c r="C12" s="15">
        <v>70275</v>
      </c>
      <c r="D12" s="85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2930</v>
      </c>
      <c r="B3" t="s">
        <v>2932</v>
      </c>
      <c r="C3" t="s">
        <v>2936</v>
      </c>
      <c r="O3" s="9" t="s">
        <v>2930</v>
      </c>
      <c r="P3" t="s">
        <v>2932</v>
      </c>
      <c r="Q3" t="s">
        <v>2936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 s="85">
        <v>12</v>
      </c>
      <c r="Q4" s="85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 s="85">
        <v>12</v>
      </c>
      <c r="Q5" s="8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 s="85">
        <v>12</v>
      </c>
      <c r="Q6" s="85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 s="85">
        <v>12</v>
      </c>
      <c r="Q7" s="85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2937</v>
      </c>
      <c r="P8" s="85"/>
      <c r="Q8" s="85"/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2935</v>
      </c>
      <c r="P9" s="85">
        <v>48</v>
      </c>
      <c r="Q9" s="85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2935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2938</v>
      </c>
      <c r="G3" s="17" t="s">
        <v>2939</v>
      </c>
      <c r="H3" s="17" t="s">
        <v>2940</v>
      </c>
      <c r="I3" s="17" t="s">
        <v>2941</v>
      </c>
      <c r="J3" s="17" t="s">
        <v>2942</v>
      </c>
      <c r="K3" s="17" t="s">
        <v>2943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2944</v>
      </c>
    </row>
    <row r="5" spans="6:11" x14ac:dyDescent="0.2">
      <c r="F5" s="17">
        <v>116</v>
      </c>
      <c r="H5" s="17">
        <v>110</v>
      </c>
      <c r="J5" s="17" t="s">
        <v>2945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2946</v>
      </c>
    </row>
    <row r="3" spans="1:17" x14ac:dyDescent="0.2">
      <c r="A3" s="25" t="s">
        <v>7</v>
      </c>
      <c r="B3" s="25" t="s">
        <v>2947</v>
      </c>
      <c r="C3" s="25" t="s">
        <v>2948</v>
      </c>
      <c r="D3" s="25" t="s">
        <v>2949</v>
      </c>
      <c r="E3" s="25" t="s">
        <v>2950</v>
      </c>
      <c r="F3" s="25" t="s">
        <v>2951</v>
      </c>
      <c r="H3" s="22" t="s">
        <v>2951</v>
      </c>
      <c r="I3" s="22" t="s">
        <v>2947</v>
      </c>
      <c r="J3" s="22" t="s">
        <v>2948</v>
      </c>
      <c r="K3" s="22" t="s">
        <v>2950</v>
      </c>
      <c r="L3" s="22" t="s">
        <v>2952</v>
      </c>
      <c r="M3" s="25" t="s">
        <v>2953</v>
      </c>
      <c r="O3" s="25" t="s">
        <v>7</v>
      </c>
      <c r="P3" s="25" t="s">
        <v>2950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2954</v>
      </c>
      <c r="H4" s="28" t="s">
        <v>2954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2954</v>
      </c>
      <c r="H5" s="28" t="s">
        <v>2955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2954</v>
      </c>
      <c r="H6" s="28" t="s">
        <v>2956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2954</v>
      </c>
      <c r="H7" s="28" t="s">
        <v>2957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2954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2954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2954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2954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2954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2954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2955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2955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2955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2955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2955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2955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2955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2956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2956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2956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2956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2956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2956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2956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2956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2956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2956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2956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2956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2956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2957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2957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2957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2957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2957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2957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2957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2957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2957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2957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2957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2957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2957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2957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2957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2957</v>
      </c>
    </row>
    <row r="50" spans="1:6" x14ac:dyDescent="0.2">
      <c r="A50" s="84" t="s">
        <v>2958</v>
      </c>
      <c r="B50" s="84"/>
      <c r="C50" s="84"/>
      <c r="E50" s="23">
        <f>SUM(E4:E49)</f>
        <v>12900</v>
      </c>
    </row>
    <row r="56" spans="1:6" ht="15.75" x14ac:dyDescent="0.25">
      <c r="A56" s="34" t="s">
        <v>2959</v>
      </c>
    </row>
    <row r="57" spans="1:6" ht="25.5" x14ac:dyDescent="0.2">
      <c r="A57" s="35" t="s">
        <v>2960</v>
      </c>
      <c r="B57" s="36" t="s">
        <v>2961</v>
      </c>
      <c r="C57" s="36" t="s">
        <v>2962</v>
      </c>
      <c r="D57" s="36" t="s">
        <v>2963</v>
      </c>
    </row>
    <row r="58" spans="1:6" x14ac:dyDescent="0.2">
      <c r="A58" s="40" t="s">
        <v>2964</v>
      </c>
      <c r="B58" s="37">
        <v>108384.01</v>
      </c>
      <c r="C58" s="37"/>
      <c r="D58" s="37">
        <v>108384.01</v>
      </c>
    </row>
    <row r="59" spans="1:6" x14ac:dyDescent="0.2">
      <c r="A59" s="40" t="s">
        <v>2965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2966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2967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2968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2969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2970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2971</v>
      </c>
      <c r="B65" s="37">
        <v>23860.793000000001</v>
      </c>
      <c r="C65" s="37"/>
      <c r="D65" s="37"/>
    </row>
    <row r="66" spans="1:4" x14ac:dyDescent="0.2">
      <c r="A66" s="40" t="s">
        <v>2972</v>
      </c>
      <c r="B66" s="37">
        <v>1344.431</v>
      </c>
      <c r="C66" s="37"/>
      <c r="D66" s="37"/>
    </row>
    <row r="67" spans="1:4" x14ac:dyDescent="0.2">
      <c r="A67" s="38" t="s">
        <v>2958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2973</v>
      </c>
      <c r="E2" s="48" t="s">
        <v>2974</v>
      </c>
      <c r="F2" s="48" t="s">
        <v>2975</v>
      </c>
      <c r="G2" s="48" t="s">
        <v>2976</v>
      </c>
      <c r="H2" s="48" t="s">
        <v>2977</v>
      </c>
      <c r="I2" s="48" t="s">
        <v>2978</v>
      </c>
      <c r="J2" s="48" t="s">
        <v>2979</v>
      </c>
      <c r="K2" s="48" t="s">
        <v>2980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2026-08-10T17:26:19Z</dcterms:modified>
  <cp:category/>
  <cp:contentStatus/>
</cp:coreProperties>
</file>