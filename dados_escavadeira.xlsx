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885" documentId="8_{CE5C6F22-4BE2-41D0-BCDC-905D26C0C4E3}" xr6:coauthVersionLast="47" xr6:coauthVersionMax="47" xr10:uidLastSave="{0BC9D2A9-4D5B-469D-890A-284A2CF55AE4}"/>
  <bookViews>
    <workbookView xWindow="-120" yWindow="-120" windowWidth="20730" windowHeight="11040" tabRatio="678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7" r:id="rId9"/>
    <pivotCache cacheId="12" r:id="rId10"/>
    <pivotCache cacheId="18" r:id="rId11"/>
    <pivotCache cacheId="24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75" i="1" l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<sst xmlns="http://schemas.openxmlformats.org/spreadsheetml/2006/main" count="12122" uniqueCount="3388">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</sst>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103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10519</c:v>
                </c:pt>
                <c:pt idx="1">
                  <c:v>12007</c:v>
                </c:pt>
                <c:pt idx="2">
                  <c:v>14016</c:v>
                </c:pt>
                <c:pt idx="3">
                  <c:v>12976</c:v>
                </c:pt>
                <c:pt idx="4">
                  <c:v>12332</c:v>
                </c:pt>
                <c:pt idx="5">
                  <c:v>14761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3"/>
              <c:layout>
                <c:manualLayout>
                  <c:x val="-2.9045643153526972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BAB789-0592-4EE8-B90A-7B7D224A38A2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 w="25400" cap="flat" cmpd="sng" algn="ctr">
                  <a:solidFill>
                    <a:srgbClr val="00B050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37834</c:v>
                </c:pt>
                <c:pt idx="1">
                  <c:v>28356</c:v>
                </c:pt>
                <c:pt idx="2">
                  <c:v>7965</c:v>
                </c:pt>
                <c:pt idx="3">
                  <c:v>24352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29549</c:v>
                </c:pt>
                <c:pt idx="1">
                  <c:v>24262</c:v>
                </c:pt>
                <c:pt idx="2">
                  <c:v>7087</c:v>
                </c:pt>
                <c:pt idx="3">
                  <c:v>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15740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38888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85184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24305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showAll="0" sortType="ascending">
      <items count="20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sd="0" x="14"/>
        <item sd="0" x="15"/>
        <item sd="0" x="16"/>
        <item sd="0" x="17"/>
        <item h="1" x="18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101">
      <pivotArea outline="0" collapsedLevelsAreSubtotals="1" fieldPosition="0"/>
    </format>
    <format dxfId="100">
      <pivotArea dataOnly="0" labelOnly="1" fieldPosition="0">
        <references count="1">
          <reference field="1" count="0"/>
        </references>
      </pivotArea>
    </format>
    <format dxfId="99">
      <pivotArea dataOnly="0" labelOnly="1" grandRow="1" outline="0" fieldPosition="0"/>
    </format>
    <format dxfId="98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97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96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1"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1">
        <item h="1" sd="0" x="1"/>
        <item h="1" m="1" x="19"/>
        <item h="1" sd="0" x="0"/>
        <item h="1" x="18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x="17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9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102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15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 s="1"/>
        <i x="19" nd="1"/>
        <i x="1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 s="1"/>
        <i x="16" s="1"/>
        <i x="17" s="1"/>
        <i x="1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tabSelected="1" view="pageBreakPreview" topLeftCell="A2" zoomScaleNormal="100" zoomScaleSheetLayoutView="100" workbookViewId="0">
      <selection activeCell="R8" sqref="R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46258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35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60" zoomScaleNormal="100" workbookViewId="0">
      <selection activeCell="T20" sqref="T2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zoomScaleNormal="100" workbookViewId="0">
      <pane ySplit="4" topLeftCell="A965" activePane="bottomLeft" state="frozen"/>
      <selection pane="bottomLeft" activeCell="H975" sqref="H97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6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M1" zoomScale="90" zoomScaleNormal="90" workbookViewId="0">
      <selection activeCell="Q19" sqref="Q19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3337</v>
      </c>
      <c r="R1" t="s">
        <v>3338</v>
      </c>
      <c r="S1" t="s">
        <v>3339</v>
      </c>
      <c r="T1" t="s">
        <v>3340</v>
      </c>
    </row>
    <row r="2" spans="1:20" x14ac:dyDescent="0.2">
      <c r="Q2" s="18" t="s">
        <v>2681</v>
      </c>
      <c r="R2" s="19">
        <v>37834</v>
      </c>
      <c r="S2" s="19">
        <v>23999.999999999996</v>
      </c>
      <c r="T2" s="19">
        <v>29549</v>
      </c>
    </row>
    <row r="3" spans="1:20" x14ac:dyDescent="0.2">
      <c r="A3" s="9" t="s">
        <v>3337</v>
      </c>
      <c r="B3" s="15" t="s">
        <v>3339</v>
      </c>
      <c r="C3" s="15" t="s">
        <v>3338</v>
      </c>
      <c r="D3" t="s">
        <v>3341</v>
      </c>
      <c r="Q3" s="18" t="s">
        <v>2974</v>
      </c>
      <c r="R3" s="19">
        <v>28356</v>
      </c>
      <c r="S3" s="19">
        <v>24000</v>
      </c>
      <c r="T3" s="19">
        <v>24262</v>
      </c>
    </row>
    <row r="4" spans="1:20" x14ac:dyDescent="0.2">
      <c r="A4" s="10" t="s">
        <v>3213</v>
      </c>
      <c r="B4" s="15">
        <v>90000.000000000015</v>
      </c>
      <c r="C4" s="15">
        <v>76611</v>
      </c>
      <c r="D4" s="85">
        <v>36</v>
      </c>
      <c r="Q4" s="18" t="s">
        <v>3094</v>
      </c>
      <c r="R4" s="19">
        <v>7965</v>
      </c>
      <c r="S4" s="19">
        <v>24000</v>
      </c>
      <c r="T4" s="19">
        <v>7087</v>
      </c>
    </row>
    <row r="5" spans="1:20" x14ac:dyDescent="0.2">
      <c r="A5" s="11" t="s">
        <v>47</v>
      </c>
      <c r="B5" s="15">
        <v>90000.000000000015</v>
      </c>
      <c r="C5" s="15">
        <v>76611</v>
      </c>
      <c r="D5" s="85">
        <v>36</v>
      </c>
      <c r="Q5" s="18" t="s">
        <v>3213</v>
      </c>
      <c r="R5" s="19">
        <v>24352</v>
      </c>
      <c r="S5" s="19">
        <v>24000</v>
      </c>
      <c r="T5" s="19">
        <v>18061</v>
      </c>
    </row>
    <row r="6" spans="1:20" x14ac:dyDescent="0.2">
      <c r="A6" s="12">
        <v>46263</v>
      </c>
      <c r="B6" s="15">
        <v>15000</v>
      </c>
      <c r="C6" s="15">
        <v>10519</v>
      </c>
      <c r="D6" s="85">
        <v>6</v>
      </c>
      <c r="Q6" s="18" t="s">
        <v>3342</v>
      </c>
      <c r="R6" s="19">
        <v>98507</v>
      </c>
      <c r="S6" s="19">
        <v>96000</v>
      </c>
      <c r="T6" s="19">
        <v>78959</v>
      </c>
    </row>
    <row r="7" spans="1:20" x14ac:dyDescent="0.2">
      <c r="A7" s="12">
        <v>46262</v>
      </c>
      <c r="B7" s="15">
        <v>15000</v>
      </c>
      <c r="C7" s="15">
        <v>12007</v>
      </c>
      <c r="D7" s="85">
        <v>6</v>
      </c>
    </row>
    <row r="8" spans="1:20" x14ac:dyDescent="0.2">
      <c r="A8" s="12">
        <v>46261</v>
      </c>
      <c r="B8" s="15">
        <v>15000</v>
      </c>
      <c r="C8" s="15">
        <v>14016</v>
      </c>
      <c r="D8" s="85">
        <v>6</v>
      </c>
    </row>
    <row r="9" spans="1:20" x14ac:dyDescent="0.2">
      <c r="A9" s="12">
        <v>46260</v>
      </c>
      <c r="B9" s="15">
        <v>15000</v>
      </c>
      <c r="C9" s="15">
        <v>12976</v>
      </c>
      <c r="D9" s="85">
        <v>6</v>
      </c>
    </row>
    <row r="10" spans="1:20" x14ac:dyDescent="0.2">
      <c r="A10" s="12">
        <v>46259</v>
      </c>
      <c r="B10" s="15">
        <v>15000</v>
      </c>
      <c r="C10" s="15">
        <v>12332</v>
      </c>
      <c r="D10" s="85">
        <v>5</v>
      </c>
    </row>
    <row r="11" spans="1:20" x14ac:dyDescent="0.2">
      <c r="A11" s="12">
        <v>46258</v>
      </c>
      <c r="B11" s="15">
        <v>15000</v>
      </c>
      <c r="C11" s="15">
        <v>14761</v>
      </c>
      <c r="D11" s="85">
        <v>7</v>
      </c>
    </row>
    <row r="12" spans="1:20" hidden="1" x14ac:dyDescent="0.2">
      <c r="A12" s="10" t="s">
        <v>3342</v>
      </c>
      <c r="B12" s="15">
        <v>90000.000000000015</v>
      </c>
      <c r="C12" s="15">
        <v>76611</v>
      </c>
      <c r="D12" s="85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3337</v>
      </c>
      <c r="B3" t="s">
        <v>3339</v>
      </c>
      <c r="C3" t="s">
        <v>3343</v>
      </c>
      <c r="O3" s="9" t="s">
        <v>3337</v>
      </c>
      <c r="P3" t="s">
        <v>3339</v>
      </c>
      <c r="Q3" t="s">
        <v>3343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5">
        <v>12</v>
      </c>
      <c r="Q4" s="85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5">
        <v>12</v>
      </c>
      <c r="Q5" s="8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5">
        <v>12</v>
      </c>
      <c r="Q6" s="85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5">
        <v>12</v>
      </c>
      <c r="Q7" s="85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3344</v>
      </c>
      <c r="P8" s="85"/>
      <c r="Q8" s="85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3342</v>
      </c>
      <c r="P9" s="85">
        <v>48</v>
      </c>
      <c r="Q9" s="85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3342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3345</v>
      </c>
      <c r="G3" s="17" t="s">
        <v>3346</v>
      </c>
      <c r="H3" s="17" t="s">
        <v>3347</v>
      </c>
      <c r="I3" s="17" t="s">
        <v>3348</v>
      </c>
      <c r="J3" s="17" t="s">
        <v>3349</v>
      </c>
      <c r="K3" s="17" t="s">
        <v>3350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3351</v>
      </c>
    </row>
    <row r="5" spans="6:11" x14ac:dyDescent="0.2">
      <c r="F5" s="17">
        <v>116</v>
      </c>
      <c r="H5" s="17">
        <v>110</v>
      </c>
      <c r="J5" s="17" t="s">
        <v>3352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3353</v>
      </c>
    </row>
    <row r="3" spans="1:17" x14ac:dyDescent="0.2">
      <c r="A3" s="25" t="s">
        <v>7</v>
      </c>
      <c r="B3" s="25" t="s">
        <v>3354</v>
      </c>
      <c r="C3" s="25" t="s">
        <v>3355</v>
      </c>
      <c r="D3" s="25" t="s">
        <v>3356</v>
      </c>
      <c r="E3" s="25" t="s">
        <v>3357</v>
      </c>
      <c r="F3" s="25" t="s">
        <v>3358</v>
      </c>
      <c r="H3" s="22" t="s">
        <v>3358</v>
      </c>
      <c r="I3" s="22" t="s">
        <v>3354</v>
      </c>
      <c r="J3" s="22" t="s">
        <v>3355</v>
      </c>
      <c r="K3" s="22" t="s">
        <v>3357</v>
      </c>
      <c r="L3" s="22" t="s">
        <v>3359</v>
      </c>
      <c r="M3" s="25" t="s">
        <v>3360</v>
      </c>
      <c r="O3" s="25" t="s">
        <v>7</v>
      </c>
      <c r="P3" s="25" t="s">
        <v>3357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3361</v>
      </c>
      <c r="H4" s="28" t="s">
        <v>3361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3361</v>
      </c>
      <c r="H5" s="28" t="s">
        <v>3362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3361</v>
      </c>
      <c r="H6" s="28" t="s">
        <v>3363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3361</v>
      </c>
      <c r="H7" s="28" t="s">
        <v>3364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3361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3361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3361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3361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3361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3361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3362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3362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3362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3362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3362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3362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3362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3363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3363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3363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3363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3363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3363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3363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3363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3363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3363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3363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3363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3363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3364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3364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3364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3364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3364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3364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3364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3364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3364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3364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3364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3364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3364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3364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3364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3364</v>
      </c>
    </row>
    <row r="50" spans="1:6" x14ac:dyDescent="0.2">
      <c r="A50" s="84" t="s">
        <v>3365</v>
      </c>
      <c r="B50" s="84"/>
      <c r="C50" s="84"/>
      <c r="E50" s="23">
        <f>SUM(E4:E49)</f>
        <v>12900</v>
      </c>
    </row>
    <row r="56" spans="1:6" ht="15.75" x14ac:dyDescent="0.25">
      <c r="A56" s="34" t="s">
        <v>3366</v>
      </c>
    </row>
    <row r="57" spans="1:6" ht="25.5" x14ac:dyDescent="0.2">
      <c r="A57" s="35" t="s">
        <v>3367</v>
      </c>
      <c r="B57" s="36" t="s">
        <v>3368</v>
      </c>
      <c r="C57" s="36" t="s">
        <v>3369</v>
      </c>
      <c r="D57" s="36" t="s">
        <v>3370</v>
      </c>
    </row>
    <row r="58" spans="1:6" x14ac:dyDescent="0.2">
      <c r="A58" s="40" t="s">
        <v>3371</v>
      </c>
      <c r="B58" s="37">
        <v>108384.01</v>
      </c>
      <c r="C58" s="37"/>
      <c r="D58" s="37">
        <v>108384.01</v>
      </c>
    </row>
    <row r="59" spans="1:6" x14ac:dyDescent="0.2">
      <c r="A59" s="40" t="s">
        <v>3372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3373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3374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3375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3376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3377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3378</v>
      </c>
      <c r="B65" s="37">
        <v>23860.793000000001</v>
      </c>
      <c r="C65" s="37"/>
      <c r="D65" s="37"/>
    </row>
    <row r="66" spans="1:4" x14ac:dyDescent="0.2">
      <c r="A66" s="40" t="s">
        <v>3379</v>
      </c>
      <c r="B66" s="37">
        <v>1344.431</v>
      </c>
      <c r="C66" s="37"/>
      <c r="D66" s="37"/>
    </row>
    <row r="67" spans="1:4" x14ac:dyDescent="0.2">
      <c r="A67" s="38" t="s">
        <v>3365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3380</v>
      </c>
      <c r="E2" s="48" t="s">
        <v>3381</v>
      </c>
      <c r="F2" s="48" t="s">
        <v>3382</v>
      </c>
      <c r="G2" s="48" t="s">
        <v>3383</v>
      </c>
      <c r="H2" s="48" t="s">
        <v>3384</v>
      </c>
      <c r="I2" s="48" t="s">
        <v>3385</v>
      </c>
      <c r="J2" s="48" t="s">
        <v>3386</v>
      </c>
      <c r="K2" s="48" t="s">
        <v>3387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2026-08-31T19:43:58Z</cp:lastPrinted>
  <dcterms:created xsi:type="dcterms:W3CDTF">2026-05-12T12:10:54Z</dcterms:created>
  <dcterms:modified xsi:type="dcterms:W3CDTF">2026-08-31T19:44:02Z</dcterms:modified>
  <cp:category/>
  <cp:contentStatus/>
</cp:coreProperties>
</file>