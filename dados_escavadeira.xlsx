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190" documentId="8_{CE5C6F22-4BE2-41D0-BCDC-905D26C0C4E3}" xr6:coauthVersionLast="47" xr6:coauthVersionMax="47" xr10:uidLastSave="{68A73471-CF51-48F0-B75B-FBA9D54F9BA0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BD!$A$4:$AB$731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8" i="1" l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3" i="1"/>
  <c r="I734" i="1"/>
  <c r="O733" i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H730" i="1"/>
  <c r="H713" i="1"/>
  <c r="H722" i="1"/>
  <c r="H703" i="1"/>
  <c r="H694" i="1"/>
  <c r="H686" i="1"/>
  <c r="H678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<sst xmlns="http://schemas.openxmlformats.org/spreadsheetml/2006/main" count="9575" uniqueCount="2854">
  <si>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</si>
  <si>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</si>
  <si>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</si>
  <si>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</si>
  <si>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</si>
  <si>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</si>
  <si>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</si>
  <si>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</si>
  <si>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</si>
  <si>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</si>
  <si>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</si>
  <si>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</si>
  <si>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</si>
  <si>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</si>
  <si>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</si>
  <si>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</si>
  <si>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</si>
  <si>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</si>
  <si>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</si>
  <si>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</si>
  <si>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</si>
  <si>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</si>
  <si>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</si>
  <si>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</si>
  <si>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</si>
  <si>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</si>
  <si>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</si>
  <si>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</si>
  <si>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</si>
  <si>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</si>
  <si>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</si>
  <si>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</si>
  <si>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</si>
  <si>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</si>
  <si>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</si>
  <si>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</si>
  <si>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</si>
  <si>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</si>
  <si>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</si>
  <si>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</si>
  <si>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</si>
  <si>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</si>
  <si>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</si>
  <si>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</si>
  <si>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</si>
  <si>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</si>
  <si>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</si>
  <si>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</si>
  <si>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</si>
  <si>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</si>
  <si>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</si>
  <si>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</si>
  <si>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</si>
  <si>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</si>
  <si>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</si>
  <si>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</si>
  <si>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</si>
  <si>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</si>
  <si>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</si>
  <si>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</si>
  <si>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</si>
  <si>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</si>
  <si>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</si>
  <si>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</si>
  <si>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</si>
  <si>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</si>
  <si>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</si>
  <si>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</si>
  <si>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</si>
  <si>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</si>
  <si>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</si>
  <si>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</si>
  <si>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</si>
  <si>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</si>
  <si>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</si>
  <si>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</si>
  <si>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</si>
  <si>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</si>
  <si>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</si>
  <si>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</si>
  <si>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</si>
  <si>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</si>
  <si>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</si>
  <si>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</si>
  <si>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</si>
  <si>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</si>
  <si>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</si>
  <si>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</si>
  <si>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</si>
  <si>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</si>
  <si>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</si>
  <si>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</si>
  <si>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</si>
  <si>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</si>
  <si>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</si>
  <si>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</si>
  <si>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</si>
  <si>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</si>
  <si>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</si>
  <si>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</si>
  <si>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</si>
  <si>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</si>
  <si>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</si>
  <si>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</si>
  <si>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</si>
  <si>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</si>
  <si>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</si>
  <si>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</si>
  <si>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</si>
  <si>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</si>
  <si>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</si>
  <si>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</si>
  <si>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</si>
  <si>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</si>
  <si>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</si>
  <si>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</si>
  <si>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</si>
  <si>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</si>
  <si>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</si>
  <si>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</si>
  <si>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</si>
  <si>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</si>
  <si>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</si>
  <si>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</si>
  <si>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</si>
  <si>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</si>
  <si>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</si>
  <si>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</si>
  <si>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</si>
  <si>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</si>
  <si>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</si>
  <si>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</si>
  <si>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</si>
  <si>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</si>
  <si>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</si>
  <si>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</si>
  <si>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</si>
  <si>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</si>
  <si>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</si>
  <si>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</si>
  <si>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</si>
  <si>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</si>
  <si>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</si>
  <si>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</si>
  <si>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</si>
  <si>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</si>
  <si>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</si>
  <si>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</si>
  <si>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</si>
  <si>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</si>
  <si>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</si>
  <si>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</si>
  <si>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</si>
  <si>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</si>
  <si>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</si>
  <si>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</si>
  <si>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</si>
  <si>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</si>
  <si>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</si>
  <si>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</si>
  <si>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</si>
  <si>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</si>
  <si>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</si>
  <si>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</si>
  <si>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</si>
  <si>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</si>
  <si>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</si>
  <si>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</si>
  <si>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</si>
  <si>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</si>
  <si>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</si>
  <si>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</si>
  <si>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</si>
  <si>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</si>
  <si>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</si>
  <si>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</si>
  <si>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</si>
  <si>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</si>
  <si>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</si>
  <si>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</si>
  <si>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</si>
  <si>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</si>
  <si>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</si>
  <si>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</si>
  <si>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</si>
  <si>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</si>
  <si>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</si>
  <si>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</si>
  <si>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</si>
  <si>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</si>
  <si>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</si>
  <si>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</si>
  <si>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</si>
  <si>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</si>
  <si>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</si>
  <si>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</si>
  <si>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</si>
  <si>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</si>
  <si>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</si>
  <si>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</si>
  <si>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</si>
  <si>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</si>
  <si>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</si>
  <si>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</si>
  <si>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</si>
  <si>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</si>
  <si>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</si>
  <si>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</si>
  <si>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</si>
  <si>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</si>
  <si>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</si>
  <si>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</si>
  <si>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</si>
  <si>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</si>
  <si>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</si>
  <si>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</si>
  <si>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</si>
  <si>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</si>
  <si>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</si>
  <si>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</si>
  <si>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</si>
  <si>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</si>
  <si>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</si>
  <si>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</si>
  <si>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</si>
  <si>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</si>
  <si>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</si>
  <si>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</si>
  <si>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</si>
  <si>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</si>
  <si>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</si>
  <si>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</si>
  <si>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</si>
  <si>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</si>
  <si>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</si>
  <si>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</si>
  <si>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</si>
  <si>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</si>
  <si>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</si>
  <si>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</si>
  <si>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</si>
  <si>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</si>
  <si>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</si>
  <si>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</si>
  <si>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</si>
  <si>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</si>
  <si>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</si>
  <si>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</si>
  <si>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</si>
  <si>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</si>
  <si>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</si>
  <si>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</si>
  <si>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</si>
  <si>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</si>
  <si>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</si>
  <si>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</si>
  <si>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</si>
  <si>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</si>
  <si>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</si>
  <si>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</si>
  <si>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</si>
  <si>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</si>
  <si>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</si>
  <si>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</si>
  <si>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</si>
  <si>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</si>
  <si>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</si>
  <si>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</si>
  <si>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</si>
  <si>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</si>
  <si>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</si>
  <si>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</si>
  <si>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</si>
  <si>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</si>
  <si>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</si>
  <si>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</si>
  <si>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</si>
  <si>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</si>
  <si>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</si>
  <si>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</si>
  <si>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</si>
  <si>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</si>
  <si>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</si>
  <si>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</si>
  <si>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</si>
  <si>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</si>
  <si>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</si>
  <si>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</si>
  <si>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</si>
  <si>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</si>
  <si>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</si>
  <si>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</si>
  <si>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</si>
  <si>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</si>
  <si>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</si>
  <si>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</si>
  <si>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</si>
  <si>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</si>
  <si>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</si>
  <si>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</si>
  <si>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</si>
  <si>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</si>
  <si>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</si>
  <si>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</si>
  <si>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</si>
  <si>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</si>
  <si>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</si>
  <si>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</si>
  <si>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</si>
  <si>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</si>
  <si>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</si>
  <si>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</si>
  <si>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</si>
  <si>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</si>
  <si>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</si>
  <si>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</si>
  <si>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</si>
  <si>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</si>
  <si>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</si>
  <si>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</si>
  <si>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</si>
  <si>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</si>
  <si>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</si>
  <si>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</si>
  <si>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</si>
  <si>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</si>
  <si>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</si>
  <si>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</si>
  <si>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</si>
  <si>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</si>
  <si>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</si>
  <si>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</si>
  <si>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</si>
  <si>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</si>
  <si>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</si>
  <si>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</si>
  <si>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</si>
  <si>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</si>
  <si>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</si>
  <si>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</si>
  <si>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</si>
  <si>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</si>
  <si>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</si>
  <si>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</si>
  <si>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</si>
  <si>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</si>
  <si>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</si>
  <si>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</si>
  <si>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</si>
  <si>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</si>
  <si>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</si>
  <si>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</si>
  <si>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</si>
  <si>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</si>
  <si>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</si>
  <si>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</si>
  <si>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</si>
  <si>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</si>
  <si>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</si>
  <si>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</si>
  <si>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</si>
  <si>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</si>
  <si>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</si>
  <si>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</si>
  <si>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</si>
  <si>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</si>
  <si>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</si>
  <si>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</si>
  <si>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</si>
  <si>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</si>
  <si>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</si>
  <si>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</si>
  <si>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</si>
  <si>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</si>
  <si>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</si>
  <si>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</si>
  <si>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</si>
  <si>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</si>
  <si>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</si>
  <si>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</si>
  <si>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</si>
  <si>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</si>
  <si>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</si>
  <si>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</si>
  <si>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</si>
  <si>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</si>
  <si>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</si>
  <si>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</si>
  <si>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</si>
  <si>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</si>
  <si>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</si>
  <si>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</si>
  <si>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</si>
  <si>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</si>
  <si>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</si>
  <si>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</si>
  <si>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</si>
  <si>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</si>
  <si>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</si>
  <si>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</si>
  <si>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</si>
  <si>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</si>
  <si>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</si>
  <si>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</si>
  <si>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</si>
  <si>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</si>
  <si>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</si>
  <si>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</si>
  <si>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</si>
  <si>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</si>
  <si>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</si>
  <si>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</si>
  <si>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</si>
  <si>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</si>
  <si>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</si>
  <si>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</si>
  <si>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</si>
  <si>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</si>
  <si>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</si>
  <si>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</si>
  <si>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</si>
  <si>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</si>
  <si>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</si>
  <si>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</si>
  <si>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</si>
  <si>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</si>
  <si>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</si>
  <si>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</si>
  <si>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</si>
  <si>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</si>
  <si>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</si>
  <si>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</si>
  <si>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</si>
  <si>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</si>
  <si>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</si>
  <si>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</si>
  <si>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</si>
  <si>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</si>
  <si>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</si>
  <si>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</si>
  <si>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</si>
  <si>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</si>
  <si>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</si>
  <si>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</si>
  <si>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</si>
  <si>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</si>
  <si>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</si>
  <si>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</si>
  <si>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</si>
  <si>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</si>
  <si>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</si>
  <si>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</si>
  <si>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</si>
  <si>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</si>
  <si>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</si>
  <si>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</si>
  <si>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</si>
  <si>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</si>
  <si>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</si>
  <si>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</si>
  <si>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</si>
  <si>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</si>
  <si>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</si>
  <si>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</si>
  <si>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</si>
  <si>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</si>
  <si>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</si>
  <si>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</si>
  <si>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</si>
  <si>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</si>
  <si>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</si>
  <si>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</si>
  <si>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</si>
  <si>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</si>
  <si>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</si>
  <si>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</si>
  <si>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</si>
  <si>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</si>
  <si>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</si>
  <si>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</si>
  <si>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</si>
  <si>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</si>
  <si>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</si>
  <si>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</si>
  <si>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</si>
  <si>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</si>
  <si>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</si>
  <si>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</si>
  <si>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</si>
  <si>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</si>
  <si>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</si>
  <si>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</si>
  <si>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</si>
  <si>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</si>
  <si>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</si>
  <si>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</si>
  <si>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</si>
  <si>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</si>
  <si>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</si>
  <si>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</si>
  <si>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</si>
  <si>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</si>
  <si>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</si>
  <si>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</si>
  <si>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</si>
  <si>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</si>
  <si>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</si>
  <si>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</si>
  <si>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</si>
  <si>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</si>
  <si>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</si>
  <si>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</si>
  <si>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</si>
  <si>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</si>
  <si>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</si>
  <si>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</si>
  <si>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</si>
  <si>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</si>
  <si>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</si>
  <si>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</si>
  <si>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</si>
  <si>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</si>
  <si>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</si>
  <si>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</si>
  <si>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</si>
  <si>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</si>
  <si>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</si>
  <si>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</si>
  <si>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</si>
  <si>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</si>
  <si>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</si>
  <si>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</si>
  <si>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</si>
  <si>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</si>
  <si>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</si>
  <si>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</si>
  <si>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</si>
  <si>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</si>
  <si>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</si>
  <si>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</si>
  <si>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</si>
  <si>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</si>
  <si>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</si>
  <si>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</si>
  <si>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</si>
  <si>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</si>
  <si>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</si>
  <si>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</si>
  <si>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</si>
  <si>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</si>
  <si>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</si>
  <si>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</si>
  <si>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</si>
  <si>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</si>
  <si>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</si>
  <si>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</si>
  <si>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</si>
  <si>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</si>
  <si>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</si>
  <si>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</si>
  <si>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</si>
  <si>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</si>
  <si>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</si>
  <si>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</si>
  <si>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</si>
  <si>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</si>
  <si>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</si>
  <si>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</si>
  <si>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</si>
  <si>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</si>
  <si>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</si>
  <si>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</si>
  <si>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</si>
  <si>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</si>
  <si>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</si>
  <si>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</si>
  <si>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</si>
  <si>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</si>
  <si>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</si>
  <si>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</si>
  <si>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</si>
  <si>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</si>
  <si>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</si>
  <si>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</si>
  <si>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</si>
  <si>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</si>
  <si>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</si>
  <si>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</si>
  <si>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</si>
  <si>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</si>
  <si>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</si>
  <si>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</si>
  <si>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</si>
  <si>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</si>
  <si>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</si>
  <si>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</si>
  <si>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</si>
  <si>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</si>
  <si>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</si>
  <si>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</si>
  <si>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</si>
  <si>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</si>
  <si>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</si>
  <si>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</si>
  <si>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</si>
  <si>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</si>
  <si>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</si>
  <si>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</si>
  <si>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</si>
  <si>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</si>
  <si>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</si>
  <si>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</si>
  <si>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</si>
  <si>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</si>
  <si>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</si>
  <si>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</si>
  <si>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</si>
  <si>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</si>
  <si>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</si>
  <si>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</si>
  <si>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</si>
  <si>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</si>
  <si>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</si>
  <si>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</si>
  <si>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</si>
  <si>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</si>
  <si>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</si>
  <si>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</si>
  <si>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</si>
  <si>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</si>
  <si>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</si>
  <si>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</si>
  <si>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</si>
  <si>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</si>
  <si>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</si>
  <si>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</si>
  <si>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</si>
  <si>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</si>
  <si>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</si>
  <si>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</si>
  <si>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</si>
  <si>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</si>
  <si>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</si>
  <si>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</si>
  <si>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</si>
  <si>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</si>
  <si>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</si>
  <si>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</si>
  <si>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</si>
  <si>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</si>
  <si>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</si>
  <si>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</si>
  <si>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</si>
  <si>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</si>
  <si>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</si>
  <si>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</si>
  <si>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</si>
  <si>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</si>
  <si>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</si>
  <si>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</si>
  <si>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</si>
  <si>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</si>
  <si>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</si>
  <si>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</si>
  <si>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</si>
  <si>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</si>
  <si>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</si>
  <si>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</si>
  <si>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</si>
  <si>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</si>
  <si>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</si>
  <si>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</si>
  <si>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</si>
  <si>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</si>
  <si>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</si>
  <si>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</si>
  <si>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</si>
  <si>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</si>
  <si>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</si>
  <si>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</si>
  <si>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</si>
  <si>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</si>
  <si>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</si>
  <si>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</si>
  <si>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</si>
  <si>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</si>
  <si>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</si>
  <si>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</si>
  <si>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</si>
  <si>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</si>
  <si>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</si>
  <si>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</si>
  <si>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</si>
  <si>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</si>
  <si>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</si>
  <si>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</si>
  <si>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</si>
  <si>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</si>
  <si>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</si>
  <si>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</si>
  <si>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</si>
  <si>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</si>
  <si>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</si>
  <si>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</si>
  <si>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</si>
  <si>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</si>
  <si>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</si>
  <si>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</si>
  <si>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</si>
  <si>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</si>
  <si>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</si>
  <si>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</si>
  <si>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</si>
  <si>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</si>
  <si>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</si>
  <si>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</si>
  <si>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</si>
  <si>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</si>
  <si>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</si>
  <si>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</si>
  <si>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</si>
  <si>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</si>
  <si>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</si>
  <si>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</si>
  <si>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</si>
  <si>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</si>
  <si>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</si>
  <si>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</si>
  <si>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</si>
  <si>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</si>
  <si>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</si>
  <si>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</si>
  <si>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</si>
  <si>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</si>
  <si>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</si>
  <si>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</si>
  <si>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</si>
  <si>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</si>
  <si>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</si>
  <si>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</si>
  <si>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</si>
  <si>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</si>
  <si>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</si>
  <si>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</si>
  <si>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</si>
  <si>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</si>
  <si>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</si>
  <si>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</si>
  <si>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</si>
  <si>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</si>
  <si>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</si>
  <si>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</si>
  <si>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</si>
  <si>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</si>
  <si>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</si>
  <si>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</si>
  <si>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</si>
  <si>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</si>
  <si>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</si>
  <si>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</si>
  <si>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</si>
  <si>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</si>
  <si>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</si>
  <si>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</si>
  <si>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</si>
  <si>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</si>
  <si>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</si>
  <si>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</si>
  <si>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</si>
  <si>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</si>
  <si>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</si>
  <si>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</si>
  <si>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</si>
  <si>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</si>
  <si>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</si>
  <si>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</si>
  <si>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</si>
  <si>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</si>
  <si>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</si>
  <si>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</si>
  <si>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</si>
  <si>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</si>
  <si>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</si>
  <si>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</si>
  <si>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</si>
  <si>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</si>
  <si>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</si>
  <si>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</si>
  <si>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</si>
  <si>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</si>
  <si>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</si>
  <si>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</si>
  <si>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</si>
  <si>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</si>
  <si>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</si>
  <si>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</si>
  <si>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</si>
  <si>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</si>
  <si>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</si>
  <si>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</si>
  <si>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</si>
  <si>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</si>
  <si>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</si>
  <si>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</si>
  <si>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</si>
  <si>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</si>
  <si>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</si>
  <si>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</si>
  <si>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</si>
  <si>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</si>
  <si>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</si>
  <si>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</si>
  <si>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</si>
  <si>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</si>
  <si>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</si>
  <si>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</si>
  <si>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</si>
  <si>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</si>
  <si>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</si>
  <si>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</si>
  <si>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</si>
  <si>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</si>
  <si>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</si>
  <si>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</si>
  <si>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</si>
  <si>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</si>
  <si>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</si>
  <si>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</si>
  <si>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</si>
  <si>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</si>
  <si>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</si>
  <si>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</si>
  <si>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</si>
  <si>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</si>
  <si>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</si>
  <si>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</si>
  <si>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</si>
  <si>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</si>
  <si>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</si>
  <si>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</si>
  <si>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</si>
  <si>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</si>
  <si>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</si>
  <si>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</si>
  <si>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</si>
  <si>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</si>
  <si>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</si>
  <si>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</si>
  <si>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</si>
  <si>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</si>
  <si>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</si>
  <si>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</si>
  <si>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</si>
  <si>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</si>
  <si>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</si>
  <si>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</si>
  <si>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</si>
  <si>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</si>
  <si>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</si>
  <si>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</si>
  <si>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</si>
  <si>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</si>
  <si>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</si>
  <si>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</si>
  <si>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</si>
  <si>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</si>
  <si>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</si>
  <si>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</si>
  <si>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</si>
  <si>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</si>
  <si>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</si>
  <si>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</si>
  <si>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</si>
  <si>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</si>
  <si>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</si>
  <si>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</si>
  <si>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</si>
  <si>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</si>
  <si>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</si>
  <si>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</si>
  <si>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</si>
  <si>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</si>
  <si>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</si>
  <si>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</si>
  <si>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</si>
  <si>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</si>
  <si>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</si>
  <si>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</si>
  <si>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</si>
  <si>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</si>
  <si>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</si>
  <si>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</si>
  <si>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</si>
  <si>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</si>
  <si>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</si>
  <si>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</si>
  <si>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</si>
  <si>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</si>
  <si>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</si>
  <si>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</si>
  <si>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</si>
  <si>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</si>
  <si>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</si>
  <si>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</si>
  <si>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</si>
  <si>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</si>
  <si>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</si>
  <si>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</si>
  <si>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</si>
  <si>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</si>
  <si>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</si>
  <si>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</si>
  <si>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</si>
  <si>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</si>
  <si>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</si>
  <si>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</si>
  <si>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</si>
  <si>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</si>
  <si>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</si>
  <si>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</si>
  <si>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</si>
  <si>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</si>
  <si>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</si>
  <si>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</si>
  <si>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</si>
  <si>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</si>
  <si>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</si>
  <si>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</si>
  <si>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</si>
  <si>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</si>
  <si>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</si>
  <si>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</si>
  <si>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</si>
  <si>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</si>
  <si>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</si>
  <si>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</si>
  <si>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</si>
  <si>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</si>
  <si>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</si>
  <si>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</si>
  <si>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</si>
  <si>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</si>
  <si>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</si>
  <si>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</si>
  <si>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</si>
  <si>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</si>
  <si>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</si>
  <si>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</si>
  <si>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</si>
  <si>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</si>
  <si>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</si>
  <si>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</si>
  <si>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</si>
  <si>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</si>
  <si>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</si>
  <si>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</si>
  <si>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</si>
  <si>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</si>
  <si>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</si>
  <si>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</si>
  <si>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</si>
  <si>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</si>
  <si>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</si>
  <si>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</si>
  <si>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</si>
  <si>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</si>
  <si>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</si>
  <si>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</si>
  <si>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</si>
  <si>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</si>
  <si>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</si>
  <si>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</si>
  <si>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</si>
  <si>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</si>
  <si>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</si>
  <si>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</si>
  <si>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</si>
  <si>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</si>
  <si>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</si>
  <si>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</si>
  <si>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</si>
  <si>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</si>
  <si>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</si>
  <si>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</si>
  <si>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</si>
  <si>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</si>
  <si>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</si>
  <si>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</si>
  <si>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</si>
  <si>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</si>
  <si>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</si>
  <si>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</si>
  <si>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</si>
  <si>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</si>
  <si>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</si>
  <si>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</si>
  <si>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</si>
  <si>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</si>
  <si>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</si>
  <si>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</si>
  <si>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</si>
  <si>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</si>
  <si>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</si>
  <si>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</si>
  <si>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</si>
  <si>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</si>
  <si>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</si>
  <si>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</si>
  <si>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</si>
  <si>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</si>
  <si>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</si>
  <si>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</si>
  <si>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</si>
  <si>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</si>
  <si>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</si>
  <si>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</si>
  <si>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</si>
  <si>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</si>
  <si>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</si>
  <si>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</si>
  <si>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</si>
  <si>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</si>
  <si>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</si>
  <si>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</si>
  <si>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</si>
  <si>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</si>
  <si>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</si>
  <si>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</si>
  <si>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</si>
  <si>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</si>
  <si>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</si>
  <si>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</si>
  <si>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</si>
  <si>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</si>
  <si>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</si>
  <si>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</si>
  <si>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</si>
  <si>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</si>
  <si>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</si>
  <si>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</si>
  <si>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</si>
  <si>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</si>
  <si>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</si>
  <si>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</si>
  <si>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</si>
  <si>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</si>
  <si>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</si>
  <si>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</si>
  <si>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</si>
  <si>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</si>
  <si>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</si>
  <si>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</si>
  <si>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</si>
  <si>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</si>
  <si>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</si>
  <si>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</si>
  <si>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</si>
  <si>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</si>
  <si>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</si>
  <si>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</si>
  <si>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</si>
  <si>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</si>
  <si>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</si>
  <si>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</si>
  <si>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</si>
  <si>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</si>
  <si>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</si>
  <si>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</si>
  <si>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</si>
  <si>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</si>
  <si>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</si>
  <si>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</si>
  <si>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</si>
  <si>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</si>
  <si>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</si>
  <si>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</si>
  <si>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</si>
  <si>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</si>
  <si>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</si>
  <si>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</si>
  <si>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</si>
  <si>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</si>
  <si>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</si>
  <si>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</si>
  <si>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</si>
  <si>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</si>
  <si>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</si>
  <si>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</si>
  <si>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</si>
  <si>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</si>
  <si>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</si>
  <si>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</si>
  <si>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</si>
  <si>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</si>
  <si>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</si>
  <si>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</si>
  <si>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</si>
  <si>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</si>
  <si>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</si>
  <si>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</si>
  <si>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</si>
  <si>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</si>
  <si>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</si>
  <si>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</si>
  <si>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</si>
  <si>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</si>
  <si>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</si>
  <si>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</si>
  <si>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</si>
  <si>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</si>
  <si>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</si>
  <si>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</si>
  <si>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</si>
  <si>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</si>
  <si>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</si>
  <si>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</si>
  <si>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</si>
  <si>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</si>
  <si>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</si>
  <si>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</si>
  <si>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</si>
  <si>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</si>
  <si>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</si>
  <si>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</si>
  <si>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</si>
  <si>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</si>
  <si>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</si>
  <si>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</si>
  <si>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</si>
  <si>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</si>
  <si>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</si>
  <si>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</si>
  <si>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</si>
  <si>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</si>
  <si>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</si>
  <si>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</si>
  <si>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</si>
  <si>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</si>
  <si>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</si>
  <si>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</si>
  <si>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</si>
  <si>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</si>
  <si>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</si>
  <si>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</si>
  <si>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</si>
  <si>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</si>
  <si>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</si>
  <si>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</si>
  <si>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</si>
  <si>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</si>
  <si>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</si>
  <si>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</si>
  <si>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</si>
  <si>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</si>
  <si>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</si>
  <si>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</si>
  <si>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</si>
  <si>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</si>
  <si>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</si>
  <si>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</si>
  <si>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</si>
  <si>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</si>
  <si>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</si>
  <si>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</si>
  <si>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</si>
  <si>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</si>
  <si>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</si>
  <si>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</si>
  <si>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</si>
  <si>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</si>
  <si>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</si>
  <si>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</si>
  <si>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</si>
  <si>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</si>
  <si>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</si>
  <si>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</si>
  <si>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</si>
  <si>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</si>
  <si>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</si>
  <si>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</si>
  <si>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</si>
  <si>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</si>
  <si>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</si>
  <si>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</si>
  <si>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</si>
  <si>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</si>
  <si>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</si>
  <si>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</si>
  <si>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</si>
  <si>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</si>
  <si>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</si>
  <si>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</si>
  <si>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</si>
  <si>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</si>
  <si>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</si>
  <si>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</si>
  <si>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</si>
  <si>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</si>
  <si>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</si>
  <si>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</si>
  <si>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</si>
  <si>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</si>
  <si>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</si>
  <si>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</si>
  <si>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</si>
  <si>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</si>
  <si>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</si>
  <si>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</si>
  <si>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</si>
  <si>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</si>
  <si>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</si>
  <si>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</si>
  <si>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</si>
  <si>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</si>
  <si>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</si>
  <si>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</si>
  <si>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</si>
  <si>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</si>
  <si>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</si>
  <si>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</si>
  <si>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</si>
  <si>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</si>
  <si>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</si>
  <si>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</si>
  <si>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</si>
  <si>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</si>
  <si>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</si>
  <si>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</si>
  <si>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</si>
  <si>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</si>
  <si>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</si>
  <si>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</si>
  <si>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</si>
  <si>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</si>
  <si>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</si>
  <si>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</si>
  <si>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</si>
  <si>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</si>
  <si>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</si>
  <si>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</si>
  <si>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</si>
  <si>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</si>
  <si>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</si>
  <si>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</si>
  <si>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</si>
  <si>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</si>
  <si>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</si>
  <si>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</si>
  <si>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</si>
  <si>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</si>
  <si>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</si>
  <si>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</si>
  <si>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</si>
  <si>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</si>
  <si>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</si>
  <si>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</si>
  <si>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</si>
  <si>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</si>
  <si>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</si>
  <si>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</si>
  <si>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</si>
  <si>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</si>
  <si>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</si>
  <si>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</si>
  <si>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</si>
  <si>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</si>
  <si>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</si>
  <si>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</si>
  <si>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</si>
  <si>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</si>
  <si>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</si>
  <si>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</si>
  <si>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</si>
  <si>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</si>
  <si>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</si>
  <si>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</si>
  <si>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</si>
  <si>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</si>
  <si>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</si>
  <si>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</si>
  <si>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</si>
  <si>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</si>
  <si>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</si>
  <si>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</si>
  <si>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</si>
  <si>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</si>
  <si>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</si>
  <si>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</si>
  <si>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</si>
  <si>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</si>
  <si>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</si>
  <si>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</si>
  <si>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</si>
  <si>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</si>
  <si>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</si>
  <si>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</si>
  <si>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</si>
  <si>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</si>
  <si>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</si>
  <si>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</si>
  <si>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</si>
  <si>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</si>
  <si>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</si>
  <si>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</si>
  <si>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</si>
  <si>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</si>
  <si>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</si>
  <si>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</si>
  <si>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</si>
  <si>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</si>
  <si>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</si>
  <si>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</si>
  <si>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</si>
  <si>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</si>
  <si>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</si>
  <si>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</si>
  <si>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</si>
  <si>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</si>
  <si>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</si>
  <si>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</si>
  <si>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</si>
  <si>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</si>
  <si>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</si>
  <si>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</si>
  <si>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</si>
  <si>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</si>
  <si>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</si>
  <si>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</si>
  <si>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</si>
  <si>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</si>
  <si>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</si>
  <si>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</si>
  <si>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</si>
  <si>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</si>
  <si>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</si>
  <si>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</si>
  <si>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</si>
  <si>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</si>
  <si>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</si>
  <si>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</si>
  <si>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</si>
  <si>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</si>
  <si>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</si>
  <si>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</si>
  <si>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</si>
  <si>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</si>
  <si>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</si>
  <si>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</si>
  <si>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</si>
  <si>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</si>
  <si>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</si>
  <si>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</si>
  <si>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</si>
  <si>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</si>
  <si>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</si>
  <si>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</si>
  <si>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</si>
  <si>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</si>
  <si>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</si>
  <si>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</si>
  <si>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</si>
  <si>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</si>
  <si>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</si>
  <si>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</si>
  <si>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</si>
  <si>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</si>
  <si>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</si>
  <si>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</si>
  <si>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</si>
  <si>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</si>
  <si>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</si>
  <si>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</si>
  <si>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</si>
  <si>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</si>
  <si>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</si>
  <si>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</si>
  <si>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</si>
  <si>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</si>
  <si>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</si>
  <si>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</si>
  <si>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</si>
  <si>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</si>
  <si>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</si>
  <si>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</si>
  <si>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</si>
  <si>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</si>
  <si>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</si>
  <si>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</si>
  <si>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</si>
  <si>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</si>
  <si>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</si>
  <si>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</si>
  <si>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</si>
  <si>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</si>
  <si>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</si>
  <si>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</si>
  <si>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</si>
  <si>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</si>
  <si>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</si>
  <si>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</si>
  <si>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</si>
  <si>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</si>
  <si>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</si>
  <si>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</si>
  <si>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</si>
  <si>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</si>
  <si>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</si>
  <si>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</si>
  <si>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</si>
  <si>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</si>
  <si>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</si>
  <si>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</si>
  <si>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</si>
  <si>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</si>
  <si>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</si>
  <si>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</si>
  <si>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</si>
  <si>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</si>
  <si>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</si>
  <si>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</si>
  <si>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</si>
  <si>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</si>
  <si>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</si>
  <si>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</si>
  <si>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</si>
  <si>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</si>
  <si>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</si>
  <si>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</si>
  <si>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</si>
  <si>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</si>
  <si>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</si>
  <si>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</si>
  <si>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</si>
  <si>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</si>
  <si>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</si>
  <si>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</si>
  <si>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</si>
  <si>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</si>
  <si>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</si>
  <si>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</si>
  <si>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</si>
  <si>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</si>
  <si>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</si>
  <si>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</si>
  <si>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</si>
  <si>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</si>
  <si>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</si>
  <si>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</si>
  <si>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</si>
  <si>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</si>
  <si>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</si>
  <si>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</si>
  <si>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</si>
  <si>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</si>
  <si>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</si>
  <si>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</si>
  <si>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</si>
  <si>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</si>
  <si>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</si>
  <si>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</si>
  <si>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</si>
  <si>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</si>
  <si>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</si>
  <si>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</si>
  <si>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</si>
  <si>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</si>
  <si>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</si>
  <si>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</si>
  <si>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</si>
  <si>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</si>
  <si>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</si>
  <si>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</si>
  <si>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</si>
  <si>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</si>
  <si>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</si>
  <si>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</si>
  <si>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</si>
  <si>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</si>
  <si>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</si>
  <si>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</si>
  <si>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</si>
  <si>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</si>
  <si>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</si>
  <si>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</si>
  <si>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</si>
  <si>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</si>
  <si>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</si>
  <si>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</si>
  <si>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</si>
  <si>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</si>
  <si>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</si>
  <si>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</si>
  <si>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</si>
  <si>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</si>
  <si>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</si>
  <si>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</si>
  <si>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</si>
  <si>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</si>
  <si>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</si>
  <si>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</si>
  <si>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</si>
  <si>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</si>
  <si>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</si>
  <si>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</si>
  <si>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</si>
  <si>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</si>
  <si>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</si>
  <si>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</si>
  <si>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</si>
  <si>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</si>
  <si>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</si>
  <si>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</si>
  <si>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</si>
  <si>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</si>
  <si>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</si>
  <si>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</si>
  <si>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</si>
  <si>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</si>
  <si>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</si>
  <si>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</si>
  <si>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</si>
  <si>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</si>
  <si>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</si>
  <si>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</si>
  <si>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</si>
  <si>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</si>
  <si>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</si>
  <si>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</si>
  <si>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</si>
  <si>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</si>
  <si>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</si>
  <si>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</si>
  <si>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</si>
  <si>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</si>
  <si>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</si>
  <si>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</si>
  <si>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</si>
  <si>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</si>
  <si>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</si>
  <si>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</si>
  <si>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</si>
  <si>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</si>
  <si>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</si>
  <si>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</si>
  <si>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</si>
  <si>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</si>
  <si>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</si>
  <si>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</si>
  <si>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</si>
  <si>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</si>
  <si>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</si>
  <si>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</si>
  <si>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</si>
  <si>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</si>
  <si>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</si>
  <si>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</si>
  <si>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</si>
  <si>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</si>
  <si>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</si>
  <si>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</si>
  <si>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</si>
  <si>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</si>
  <si>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</si>
  <si>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</si>
  <si>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</si>
  <si>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</si>
  <si>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</si>
  <si>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</si>
  <si>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</si>
  <si>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</si>
  <si>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</si>
  <si>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</si>
  <si>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</si>
  <si>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</si>
  <si>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</si>
  <si>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</si>
  <si>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</si>
  <si>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</si>
  <si>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</si>
  <si>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</si>
  <si>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</si>
  <si>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</si>
  <si>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</si>
  <si>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</si>
  <si>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</si>
  <si>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</si>
  <si>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</si>
  <si>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</si>
  <si>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</si>
  <si>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</si>
  <si>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</si>
  <si>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</si>
  <si>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</si>
  <si>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</si>
  <si>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</si>
  <si>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</si>
  <si>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</si>
  <si>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</si>
  <si>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</si>
  <si>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</si>
  <si>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</si>
  <si>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</si>
  <si>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</si>
  <si>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</si>
  <si>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</si>
  <si>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</si>
  <si>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</si>
  <si>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</si>
  <si>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</si>
  <si>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</si>
  <si>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</si>
  <si>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</si>
  <si>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</si>
  <si>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</si>
  <si>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</si>
  <si>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</si>
  <si>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</si>
  <si>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</si>
  <si>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</si>
  <si>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</si>
  <si>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</si>
  <si>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</si>
  <si>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</si>
  <si>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</si>
  <si>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</si>
  <si>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</si>
  <si>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</si>
  <si>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</si>
  <si>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</si>
  <si>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</si>
  <si>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</si>
  <si>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</si>
  <si>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</si>
  <si>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</si>
  <si>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</si>
  <si>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</si>
  <si>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</si>
  <si>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</si>
  <si>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</si>
  <si>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</si>
  <si>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</si>
  <si>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</si>
  <si>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</si>
  <si>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</si>
  <si>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</si>
  <si>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</si>
  <si>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</si>
  <si>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</si>
  <si>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</si>
  <si>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</si>
  <si>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</si>
  <si>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</si>
  <si>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</si>
  <si>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</si>
  <si>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</si>
  <si>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</si>
  <si>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</si>
  <si>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</si>
  <si>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</si>
  <si>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</si>
  <si>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</si>
  <si>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</si>
  <si>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</si>
  <si>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</si>
  <si>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</si>
  <si>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</si>
  <si>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</si>
  <si>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</si>
  <si>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</si>
  <si>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</si>
  <si>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</si>
  <si>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</si>
  <si>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</si>
  <si>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</si>
  <si>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</si>
  <si>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</si>
  <si>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</si>
  <si>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</si>
  <si>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</si>
  <si>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</si>
  <si>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</si>
  <si>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</si>
  <si>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</si>
  <si>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</si>
  <si>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</si>
  <si>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</si>
  <si>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</si>
  <si>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</si>
  <si>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</si>
  <si>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</si>
  <si>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</si>
  <si>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</si>
  <si>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</si>
  <si>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</si>
  <si>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</si>
  <si>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</si>
  <si>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</si>
  <si>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</si>
  <si>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</si>
  <si>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</si>
  <si>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</si>
  <si>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</si>
  <si>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</si>
  <si>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</si>
  <si>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</si>
  <si>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</si>
  <si>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</si>
  <si>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</si>
  <si>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</si>
  <si>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</si>
  <si>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</si>
  <si>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</si>
  <si>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</si>
  <si>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</si>
  <si>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</si>
  <si>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</si>
  <si>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</si>
  <si>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</si>
  <si>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</si>
  <si>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</si>
  <si>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</si>
  <si>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</si>
  <si>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</si>
  <si>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</si>
  <si>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</si>
  <si>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</si>
  <si>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</si>
  <si>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</si>
  <si>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</si>
  <si>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</si>
  <si>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</si>
  <si>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</si>
  <si>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</si>
  <si>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</si>
  <si>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</si>
  <si>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</si>
  <si>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</si>
  <si>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</si>
  <si>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</si>
  <si>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</si>
  <si>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</si>
  <si>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</si>
  <si>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</si>
  <si>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</si>
  <si>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</si>
  <si>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</si>
  <si>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</si>
  <si>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</si>
  <si>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</si>
  <si>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</si>
  <si>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</si>
  <si>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</si>
  <si>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</si>
  <si>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</si>
  <si>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</si>
  <si>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</si>
  <si>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</si>
  <si>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</si>
  <si>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</si>
  <si>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</si>
  <si>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</si>
  <si>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</si>
  <si>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</si>
  <si>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</si>
  <si>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</si>
  <si>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</si>
  <si>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</si>
  <si>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</si>
  <si>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</si>
  <si>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</si>
  <si>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</si>
  <si>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</si>
  <si>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</si>
  <si>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</si>
  <si>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</si>
  <si>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</si>
  <si>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</si>
  <si>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</si>
  <si>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</si>
  <si>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</si>
  <si>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</si>
  <si>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</si>
  <si>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</si>
  <si>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</si>
  <si>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</si>
  <si>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</si>
  <si>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</si>
  <si>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</si>
  <si>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</si>
  <si>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</si>
  <si>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</si>
  <si>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</si>
  <si>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</si>
  <si>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</si>
  <si>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</si>
  <si>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</si>
  <si>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</si>
  <si>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</si>
  <si>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</si>
  <si>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</si>
  <si>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</si>
  <si>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</si>
  <si>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</si>
  <si>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</si>
  <si>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</si>
  <si>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</si>
  <si>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</si>
  <si>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</si>
  <si>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</si>
  <si>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</si>
  <si>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</si>
  <si>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</si>
  <si>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</si>
  <si>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</si>
  <si>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</si>
  <si>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</si>
  <si>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</si>
  <si>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</si>
  <si>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</si>
  <si>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</si>
  <si>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</si>
  <si>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</si>
  <si>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</si>
  <si>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</si>
  <si>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</si>
  <si>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</si>
  <si>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</si>
  <si>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</si>
  <si>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</si>
  <si>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</si>
  <si>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</si>
  <si>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</si>
  <si>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</si>
  <si>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</si>
  <si>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</si>
  <si>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</si>
  <si>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</si>
  <si>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</si>
  <si>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</si>
  <si>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</si>
  <si>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</si>
  <si>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</si>
  <si>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</si>
  <si>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</si>
  <si>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</si>
  <si>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</si>
  <si>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</si>
  <si>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</si>
  <si>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</si>
  <si>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</si>
  <si>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</si>
  <si>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</si>
  <si>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</si>
  <si>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</si>
  <si>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</si>
  <si>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</si>
  <si>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</si>
  <si>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</si>
  <si>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</si>
  <si>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</si>
  <si>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</si>
  <si>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</si>
  <si>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</si>
  <si>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</si>
  <si>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</si>
  <si>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</si>
  <si>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</si>
  <si>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</si>
  <si>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</si>
  <si>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</si>
  <si>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</si>
  <si>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</si>
  <si>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</si>
  <si>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</si>
  <si>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</si>
  <si>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</si>
  <si>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</si>
  <si>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</si>
  <si>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</si>
  <si>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</si>
  <si>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</si>
  <si>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</si>
  <si>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</si>
  <si>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</si>
  <si>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</si>
  <si>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</si>
  <si>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</si>
  <si>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</si>
  <si>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</si>
  <si>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</si>
  <si>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</si>
  <si>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</si>
  <si>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</si>
  <si>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</si>
  <si>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</si>
  <si>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</si>
  <si>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</si>
  <si>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</si>
  <si>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</si>
  <si>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</si>
  <si>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</si>
  <si>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</si>
  <si>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</si>
  <si>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</si>
  <si>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</si>
  <si>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</si>
  <si>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</si>
  <si>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</si>
  <si>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</si>
  <si>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</si>
  <si>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</si>
  <si>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</si>
  <si>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</si>
  <si>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</si>
  <si>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</si>
  <si>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</si>
  <si>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</si>
  <si>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</si>
  <si>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</si>
  <si>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</si>
  <si>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</si>
  <si>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</si>
  <si>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</si>
  <si>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</si>
  <si>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</si>
  <si>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</si>
  <si>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</si>
  <si>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</si>
  <si>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</si>
  <si>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</si>
  <si>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</si>
  <si>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</si>
  <si>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</si>
  <si>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</si>
  <si>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</si>
  <si>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</si>
  <si>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</si>
  <si>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</si>
  <si>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</si>
  <si>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</si>
  <si>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</si>
  <si>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</si>
  <si>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</si>
  <si>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</si>
  <si>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</si>
  <si>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</si>
  <si>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</si>
  <si>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</si>
  <si>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</si>
  <si>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</si>
  <si>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</si>
  <si>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</si>
  <si>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</si>
  <si>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</si>
  <si>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</si>
  <si>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</si>
  <si>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</si>
  <si>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</si>
  <si>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</si>
  <si>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</si>
  <si>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</si>
  <si>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</si>
  <si>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</si>
  <si>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</si>
  <si>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</si>
  <si>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</si>
  <si>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</si>
  <si>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</si>
  <si>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</si>
  <si>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</si>
  <si>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</si>
  <si>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</si>
  <si>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</si>
  <si>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</si>
  <si>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</si>
  <si>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</si>
  <si>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</si>
  <si>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</si>
  <si>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</si>
  <si>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</si>
  <si>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</si>
  <si>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</si>
  <si>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</si>
  <si>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</si>
  <si>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</si>
  <si>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</si>
  <si>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</si>
  <si>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</si>
  <si>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</si>
  <si>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</si>
  <si>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</si>
  <si>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</si>
  <si>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</si>
  <si>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</si>
  <si>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</si>
  <si>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</si>
  <si>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</si>
  <si>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</si>
  <si>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</si>
  <si>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</si>
  <si>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</si>
  <si>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</si>
  <si>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</si>
  <si>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</si>
  <si>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</si>
  <si>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</si>
  <si>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</si>
  <si>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</si>
  <si>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</si>
  <si>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</si>
  <si>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</si>
  <si>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</si>
  <si>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</si>
  <si>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</si>
  <si>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</si>
  <si>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</si>
  <si>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</si>
  <si>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</si>
  <si>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</si>
  <si>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</si>
  <si>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</si>
  <si>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</si>
  <si>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</si>
  <si>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</si>
  <si>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</si>
  <si>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</si>
  <si>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</si>
  <si>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</si>
  <si>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</si>
  <si>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</si>
  <si>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</si>
  <si>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</si>
  <si>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</si>
  <si>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</si>
  <si>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</si>
  <si>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</si>
  <si>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</si>
  <si>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</si>
  <si>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</si>
  <si>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</si>
  <si>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</si>
  <si>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</si>
  <si>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</si>
  <si>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</si>
  <si>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</si>
  <si>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</si>
  <si>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</si>
  <si>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</si>
  <si>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</si>
  <si>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</si>
  <si>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</si>
  <si>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</si>
  <si>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</si>
  <si>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</si>
  <si>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</si>
  <si>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</si>
  <si>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</si>
  <si>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</si>
  <si>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</si>
  <si>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</si>
  <si>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</si>
  <si>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</si>
  <si>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</si>
  <si>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</si>
  <si>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</si>
  <si>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</si>
  <si>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</si>
  <si>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</si>
  <si>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</si>
  <si>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</si>
  <si>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</si>
  <si>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</si>
  <si>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</si>
  <si>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</si>
  <si>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</si>
  <si>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</si>
  <si>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</si>
  <si>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</si>
  <si>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</si>
  <si>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</si>
  <si>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</si>
  <si>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</si>
  <si>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</si>
  <si>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</si>
  <si>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</si>
  <si>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</si>
  <si>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</si>
  <si>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</si>
  <si>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</si>
  <si>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</si>
  <si>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</si>
  <si>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</si>
  <si>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</si>
  <si>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</si>
  <si>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</si>
  <si>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</si>
  <si>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</si>
  <si>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</si>
  <si>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</si>
  <si>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</si>
  <si>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</si>
  <si>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</si>
  <si>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</si>
  <si>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</si>
  <si>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</si>
  <si>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</si>
  <si>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</si>
  <si>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</si>
  <si>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</si>
  <si>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</si>
  <si>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</si>
  <si>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</si>
  <si>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</si>
  <si>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</si>
  <si>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</si>
  <si>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</si>
  <si>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</si>
  <si>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</si>
  <si>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</si>
  <si>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</si>
  <si>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</si>
  <si>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</si>
  <si>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</si>
  <si>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</si>
  <si>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</si>
  <si>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</si>
  <si>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</si>
  <si>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</si>
  <si>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</si>
  <si>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</si>
  <si>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</si>
  <si>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</si>
  <si>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</si>
  <si>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</si>
  <si>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</si>
  <si>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</si>
  <si>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</si>
  <si>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</si>
  <si>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</si>
  <si>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</si>
  <si>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</si>
  <si>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</si>
  <si>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</si>
  <si>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</si>
  <si>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</si>
  <si>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</si>
  <si>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</si>
  <si>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</si>
  <si>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</si>
  <si>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</si>
  <si>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</si>
  <si>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</si>
  <si>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</si>
  <si>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</si>
  <si>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</si>
  <si>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</si>
  <si>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</si>
  <si>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</si>
  <si>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</si>
  <si>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</si>
  <si>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</si>
  <si>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</si>
  <si>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</si>
  <si>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</si>
  <si>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</si>
  <si>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</si>
  <si>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</si>
  <si>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</si>
  <si>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</si>
  <si>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</si>
  <si>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</si>
  <si>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</si>
  <si>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</si>
  <si>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</si>
  <si>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</si>
  <si>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</si>
  <si>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</si>
  <si>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</si>
  <si>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</si>
  <si>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</si>
  <si>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</si>
  <si>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</si>
  <si>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</si>
  <si>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</si>
  <si>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</si>
  <si>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</si>
  <si>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</si>
  <si>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</si>
  <si>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</si>
  <si>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</si>
  <si>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</si>
  <si>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</si>
  <si>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</si>
  <si>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</si>
  <si>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</si>
  <si>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</si>
  <si>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</si>
  <si>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</si>
  <si>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</si>
  <si>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</si>
  <si>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</si>
  <si>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</si>
  <si>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</si>
  <si>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</si>
  <si>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</si>
  <si>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</si>
  <si>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</si>
  <si>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</si>
  <si>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</si>
  <si>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</si>
  <si>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</si>
  <si>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</si>
  <si>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</si>
  <si>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</si>
  <si>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</si>
  <si>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</si>
  <si>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</si>
  <si>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</si>
  <si>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</si>
  <si>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</si>
  <si>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</si>
  <si>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</si>
  <si>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</si>
  <si>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</si>
  <si>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</si>
  <si>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</si>
  <si>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</si>
  <si>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</si>
  <si>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</si>
  <si>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</si>
  <si>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</si>
  <si>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</si>
  <si>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</si>
  <si>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</si>
  <si>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</si>
  <si>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</si>
  <si>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</si>
  <si>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</si>
  <si>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</si>
  <si>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</si>
  <si>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</si>
  <si>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</si>
  <si>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</si>
  <si>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</si>
  <si>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</si>
  <si>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</si>
  <si>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</si>
  <si>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</si>
  <si>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</si>
  <si>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</si>
  <si>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</si>
  <si>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</si>
  <si>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</si>
  <si>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</si>
  <si>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</si>
  <si>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</si>
  <si>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</si>
  <si>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</si>
  <si>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</si>
  <si>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</si>
  <si>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</si>
  <si>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</si>
  <si>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</si>
  <si>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</si>
  <si>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</si>
  <si>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</si>
  <si>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</si>
  <si>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</si>
  <si>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</si>
  <si>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</si>
  <si>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</si>
  <si>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</si>
  <si>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</si>
  <si>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</si>
  <si>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</si>
  <si>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</si>
  <si>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</si>
  <si>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</si>
  <si>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</si>
  <si>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</si>
  <si>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</si>
  <si>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</si>
  <si>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</si>
  <si>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</si>
  <si>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</si>
  <si>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</si>
  <si>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</si>
  <si>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</si>
  <si>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</si>
  <si>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</si>
  <si>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</si>
  <si>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</si>
  <si>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</si>
  <si>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</si>
  <si>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</si>
  <si>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</si>
  <si>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</si>
  <si>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</si>
  <si>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</si>
  <si>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</si>
  <si>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</si>
  <si>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</si>
  <si>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</si>
  <si>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</si>
  <si>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</si>
  <si>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</si>
  <si>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</si>
  <si>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</si>
  <si>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</si>
  <si>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</si>
  <si>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</si>
  <si>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</si>
  <si>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</si>
  <si>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</si>
  <si>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</si>
  <si>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</si>
  <si>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</si>
  <si>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</si>
  <si>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</si>
  <si>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</si>
  <si>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</si>
  <si>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</si>
  <si>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</si>
  <si>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</si>
  <si>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</si>
  <si>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</si>
  <si>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</si>
  <si>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</si>
  <si>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</si>
  <si>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</si>
  <si>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</si>
  <si>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</si>
  <si>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</si>
  <si>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</si>
  <si>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</si>
  <si>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</si>
  <si>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</si>
  <si>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</si>
  <si>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</si>
  <si>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</si>
  <si>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</si>
  <si>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</si>
  <si>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</si>
  <si>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</si>
  <si>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</si>
  <si>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</si>
  <si>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</si>
  <si>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</si>
  <si>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</si>
  <si>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</si>
  <si>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</si>
  <si>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</si>
  <si>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</si>
  <si>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</si>
  <si>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</si>
  <si>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</si>
  <si>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</si>
  <si>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</si>
  <si>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</si>
  <si>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</si>
  <si>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</si>
  <si>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</si>
  <si>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</si>
  <si>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</si>
  <si>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</si>
  <si>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</si>
  <si>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</si>
  <si>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</si>
  <si>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</si>
  <si>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</si>
  <si>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</si>
  <si>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</si>
  <si>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</si>
  <si>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</si>
  <si>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</si>
  <si>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</si>
  <si>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</si>
  <si>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</si>
  <si>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</si>
  <si>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</si>
  <si>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</si>
  <si>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</si>
  <si>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</si>
  <si>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</si>
  <si>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</si>
  <si>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</si>
  <si>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</si>
  <si>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</si>
  <si>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</si>
  <si>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</si>
  <si>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</si>
  <si>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</si>
  <si>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</si>
  <si>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</si>
  <si>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</si>
  <si>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</si>
  <si>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</si>
  <si>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</si>
  <si>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</si>
  <si>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</si>
  <si>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</si>
  <si>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</si>
  <si>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</si>
  <si>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</si>
  <si>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</si>
  <si>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</si>
  <si>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</si>
  <si>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</si>
  <si>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</si>
  <si>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</si>
  <si>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</si>
  <si>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</si>
  <si>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</si>
  <si>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</si>
  <si>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</si>
  <si>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</si>
  <si>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</si>
  <si>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</si>
  <si>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</si>
  <si>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</si>
  <si>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</si>
  <si>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</si>
  <si>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</si>
  <si>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</si>
  <si>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</si>
  <si>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</si>
  <si>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</si>
  <si>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</si>
  <si>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</si>
  <si>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</si>
  <si>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</si>
  <si>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</si>
  <si>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</si>
  <si>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</si>
  <si>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</si>
  <si>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</si>
  <si>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</si>
  <si>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</si>
  <si>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</si>
  <si>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</si>
  <si>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</si>
  <si>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</si>
  <si>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</si>
  <si>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</si>
  <si>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</si>
  <si>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</si>
  <si>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</si>
  <si>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</si>
  <si>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</si>
  <si>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</si>
  <si>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</si>
  <si>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</si>
  <si>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</si>
  <si>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</si>
  <si>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</si>
  <si>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</si>
  <si>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</si>
  <si>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</si>
  <si>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</si>
  <si>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</si>
  <si>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</si>
  <si>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</si>
  <si>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</si>
  <si>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</si>
  <si>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</si>
  <si>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</si>
  <si>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</si>
  <si>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</si>
  <si>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</si>
  <si>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</si>
  <si>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</si>
  <si>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</si>
  <si>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</si>
  <si>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</si>
  <si>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</si>
  <si>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</si>
  <si>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</si>
  <si>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</si>
  <si>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</si>
  <si>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</si>
  <si>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</si>
  <si>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</si>
  <si>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</si>
  <si>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</si>
  <si>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</si>
  <si>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</si>
  <si>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</si>
  <si>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</si>
  <si>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</si>
  <si>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</si>
  <si>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</si>
  <si>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</si>
  <si>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</si>
  <si>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</si>
  <si>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</si>
  <si>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</si>
  <si>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</si>
  <si>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</si>
  <si>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</si>
  <si>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</si>
  <si>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</si>
  <si>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</si>
  <si>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</si>
  <si>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</si>
  <si>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</si>
  <si>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</si>
  <si>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</si>
  <si>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</si>
  <si>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</si>
  <si>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</si>
  <si>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</si>
  <si>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</si>
  <si>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</si>
  <si>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</si>
  <si>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</si>
  <si>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</si>
  <si>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</si>
  <si>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</si>
  <si>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</si>
  <si>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</si>
  <si>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</si>
  <si>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</si>
  <si>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</si>
  <si>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</si>
  <si>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</si>
  <si>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</si>
  <si>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</si>
  <si>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</si>
  <si>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</si>
  <si>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</si>
  <si>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</si>
  <si>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</si>
  <si>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</si>
  <si>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</si>
  <si>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</si>
  <si>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</si>
  <si>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</si>
  <si>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</si>
  <si>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</si>
  <si>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</si>
  <si>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</si>
  <si>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</si>
  <si>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</si>
  <si>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</si>
  <si>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</si>
  <si>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</si>
  <si>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</si>
  <si>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</si>
  <si>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</si>
  <si>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</si>
  <si>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</si>
  <si>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</si>
  <si>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</si>
  <si>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</si>
  <si>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</si>
  <si>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</si>
  <si>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</si>
  <si>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</si>
  <si>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</si>
  <si>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</si>
  <si>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</si>
  <si>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</si>
  <si>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</si>
  <si>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</si>
  <si>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</si>
  <si>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</si>
  <si>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</si>
  <si>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</si>
  <si>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</si>
  <si>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</si>
  <si>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</si>
  <si>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</si>
  <si>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</si>
  <si>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</si>
  <si>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</si>
  <si>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</si>
  <si>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</si>
  <si>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</si>
  <si>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</si>
  <si>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</si>
  <si>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</si>
  <si>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</si>
  <si>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</si>
  <si>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</si>
  <si>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</si>
  <si>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</si>
  <si>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</si>
  <si>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</si>
  <si>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</si>
  <si>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</si>
  <si>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</si>
  <si>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</si>
  <si>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</si>
  <si>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</si>
  <si>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</si>
  <si>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</si>
  <si>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</si>
  <si>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</si>
  <si>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</si>
  <si>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</si>
  <si>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</si>
  <si>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</si>
  <si>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</si>
  <si>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</si>
  <si>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</si>
  <si>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</si>
  <si>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</si>
  <si>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</si>
  <si>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</si>
  <si>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</si>
  <si>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</si>
  <si>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</si>
  <si>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</si>
  <si>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</si>
  <si>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</si>
  <si>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</si>
  <si>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</si>
  <si>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</si>
  <si>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</si>
  <si>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</si>
  <si>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</si>
  <si>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</si>
  <si>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</si>
  <si>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</si>
  <si>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</si>
  <si>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</si>
  <si>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</si>
  <si>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</si>
  <si>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</si>
  <si>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</si>
  <si>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</si>
  <si>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</si>
  <si>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</si>
  <si>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</si>
  <si>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</si>
  <si>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</si>
  <si>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</si>
  <si>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</si>
  <si>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</si>
  <si>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</si>
  <si>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</si>
  <si>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</si>
  <si>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</si>
  <si>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</si>
  <si>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</si>
  <si>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</si>
  <si>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</si>
  <si>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</si>
  <si>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</si>
  <si>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</si>
  <si>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</si>
  <si>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</si>
  <si>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</si>
  <si>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</si>
  <si>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</si>
  <si>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</si>
  <si>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</si>
  <si>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</si>
  <si>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</si>
  <si>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</si>
  <si>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</si>
  <si>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</si>
  <si>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</si>
  <si>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</si>
  <si>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</si>
  <si>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</si>
  <si>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</si>
  <si>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</si>
  <si>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</si>
  <si>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</si>
  <si>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</si>
  <si>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</si>
  <si>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</si>
  <si>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</si>
  <si>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</si>
  <si>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</si>
  <si>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</si>
  <si>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</si>
  <si>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</si>
  <si>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</si>
  <si>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</si>
  <si>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 xml:space="preserve"> 03 Aug 2026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</si>
  <si>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</si>
  <si>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</si>
  <si>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</si>
  <si>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</si>
  <si>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</si>
  <si>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</si>
  <si>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</si>
  <si>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</si>
  <si>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</si>
  <si>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</si>
  <si>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</si>
  <si>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</si>
  <si>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</si>
  <si>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</si>
  <si>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</si>
  <si>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</si>
  <si>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</si>
  <si>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</si>
  <si>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</si>
  <si>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</si>
  <si>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</si>
  <si>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</si>
  <si>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</si>
  <si>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</si>
  <si>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</si>
  <si>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</si>
  <si>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</si>
  <si>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</si>
  <si>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</si>
  <si>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</si>
  <si>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</si>
  <si>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</si>
  <si>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</si>
  <si>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</si>
  <si>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</si>
  <si>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</si>
  <si>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</si>
  <si>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</si>
  <si>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</si>
  <si>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</si>
  <si>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</si>
  <si>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</si>
  <si>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</si>
  <si>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</si>
  <si>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</si>
  <si>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</si>
  <si>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</si>
  <si>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</si>
  <si>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</si>
  <si>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</si>
  <si>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</si>
  <si>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</si>
  <si>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</si>
  <si>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</si>
  <si>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S33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</si>
  <si>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</si>
  <si>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</si>
  <si>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</si>
  <si>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</si>
  <si>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</si>
  <si>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</si>
  <si>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</si>
  <si>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</si>
  <si>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</si>
  <si>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</si>
  <si>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</si>
  <si>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 xml:space="preserve"> 04 Aug 2026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</si>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</sst>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2" fillId="0" borderId="1" xfId="0" applyNumberFormat="1" applyFont="1" applyBorder="1" applyAlignment="1">
      <alignment horizontal="left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10880</c:v>
                </c:pt>
                <c:pt idx="1">
                  <c:v>13206</c:v>
                </c:pt>
                <c:pt idx="2">
                  <c:v>13528</c:v>
                </c:pt>
                <c:pt idx="3">
                  <c:v>13669</c:v>
                </c:pt>
                <c:pt idx="4">
                  <c:v>8290</c:v>
                </c:pt>
                <c:pt idx="5">
                  <c:v>13823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9045643153526972E-2"/>
                  <c:y val="-4.7058823529411764E-2"/>
                </c:manualLayout>
              </c:layout>
              <c:numFmt formatCode="_(* #,##0_);_(* \(#,##0\);_(* &quot;-&quot;_);_(@_)" sourceLinked="0"/>
              <c:spPr>
                <a:solidFill>
                  <a:sysClr val="window" lastClr="FFFFFF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12634</c:v>
                </c:pt>
                <c:pt idx="1">
                  <c:v>8451</c:v>
                </c:pt>
                <c:pt idx="2">
                  <c:v>21413</c:v>
                </c:pt>
                <c:pt idx="3">
                  <c:v>23332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8479</c:v>
                </c:pt>
                <c:pt idx="1">
                  <c:v>6570</c:v>
                </c:pt>
                <c:pt idx="2">
                  <c:v>17022</c:v>
                </c:pt>
                <c:pt idx="3">
                  <c:v>17642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435183" createdVersion="8" refreshedVersion="8" minRefreshableVersion="3" recordCount="849" xr:uid="{8D9D6DB7-C64F-4C80-9A78-61C3071D7139}">
  <cacheSource type="worksheet">
    <worksheetSource ref="A4:AB2542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6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782406" createdVersion="8" refreshedVersion="8" minRefreshableVersion="3" recordCount="849" xr:uid="{9D45AC4C-13ED-4258-A051-E1A0E0BEF410}">
  <cacheSource type="worksheet">
    <worksheetSource ref="A4:AB7108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axis="axisRow" showAll="0" sortType="ascending">
      <items count="16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sd="0" x="10"/>
        <item sd="0" x="11"/>
        <item sd="0" x="12"/>
        <item sd="0" x="13"/>
        <item h="1" x="14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0"/>
    </i>
    <i>
      <x v="11"/>
    </i>
    <i>
      <x v="12"/>
    </i>
    <i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93"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7">
        <item h="1" x="1"/>
        <item h="1" m="1" x="15"/>
        <item h="1" x="0"/>
        <item h="1" x="14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x="13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5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6">
        <i x="1"/>
        <i x="0"/>
        <i x="2"/>
        <i x="3"/>
        <i x="4"/>
        <i x="5"/>
        <i x="6"/>
        <i x="7"/>
        <i x="8"/>
        <i x="9"/>
        <i x="10"/>
        <i x="11"/>
        <i x="12"/>
        <i x="13" s="1"/>
        <i x="15" nd="1"/>
        <i x="1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5">
        <i x="1"/>
        <i x="0"/>
        <i x="2"/>
        <i x="3"/>
        <i x="4"/>
        <i x="5"/>
        <i x="6"/>
        <i x="7"/>
        <i x="8"/>
        <i x="9"/>
        <i x="10" s="1"/>
        <i x="11" s="1"/>
        <i x="12" s="1"/>
        <i x="13" s="1"/>
        <i x="14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46230</v>
      </c>
      <c r="D2" s="82"/>
      <c r="E2" s="62" t="s">
        <v>1</v>
      </c>
      <c r="F2" s="82">
        <v>46236</v>
      </c>
      <c r="G2" s="82"/>
      <c r="H2" s="61"/>
      <c r="I2" s="83" t="s">
        <v>2</v>
      </c>
      <c r="J2" s="83"/>
      <c r="K2" s="61">
        <f>_xlfn.ISOWEEKNUM(C2)</f>
        <v>31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T11" sqref="T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46209</v>
      </c>
      <c r="D2" s="82"/>
      <c r="E2" s="62" t="s">
        <v>1</v>
      </c>
      <c r="F2" s="82">
        <v>46236</v>
      </c>
      <c r="G2" s="82"/>
      <c r="H2" s="61"/>
      <c r="I2" s="83" t="s">
        <v>2</v>
      </c>
      <c r="J2" s="83"/>
      <c r="K2" s="61">
        <f>_xlfn.ISOWEEKNUM(C2)</f>
        <v>28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4"/>
  <sheetViews>
    <sheetView tabSelected="1" zoomScaleNormal="100" workbookViewId="0">
      <pane ySplit="4" topLeftCell="A734" activePane="bottomLeft" state="frozen"/>
      <selection pane="bottomLeft" activeCell="I743" sqref="I743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2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81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81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81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81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81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81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81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81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81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81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81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81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81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81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81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81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81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81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81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81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81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81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81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81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81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81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81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81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81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81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81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81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81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81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81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81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81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81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81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81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81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81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81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81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2" t="s">
        <v>2681</v>
      </c>
      <c r="B732" s="8" t="s">
        <v>2682</v>
      </c>
      <c r="C732" s="8" t="s">
        <v>36</v>
      </c>
      <c r="D732" s="8" t="s">
        <v>39</v>
      </c>
      <c r="E732" s="8" t="s">
        <v>47</v>
      </c>
      <c r="F732" s="13"/>
      <c r="G732" s="59"/>
      <c r="H732" s="6"/>
      <c r="I732" s="6">
        <f t="shared" si="53"/>
        <v>199.65277777777777</v>
      </c>
      <c r="J732" s="2" t="s">
        <v>2377</v>
      </c>
      <c r="K732" s="2">
        <v>5.76</v>
      </c>
      <c r="L732" s="2" t="s">
        <v>955</v>
      </c>
      <c r="M732" s="2" t="s">
        <v>2683</v>
      </c>
      <c r="N732" s="2" t="s">
        <v>2684</v>
      </c>
      <c r="O732" s="56">
        <v>1150</v>
      </c>
      <c r="P732" s="2" t="s">
        <v>2685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2686</v>
      </c>
      <c r="W732" s="2" t="s">
        <v>2687</v>
      </c>
      <c r="X732" s="2" t="s">
        <v>2688</v>
      </c>
      <c r="Y732" s="2" t="s">
        <v>2689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2" t="s">
        <v>2681</v>
      </c>
      <c r="B733" s="8" t="s">
        <v>2682</v>
      </c>
      <c r="C733" s="8" t="s">
        <v>36</v>
      </c>
      <c r="D733" s="8" t="s">
        <v>43</v>
      </c>
      <c r="E733" s="8" t="s">
        <v>47</v>
      </c>
      <c r="F733" s="13"/>
      <c r="G733" s="59"/>
      <c r="H733" s="6"/>
      <c r="I733" s="6">
        <f t="shared" ref="I733:I748" si="54"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2" t="s">
        <v>2681</v>
      </c>
      <c r="B734" s="8" t="s">
        <v>2682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2690</v>
      </c>
      <c r="K734" s="2">
        <v>4.45</v>
      </c>
      <c r="L734" s="2" t="s">
        <v>652</v>
      </c>
      <c r="M734" s="2" t="s">
        <v>2691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2692</v>
      </c>
      <c r="S734" s="2" t="s">
        <v>961</v>
      </c>
      <c r="T734" s="2" t="s">
        <v>869</v>
      </c>
      <c r="U734" s="2" t="s">
        <v>2693</v>
      </c>
      <c r="V734" s="2" t="s">
        <v>2694</v>
      </c>
      <c r="W734" s="2" t="s">
        <v>2695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2696</v>
      </c>
    </row>
    <row r="735" spans="1:28" x14ac:dyDescent="0.25">
      <c r="A735" s="2" t="s">
        <v>2681</v>
      </c>
      <c r="B735" s="8" t="s">
        <v>2682</v>
      </c>
      <c r="C735" s="8" t="s">
        <v>36</v>
      </c>
      <c r="D735" s="8" t="s">
        <v>67</v>
      </c>
      <c r="E735" s="8" t="s">
        <v>47</v>
      </c>
      <c r="F735" s="13"/>
      <c r="G735" s="59"/>
      <c r="H735" s="6"/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2697</v>
      </c>
      <c r="O735" s="56">
        <v>3845</v>
      </c>
      <c r="P735" s="2" t="s">
        <v>1847</v>
      </c>
      <c r="Q735" s="2" t="s">
        <v>1017</v>
      </c>
      <c r="R735" s="2" t="s">
        <v>2698</v>
      </c>
      <c r="S735" s="2" t="s">
        <v>961</v>
      </c>
      <c r="T735" s="2" t="s">
        <v>2149</v>
      </c>
      <c r="U735" s="2" t="s">
        <v>2009</v>
      </c>
      <c r="V735" s="2" t="s">
        <v>2699</v>
      </c>
      <c r="W735" s="2" t="s">
        <v>2700</v>
      </c>
      <c r="X735" s="2" t="s">
        <v>2701</v>
      </c>
      <c r="Y735" s="2" t="s">
        <v>2702</v>
      </c>
      <c r="Z735" s="2" t="s">
        <v>579</v>
      </c>
      <c r="AA735" s="2" t="s">
        <v>548</v>
      </c>
      <c r="AB735" s="2" t="s">
        <v>2703</v>
      </c>
    </row>
    <row r="736" spans="1:28" x14ac:dyDescent="0.25">
      <c r="A736" s="2" t="s">
        <v>2681</v>
      </c>
      <c r="B736" s="8" t="s">
        <v>2682</v>
      </c>
      <c r="C736" s="8" t="s">
        <v>36</v>
      </c>
      <c r="D736" s="8" t="s">
        <v>50</v>
      </c>
      <c r="E736" s="8" t="s">
        <v>47</v>
      </c>
      <c r="F736" s="13"/>
      <c r="G736" s="59"/>
      <c r="H736" s="6"/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2704</v>
      </c>
      <c r="N736" s="2" t="s">
        <v>2705</v>
      </c>
      <c r="O736" s="56">
        <v>2016</v>
      </c>
      <c r="P736" s="2" t="s">
        <v>993</v>
      </c>
      <c r="Q736" s="2" t="s">
        <v>2706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2707</v>
      </c>
      <c r="W736" s="2" t="s">
        <v>2708</v>
      </c>
      <c r="X736" s="2" t="s">
        <v>2709</v>
      </c>
      <c r="Y736" s="2" t="s">
        <v>2710</v>
      </c>
      <c r="Z736" s="2" t="s">
        <v>636</v>
      </c>
      <c r="AA736" s="2" t="s">
        <v>548</v>
      </c>
      <c r="AB736" s="2" t="s">
        <v>2711</v>
      </c>
    </row>
    <row r="737" spans="1:28" x14ac:dyDescent="0.25">
      <c r="A737" s="2" t="s">
        <v>2681</v>
      </c>
      <c r="B737" s="8" t="s">
        <v>2682</v>
      </c>
      <c r="C737" s="8" t="s">
        <v>36</v>
      </c>
      <c r="D737" s="8" t="s">
        <v>52</v>
      </c>
      <c r="E737" s="8" t="s">
        <v>47</v>
      </c>
      <c r="F737" s="13"/>
      <c r="G737" s="59"/>
      <c r="H737" s="6"/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2712</v>
      </c>
      <c r="N737" s="2" t="s">
        <v>2713</v>
      </c>
      <c r="O737" s="56">
        <v>722</v>
      </c>
      <c r="P737" s="2" t="s">
        <v>1333</v>
      </c>
      <c r="Q737" s="2" t="s">
        <v>2714</v>
      </c>
      <c r="R737" s="2" t="s">
        <v>2715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2716</v>
      </c>
      <c r="X737" s="2" t="s">
        <v>2717</v>
      </c>
      <c r="Y737" s="2" t="s">
        <v>2718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2" t="s">
        <v>2681</v>
      </c>
      <c r="B738" s="8" t="s">
        <v>2682</v>
      </c>
      <c r="C738" s="8" t="s">
        <v>36</v>
      </c>
      <c r="D738" s="7" t="s">
        <v>46</v>
      </c>
      <c r="E738" s="7" t="s">
        <v>47</v>
      </c>
      <c r="F738" s="13"/>
      <c r="G738" s="59"/>
      <c r="H738" s="6"/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2719</v>
      </c>
      <c r="N738" s="2" t="s">
        <v>2720</v>
      </c>
      <c r="O738" s="56">
        <v>2182</v>
      </c>
      <c r="P738" s="2" t="s">
        <v>2721</v>
      </c>
      <c r="Q738" s="2" t="s">
        <v>2722</v>
      </c>
      <c r="R738" s="2" t="s">
        <v>1417</v>
      </c>
      <c r="S738" s="2" t="s">
        <v>611</v>
      </c>
      <c r="T738" s="2" t="s">
        <v>2723</v>
      </c>
      <c r="U738" s="2" t="s">
        <v>2724</v>
      </c>
      <c r="V738" s="2" t="s">
        <v>2725</v>
      </c>
      <c r="W738" s="2" t="s">
        <v>2726</v>
      </c>
      <c r="X738" s="2" t="s">
        <v>2727</v>
      </c>
      <c r="Y738" s="2" t="s">
        <v>2728</v>
      </c>
      <c r="Z738" s="2" t="s">
        <v>649</v>
      </c>
      <c r="AA738" s="2" t="s">
        <v>548</v>
      </c>
      <c r="AB738" s="2" t="s">
        <v>2729</v>
      </c>
    </row>
    <row r="739" spans="1:28" x14ac:dyDescent="0.25">
      <c r="A739" s="2" t="s">
        <v>2681</v>
      </c>
      <c r="B739" s="8" t="s">
        <v>2682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/>
      <c r="I739" s="6">
        <f t="shared" si="54"/>
        <v>814.32545201668984</v>
      </c>
      <c r="J739" s="2" t="s">
        <v>2730</v>
      </c>
      <c r="K739" s="2">
        <v>7.19</v>
      </c>
      <c r="L739" s="2" t="s">
        <v>561</v>
      </c>
      <c r="M739" s="2" t="s">
        <v>656</v>
      </c>
      <c r="N739" s="2" t="s">
        <v>2731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2732</v>
      </c>
      <c r="W739" s="2" t="s">
        <v>2733</v>
      </c>
      <c r="X739" s="2" t="s">
        <v>2734</v>
      </c>
      <c r="Y739" s="2" t="s">
        <v>2735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2" t="s">
        <v>2681</v>
      </c>
      <c r="B740" s="8" t="s">
        <v>2736</v>
      </c>
      <c r="C740" s="8" t="s">
        <v>36</v>
      </c>
      <c r="D740" s="8" t="s">
        <v>49</v>
      </c>
      <c r="E740" s="8" t="s">
        <v>47</v>
      </c>
      <c r="F740" s="13"/>
      <c r="G740" s="59"/>
      <c r="H740" s="6"/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2737</v>
      </c>
      <c r="N740" s="2" t="s">
        <v>2738</v>
      </c>
      <c r="O740" s="56">
        <v>5411</v>
      </c>
      <c r="P740" s="2" t="s">
        <v>2739</v>
      </c>
      <c r="Q740" s="2" t="s">
        <v>2740</v>
      </c>
      <c r="R740" s="2" t="s">
        <v>2741</v>
      </c>
      <c r="S740" s="2" t="s">
        <v>816</v>
      </c>
      <c r="T740" s="2" t="s">
        <v>2742</v>
      </c>
      <c r="U740" s="2" t="s">
        <v>2743</v>
      </c>
      <c r="V740" s="2" t="s">
        <v>2744</v>
      </c>
      <c r="W740" s="2" t="s">
        <v>2745</v>
      </c>
      <c r="X740" s="2" t="s">
        <v>2746</v>
      </c>
      <c r="Y740" s="2" t="s">
        <v>2747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2" t="s">
        <v>2748</v>
      </c>
      <c r="B741" s="8" t="s">
        <v>2682</v>
      </c>
      <c r="C741" s="8" t="s">
        <v>36</v>
      </c>
      <c r="D741" s="8" t="s">
        <v>39</v>
      </c>
      <c r="E741" s="8" t="s">
        <v>47</v>
      </c>
      <c r="F741" s="13"/>
      <c r="G741" s="59"/>
      <c r="H741" s="6"/>
      <c r="I741" s="6">
        <f t="shared" si="54"/>
        <v>266.7140825035562</v>
      </c>
      <c r="J741" s="2" t="s">
        <v>2749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2750</v>
      </c>
      <c r="R741" s="2" t="s">
        <v>2751</v>
      </c>
      <c r="S741" s="2" t="s">
        <v>642</v>
      </c>
      <c r="T741" s="2" t="s">
        <v>2170</v>
      </c>
      <c r="U741" s="2" t="s">
        <v>2752</v>
      </c>
      <c r="V741" s="2" t="s">
        <v>2753</v>
      </c>
      <c r="W741" s="2" t="s">
        <v>2754</v>
      </c>
      <c r="X741" s="2" t="s">
        <v>2755</v>
      </c>
      <c r="Y741" s="2" t="s">
        <v>2756</v>
      </c>
      <c r="Z741" s="2" t="s">
        <v>649</v>
      </c>
      <c r="AA741" s="2" t="s">
        <v>548</v>
      </c>
      <c r="AB741" s="2" t="s">
        <v>2757</v>
      </c>
    </row>
    <row r="742" spans="1:28" x14ac:dyDescent="0.25">
      <c r="A742" s="2" t="s">
        <v>2748</v>
      </c>
      <c r="B742" s="8" t="s">
        <v>2682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2809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2810</v>
      </c>
      <c r="V742" s="2" t="s">
        <v>2811</v>
      </c>
      <c r="W742" s="2" t="s">
        <v>2812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2813</v>
      </c>
    </row>
    <row r="743" spans="1:28" x14ac:dyDescent="0.25">
      <c r="A743" s="2" t="s">
        <v>2748</v>
      </c>
      <c r="B743" s="8" t="s">
        <v>2682</v>
      </c>
      <c r="C743" s="8" t="s">
        <v>36</v>
      </c>
      <c r="D743" s="8" t="s">
        <v>67</v>
      </c>
      <c r="E743" s="8" t="s">
        <v>47</v>
      </c>
      <c r="F743" s="13"/>
      <c r="G743" s="59"/>
      <c r="H743" s="6"/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2814</v>
      </c>
      <c r="N743" s="2" t="s">
        <v>2815</v>
      </c>
      <c r="O743" s="86">
        <v>673</v>
      </c>
      <c r="P743" s="2" t="s">
        <v>2816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2817</v>
      </c>
      <c r="X743" s="2" t="s">
        <v>2818</v>
      </c>
      <c r="Y743" s="2" t="s">
        <v>2819</v>
      </c>
      <c r="Z743" s="2" t="s">
        <v>602</v>
      </c>
      <c r="AA743" s="2" t="s">
        <v>548</v>
      </c>
      <c r="AB743" s="2" t="s">
        <v>2820</v>
      </c>
    </row>
    <row r="744" spans="1:28" x14ac:dyDescent="0.25">
      <c r="A744" s="2" t="s">
        <v>2748</v>
      </c>
      <c r="B744" s="8" t="s">
        <v>2682</v>
      </c>
      <c r="C744" s="8" t="s">
        <v>36</v>
      </c>
      <c r="D744" s="8" t="s">
        <v>50</v>
      </c>
      <c r="E744" s="8" t="s">
        <v>47</v>
      </c>
      <c r="F744" s="13"/>
      <c r="G744" s="59"/>
      <c r="H744" s="6"/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2821</v>
      </c>
      <c r="N744" s="2" t="s">
        <v>2822</v>
      </c>
      <c r="O744" s="8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2823</v>
      </c>
      <c r="X744" s="2" t="s">
        <v>2824</v>
      </c>
      <c r="Y744" s="2" t="s">
        <v>2825</v>
      </c>
      <c r="Z744" s="2" t="s">
        <v>618</v>
      </c>
      <c r="AA744" s="2" t="s">
        <v>548</v>
      </c>
      <c r="AB744" s="2" t="s">
        <v>2826</v>
      </c>
    </row>
    <row r="745" spans="1:28" x14ac:dyDescent="0.25">
      <c r="A745" s="2" t="s">
        <v>2748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2827</v>
      </c>
      <c r="N745" s="2" t="s">
        <v>548</v>
      </c>
      <c r="O745" s="8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2828</v>
      </c>
      <c r="W745" s="2" t="s">
        <v>2829</v>
      </c>
      <c r="X745" s="2" t="s">
        <v>2717</v>
      </c>
      <c r="Y745" s="2" t="s">
        <v>2718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2" t="s">
        <v>2748</v>
      </c>
      <c r="B746" s="8" t="s">
        <v>2682</v>
      </c>
      <c r="C746" s="8" t="s">
        <v>36</v>
      </c>
      <c r="D746" s="7" t="s">
        <v>46</v>
      </c>
      <c r="E746" s="7" t="s">
        <v>47</v>
      </c>
      <c r="F746" s="13"/>
      <c r="G746" s="59"/>
      <c r="H746" s="6"/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2830</v>
      </c>
      <c r="O746" s="86">
        <v>2084</v>
      </c>
      <c r="P746" s="2" t="s">
        <v>564</v>
      </c>
      <c r="Q746" s="2" t="s">
        <v>2831</v>
      </c>
      <c r="R746" s="2" t="s">
        <v>1866</v>
      </c>
      <c r="S746" s="2" t="s">
        <v>627</v>
      </c>
      <c r="T746" s="2" t="s">
        <v>2302</v>
      </c>
      <c r="U746" s="2" t="s">
        <v>2832</v>
      </c>
      <c r="V746" s="2" t="s">
        <v>1218</v>
      </c>
      <c r="W746" s="2" t="s">
        <v>2833</v>
      </c>
      <c r="X746" s="2" t="s">
        <v>2834</v>
      </c>
      <c r="Y746" s="2" t="s">
        <v>2835</v>
      </c>
      <c r="Z746" s="2" t="s">
        <v>800</v>
      </c>
      <c r="AA746" s="2" t="s">
        <v>548</v>
      </c>
      <c r="AB746" s="2" t="s">
        <v>2836</v>
      </c>
    </row>
    <row r="747" spans="1:28" x14ac:dyDescent="0.25">
      <c r="A747" s="2" t="s">
        <v>2748</v>
      </c>
      <c r="B747" s="8" t="s">
        <v>2682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/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2837</v>
      </c>
      <c r="N747" s="2" t="s">
        <v>2838</v>
      </c>
      <c r="O747" s="86">
        <v>8634</v>
      </c>
      <c r="P747" s="2" t="s">
        <v>2839</v>
      </c>
      <c r="Q747" s="2" t="s">
        <v>1435</v>
      </c>
      <c r="R747" s="2" t="s">
        <v>2840</v>
      </c>
      <c r="S747" s="2" t="s">
        <v>839</v>
      </c>
      <c r="T747" s="2" t="s">
        <v>2841</v>
      </c>
      <c r="U747" s="2" t="s">
        <v>2842</v>
      </c>
      <c r="V747" s="2" t="s">
        <v>2843</v>
      </c>
      <c r="W747" s="2" t="s">
        <v>2844</v>
      </c>
      <c r="X747" s="2" t="s">
        <v>2845</v>
      </c>
      <c r="Y747" s="2" t="s">
        <v>2846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2" t="s">
        <v>2748</v>
      </c>
      <c r="B748" s="8" t="s">
        <v>2736</v>
      </c>
      <c r="C748" s="8" t="s">
        <v>36</v>
      </c>
      <c r="D748" s="8" t="s">
        <v>49</v>
      </c>
      <c r="E748" s="8" t="s">
        <v>47</v>
      </c>
      <c r="F748" s="13"/>
      <c r="G748" s="59"/>
      <c r="H748" s="6"/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2847</v>
      </c>
      <c r="O748" s="86">
        <v>3889</v>
      </c>
      <c r="P748" s="2" t="s">
        <v>1389</v>
      </c>
      <c r="Q748" s="2" t="s">
        <v>2848</v>
      </c>
      <c r="R748" s="2" t="s">
        <v>2849</v>
      </c>
      <c r="S748" s="2" t="s">
        <v>712</v>
      </c>
      <c r="T748" s="2" t="s">
        <v>1447</v>
      </c>
      <c r="U748" s="2" t="s">
        <v>2434</v>
      </c>
      <c r="V748" s="2" t="s">
        <v>2850</v>
      </c>
      <c r="W748" s="2" t="s">
        <v>2851</v>
      </c>
      <c r="X748" s="2" t="s">
        <v>2852</v>
      </c>
      <c r="Y748" s="2" t="s">
        <v>2853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7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7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7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7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7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7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7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7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7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7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7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7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7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7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7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7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7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7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7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7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7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7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7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7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7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7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x14ac:dyDescent="0.25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x14ac:dyDescent="0.25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</sheetData>
  <autoFilter ref="A4:AB731" xr:uid="{00000000-0001-0000-0000-000000000000}">
    <sortState xmlns:xlrd2="http://schemas.microsoft.com/office/spreadsheetml/2017/richdata2" ref="A5:AB732">
      <sortCondition ref="A4:A73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G22" sqref="G22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2758</v>
      </c>
      <c r="R1" t="s">
        <v>2759</v>
      </c>
      <c r="S1" t="s">
        <v>2760</v>
      </c>
      <c r="T1" t="s">
        <v>2761</v>
      </c>
    </row>
    <row r="2" spans="1:20" x14ac:dyDescent="0.2">
      <c r="Q2" s="18" t="s">
        <v>982</v>
      </c>
      <c r="R2" s="19">
        <v>12634</v>
      </c>
      <c r="S2" s="19">
        <v>24000</v>
      </c>
      <c r="T2" s="19">
        <v>8479</v>
      </c>
    </row>
    <row r="3" spans="1:20" x14ac:dyDescent="0.2">
      <c r="A3" s="9" t="s">
        <v>2758</v>
      </c>
      <c r="B3" s="15" t="s">
        <v>2760</v>
      </c>
      <c r="C3" s="15" t="s">
        <v>2759</v>
      </c>
      <c r="D3" t="s">
        <v>2762</v>
      </c>
      <c r="Q3" s="18" t="s">
        <v>1361</v>
      </c>
      <c r="R3" s="19">
        <v>8451</v>
      </c>
      <c r="S3" s="19">
        <v>24000</v>
      </c>
      <c r="T3" s="19">
        <v>6570</v>
      </c>
    </row>
    <row r="4" spans="1:20" x14ac:dyDescent="0.2">
      <c r="A4" s="10" t="s">
        <v>2254</v>
      </c>
      <c r="B4" s="15">
        <v>90000</v>
      </c>
      <c r="C4" s="15">
        <v>73396</v>
      </c>
      <c r="D4">
        <v>34</v>
      </c>
      <c r="Q4" s="18" t="s">
        <v>1827</v>
      </c>
      <c r="R4" s="19">
        <v>21413</v>
      </c>
      <c r="S4" s="19">
        <v>24000</v>
      </c>
      <c r="T4" s="19">
        <v>17022</v>
      </c>
    </row>
    <row r="5" spans="1:20" x14ac:dyDescent="0.2">
      <c r="A5" s="11" t="s">
        <v>47</v>
      </c>
      <c r="B5" s="15">
        <v>90000</v>
      </c>
      <c r="C5" s="15">
        <v>73396</v>
      </c>
      <c r="D5">
        <v>34</v>
      </c>
      <c r="Q5" s="18" t="s">
        <v>2254</v>
      </c>
      <c r="R5" s="19">
        <v>23332</v>
      </c>
      <c r="S5" s="19">
        <v>23999.999999999996</v>
      </c>
      <c r="T5" s="19">
        <v>17642</v>
      </c>
    </row>
    <row r="6" spans="1:20" x14ac:dyDescent="0.2">
      <c r="A6" s="12">
        <v>46235</v>
      </c>
      <c r="B6" s="15">
        <v>15000</v>
      </c>
      <c r="C6" s="15">
        <v>10880</v>
      </c>
      <c r="D6">
        <v>7</v>
      </c>
      <c r="Q6" s="18" t="s">
        <v>2763</v>
      </c>
      <c r="R6" s="19">
        <v>65830</v>
      </c>
      <c r="S6" s="19">
        <v>96000</v>
      </c>
      <c r="T6" s="19">
        <v>49713</v>
      </c>
    </row>
    <row r="7" spans="1:20" x14ac:dyDescent="0.2">
      <c r="A7" s="12">
        <v>46234</v>
      </c>
      <c r="B7" s="15">
        <v>15000</v>
      </c>
      <c r="C7" s="15">
        <v>13206</v>
      </c>
      <c r="D7">
        <v>6</v>
      </c>
    </row>
    <row r="8" spans="1:20" x14ac:dyDescent="0.2">
      <c r="A8" s="12">
        <v>46233</v>
      </c>
      <c r="B8" s="15">
        <v>15000</v>
      </c>
      <c r="C8" s="15">
        <v>13528</v>
      </c>
      <c r="D8">
        <v>5</v>
      </c>
    </row>
    <row r="9" spans="1:20" x14ac:dyDescent="0.2">
      <c r="A9" s="12">
        <v>46232</v>
      </c>
      <c r="B9" s="15">
        <v>15000</v>
      </c>
      <c r="C9" s="15">
        <v>13669</v>
      </c>
      <c r="D9">
        <v>5</v>
      </c>
    </row>
    <row r="10" spans="1:20" x14ac:dyDescent="0.2">
      <c r="A10" s="12">
        <v>46231</v>
      </c>
      <c r="B10" s="15">
        <v>15000</v>
      </c>
      <c r="C10" s="15">
        <v>8290</v>
      </c>
      <c r="D10">
        <v>5</v>
      </c>
    </row>
    <row r="11" spans="1:20" x14ac:dyDescent="0.2">
      <c r="A11" s="12">
        <v>46230</v>
      </c>
      <c r="B11" s="15">
        <v>15000</v>
      </c>
      <c r="C11" s="15">
        <v>13823</v>
      </c>
      <c r="D11">
        <v>6</v>
      </c>
    </row>
    <row r="12" spans="1:20" hidden="1" x14ac:dyDescent="0.2">
      <c r="A12" s="10" t="s">
        <v>2763</v>
      </c>
      <c r="B12" s="15">
        <v>90000</v>
      </c>
      <c r="C12" s="15">
        <v>73396</v>
      </c>
      <c r="D12">
        <v>34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2758</v>
      </c>
      <c r="B3" t="s">
        <v>2760</v>
      </c>
      <c r="C3" t="s">
        <v>2764</v>
      </c>
      <c r="O3" s="9" t="s">
        <v>2758</v>
      </c>
      <c r="P3" t="s">
        <v>2760</v>
      </c>
      <c r="Q3" t="s">
        <v>2764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2765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2763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2763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2766</v>
      </c>
      <c r="G3" s="17" t="s">
        <v>2767</v>
      </c>
      <c r="H3" s="17" t="s">
        <v>2768</v>
      </c>
      <c r="I3" s="17" t="s">
        <v>2769</v>
      </c>
      <c r="J3" s="17" t="s">
        <v>2770</v>
      </c>
      <c r="K3" s="17" t="s">
        <v>2771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2772</v>
      </c>
    </row>
    <row r="5" spans="6:11" x14ac:dyDescent="0.2">
      <c r="F5" s="17">
        <v>116</v>
      </c>
      <c r="H5" s="17">
        <v>110</v>
      </c>
      <c r="J5" s="17" t="s">
        <v>2773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2774</v>
      </c>
    </row>
    <row r="3" spans="1:17" x14ac:dyDescent="0.2">
      <c r="A3" s="25" t="s">
        <v>7</v>
      </c>
      <c r="B3" s="25" t="s">
        <v>2775</v>
      </c>
      <c r="C3" s="25" t="s">
        <v>2776</v>
      </c>
      <c r="D3" s="25" t="s">
        <v>2777</v>
      </c>
      <c r="E3" s="25" t="s">
        <v>2778</v>
      </c>
      <c r="F3" s="25" t="s">
        <v>2779</v>
      </c>
      <c r="H3" s="22" t="s">
        <v>2779</v>
      </c>
      <c r="I3" s="22" t="s">
        <v>2775</v>
      </c>
      <c r="J3" s="22" t="s">
        <v>2776</v>
      </c>
      <c r="K3" s="22" t="s">
        <v>2778</v>
      </c>
      <c r="L3" s="22" t="s">
        <v>2780</v>
      </c>
      <c r="M3" s="25" t="s">
        <v>2781</v>
      </c>
      <c r="O3" s="25" t="s">
        <v>7</v>
      </c>
      <c r="P3" s="25" t="s">
        <v>2778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2782</v>
      </c>
      <c r="H4" s="28" t="s">
        <v>2782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2782</v>
      </c>
      <c r="H5" s="28" t="s">
        <v>2783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2782</v>
      </c>
      <c r="H6" s="28" t="s">
        <v>2784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2782</v>
      </c>
      <c r="H7" s="28" t="s">
        <v>2785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2782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2782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2782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2782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2782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2782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2783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2783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2783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2783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2783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2783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2783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2784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2784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2784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2784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2784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2784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2784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2784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2784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2784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2784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2784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2784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2785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2785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2785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2785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2785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2785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2785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2785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2785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2785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2785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2785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2785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2785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2785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2785</v>
      </c>
    </row>
    <row r="50" spans="1:6" x14ac:dyDescent="0.2">
      <c r="A50" s="85" t="s">
        <v>2786</v>
      </c>
      <c r="B50" s="85"/>
      <c r="C50" s="85"/>
      <c r="E50" s="23">
        <f>SUM(E4:E49)</f>
        <v>12900</v>
      </c>
    </row>
    <row r="56" spans="1:6" ht="15.75" x14ac:dyDescent="0.25">
      <c r="A56" s="34" t="s">
        <v>2787</v>
      </c>
    </row>
    <row r="57" spans="1:6" ht="25.5" x14ac:dyDescent="0.2">
      <c r="A57" s="35" t="s">
        <v>2788</v>
      </c>
      <c r="B57" s="36" t="s">
        <v>2789</v>
      </c>
      <c r="C57" s="36" t="s">
        <v>2790</v>
      </c>
      <c r="D57" s="36" t="s">
        <v>2791</v>
      </c>
    </row>
    <row r="58" spans="1:6" x14ac:dyDescent="0.2">
      <c r="A58" s="40" t="s">
        <v>2792</v>
      </c>
      <c r="B58" s="37">
        <v>108384.01</v>
      </c>
      <c r="C58" s="37"/>
      <c r="D58" s="37">
        <v>108384.01</v>
      </c>
    </row>
    <row r="59" spans="1:6" x14ac:dyDescent="0.2">
      <c r="A59" s="40" t="s">
        <v>2793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2794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2795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2796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2797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2798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2799</v>
      </c>
      <c r="B65" s="37">
        <v>23860.793000000001</v>
      </c>
      <c r="C65" s="37"/>
      <c r="D65" s="37"/>
    </row>
    <row r="66" spans="1:4" x14ac:dyDescent="0.2">
      <c r="A66" s="40" t="s">
        <v>2800</v>
      </c>
      <c r="B66" s="37">
        <v>1344.431</v>
      </c>
      <c r="C66" s="37"/>
      <c r="D66" s="37"/>
    </row>
    <row r="67" spans="1:4" x14ac:dyDescent="0.2">
      <c r="A67" s="38" t="s">
        <v>2786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2801</v>
      </c>
      <c r="E2" s="48" t="s">
        <v>2802</v>
      </c>
      <c r="F2" s="48" t="s">
        <v>2803</v>
      </c>
      <c r="G2" s="48" t="s">
        <v>2804</v>
      </c>
      <c r="H2" s="48" t="s">
        <v>2805</v>
      </c>
      <c r="I2" s="48" t="s">
        <v>2806</v>
      </c>
      <c r="J2" s="48" t="s">
        <v>2807</v>
      </c>
      <c r="K2" s="48" t="s">
        <v>2808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2026-08-05T20:01:08Z</dcterms:modified>
  <cp:category/>
  <cp:contentStatus/>
</cp:coreProperties>
</file>