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131" documentId="8_{CE5C6F22-4BE2-41D0-BCDC-905D26C0C4E3}" xr6:coauthVersionLast="47" xr6:coauthVersionMax="47" xr10:uidLastSave="{08864A7B-5AD1-49CE-BD55-208F31571A59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25" r:id="rId9"/>
    <pivotCache cacheId="26" r:id="rId10"/>
    <pivotCache cacheId="27" r:id="rId11"/>
    <pivotCache cacheId="28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0" i="1" l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<sst xmlns="http://schemas.openxmlformats.org/spreadsheetml/2006/main" count="9398" uniqueCount="2799">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</sst>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1">
      <pivotArea outline="0" collapsedLevelsAreSubtotals="1" fieldPosition="0"/>
    </format>
    <format dxfId="2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5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6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2">
        <v>46230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>
      <c r="C3" t="s">
        <v>3</v>
      </c>
      <c r="U3" s="64"/>
      <c r="V3" s="64"/>
      <c r="W3" s="64"/>
      <c r="X3" s="64"/>
      <c r="Y3" s="64"/>
      <c r="Z3" s="64"/>
    </row>
    <row r="4" spans="1:27" ht="1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4" sqref="T4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2">
        <v>46209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>
      <c r="U3" s="64"/>
      <c r="V3" s="64"/>
      <c r="W3" s="64"/>
      <c r="X3" s="64"/>
      <c r="Y3" s="64"/>
      <c r="Z3" s="64"/>
    </row>
    <row r="4" spans="1:27" ht="1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28" activePane="bottomLeft" state="frozen"/>
      <selection pane="bottomLeft" activeCell="F742" sqref="F742"/>
    </sheetView>
  </sheetViews>
  <sheetFormatPr defaultColWidth="9.140625" defaultRowHeight="1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>
      <c r="A1" s="53" t="s">
        <v>4</v>
      </c>
      <c r="O1" s="75"/>
    </row>
    <row r="2" spans="1:28">
      <c r="A2" s="53" t="s">
        <v>5</v>
      </c>
      <c r="H2" s="1">
        <f>15000/7</f>
        <v>2142.8571428571427</v>
      </c>
      <c r="O2" s="75"/>
    </row>
    <row r="3" spans="1:28">
      <c r="A3" s="53" t="s">
        <v>6</v>
      </c>
      <c r="O3" s="75"/>
    </row>
    <row r="4" spans="1:28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>
      <c r="A706" s="81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>
      <c r="A707" s="81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>
      <c r="A708" s="81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>
      <c r="A709" s="81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>
      <c r="A710" s="81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>
      <c r="A711" s="81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>
      <c r="A712" s="81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>
      <c r="A713" s="81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>
      <c r="A714" s="81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>
      <c r="A715" s="81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>
      <c r="A716" s="81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>
      <c r="A717" s="81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>
      <c r="A718" s="81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>
      <c r="A719" s="81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>
      <c r="A720" s="81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>
      <c r="A721" s="81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>
      <c r="A722" s="81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>
      <c r="A723" s="81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>
      <c r="A732" s="2" t="s">
        <v>2681</v>
      </c>
      <c r="B732" s="8" t="s">
        <v>2682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2683</v>
      </c>
      <c r="N732" s="2" t="s">
        <v>2684</v>
      </c>
      <c r="O732" s="56">
        <v>1150</v>
      </c>
      <c r="P732" s="2" t="s">
        <v>2685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2686</v>
      </c>
      <c r="W732" s="2" t="s">
        <v>2687</v>
      </c>
      <c r="X732" s="2" t="s">
        <v>2688</v>
      </c>
      <c r="Y732" s="2" t="s">
        <v>2689</v>
      </c>
      <c r="Z732" s="2" t="s">
        <v>548</v>
      </c>
      <c r="AA732" s="2" t="s">
        <v>548</v>
      </c>
      <c r="AB732" s="2" t="s">
        <v>2672</v>
      </c>
    </row>
    <row r="733" spans="1:28">
      <c r="A733" s="2" t="s">
        <v>2681</v>
      </c>
      <c r="B733" s="8" t="s">
        <v>2682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40" si="0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>
      <c r="A734" s="2" t="s">
        <v>2681</v>
      </c>
      <c r="B734" s="8" t="s">
        <v>2682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0"/>
        <v>202.24719101123594</v>
      </c>
      <c r="J734" s="2" t="s">
        <v>2690</v>
      </c>
      <c r="K734" s="2">
        <v>4.45</v>
      </c>
      <c r="L734" s="2" t="s">
        <v>652</v>
      </c>
      <c r="M734" s="2" t="s">
        <v>2691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2692</v>
      </c>
      <c r="S734" s="2" t="s">
        <v>961</v>
      </c>
      <c r="T734" s="2" t="s">
        <v>869</v>
      </c>
      <c r="U734" s="2" t="s">
        <v>2693</v>
      </c>
      <c r="V734" s="2" t="s">
        <v>2694</v>
      </c>
      <c r="W734" s="2" t="s">
        <v>2695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2696</v>
      </c>
    </row>
    <row r="735" spans="1:28">
      <c r="A735" s="2" t="s">
        <v>2681</v>
      </c>
      <c r="B735" s="8" t="s">
        <v>2682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0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2697</v>
      </c>
      <c r="O735" s="56">
        <v>3845</v>
      </c>
      <c r="P735" s="2" t="s">
        <v>1847</v>
      </c>
      <c r="Q735" s="2" t="s">
        <v>1017</v>
      </c>
      <c r="R735" s="2" t="s">
        <v>2698</v>
      </c>
      <c r="S735" s="2" t="s">
        <v>961</v>
      </c>
      <c r="T735" s="2" t="s">
        <v>2149</v>
      </c>
      <c r="U735" s="2" t="s">
        <v>2009</v>
      </c>
      <c r="V735" s="2" t="s">
        <v>2699</v>
      </c>
      <c r="W735" s="2" t="s">
        <v>2700</v>
      </c>
      <c r="X735" s="2" t="s">
        <v>2701</v>
      </c>
      <c r="Y735" s="2" t="s">
        <v>2702</v>
      </c>
      <c r="Z735" s="2" t="s">
        <v>579</v>
      </c>
      <c r="AA735" s="2" t="s">
        <v>548</v>
      </c>
      <c r="AB735" s="2" t="s">
        <v>2703</v>
      </c>
    </row>
    <row r="736" spans="1:28">
      <c r="A736" s="2" t="s">
        <v>2681</v>
      </c>
      <c r="B736" s="8" t="s">
        <v>2682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0"/>
        <v>283.54430379746833</v>
      </c>
      <c r="J736" s="2" t="s">
        <v>2101</v>
      </c>
      <c r="K736" s="2">
        <v>7.11</v>
      </c>
      <c r="L736" s="2" t="s">
        <v>734</v>
      </c>
      <c r="M736" s="2" t="s">
        <v>2704</v>
      </c>
      <c r="N736" s="2" t="s">
        <v>2705</v>
      </c>
      <c r="O736" s="56">
        <v>2016</v>
      </c>
      <c r="P736" s="2" t="s">
        <v>993</v>
      </c>
      <c r="Q736" s="2" t="s">
        <v>2706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2707</v>
      </c>
      <c r="W736" s="2" t="s">
        <v>2708</v>
      </c>
      <c r="X736" s="2" t="s">
        <v>2709</v>
      </c>
      <c r="Y736" s="2" t="s">
        <v>2710</v>
      </c>
      <c r="Z736" s="2" t="s">
        <v>636</v>
      </c>
      <c r="AA736" s="2" t="s">
        <v>548</v>
      </c>
      <c r="AB736" s="2" t="s">
        <v>2711</v>
      </c>
    </row>
    <row r="737" spans="1:28">
      <c r="A737" s="2" t="s">
        <v>2681</v>
      </c>
      <c r="B737" s="8" t="s">
        <v>2682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0"/>
        <v>253.33333333333331</v>
      </c>
      <c r="J737" s="2" t="s">
        <v>726</v>
      </c>
      <c r="K737" s="2">
        <v>2.85</v>
      </c>
      <c r="L737" s="2" t="s">
        <v>618</v>
      </c>
      <c r="M737" s="2" t="s">
        <v>2712</v>
      </c>
      <c r="N737" s="2" t="s">
        <v>2713</v>
      </c>
      <c r="O737" s="56">
        <v>722</v>
      </c>
      <c r="P737" s="2" t="s">
        <v>1333</v>
      </c>
      <c r="Q737" s="2" t="s">
        <v>2714</v>
      </c>
      <c r="R737" s="2" t="s">
        <v>2715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2716</v>
      </c>
      <c r="X737" s="2" t="s">
        <v>2717</v>
      </c>
      <c r="Y737" s="2" t="s">
        <v>2718</v>
      </c>
      <c r="Z737" s="2" t="s">
        <v>548</v>
      </c>
      <c r="AA737" s="2" t="s">
        <v>548</v>
      </c>
      <c r="AB737" s="2" t="s">
        <v>2638</v>
      </c>
    </row>
    <row r="738" spans="1:28">
      <c r="A738" s="2" t="s">
        <v>2681</v>
      </c>
      <c r="B738" s="8" t="s">
        <v>2682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0"/>
        <v>344.70774091627175</v>
      </c>
      <c r="J738" s="2" t="s">
        <v>2381</v>
      </c>
      <c r="K738" s="2">
        <v>6.33</v>
      </c>
      <c r="L738" s="2" t="s">
        <v>1321</v>
      </c>
      <c r="M738" s="2" t="s">
        <v>2719</v>
      </c>
      <c r="N738" s="2" t="s">
        <v>2720</v>
      </c>
      <c r="O738" s="56">
        <v>2182</v>
      </c>
      <c r="P738" s="2" t="s">
        <v>2721</v>
      </c>
      <c r="Q738" s="2" t="s">
        <v>2722</v>
      </c>
      <c r="R738" s="2" t="s">
        <v>1417</v>
      </c>
      <c r="S738" s="2" t="s">
        <v>611</v>
      </c>
      <c r="T738" s="2" t="s">
        <v>2723</v>
      </c>
      <c r="U738" s="2" t="s">
        <v>2724</v>
      </c>
      <c r="V738" s="2" t="s">
        <v>2725</v>
      </c>
      <c r="W738" s="2" t="s">
        <v>2726</v>
      </c>
      <c r="X738" s="2" t="s">
        <v>2727</v>
      </c>
      <c r="Y738" s="2" t="s">
        <v>2728</v>
      </c>
      <c r="Z738" s="2" t="s">
        <v>649</v>
      </c>
      <c r="AA738" s="2" t="s">
        <v>548</v>
      </c>
      <c r="AB738" s="2" t="s">
        <v>2729</v>
      </c>
    </row>
    <row r="739" spans="1:28">
      <c r="A739" s="2" t="s">
        <v>2681</v>
      </c>
      <c r="B739" s="8" t="s">
        <v>2682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0"/>
        <v>814.32545201668984</v>
      </c>
      <c r="J739" s="2" t="s">
        <v>2730</v>
      </c>
      <c r="K739" s="2">
        <v>7.19</v>
      </c>
      <c r="L739" s="2" t="s">
        <v>561</v>
      </c>
      <c r="M739" s="2" t="s">
        <v>656</v>
      </c>
      <c r="N739" s="2" t="s">
        <v>2731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2732</v>
      </c>
      <c r="W739" s="2" t="s">
        <v>2733</v>
      </c>
      <c r="X739" s="2" t="s">
        <v>2734</v>
      </c>
      <c r="Y739" s="2" t="s">
        <v>2735</v>
      </c>
      <c r="Z739" s="2" t="s">
        <v>548</v>
      </c>
      <c r="AA739" s="2" t="s">
        <v>548</v>
      </c>
      <c r="AB739" s="2" t="s">
        <v>2657</v>
      </c>
    </row>
    <row r="740" spans="1:28">
      <c r="A740" s="2" t="s">
        <v>2681</v>
      </c>
      <c r="B740" s="8" t="s">
        <v>2736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0"/>
        <v>513.37760910815939</v>
      </c>
      <c r="J740" s="2" t="s">
        <v>1213</v>
      </c>
      <c r="K740" s="2">
        <v>10.54</v>
      </c>
      <c r="L740" s="2" t="s">
        <v>605</v>
      </c>
      <c r="M740" s="2" t="s">
        <v>2737</v>
      </c>
      <c r="N740" s="2" t="s">
        <v>2738</v>
      </c>
      <c r="O740" s="56">
        <v>5411</v>
      </c>
      <c r="P740" s="2" t="s">
        <v>2739</v>
      </c>
      <c r="Q740" s="2" t="s">
        <v>2740</v>
      </c>
      <c r="R740" s="2" t="s">
        <v>2741</v>
      </c>
      <c r="S740" s="2" t="s">
        <v>816</v>
      </c>
      <c r="T740" s="2" t="s">
        <v>2742</v>
      </c>
      <c r="U740" s="2" t="s">
        <v>2743</v>
      </c>
      <c r="V740" s="2" t="s">
        <v>2744</v>
      </c>
      <c r="W740" s="2" t="s">
        <v>2745</v>
      </c>
      <c r="X740" s="2" t="s">
        <v>2746</v>
      </c>
      <c r="Y740" s="2" t="s">
        <v>2747</v>
      </c>
      <c r="Z740" s="2" t="s">
        <v>548</v>
      </c>
      <c r="AA740" s="2" t="s">
        <v>548</v>
      </c>
      <c r="AB740" s="2" t="s">
        <v>1231</v>
      </c>
    </row>
    <row r="741" spans="1:28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>
      <c r="Q1" s="9" t="s">
        <v>2748</v>
      </c>
      <c r="R1" t="s">
        <v>2749</v>
      </c>
      <c r="S1" t="s">
        <v>2750</v>
      </c>
      <c r="T1" t="s">
        <v>2751</v>
      </c>
    </row>
    <row r="2" spans="1:20">
      <c r="Q2" s="18" t="s">
        <v>982</v>
      </c>
      <c r="R2" s="19">
        <v>12634</v>
      </c>
      <c r="S2" s="19">
        <v>24000</v>
      </c>
      <c r="T2" s="19">
        <v>8479</v>
      </c>
    </row>
    <row r="3" spans="1:20">
      <c r="A3" s="9" t="s">
        <v>2748</v>
      </c>
      <c r="B3" s="15" t="s">
        <v>2750</v>
      </c>
      <c r="C3" s="15" t="s">
        <v>2749</v>
      </c>
      <c r="D3" t="s">
        <v>2752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>
      <c r="A6" s="12">
        <v>46235</v>
      </c>
      <c r="B6" s="15">
        <v>15000</v>
      </c>
      <c r="C6" s="15">
        <v>10880</v>
      </c>
      <c r="D6">
        <v>7</v>
      </c>
      <c r="Q6" s="18" t="s">
        <v>2753</v>
      </c>
      <c r="R6" s="19">
        <v>65830</v>
      </c>
      <c r="S6" s="19">
        <v>96000</v>
      </c>
      <c r="T6" s="19">
        <v>49713</v>
      </c>
    </row>
    <row r="7" spans="1:20">
      <c r="A7" s="12">
        <v>46234</v>
      </c>
      <c r="B7" s="15">
        <v>15000</v>
      </c>
      <c r="C7" s="15">
        <v>13206</v>
      </c>
      <c r="D7">
        <v>6</v>
      </c>
    </row>
    <row r="8" spans="1:20">
      <c r="A8" s="12">
        <v>46233</v>
      </c>
      <c r="B8" s="15">
        <v>15000</v>
      </c>
      <c r="C8" s="15">
        <v>13528</v>
      </c>
      <c r="D8">
        <v>5</v>
      </c>
    </row>
    <row r="9" spans="1:20">
      <c r="A9" s="12">
        <v>46232</v>
      </c>
      <c r="B9" s="15">
        <v>15000</v>
      </c>
      <c r="C9" s="15">
        <v>13669</v>
      </c>
      <c r="D9">
        <v>5</v>
      </c>
    </row>
    <row r="10" spans="1:20">
      <c r="A10" s="12">
        <v>46231</v>
      </c>
      <c r="B10" s="15">
        <v>15000</v>
      </c>
      <c r="C10" s="15">
        <v>8290</v>
      </c>
      <c r="D10">
        <v>5</v>
      </c>
    </row>
    <row r="11" spans="1:20">
      <c r="A11" s="12">
        <v>46230</v>
      </c>
      <c r="B11" s="15">
        <v>15000</v>
      </c>
      <c r="C11" s="15">
        <v>13823</v>
      </c>
      <c r="D11">
        <v>6</v>
      </c>
    </row>
    <row r="12" spans="1:20" hidden="1">
      <c r="A12" s="10" t="s">
        <v>2753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>
      <c r="A3" s="9" t="s">
        <v>2748</v>
      </c>
      <c r="B3" t="s">
        <v>2750</v>
      </c>
      <c r="C3" t="s">
        <v>2754</v>
      </c>
      <c r="O3" s="9" t="s">
        <v>2748</v>
      </c>
      <c r="P3" t="s">
        <v>2750</v>
      </c>
      <c r="Q3" t="s">
        <v>2754</v>
      </c>
    </row>
    <row r="4" spans="1:17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>
      <c r="A8" s="55">
        <v>46170</v>
      </c>
      <c r="B8" s="52">
        <v>2</v>
      </c>
      <c r="C8" s="52">
        <v>2.2142500000000003</v>
      </c>
      <c r="O8" s="10" t="s">
        <v>2755</v>
      </c>
    </row>
    <row r="9" spans="1:17">
      <c r="A9" s="55">
        <v>46171</v>
      </c>
      <c r="B9" s="52">
        <v>2</v>
      </c>
      <c r="C9" s="52">
        <v>2.0195454545454545</v>
      </c>
      <c r="O9" s="10" t="s">
        <v>2753</v>
      </c>
      <c r="P9">
        <v>48</v>
      </c>
      <c r="Q9">
        <v>35.931320898056192</v>
      </c>
    </row>
    <row r="10" spans="1:17">
      <c r="A10" s="55">
        <v>46172</v>
      </c>
      <c r="B10" s="52">
        <v>2</v>
      </c>
      <c r="C10" s="52">
        <v>1.7595238095238097</v>
      </c>
    </row>
    <row r="11" spans="1:17">
      <c r="A11" s="10" t="s">
        <v>2753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>
      <c r="F3" s="17" t="s">
        <v>2756</v>
      </c>
      <c r="G3" s="17" t="s">
        <v>2757</v>
      </c>
      <c r="H3" s="17" t="s">
        <v>2758</v>
      </c>
      <c r="I3" s="17" t="s">
        <v>2759</v>
      </c>
      <c r="J3" s="17" t="s">
        <v>2760</v>
      </c>
      <c r="K3" s="17" t="s">
        <v>2761</v>
      </c>
    </row>
    <row r="4" spans="6:11">
      <c r="F4" s="17">
        <v>99</v>
      </c>
      <c r="G4" s="17">
        <v>101</v>
      </c>
      <c r="H4" s="17">
        <v>96</v>
      </c>
      <c r="I4" s="17">
        <v>97</v>
      </c>
      <c r="J4" s="17" t="s">
        <v>2762</v>
      </c>
    </row>
    <row r="5" spans="6:11">
      <c r="F5" s="17">
        <v>116</v>
      </c>
      <c r="H5" s="17">
        <v>110</v>
      </c>
      <c r="J5" s="17" t="s">
        <v>2763</v>
      </c>
    </row>
    <row r="6" spans="6:11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>
      <c r="A1" s="30"/>
    </row>
    <row r="2" spans="1:17" ht="18.75">
      <c r="A2" s="30"/>
      <c r="O2" s="33" t="s">
        <v>2764</v>
      </c>
    </row>
    <row r="3" spans="1:17">
      <c r="A3" s="25" t="s">
        <v>7</v>
      </c>
      <c r="B3" s="25" t="s">
        <v>2765</v>
      </c>
      <c r="C3" s="25" t="s">
        <v>2766</v>
      </c>
      <c r="D3" s="25" t="s">
        <v>2767</v>
      </c>
      <c r="E3" s="25" t="s">
        <v>2768</v>
      </c>
      <c r="F3" s="25" t="s">
        <v>2769</v>
      </c>
      <c r="H3" s="22" t="s">
        <v>2769</v>
      </c>
      <c r="I3" s="22" t="s">
        <v>2765</v>
      </c>
      <c r="J3" s="22" t="s">
        <v>2766</v>
      </c>
      <c r="K3" s="22" t="s">
        <v>2768</v>
      </c>
      <c r="L3" s="22" t="s">
        <v>2770</v>
      </c>
      <c r="M3" s="25" t="s">
        <v>2771</v>
      </c>
      <c r="O3" s="25" t="s">
        <v>7</v>
      </c>
      <c r="P3" s="25" t="s">
        <v>2768</v>
      </c>
      <c r="Q3" s="25" t="s">
        <v>14</v>
      </c>
    </row>
    <row r="4" spans="1:17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2772</v>
      </c>
      <c r="H4" s="28" t="s">
        <v>2772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2772</v>
      </c>
      <c r="H5" s="28" t="s">
        <v>2773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2772</v>
      </c>
      <c r="H6" s="28" t="s">
        <v>2774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2772</v>
      </c>
      <c r="H7" s="28" t="s">
        <v>2775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2772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2772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2772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2772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2772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2772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2773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2773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2773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2773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2773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2773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2773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2774</v>
      </c>
    </row>
    <row r="22" spans="1:17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2774</v>
      </c>
    </row>
    <row r="23" spans="1:17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2774</v>
      </c>
    </row>
    <row r="24" spans="1:17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2774</v>
      </c>
    </row>
    <row r="25" spans="1:17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2774</v>
      </c>
    </row>
    <row r="26" spans="1:17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2774</v>
      </c>
    </row>
    <row r="27" spans="1:17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2774</v>
      </c>
    </row>
    <row r="28" spans="1:17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2774</v>
      </c>
    </row>
    <row r="29" spans="1:17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2774</v>
      </c>
    </row>
    <row r="30" spans="1:17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2774</v>
      </c>
    </row>
    <row r="31" spans="1:17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2774</v>
      </c>
    </row>
    <row r="32" spans="1:17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2774</v>
      </c>
    </row>
    <row r="33" spans="1:10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2774</v>
      </c>
    </row>
    <row r="34" spans="1:10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2775</v>
      </c>
    </row>
    <row r="35" spans="1:10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2775</v>
      </c>
      <c r="I35" s="26"/>
      <c r="J35" s="26"/>
    </row>
    <row r="36" spans="1:10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2775</v>
      </c>
    </row>
    <row r="37" spans="1:10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2775</v>
      </c>
    </row>
    <row r="38" spans="1:10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2775</v>
      </c>
    </row>
    <row r="39" spans="1:10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2775</v>
      </c>
    </row>
    <row r="40" spans="1:10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2775</v>
      </c>
    </row>
    <row r="41" spans="1:10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2775</v>
      </c>
    </row>
    <row r="42" spans="1:10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2775</v>
      </c>
    </row>
    <row r="43" spans="1:10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2775</v>
      </c>
    </row>
    <row r="44" spans="1:10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2775</v>
      </c>
    </row>
    <row r="45" spans="1:10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2775</v>
      </c>
    </row>
    <row r="46" spans="1:10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2775</v>
      </c>
    </row>
    <row r="47" spans="1:10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2775</v>
      </c>
    </row>
    <row r="48" spans="1:10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2775</v>
      </c>
    </row>
    <row r="49" spans="1:6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2775</v>
      </c>
    </row>
    <row r="50" spans="1:6">
      <c r="A50" s="85" t="s">
        <v>2776</v>
      </c>
      <c r="B50" s="85"/>
      <c r="C50" s="85"/>
      <c r="E50" s="23">
        <f>SUM(E4:E49)</f>
        <v>12900</v>
      </c>
    </row>
    <row r="56" spans="1:6" ht="15.75">
      <c r="A56" s="34" t="s">
        <v>2777</v>
      </c>
    </row>
    <row r="57" spans="1:6" ht="25.5">
      <c r="A57" s="35" t="s">
        <v>2778</v>
      </c>
      <c r="B57" s="36" t="s">
        <v>2779</v>
      </c>
      <c r="C57" s="36" t="s">
        <v>2780</v>
      </c>
      <c r="D57" s="36" t="s">
        <v>2781</v>
      </c>
    </row>
    <row r="58" spans="1:6">
      <c r="A58" s="40" t="s">
        <v>2782</v>
      </c>
      <c r="B58" s="37">
        <v>108384.01</v>
      </c>
      <c r="C58" s="37"/>
      <c r="D58" s="37">
        <v>108384.01</v>
      </c>
    </row>
    <row r="59" spans="1:6">
      <c r="A59" s="40" t="s">
        <v>2783</v>
      </c>
      <c r="B59" s="37">
        <v>226208.87299999999</v>
      </c>
      <c r="C59" s="37"/>
      <c r="D59" s="37">
        <v>226208.87299999999</v>
      </c>
    </row>
    <row r="60" spans="1:6">
      <c r="A60" s="40" t="s">
        <v>2784</v>
      </c>
      <c r="B60" s="37">
        <f>185.64+208.48</f>
        <v>394.12</v>
      </c>
      <c r="C60" s="37"/>
      <c r="D60" s="37">
        <f>185.64+208.48</f>
        <v>394.12</v>
      </c>
    </row>
    <row r="61" spans="1:6">
      <c r="A61" s="40" t="s">
        <v>2785</v>
      </c>
      <c r="B61" s="37">
        <f>418.45+517.43</f>
        <v>935.87999999999988</v>
      </c>
      <c r="C61" s="37"/>
      <c r="D61" s="37">
        <f>418.45+517.43</f>
        <v>935.87999999999988</v>
      </c>
    </row>
    <row r="62" spans="1:6">
      <c r="A62" s="40" t="s">
        <v>2786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>
      <c r="A63" s="40" t="s">
        <v>2787</v>
      </c>
      <c r="B63" s="37">
        <v>23784.219000000001</v>
      </c>
      <c r="C63" s="37"/>
      <c r="D63" s="37">
        <v>23784.219000000001</v>
      </c>
    </row>
    <row r="64" spans="1:6">
      <c r="A64" s="40" t="s">
        <v>2788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>
      <c r="A65" s="40" t="s">
        <v>2789</v>
      </c>
      <c r="B65" s="37">
        <v>23860.793000000001</v>
      </c>
      <c r="C65" s="37"/>
      <c r="D65" s="37"/>
    </row>
    <row r="66" spans="1:4">
      <c r="A66" s="40" t="s">
        <v>2790</v>
      </c>
      <c r="B66" s="37">
        <v>1344.431</v>
      </c>
      <c r="C66" s="37"/>
      <c r="D66" s="37"/>
    </row>
    <row r="67" spans="1:4">
      <c r="A67" s="38" t="s">
        <v>2776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>
      <c r="B2" s="47" t="s">
        <v>7</v>
      </c>
      <c r="C2" s="47" t="s">
        <v>8</v>
      </c>
      <c r="D2" s="48" t="s">
        <v>2791</v>
      </c>
      <c r="E2" s="48" t="s">
        <v>2792</v>
      </c>
      <c r="F2" s="48" t="s">
        <v>2793</v>
      </c>
      <c r="G2" s="48" t="s">
        <v>2794</v>
      </c>
      <c r="H2" s="48" t="s">
        <v>2795</v>
      </c>
      <c r="I2" s="48" t="s">
        <v>2796</v>
      </c>
      <c r="J2" s="48" t="s">
        <v>2797</v>
      </c>
      <c r="K2" s="48" t="s">
        <v>2798</v>
      </c>
      <c r="L2" s="48" t="s">
        <v>14</v>
      </c>
    </row>
    <row r="3" spans="2:1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2026-08-05T11:28:40Z</dcterms:modified>
  <cp:category/>
  <cp:contentStatus/>
</cp:coreProperties>
</file>