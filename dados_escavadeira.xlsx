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559" documentId="8_{CE5C6F22-4BE2-41D0-BCDC-905D26C0C4E3}" xr6:coauthVersionLast="47" xr6:coauthVersionMax="47" xr10:uidLastSave="{2B7602CB-C1DD-4DFB-8E48-625F659EE8D7}"/>
  <bookViews>
    <workbookView xWindow="34785" yWindow="0" windowWidth="14610" windowHeight="15585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BD!$A$4:$AB$792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2" r:id="rId9"/>
    <pivotCache cacheId="3" r:id="rId10"/>
    <pivotCache cacheId="4" r:id="rId11"/>
    <pivotCache cacheId="5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96" i="1" l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<sst xmlns="http://schemas.openxmlformats.org/spreadsheetml/2006/main" count="10209" uniqueCount="3025">
  <si>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</si>
  <si>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</si>
  <si>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</si>
  <si>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</si>
  <si>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</si>
  <si>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</si>
  <si>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</si>
  <si>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</si>
  <si>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</si>
  <si>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</si>
  <si>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</si>
  <si>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</si>
  <si>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</si>
  <si>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</si>
  <si>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</si>
  <si>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</si>
  <si>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</si>
  <si>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</si>
  <si>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</si>
  <si>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</si>
  <si>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</si>
  <si>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</si>
  <si>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</si>
  <si>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</si>
  <si>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</si>
  <si>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</si>
  <si>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</si>
  <si>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</si>
  <si>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</si>
  <si>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</si>
  <si>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</si>
  <si>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</si>
  <si>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</si>
  <si>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</si>
  <si>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</si>
  <si>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</si>
  <si>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</si>
  <si>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</si>
  <si>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</si>
  <si>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</si>
  <si>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</si>
  <si>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</si>
  <si>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</si>
  <si>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</si>
  <si>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</si>
  <si>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</si>
  <si>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</si>
  <si>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</si>
  <si>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</si>
  <si>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</si>
  <si>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</si>
  <si>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</si>
  <si>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</si>
  <si>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</si>
  <si>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</si>
  <si>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</si>
  <si>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</si>
  <si>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</si>
  <si>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</si>
  <si>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</si>
  <si>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</si>
  <si>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</si>
  <si>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</si>
  <si>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</si>
  <si>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</si>
  <si>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</si>
  <si>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</si>
  <si>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</si>
  <si>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</si>
  <si>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</si>
  <si>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</si>
  <si>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</si>
  <si>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</si>
  <si>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</si>
  <si>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</si>
  <si>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</si>
  <si>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</si>
  <si>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</si>
  <si>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</si>
  <si>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</si>
  <si>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</si>
  <si>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</si>
  <si>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</si>
  <si>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</si>
  <si>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</si>
  <si>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</si>
  <si>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</si>
  <si>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</si>
  <si>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</si>
  <si>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</si>
  <si>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</si>
  <si>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</si>
  <si>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</si>
  <si>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</si>
  <si>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</si>
  <si>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</si>
  <si>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</si>
  <si>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</si>
  <si>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</si>
  <si>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</si>
  <si>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</si>
  <si>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</si>
  <si>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</si>
  <si>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</si>
  <si>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</si>
  <si>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</si>
  <si>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</si>
  <si>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</si>
  <si>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</si>
  <si>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</si>
  <si>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</si>
  <si>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</si>
  <si>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</si>
  <si>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</si>
  <si>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</si>
  <si>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</si>
  <si>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</si>
  <si>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</si>
  <si>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</si>
  <si>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</si>
  <si>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</si>
  <si>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</si>
  <si>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</si>
  <si>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</si>
  <si>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</si>
  <si>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</si>
  <si>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</si>
  <si>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</si>
  <si>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</si>
  <si>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</si>
  <si>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</si>
  <si>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</si>
  <si>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</si>
  <si>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</si>
  <si>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</si>
  <si>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</si>
  <si>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</si>
  <si>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</si>
  <si>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</si>
  <si>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</si>
  <si>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</si>
  <si>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</si>
  <si>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</si>
  <si>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</si>
  <si>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</si>
  <si>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</si>
  <si>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</si>
  <si>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</si>
  <si>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</si>
  <si>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</si>
  <si>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</si>
  <si>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</si>
  <si>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</si>
  <si>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</si>
  <si>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</si>
  <si>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</si>
  <si>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</si>
  <si>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</si>
  <si>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</si>
  <si>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</si>
  <si>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</si>
  <si>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</si>
  <si>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</si>
  <si>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</si>
  <si>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</si>
  <si>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</si>
  <si>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</si>
  <si>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</si>
  <si>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</si>
  <si>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</si>
  <si>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</si>
  <si>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</si>
  <si>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</si>
  <si>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</si>
  <si>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</si>
  <si>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</si>
  <si>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</si>
  <si>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</si>
  <si>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</si>
  <si>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</si>
  <si>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</si>
  <si>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</si>
  <si>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</si>
  <si>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</si>
  <si>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</si>
  <si>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</si>
  <si>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</si>
  <si>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</si>
  <si>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</si>
  <si>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</si>
  <si>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</si>
  <si>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</si>
  <si>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</si>
  <si>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</si>
  <si>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</si>
  <si>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</si>
  <si>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</si>
  <si>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</si>
  <si>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</si>
  <si>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</si>
  <si>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</si>
  <si>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</si>
  <si>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</si>
  <si>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</si>
  <si>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</si>
  <si>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</si>
  <si>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</si>
  <si>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</si>
  <si>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</si>
  <si>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</si>
  <si>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</si>
  <si>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</si>
  <si>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</si>
  <si>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</si>
  <si>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</si>
  <si>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</si>
  <si>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</si>
  <si>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</si>
  <si>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</si>
  <si>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</si>
  <si>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</si>
  <si>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</si>
  <si>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</si>
  <si>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</si>
  <si>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</si>
  <si>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</si>
  <si>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</si>
  <si>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</si>
  <si>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</si>
  <si>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</si>
  <si>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</si>
  <si>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</si>
  <si>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</si>
  <si>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</si>
  <si>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</si>
  <si>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</si>
  <si>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</si>
  <si>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</si>
  <si>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</si>
  <si>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</si>
  <si>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</si>
  <si>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</si>
  <si>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</si>
  <si>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</si>
  <si>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</si>
  <si>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</si>
  <si>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</si>
  <si>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</si>
  <si>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</si>
  <si>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</si>
  <si>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</si>
  <si>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</si>
  <si>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</si>
  <si>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</si>
  <si>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</si>
  <si>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</si>
  <si>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</si>
  <si>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</si>
  <si>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</si>
  <si>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</si>
  <si>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</si>
  <si>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</si>
  <si>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</si>
  <si>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</si>
  <si>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</si>
  <si>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</si>
  <si>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</si>
  <si>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</si>
  <si>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</si>
  <si>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</si>
  <si>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</si>
  <si>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</si>
  <si>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</si>
  <si>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</si>
  <si>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</si>
  <si>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</si>
  <si>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</si>
  <si>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</si>
  <si>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</si>
  <si>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</si>
  <si>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</si>
  <si>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</si>
  <si>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</si>
  <si>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</si>
  <si>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</si>
  <si>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</si>
  <si>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</si>
  <si>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</si>
  <si>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</si>
  <si>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</si>
  <si>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</si>
  <si>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</si>
  <si>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</si>
  <si>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</si>
  <si>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</si>
  <si>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</si>
  <si>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</si>
  <si>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</si>
  <si>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</si>
  <si>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</si>
  <si>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</si>
  <si>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</si>
  <si>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</si>
  <si>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</si>
  <si>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</si>
  <si>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</si>
  <si>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</si>
  <si>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</si>
  <si>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</si>
  <si>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</si>
  <si>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</si>
  <si>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</si>
  <si>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</si>
  <si>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</si>
  <si>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</si>
  <si>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</si>
  <si>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</si>
  <si>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</si>
  <si>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</si>
  <si>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</si>
  <si>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</si>
  <si>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</si>
  <si>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</si>
  <si>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</si>
  <si>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</si>
  <si>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</si>
  <si>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</si>
  <si>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</si>
  <si>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</si>
  <si>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</si>
  <si>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</si>
  <si>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</si>
  <si>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</si>
  <si>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</si>
  <si>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</si>
  <si>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</si>
  <si>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</si>
  <si>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</si>
  <si>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</si>
  <si>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</si>
  <si>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</si>
  <si>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</si>
  <si>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</si>
  <si>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</si>
  <si>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</si>
  <si>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</si>
  <si>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</si>
  <si>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</si>
  <si>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</si>
  <si>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</si>
  <si>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</si>
  <si>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</si>
  <si>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</si>
  <si>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</si>
  <si>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</si>
  <si>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</si>
  <si>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</si>
  <si>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</si>
  <si>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</si>
  <si>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</si>
  <si>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</si>
  <si>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</si>
  <si>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</si>
  <si>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</si>
  <si>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</si>
  <si>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</si>
  <si>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</si>
  <si>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</si>
  <si>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</si>
  <si>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</si>
  <si>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</si>
  <si>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</si>
  <si>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</si>
  <si>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</si>
  <si>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</si>
  <si>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</si>
  <si>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</si>
  <si>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</si>
  <si>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</si>
  <si>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</si>
  <si>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</si>
  <si>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</si>
  <si>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</si>
  <si>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</si>
  <si>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</si>
  <si>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</si>
  <si>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</si>
  <si>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</si>
  <si>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</si>
  <si>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</si>
  <si>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</si>
  <si>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</si>
  <si>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</si>
  <si>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</si>
  <si>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</si>
  <si>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</si>
  <si>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</si>
  <si>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</si>
  <si>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</si>
  <si>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</si>
  <si>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</si>
  <si>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</si>
  <si>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</si>
  <si>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</si>
  <si>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</si>
  <si>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</si>
  <si>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</si>
  <si>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</si>
  <si>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</si>
  <si>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</si>
  <si>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</si>
  <si>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</si>
  <si>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</si>
  <si>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</si>
  <si>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</si>
  <si>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</si>
  <si>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</si>
  <si>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</si>
  <si>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</si>
  <si>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</si>
  <si>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</si>
  <si>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</si>
  <si>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</si>
  <si>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</si>
  <si>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</si>
  <si>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</si>
  <si>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</si>
  <si>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</si>
  <si>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</si>
  <si>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</si>
  <si>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</si>
  <si>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</si>
  <si>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</si>
  <si>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</si>
  <si>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</si>
  <si>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</si>
  <si>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</si>
  <si>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</si>
  <si>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</si>
  <si>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</si>
  <si>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</si>
  <si>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</si>
  <si>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</si>
  <si>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</si>
  <si>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</si>
  <si>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</si>
  <si>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</si>
  <si>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</si>
  <si>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</si>
  <si>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</si>
  <si>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</si>
  <si>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</si>
  <si>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</si>
  <si>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</si>
  <si>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</si>
  <si>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</si>
  <si>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</si>
  <si>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</si>
  <si>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</si>
  <si>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</si>
  <si>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</si>
  <si>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</si>
  <si>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</si>
  <si>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</si>
  <si>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</si>
  <si>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</si>
  <si>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</si>
  <si>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</si>
  <si>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</si>
  <si>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</si>
  <si>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</si>
  <si>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</si>
  <si>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</si>
  <si>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</si>
  <si>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</si>
  <si>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</si>
  <si>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</si>
  <si>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</si>
  <si>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</si>
  <si>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</si>
  <si>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</si>
  <si>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</si>
  <si>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</si>
  <si>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</si>
  <si>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</si>
  <si>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</si>
  <si>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</si>
  <si>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</si>
  <si>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</si>
  <si>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</si>
  <si>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</si>
  <si>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</si>
  <si>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</si>
  <si>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</si>
  <si>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</si>
  <si>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</si>
  <si>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</si>
  <si>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</si>
  <si>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</si>
  <si>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</si>
  <si>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</si>
  <si>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</si>
  <si>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</si>
  <si>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</si>
  <si>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</si>
  <si>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</si>
  <si>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</si>
  <si>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</si>
  <si>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</si>
  <si>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</si>
  <si>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</si>
  <si>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</si>
  <si>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</si>
  <si>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</si>
  <si>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</si>
  <si>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</si>
  <si>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</si>
  <si>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</si>
  <si>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</si>
  <si>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</si>
  <si>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</si>
  <si>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</si>
  <si>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</si>
  <si>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</si>
  <si>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</si>
  <si>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</si>
  <si>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</si>
  <si>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</si>
  <si>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</si>
  <si>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</si>
  <si>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</si>
  <si>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</si>
  <si>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</si>
  <si>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</si>
  <si>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</si>
  <si>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</si>
  <si>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</si>
  <si>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</si>
  <si>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</si>
  <si>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</si>
  <si>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</si>
  <si>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</si>
  <si>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</si>
  <si>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</si>
  <si>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</si>
  <si>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</si>
  <si>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</si>
  <si>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</si>
  <si>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</si>
  <si>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</si>
  <si>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</si>
  <si>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</si>
  <si>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</si>
  <si>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</si>
  <si>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</si>
  <si>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</si>
  <si>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</si>
  <si>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</si>
  <si>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</si>
  <si>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</si>
  <si>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</si>
  <si>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</si>
  <si>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</si>
  <si>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</si>
  <si>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</si>
  <si>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</si>
  <si>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</si>
  <si>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</si>
  <si>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</si>
  <si>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</si>
  <si>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</si>
  <si>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</si>
  <si>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</si>
  <si>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</si>
  <si>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</si>
  <si>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</si>
  <si>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</si>
  <si>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</si>
  <si>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</si>
  <si>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</si>
  <si>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</si>
  <si>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</si>
  <si>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</si>
  <si>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</si>
  <si>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</si>
  <si>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</si>
  <si>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</si>
  <si>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</si>
  <si>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</si>
  <si>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</si>
  <si>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</si>
  <si>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</si>
  <si>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</si>
  <si>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</si>
  <si>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</si>
  <si>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</si>
  <si>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</si>
  <si>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</si>
  <si>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</si>
  <si>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</si>
  <si>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</si>
  <si>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</si>
  <si>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</si>
  <si>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</si>
  <si>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</si>
  <si>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</si>
  <si>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</si>
  <si>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</si>
  <si>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</si>
  <si>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</si>
  <si>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</si>
  <si>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</si>
  <si>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</si>
  <si>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</si>
  <si>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</si>
  <si>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</si>
  <si>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</si>
  <si>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</si>
  <si>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</si>
  <si>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</si>
  <si>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</si>
  <si>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</si>
  <si>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</si>
  <si>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</si>
  <si>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</si>
  <si>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</si>
  <si>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</si>
  <si>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</si>
  <si>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</si>
  <si>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</si>
  <si>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</si>
  <si>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</si>
  <si>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</si>
  <si>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</si>
  <si>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</si>
  <si>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</si>
  <si>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</si>
  <si>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</si>
  <si>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</si>
  <si>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</si>
  <si>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</si>
  <si>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</si>
  <si>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</si>
  <si>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</si>
  <si>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</si>
  <si>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</si>
  <si>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</si>
  <si>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</si>
  <si>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</si>
  <si>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</si>
  <si>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</si>
  <si>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</si>
  <si>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</si>
  <si>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</si>
  <si>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</si>
  <si>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</si>
  <si>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</si>
  <si>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</si>
  <si>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</si>
  <si>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</si>
  <si>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</si>
  <si>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</si>
  <si>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</si>
  <si>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</si>
  <si>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</si>
  <si>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</si>
  <si>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</si>
  <si>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</si>
  <si>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</si>
  <si>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</si>
  <si>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</si>
  <si>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</si>
  <si>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</si>
  <si>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</si>
  <si>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</si>
  <si>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</si>
  <si>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</si>
  <si>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</si>
  <si>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</si>
  <si>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</si>
  <si>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</si>
  <si>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</si>
  <si>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</si>
  <si>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</si>
  <si>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</si>
  <si>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</si>
  <si>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</si>
  <si>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</si>
  <si>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</si>
  <si>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</si>
  <si>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</si>
  <si>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</si>
  <si>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</si>
  <si>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</si>
  <si>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</si>
  <si>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</si>
  <si>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</si>
  <si>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</si>
  <si>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</si>
  <si>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</si>
  <si>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</si>
  <si>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</si>
  <si>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</si>
  <si>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</si>
  <si>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</si>
  <si>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</si>
  <si>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</si>
  <si>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</si>
  <si>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</si>
  <si>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</si>
  <si>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</si>
  <si>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</si>
  <si>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</si>
  <si>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</si>
  <si>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</si>
  <si>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</si>
  <si>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</si>
  <si>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</si>
  <si>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</si>
  <si>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</si>
  <si>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</si>
  <si>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</si>
  <si>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</si>
  <si>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</si>
  <si>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</si>
  <si>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</si>
  <si>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</si>
  <si>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</si>
  <si>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</si>
  <si>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</si>
  <si>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</si>
  <si>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</si>
  <si>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</si>
  <si>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</si>
  <si>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</si>
  <si>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</si>
  <si>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</si>
  <si>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</si>
  <si>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</si>
  <si>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</si>
  <si>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</si>
  <si>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</si>
  <si>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</si>
  <si>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</si>
  <si>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</si>
  <si>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</si>
  <si>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</si>
  <si>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</si>
  <si>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</si>
  <si>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</si>
  <si>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</si>
  <si>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</si>
  <si>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</si>
  <si>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</si>
  <si>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</si>
  <si>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</si>
  <si>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</si>
  <si>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</si>
  <si>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</si>
  <si>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</si>
  <si>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</si>
  <si>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</si>
  <si>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</si>
  <si>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</si>
  <si>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</si>
  <si>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</si>
  <si>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</si>
  <si>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</si>
  <si>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</si>
  <si>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</si>
  <si>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</si>
  <si>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</si>
  <si>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</si>
  <si>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</si>
  <si>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</si>
  <si>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</si>
  <si>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</si>
  <si>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</si>
  <si>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</si>
  <si>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</si>
  <si>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</si>
  <si>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</si>
  <si>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</si>
  <si>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</si>
  <si>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</si>
  <si>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</si>
  <si>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</si>
  <si>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</si>
  <si>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</si>
  <si>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</si>
  <si>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</si>
  <si>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</si>
  <si>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</si>
  <si>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</si>
  <si>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</si>
  <si>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</si>
  <si>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</si>
  <si>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</si>
  <si>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</si>
  <si>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</si>
  <si>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</si>
  <si>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</si>
  <si>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</si>
  <si>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</si>
  <si>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</si>
  <si>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</si>
  <si>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</si>
  <si>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</si>
  <si>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</si>
  <si>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</si>
  <si>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</si>
  <si>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</si>
  <si>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</si>
  <si>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</si>
  <si>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</si>
  <si>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</si>
  <si>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</si>
  <si>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</si>
  <si>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</si>
  <si>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</si>
  <si>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</si>
  <si>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</si>
  <si>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</si>
  <si>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</si>
  <si>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</si>
  <si>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</si>
  <si>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</si>
  <si>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</si>
  <si>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</si>
  <si>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</si>
  <si>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</si>
  <si>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</si>
  <si>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</si>
  <si>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</si>
  <si>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</si>
  <si>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</si>
  <si>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</si>
  <si>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</si>
  <si>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</si>
  <si>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</si>
  <si>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</si>
  <si>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</si>
  <si>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</si>
  <si>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</si>
  <si>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</si>
  <si>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</si>
  <si>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</si>
  <si>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</si>
  <si>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</si>
  <si>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</si>
  <si>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</si>
  <si>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</si>
  <si>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</si>
  <si>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</si>
  <si>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</si>
  <si>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</si>
  <si>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</si>
  <si>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</si>
  <si>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</si>
  <si>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</si>
  <si>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</si>
  <si>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</si>
  <si>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</si>
  <si>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</si>
  <si>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</si>
  <si>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</si>
  <si>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</si>
  <si>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</si>
  <si>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</si>
  <si>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</si>
  <si>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</si>
  <si>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</si>
  <si>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</si>
  <si>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</si>
  <si>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</si>
  <si>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</si>
  <si>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</si>
  <si>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</si>
  <si>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</si>
  <si>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</si>
  <si>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</si>
  <si>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</si>
  <si>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</si>
  <si>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</si>
  <si>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</si>
  <si>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</si>
  <si>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</si>
  <si>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</si>
  <si>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</si>
  <si>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</si>
  <si>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</si>
  <si>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</si>
  <si>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</si>
  <si>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</si>
  <si>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</si>
  <si>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</si>
  <si>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</si>
  <si>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</si>
  <si>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</si>
  <si>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</si>
  <si>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</si>
  <si>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</si>
  <si>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</si>
  <si>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</si>
  <si>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</si>
  <si>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</si>
  <si>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</si>
  <si>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</si>
  <si>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</si>
  <si>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</si>
  <si>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</si>
  <si>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</si>
  <si>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</si>
  <si>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</si>
  <si>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</si>
  <si>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</si>
  <si>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</si>
  <si>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</si>
  <si>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</si>
  <si>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</si>
  <si>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</si>
  <si>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</si>
  <si>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</si>
  <si>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</si>
  <si>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</si>
  <si>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</si>
  <si>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</si>
  <si>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</si>
  <si>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</si>
  <si>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</si>
  <si>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</si>
  <si>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</si>
  <si>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</si>
  <si>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</si>
  <si>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</si>
  <si>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</si>
  <si>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</si>
  <si>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</si>
  <si>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</si>
  <si>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</si>
  <si>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</si>
  <si>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</si>
  <si>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</si>
  <si>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</si>
  <si>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</si>
  <si>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</si>
  <si>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</si>
  <si>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</si>
  <si>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</si>
  <si>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</si>
  <si>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</si>
  <si>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</si>
  <si>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</si>
  <si>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</si>
  <si>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</si>
  <si>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</si>
  <si>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</si>
  <si>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</si>
  <si>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</si>
  <si>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</si>
  <si>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</si>
  <si>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</si>
  <si>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</si>
  <si>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</si>
  <si>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</si>
  <si>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</si>
  <si>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</si>
  <si>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</si>
  <si>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</si>
  <si>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</si>
  <si>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</si>
  <si>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</si>
  <si>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</si>
  <si>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</si>
  <si>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</si>
  <si>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</si>
  <si>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</si>
  <si>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</si>
  <si>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</si>
  <si>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</si>
  <si>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</si>
  <si>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</si>
  <si>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</si>
  <si>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</si>
  <si>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</si>
  <si>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</si>
  <si>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</si>
  <si>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</si>
  <si>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</si>
  <si>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</si>
  <si>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</si>
  <si>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</si>
  <si>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</si>
  <si>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</si>
  <si>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</si>
  <si>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</si>
  <si>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</si>
  <si>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</si>
  <si>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</si>
  <si>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</si>
  <si>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</si>
  <si>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</si>
  <si>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</si>
  <si>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</si>
  <si>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</si>
  <si>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</si>
  <si>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</si>
  <si>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</si>
  <si>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</si>
  <si>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</si>
  <si>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</si>
  <si>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</si>
  <si>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</si>
  <si>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</si>
  <si>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</si>
  <si>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</si>
  <si>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</si>
  <si>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</si>
  <si>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</si>
  <si>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</si>
  <si>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</si>
  <si>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</si>
  <si>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</si>
  <si>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</si>
  <si>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</si>
  <si>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</si>
  <si>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</si>
  <si>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</si>
  <si>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</si>
  <si>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</si>
  <si>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</si>
  <si>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</si>
  <si>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</si>
  <si>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</si>
  <si>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</si>
  <si>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</si>
  <si>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</si>
  <si>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</si>
  <si>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</si>
  <si>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</si>
  <si>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</si>
  <si>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</si>
  <si>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</si>
  <si>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</si>
  <si>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</si>
  <si>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</si>
  <si>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</si>
  <si>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</si>
  <si>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</si>
  <si>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</si>
  <si>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</si>
  <si>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</si>
  <si>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</si>
  <si>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</si>
  <si>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</si>
  <si>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</si>
  <si>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</si>
  <si>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</si>
  <si>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</si>
  <si>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</si>
  <si>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</si>
  <si>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</si>
  <si>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</si>
  <si>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</si>
  <si>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</si>
  <si>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</si>
  <si>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</si>
  <si>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</si>
  <si>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</si>
  <si>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</si>
  <si>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</si>
  <si>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</si>
  <si>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</si>
  <si>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</si>
  <si>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</si>
  <si>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</si>
  <si>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</si>
  <si>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</si>
  <si>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</si>
  <si>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</si>
  <si>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</si>
  <si>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</si>
  <si>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</si>
  <si>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</si>
  <si>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</si>
  <si>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</si>
  <si>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</si>
  <si>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</si>
  <si>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</si>
  <si>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</si>
  <si>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</si>
  <si>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</si>
  <si>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</si>
  <si>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</si>
  <si>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</si>
  <si>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</si>
  <si>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</si>
  <si>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</si>
  <si>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</si>
  <si>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</si>
  <si>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</si>
  <si>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</si>
  <si>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</si>
  <si>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</si>
  <si>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</si>
  <si>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</si>
  <si>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</si>
  <si>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</si>
  <si>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</si>
  <si>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</si>
  <si>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</si>
  <si>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</si>
  <si>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</si>
  <si>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</si>
  <si>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</si>
  <si>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</si>
  <si>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</si>
  <si>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</si>
  <si>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</si>
  <si>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</si>
  <si>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</si>
  <si>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</si>
  <si>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</si>
  <si>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</si>
  <si>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</si>
  <si>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</si>
  <si>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</si>
  <si>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</si>
  <si>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</si>
  <si>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</si>
  <si>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</si>
  <si>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</si>
  <si>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</si>
  <si>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</si>
  <si>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</si>
  <si>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</si>
  <si>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</si>
  <si>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</si>
  <si>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</si>
  <si>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</si>
  <si>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</si>
  <si>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</si>
  <si>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</si>
  <si>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</si>
  <si>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</si>
  <si>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</si>
  <si>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</si>
  <si>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</si>
  <si>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</si>
  <si>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</si>
  <si>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</si>
  <si>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</si>
  <si>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</si>
  <si>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</si>
  <si>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</si>
  <si>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</si>
  <si>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</si>
  <si>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</si>
  <si>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</si>
  <si>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</si>
  <si>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</si>
  <si>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</si>
  <si>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</si>
  <si>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</si>
  <si>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</si>
  <si>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</si>
  <si>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</si>
  <si>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</si>
  <si>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</si>
  <si>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</si>
  <si>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</si>
  <si>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</si>
  <si>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</si>
  <si>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</si>
  <si>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</si>
  <si>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</si>
  <si>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</si>
  <si>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</si>
  <si>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</si>
  <si>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</si>
  <si>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</si>
  <si>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</si>
  <si>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</si>
  <si>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</si>
  <si>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</si>
  <si>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</si>
  <si>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</si>
  <si>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</si>
  <si>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</si>
  <si>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</si>
  <si>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</si>
  <si>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</si>
  <si>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</si>
  <si>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</si>
  <si>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</si>
  <si>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</si>
  <si>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</si>
  <si>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</si>
  <si>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</si>
  <si>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</si>
  <si>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</si>
  <si>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</si>
  <si>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</si>
  <si>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</si>
  <si>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</si>
  <si>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</si>
  <si>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</si>
  <si>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</si>
  <si>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</si>
  <si>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</si>
  <si>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</si>
  <si>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</si>
  <si>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</si>
  <si>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</si>
  <si>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</si>
  <si>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</si>
  <si>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</si>
  <si>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</si>
  <si>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</si>
  <si>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</si>
  <si>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</si>
  <si>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</si>
  <si>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</si>
  <si>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</si>
  <si>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</si>
  <si>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</si>
  <si>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</si>
  <si>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</si>
  <si>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</si>
  <si>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</si>
  <si>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</si>
  <si>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</si>
  <si>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</si>
  <si>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</si>
  <si>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</si>
  <si>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</si>
  <si>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</si>
  <si>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</si>
  <si>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</si>
  <si>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</si>
  <si>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</si>
  <si>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</si>
  <si>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</si>
  <si>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</si>
  <si>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</si>
  <si>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</si>
  <si>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</si>
  <si>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</si>
  <si>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</si>
  <si>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</si>
  <si>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</si>
  <si>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</si>
  <si>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</si>
  <si>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</si>
  <si>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</si>
  <si>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</si>
  <si>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</si>
  <si>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</si>
  <si>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</si>
  <si>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</si>
  <si>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</si>
  <si>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</si>
  <si>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</si>
  <si>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</si>
  <si>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</si>
  <si>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</si>
  <si>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</si>
  <si>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</si>
  <si>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</si>
  <si>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</si>
  <si>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</si>
  <si>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</si>
  <si>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</si>
  <si>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</si>
  <si>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</si>
  <si>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</si>
  <si>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</si>
  <si>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</si>
  <si>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</si>
  <si>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</si>
  <si>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</si>
  <si>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</si>
  <si>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</si>
  <si>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</si>
  <si>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</si>
  <si>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</si>
  <si>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</si>
  <si>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</si>
  <si>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</si>
  <si>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</si>
  <si>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</si>
  <si>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</si>
  <si>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</si>
  <si>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</si>
  <si>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</si>
  <si>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</si>
  <si>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</si>
  <si>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</si>
  <si>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</si>
  <si>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</si>
  <si>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</si>
  <si>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</si>
  <si>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</si>
  <si>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</si>
  <si>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</si>
  <si>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</si>
  <si>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</si>
  <si>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</si>
  <si>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</si>
  <si>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</si>
  <si>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</si>
  <si>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</si>
  <si>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</si>
  <si>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</si>
  <si>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</si>
  <si>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</si>
  <si>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</si>
  <si>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</si>
  <si>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</si>
  <si>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</si>
  <si>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</si>
  <si>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</si>
  <si>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</si>
  <si>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</si>
  <si>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</si>
  <si>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</si>
  <si>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</si>
  <si>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</si>
  <si>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</si>
  <si>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</si>
  <si>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</si>
  <si>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</si>
  <si>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</si>
  <si>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</si>
  <si>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</si>
  <si>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</si>
  <si>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</si>
  <si>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</si>
  <si>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</si>
  <si>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</si>
  <si>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</si>
  <si>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</si>
  <si>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</si>
  <si>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</si>
  <si>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</si>
  <si>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</si>
  <si>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</si>
  <si>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</si>
  <si>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</si>
  <si>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</si>
  <si>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</si>
  <si>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</si>
  <si>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</si>
  <si>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</si>
  <si>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</si>
  <si>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</si>
  <si>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</si>
  <si>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</si>
  <si>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</si>
  <si>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</si>
  <si>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</si>
  <si>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</si>
  <si>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</si>
  <si>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</si>
  <si>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</si>
  <si>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</si>
  <si>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</si>
  <si>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</si>
  <si>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</si>
  <si>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</si>
  <si>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</si>
  <si>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</si>
  <si>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</si>
  <si>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</si>
  <si>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</si>
  <si>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</si>
  <si>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</si>
  <si>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</si>
  <si>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</si>
  <si>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</si>
  <si>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</si>
  <si>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</si>
  <si>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</si>
  <si>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</si>
  <si>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</si>
  <si>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</si>
  <si>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</si>
  <si>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</si>
  <si>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</si>
  <si>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</si>
  <si>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</si>
  <si>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</si>
  <si>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</si>
  <si>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</si>
  <si>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</si>
  <si>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</si>
  <si>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</si>
  <si>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</si>
  <si>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</si>
  <si>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</si>
  <si>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</si>
  <si>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</si>
  <si>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</si>
  <si>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</si>
  <si>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</si>
  <si>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</si>
  <si>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</si>
  <si>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</si>
  <si>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</si>
  <si>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</si>
  <si>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</si>
  <si>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</si>
  <si>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</si>
  <si>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</si>
  <si>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</si>
  <si>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</si>
  <si>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</si>
  <si>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</si>
  <si>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</si>
  <si>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</si>
  <si>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</si>
  <si>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</si>
  <si>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</si>
  <si>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</si>
  <si>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</si>
  <si>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</si>
  <si>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</si>
  <si>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</si>
  <si>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</si>
  <si>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</si>
  <si>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</si>
  <si>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</si>
  <si>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</si>
  <si>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</si>
  <si>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</si>
  <si>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</si>
  <si>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</si>
  <si>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</si>
  <si>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</si>
  <si>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</si>
  <si>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</si>
  <si>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</si>
  <si>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</si>
  <si>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</si>
  <si>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</si>
  <si>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</si>
  <si>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</si>
  <si>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</si>
  <si>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</si>
  <si>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</si>
  <si>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</si>
  <si>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</si>
  <si>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</si>
  <si>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</si>
  <si>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</si>
  <si>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</si>
  <si>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</si>
  <si>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</si>
  <si>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</si>
  <si>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</si>
  <si>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</si>
  <si>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</si>
  <si>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</si>
  <si>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</si>
  <si>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</si>
  <si>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</si>
  <si>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</si>
  <si>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</si>
  <si>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</si>
  <si>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</si>
  <si>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</si>
  <si>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</si>
  <si>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</si>
  <si>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</si>
  <si>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</si>
  <si>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</si>
  <si>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</si>
  <si>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</si>
  <si>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</si>
  <si>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</si>
  <si>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</si>
  <si>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</si>
  <si>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</si>
  <si>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</si>
  <si>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</si>
  <si>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</si>
  <si>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</si>
  <si>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</si>
  <si>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</si>
  <si>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</si>
  <si>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</si>
  <si>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</si>
  <si>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</si>
  <si>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</si>
  <si>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</si>
  <si>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</si>
  <si>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</si>
  <si>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</si>
  <si>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</si>
  <si>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</si>
  <si>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</si>
  <si>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</si>
  <si>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</si>
  <si>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</si>
  <si>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</si>
  <si>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</si>
  <si>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</si>
  <si>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</si>
  <si>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</si>
  <si>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</si>
  <si>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</si>
  <si>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</si>
  <si>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</si>
  <si>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</si>
  <si>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</si>
  <si>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</si>
  <si>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</si>
  <si>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</si>
  <si>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</si>
  <si>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</si>
  <si>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</si>
  <si>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</si>
  <si>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</si>
  <si>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</si>
  <si>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</si>
  <si>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</si>
  <si>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</si>
  <si>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</si>
  <si>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</si>
  <si>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</si>
  <si>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</si>
  <si>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</si>
  <si>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</si>
  <si>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</si>
  <si>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</si>
  <si>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</si>
  <si>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</si>
  <si>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</si>
  <si>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</si>
  <si>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</si>
  <si>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</si>
  <si>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</si>
  <si>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</si>
  <si>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</si>
  <si>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</si>
  <si>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</si>
  <si>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</si>
  <si>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</si>
  <si>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</si>
  <si>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</si>
  <si>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</si>
  <si>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</si>
  <si>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</si>
  <si>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</si>
  <si>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</si>
  <si>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</si>
  <si>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</si>
  <si>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</si>
  <si>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</si>
  <si>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</si>
  <si>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</si>
  <si>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</si>
  <si>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</si>
  <si>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</si>
  <si>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</si>
  <si>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</si>
  <si>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</si>
  <si>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</si>
  <si>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</si>
  <si>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</si>
  <si>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</si>
  <si>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</si>
  <si>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</si>
  <si>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</si>
  <si>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</si>
  <si>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</si>
  <si>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</si>
  <si>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</si>
  <si>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</si>
  <si>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</si>
  <si>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</si>
  <si>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</si>
  <si>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</si>
  <si>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</si>
  <si>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</si>
  <si>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</si>
  <si>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</si>
  <si>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</si>
  <si>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</si>
  <si>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</si>
  <si>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</si>
  <si>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</si>
  <si>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</si>
  <si>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</si>
  <si>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</si>
  <si>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</si>
  <si>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</si>
  <si>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</si>
  <si>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</si>
  <si>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</si>
  <si>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</si>
  <si>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</si>
  <si>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</si>
  <si>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</si>
  <si>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</si>
  <si>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</si>
  <si>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</si>
  <si>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</si>
  <si>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</si>
  <si>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</si>
  <si>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</si>
  <si>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</si>
  <si>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</si>
  <si>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</si>
  <si>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</si>
  <si>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</si>
  <si>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</si>
  <si>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</si>
  <si>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</si>
  <si>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</si>
  <si>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</si>
  <si>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</si>
  <si>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</si>
  <si>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</si>
  <si>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</si>
  <si>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</si>
  <si>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</si>
  <si>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</si>
  <si>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</si>
  <si>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</si>
  <si>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</si>
  <si>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</si>
  <si>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</si>
  <si>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</si>
  <si>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</si>
  <si>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</si>
  <si>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</si>
  <si>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</si>
  <si>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</si>
  <si>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</si>
  <si>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</si>
  <si>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</si>
  <si>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</si>
  <si>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</si>
  <si>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</si>
  <si>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</si>
  <si>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</si>
  <si>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</si>
  <si>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</si>
  <si>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</si>
  <si>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</si>
  <si>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</si>
  <si>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</si>
  <si>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</si>
  <si>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</si>
  <si>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</si>
  <si>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</si>
  <si>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</si>
  <si>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</si>
  <si>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</si>
  <si>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</si>
  <si>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</si>
  <si>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</si>
  <si>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</si>
  <si>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</si>
  <si>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</si>
  <si>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</si>
  <si>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</si>
  <si>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</si>
  <si>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</si>
  <si>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</si>
  <si>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</si>
  <si>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</si>
  <si>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</si>
  <si>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</si>
  <si>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</si>
  <si>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</si>
  <si>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</si>
  <si>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</si>
  <si>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</si>
  <si>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</si>
  <si>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</si>
  <si>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</si>
  <si>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</si>
  <si>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</si>
  <si>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</si>
  <si>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</si>
  <si>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</si>
  <si>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</si>
  <si>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</si>
  <si>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</si>
  <si>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</si>
  <si>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</si>
  <si>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</si>
  <si>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</si>
  <si>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</si>
  <si>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</si>
  <si>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</si>
  <si>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</si>
  <si>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</si>
  <si>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</si>
  <si>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</si>
  <si>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</si>
  <si>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</si>
  <si>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</si>
  <si>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</si>
  <si>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</si>
  <si>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</si>
  <si>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</si>
  <si>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</si>
  <si>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</si>
  <si>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</si>
  <si>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</si>
  <si>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</si>
  <si>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</si>
  <si>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</si>
  <si>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</si>
  <si>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</si>
  <si>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</si>
  <si>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</si>
  <si>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</si>
  <si>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</si>
  <si>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</si>
  <si>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</si>
  <si>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</si>
  <si>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</si>
  <si>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</si>
  <si>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</si>
  <si>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</si>
  <si>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</si>
  <si>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</si>
  <si>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</si>
  <si>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</si>
  <si>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</si>
  <si>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</si>
  <si>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</si>
  <si>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</si>
  <si>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</si>
  <si>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</si>
  <si>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</si>
  <si>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</si>
  <si>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</si>
  <si>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</si>
  <si>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</si>
  <si>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</si>
  <si>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</si>
  <si>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</si>
  <si>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</si>
  <si>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</si>
  <si>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</si>
  <si>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</si>
  <si>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</si>
  <si>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</si>
  <si>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</si>
  <si>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</si>
  <si>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</si>
  <si>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</si>
  <si>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</si>
  <si>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</si>
  <si>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</si>
  <si>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</si>
  <si>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</si>
  <si>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</si>
  <si>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</si>
  <si>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</si>
  <si>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</si>
  <si>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</si>
  <si>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</si>
  <si>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</si>
  <si>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</si>
  <si>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</si>
  <si>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</si>
  <si>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</si>
  <si>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</si>
  <si>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</si>
  <si>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</si>
  <si>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</si>
  <si>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</si>
  <si>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</si>
  <si>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</si>
  <si>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</si>
  <si>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</si>
  <si>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</si>
  <si>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</si>
  <si>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</si>
  <si>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</si>
  <si>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</si>
  <si>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</si>
  <si>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</si>
  <si>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</si>
  <si>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</si>
  <si>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</si>
  <si>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</si>
  <si>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</si>
  <si>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</si>
  <si>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</si>
  <si>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</si>
  <si>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</si>
  <si>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</si>
  <si>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</si>
  <si>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</si>
  <si>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</si>
  <si>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</si>
  <si>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</si>
  <si>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</si>
  <si>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</si>
  <si>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</si>
  <si>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</si>
  <si>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</si>
  <si>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</si>
  <si>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</si>
  <si>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</si>
  <si>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</si>
  <si>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</si>
  <si>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</si>
  <si>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</si>
  <si>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</si>
  <si>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</si>
  <si>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</si>
  <si>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</si>
  <si>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</si>
  <si>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</si>
  <si>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</si>
  <si>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</si>
  <si>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</si>
  <si>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</si>
  <si>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</si>
  <si>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</si>
  <si>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</si>
  <si>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</si>
  <si>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</si>
  <si>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</si>
  <si>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</si>
  <si>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</si>
  <si>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</si>
  <si>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</si>
  <si>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</si>
  <si>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</si>
  <si>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</si>
  <si>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</si>
  <si>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</si>
  <si>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</si>
  <si>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</si>
  <si>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</si>
  <si>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</si>
  <si>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</si>
  <si>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</si>
  <si>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</si>
  <si>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</si>
  <si>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</si>
  <si>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</si>
  <si>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</si>
  <si>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</si>
  <si>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</si>
  <si>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</si>
  <si>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</si>
  <si>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</si>
  <si>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</si>
  <si>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</si>
  <si>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</si>
  <si>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</si>
  <si>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</si>
  <si>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</si>
  <si>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</si>
  <si>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</si>
  <si>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</si>
  <si>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</si>
  <si>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</si>
  <si>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</si>
  <si>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</si>
  <si>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</si>
  <si>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</si>
  <si>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</si>
  <si>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</si>
  <si>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</si>
  <si>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</si>
  <si>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</si>
  <si>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</si>
  <si>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</si>
  <si>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</si>
  <si>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</si>
  <si>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</si>
  <si>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</si>
  <si>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</si>
  <si>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</si>
  <si>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</si>
  <si>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</si>
  <si>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</si>
  <si>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</si>
  <si>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</si>
  <si>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</si>
  <si>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</si>
  <si>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</si>
  <si>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</si>
  <si>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</si>
  <si>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</si>
  <si>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</si>
  <si>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</si>
  <si>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</si>
  <si>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</si>
  <si>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</si>
  <si>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</si>
  <si>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</si>
  <si>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</si>
  <si>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</si>
  <si>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</si>
  <si>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</si>
  <si>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</si>
  <si>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</si>
  <si>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</si>
  <si>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</si>
  <si>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</si>
  <si>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</si>
  <si>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</si>
  <si>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</si>
  <si>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</si>
  <si>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</si>
  <si>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</si>
  <si>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</si>
  <si>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</si>
  <si>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</si>
  <si>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</si>
  <si>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</si>
  <si>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</si>
  <si>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</si>
  <si>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</si>
  <si>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</si>
  <si>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</si>
  <si>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</si>
  <si>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</si>
  <si>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</si>
  <si>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</si>
  <si>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</si>
  <si>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</si>
  <si>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</si>
  <si>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</si>
  <si>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</si>
  <si>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</si>
  <si>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</si>
  <si>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</si>
  <si>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</si>
  <si>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</si>
  <si>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</si>
  <si>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</si>
  <si>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</si>
  <si>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</si>
  <si>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</si>
  <si>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</si>
  <si>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</si>
  <si>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</si>
  <si>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</si>
  <si>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</si>
  <si>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</si>
  <si>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</si>
  <si>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</si>
  <si>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</si>
  <si>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</si>
  <si>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</si>
  <si>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</si>
  <si>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</si>
  <si>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</si>
  <si>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</si>
  <si>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</si>
  <si>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</si>
  <si>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</si>
  <si>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</si>
  <si>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</si>
  <si>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</si>
  <si>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</si>
  <si>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</si>
  <si>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</si>
  <si>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</si>
  <si>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</si>
  <si>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</si>
  <si>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</si>
  <si>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</si>
  <si>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</si>
  <si>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</si>
  <si>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</si>
  <si>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</si>
  <si>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</si>
  <si>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</si>
  <si>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</si>
  <si>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</si>
  <si>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</si>
  <si>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</si>
  <si>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</si>
  <si>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</si>
  <si>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</si>
  <si>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</si>
  <si>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</si>
  <si>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</si>
  <si>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</si>
  <si>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</si>
  <si>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</si>
  <si>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</si>
  <si>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</si>
  <si>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</si>
  <si>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</si>
  <si>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</si>
  <si>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</si>
  <si>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</si>
  <si>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</si>
  <si>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</si>
  <si>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</si>
  <si>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</si>
  <si>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</si>
  <si>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</si>
  <si>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</si>
  <si>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</si>
  <si>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</si>
  <si>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</si>
  <si>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</si>
  <si>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</si>
  <si>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</si>
  <si>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</si>
  <si>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</si>
  <si>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</si>
  <si>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</si>
  <si>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</si>
  <si>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</si>
  <si>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</si>
  <si>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</si>
  <si>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</si>
  <si>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</si>
  <si>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</si>
  <si>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</si>
  <si>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</si>
  <si>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</si>
  <si>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</si>
  <si>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</si>
  <si>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</si>
  <si>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</si>
  <si>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</si>
  <si>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</si>
  <si>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</si>
  <si>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</si>
  <si>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</si>
  <si>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</si>
  <si>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</si>
  <si>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</si>
  <si>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</si>
  <si>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</si>
  <si>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</si>
  <si>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</si>
  <si>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</si>
  <si>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</si>
  <si>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</si>
  <si>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</si>
  <si>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</si>
  <si>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</si>
  <si>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</si>
  <si>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</si>
  <si>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</si>
  <si>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</si>
  <si>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</si>
  <si>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</si>
  <si>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</si>
  <si>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</si>
  <si>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</si>
  <si>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</si>
  <si>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</si>
  <si>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</si>
  <si>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</si>
  <si>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</si>
  <si>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</si>
  <si>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</si>
  <si>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</si>
  <si>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</si>
  <si>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</si>
  <si>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</si>
  <si>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</si>
  <si>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</si>
  <si>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</si>
  <si>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</si>
  <si>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</si>
  <si>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</si>
  <si>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</si>
  <si>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</si>
  <si>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</si>
  <si>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</si>
  <si>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</si>
  <si>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</si>
  <si>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</si>
  <si>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</si>
  <si>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</si>
  <si>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</si>
  <si>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</si>
  <si>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</si>
  <si>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</si>
  <si>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</si>
  <si>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</si>
  <si>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</si>
  <si>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</si>
  <si>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</si>
  <si>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</si>
  <si>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</si>
  <si>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</si>
  <si>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</si>
  <si>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</si>
  <si>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</si>
  <si>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</si>
  <si>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</si>
  <si>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</si>
  <si>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</si>
  <si>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</si>
  <si>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</si>
  <si>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</si>
  <si>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</si>
  <si>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</si>
  <si>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</si>
  <si>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</si>
  <si>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</si>
  <si>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</si>
  <si>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</si>
  <si>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</si>
  <si>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</si>
  <si>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</si>
  <si>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</si>
  <si>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</si>
  <si>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</si>
  <si>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</si>
  <si>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</si>
  <si>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</si>
  <si>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</si>
  <si>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</si>
  <si>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</si>
  <si>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</si>
  <si>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</si>
  <si>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</si>
  <si>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</si>
  <si>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</si>
  <si>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</si>
  <si>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</si>
  <si>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</si>
  <si>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</si>
  <si>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</si>
  <si>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</si>
  <si>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</si>
  <si>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</si>
  <si>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</si>
  <si>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</si>
  <si>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</si>
  <si>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</si>
  <si>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</si>
  <si>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</si>
  <si>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</si>
  <si>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</si>
  <si>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</si>
  <si>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</si>
  <si>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</si>
  <si>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</si>
  <si>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</si>
  <si>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</si>
  <si>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</si>
  <si>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</si>
  <si>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</si>
  <si>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</si>
  <si>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</si>
  <si>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</si>
  <si>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</si>
  <si>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</si>
  <si>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</si>
  <si>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</si>
  <si>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</si>
  <si>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</si>
  <si>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</si>
  <si>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</si>
  <si>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</si>
  <si>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</si>
  <si>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</si>
  <si>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</si>
  <si>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</si>
  <si>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</si>
  <si>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</si>
  <si>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</si>
  <si>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</si>
  <si>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</si>
  <si>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</si>
  <si>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</si>
  <si>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</si>
  <si>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</si>
  <si>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</si>
  <si>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</si>
  <si>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</si>
  <si>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</si>
  <si>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</si>
  <si>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</si>
  <si>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</si>
  <si>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</si>
  <si>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</si>
  <si>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</si>
  <si>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</si>
  <si>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</si>
  <si>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</si>
  <si>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</si>
  <si>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</si>
  <si>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</si>
  <si>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</si>
  <si>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</si>
  <si>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</si>
  <si>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</si>
  <si>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</si>
  <si>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</si>
  <si>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</si>
  <si>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</si>
  <si>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</si>
  <si>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</si>
  <si>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</si>
  <si>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</si>
  <si>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</si>
  <si>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</si>
  <si>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</si>
  <si>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</si>
  <si>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</si>
  <si>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</si>
  <si>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</si>
  <si>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</si>
  <si>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</si>
  <si>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</si>
  <si>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</si>
  <si>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</si>
  <si>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</si>
  <si>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</si>
  <si>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</si>
  <si>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</si>
  <si>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</si>
  <si>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</si>
  <si>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</si>
  <si>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</si>
  <si>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</si>
  <si>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</si>
  <si>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</si>
  <si>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</si>
  <si>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</si>
  <si>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</si>
  <si>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</si>
  <si>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</si>
  <si>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</si>
  <si>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</si>
  <si>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</si>
  <si>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</si>
  <si>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</si>
  <si>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</si>
  <si>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</si>
  <si>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</si>
  <si>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</si>
  <si>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</si>
  <si>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</si>
  <si>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</si>
  <si>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</si>
  <si>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</si>
  <si>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</si>
  <si>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</si>
  <si>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</si>
  <si>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</si>
  <si>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</si>
  <si>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</si>
  <si>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</si>
  <si>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</si>
  <si>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</si>
  <si>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</si>
  <si>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</si>
  <si>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</si>
  <si>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</si>
  <si>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</si>
  <si>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</si>
  <si>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</si>
  <si>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</si>
  <si>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</si>
  <si>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</si>
  <si>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</si>
  <si>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</si>
  <si>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</si>
  <si>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</si>
  <si>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</si>
  <si>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</si>
  <si>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</si>
  <si>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</si>
  <si>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</si>
  <si>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</si>
  <si>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</si>
  <si>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</si>
  <si>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</si>
  <si>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</si>
  <si>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</si>
  <si>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</si>
  <si>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</si>
  <si>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</si>
  <si>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</si>
  <si>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</si>
  <si>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</si>
  <si>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</si>
  <si>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</si>
  <si>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</si>
  <si>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</si>
  <si>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</si>
  <si>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</si>
  <si>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</si>
  <si>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</si>
  <si>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</si>
  <si>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</si>
  <si>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</si>
  <si>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</si>
  <si>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</si>
  <si>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</si>
  <si>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</si>
  <si>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</si>
  <si>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</si>
  <si>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</si>
  <si>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</si>
  <si>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</si>
  <si>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</si>
  <si>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</si>
  <si>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</si>
  <si>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</si>
  <si>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</si>
  <si>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</si>
  <si>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</si>
  <si>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</si>
  <si>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</si>
  <si>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</si>
  <si>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</si>
  <si>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</si>
  <si>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</si>
  <si>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</si>
  <si>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</si>
  <si>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</si>
  <si>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</si>
  <si>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</si>
  <si>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</si>
  <si>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</si>
  <si>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</si>
  <si>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</si>
  <si>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</si>
  <si>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</si>
  <si>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</si>
  <si>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</si>
  <si>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</si>
  <si>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</si>
  <si>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</si>
  <si>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</si>
  <si>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</si>
  <si>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</si>
  <si>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</si>
  <si>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</si>
  <si>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</si>
  <si>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</si>
  <si>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</si>
  <si>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</si>
  <si>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</si>
  <si>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</si>
  <si>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</si>
  <si>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</si>
  <si>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</si>
  <si>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</si>
  <si>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</si>
  <si>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</si>
  <si>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</si>
  <si>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</si>
  <si>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</si>
  <si>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</si>
  <si>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</si>
  <si>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</si>
  <si>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</si>
  <si>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</si>
  <si>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</si>
  <si>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</si>
  <si>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</si>
  <si>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</si>
  <si>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</si>
  <si>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</si>
  <si>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</si>
  <si>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</si>
  <si>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</si>
  <si>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</si>
  <si>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</si>
  <si>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</si>
  <si>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</si>
  <si>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</si>
  <si>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</si>
  <si>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</si>
  <si>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</si>
  <si>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</si>
  <si>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</si>
  <si>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</si>
  <si>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</si>
  <si>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</si>
  <si>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</si>
  <si>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</si>
  <si>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</si>
  <si>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</si>
  <si>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</si>
  <si>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</si>
  <si>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</si>
  <si>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</si>
  <si>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</si>
  <si>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</si>
  <si>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</si>
  <si>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</si>
  <si>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</si>
  <si>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</si>
  <si>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</si>
  <si>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</si>
  <si>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</si>
  <si>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</si>
  <si>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</si>
  <si>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</si>
  <si>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</si>
  <si>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</si>
  <si>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</si>
  <si>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</si>
  <si>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</si>
  <si>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</si>
  <si>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</si>
  <si>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</si>
  <si>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</si>
  <si>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</si>
  <si>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</si>
  <si>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</si>
  <si>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</si>
  <si>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</si>
  <si>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</si>
  <si>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</si>
  <si>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</si>
  <si>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</si>
  <si>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</si>
  <si>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</si>
  <si>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</si>
  <si>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</si>
  <si>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</si>
  <si>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</si>
  <si>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</si>
  <si>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</si>
  <si>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</si>
  <si>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</si>
  <si>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</si>
  <si>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</si>
  <si>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</si>
  <si>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</si>
  <si>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</si>
  <si>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</si>
  <si>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</si>
  <si>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</si>
  <si>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</si>
  <si>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</si>
  <si>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</si>
  <si>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</si>
  <si>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</si>
  <si>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</si>
  <si>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</si>
  <si>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</si>
  <si>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</si>
  <si>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</si>
  <si>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</si>
  <si>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</si>
  <si>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</si>
  <si>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</si>
  <si>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</si>
  <si>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</si>
  <si>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</si>
  <si>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</si>
  <si>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</si>
  <si>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</si>
  <si>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</si>
  <si>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</si>
  <si>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</si>
  <si>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</si>
  <si>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</si>
  <si>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</si>
  <si>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</si>
  <si>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</si>
  <si>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</si>
  <si>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</si>
  <si>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</si>
  <si>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</si>
  <si>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</si>
  <si>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</si>
  <si>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</si>
  <si>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</si>
  <si>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</si>
  <si>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</si>
  <si>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</si>
  <si>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</si>
  <si>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</si>
  <si>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</si>
  <si>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</si>
  <si>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</si>
  <si>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</si>
  <si>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</si>
  <si>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</si>
  <si>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</si>
  <si>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</si>
  <si>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</si>
  <si>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</si>
  <si>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</si>
  <si>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</si>
  <si>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</si>
  <si>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</si>
  <si>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</si>
  <si>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</si>
  <si>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</si>
  <si>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</si>
  <si>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</si>
  <si>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</si>
  <si>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</si>
  <si>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</si>
  <si>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</si>
  <si>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</si>
  <si>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</si>
  <si>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</si>
  <si>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</si>
  <si>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</si>
  <si>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</si>
  <si>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</si>
  <si>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</si>
  <si>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</si>
  <si>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</si>
  <si>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</si>
  <si>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</si>
  <si>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</si>
  <si>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</si>
  <si>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</si>
  <si>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</si>
  <si>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</si>
  <si>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</si>
  <si>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</si>
  <si>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</si>
  <si>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</si>
  <si>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</si>
  <si>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</si>
  <si>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</si>
  <si>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</si>
  <si>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</si>
  <si>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</si>
  <si>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</si>
  <si>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</si>
  <si>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</si>
  <si>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</si>
  <si>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</si>
  <si>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</si>
  <si>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</si>
  <si>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</si>
  <si>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</si>
  <si>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</si>
  <si>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</si>
  <si>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</si>
  <si>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</si>
  <si>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</si>
  <si>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</si>
  <si>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</si>
  <si>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</si>
  <si>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</si>
  <si>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</si>
  <si>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</si>
  <si>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</si>
  <si>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</si>
  <si>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</si>
  <si>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</si>
  <si>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</si>
  <si>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</si>
  <si>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</si>
  <si>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</si>
  <si>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</si>
  <si>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</si>
  <si>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</si>
  <si>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</si>
  <si>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</si>
  <si>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</si>
  <si>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</si>
  <si>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</si>
  <si>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</si>
  <si>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</si>
  <si>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</si>
  <si>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</si>
  <si>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</si>
  <si>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</si>
  <si>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</si>
  <si>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</si>
  <si>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</si>
  <si>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</si>
  <si>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</si>
  <si>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</si>
  <si>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</si>
  <si>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</si>
  <si>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</si>
  <si>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</si>
  <si>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</si>
  <si>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</si>
  <si>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</si>
  <si>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</si>
  <si>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</si>
  <si>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</si>
  <si>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</si>
  <si>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</si>
  <si>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</si>
  <si>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</si>
  <si>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</si>
  <si>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</si>
  <si>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</si>
  <si>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</si>
  <si>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</si>
  <si>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</si>
  <si>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</si>
  <si>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</si>
  <si>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</si>
  <si>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</si>
  <si>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</si>
  <si>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</si>
  <si>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</si>
  <si>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</si>
  <si>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</si>
  <si>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</si>
  <si>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</si>
  <si>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</si>
  <si>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</si>
  <si>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</si>
  <si>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</si>
  <si>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</si>
  <si>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</si>
  <si>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</si>
  <si>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</si>
  <si>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</si>
  <si>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</si>
  <si>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</si>
  <si>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</si>
  <si>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</si>
  <si>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</si>
  <si>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</si>
  <si>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</si>
  <si>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</si>
  <si>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</si>
  <si>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</si>
  <si>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</si>
  <si>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</si>
  <si>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</si>
  <si>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</si>
  <si>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</si>
  <si>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</si>
  <si>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</si>
  <si>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</si>
  <si>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</si>
  <si>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</si>
  <si>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</si>
  <si>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</si>
  <si>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</si>
  <si>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</si>
  <si>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</si>
  <si>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</si>
  <si>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</si>
  <si>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</si>
  <si>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</si>
  <si>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</si>
  <si>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</si>
  <si>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</si>
  <si>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</si>
  <si>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</si>
  <si>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</si>
  <si>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</si>
  <si>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</si>
  <si>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</si>
  <si>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</si>
  <si>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</si>
  <si>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</si>
  <si>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</si>
  <si>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</si>
  <si>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</si>
  <si>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</si>
  <si>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</si>
  <si>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</si>
  <si>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</si>
  <si>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</si>
  <si>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</si>
  <si>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</si>
  <si>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</si>
  <si>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</si>
  <si>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</si>
  <si>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</si>
  <si>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</si>
  <si>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</si>
  <si>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</si>
  <si>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</si>
  <si>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</si>
  <si>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</si>
  <si>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</si>
  <si>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</si>
  <si>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</si>
  <si>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</si>
  <si>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</si>
  <si>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</si>
  <si>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</si>
  <si>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</si>
  <si>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</si>
  <si>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</si>
  <si>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</si>
  <si>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</si>
  <si>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</si>
  <si>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</si>
  <si>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</si>
  <si>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</si>
  <si>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</si>
  <si>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</si>
  <si>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</si>
  <si>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</si>
  <si>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</si>
  <si>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</si>
  <si>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</si>
  <si>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</si>
  <si>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</si>
  <si>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</si>
  <si>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</si>
  <si>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</si>
  <si>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</si>
  <si>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</si>
  <si>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</si>
  <si>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</si>
  <si>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</si>
  <si>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</si>
  <si>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</si>
  <si>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</si>
  <si>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</si>
  <si>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</si>
  <si>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</si>
  <si>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</si>
  <si>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</si>
  <si>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</si>
  <si>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</si>
  <si>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</si>
  <si>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</si>
  <si>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</si>
  <si>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</si>
  <si>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</si>
  <si>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</si>
  <si>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</si>
  <si>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</si>
  <si>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</si>
  <si>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</si>
  <si>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</si>
  <si>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</si>
  <si>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</si>
  <si>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</si>
  <si>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</si>
  <si>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</si>
  <si>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</si>
  <si>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</si>
  <si>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</si>
  <si>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</si>
  <si>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</si>
  <si>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</si>
  <si>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</si>
  <si>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</si>
  <si>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</si>
  <si>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</si>
  <si>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</si>
  <si>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</si>
  <si>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</si>
  <si>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</si>
  <si>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</si>
  <si>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</si>
  <si>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</si>
  <si>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</si>
  <si>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</si>
  <si>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</si>
  <si>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</si>
  <si>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</si>
  <si>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</si>
  <si>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</si>
  <si>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</si>
  <si>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</si>
  <si>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</si>
  <si>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</si>
  <si>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</si>
  <si>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</si>
  <si>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</si>
  <si>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</si>
  <si>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</si>
  <si>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</si>
  <si>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</si>
  <si>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</si>
  <si>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</si>
  <si>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</si>
  <si>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</si>
  <si>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</si>
  <si>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</si>
  <si>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</si>
  <si>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</si>
  <si>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</si>
  <si>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</si>
  <si>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</si>
  <si>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</si>
  <si>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</si>
  <si>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</si>
  <si>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</si>
  <si>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</si>
  <si>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</si>
  <si>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</si>
  <si>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</si>
  <si>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</si>
  <si>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</si>
  <si>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</si>
  <si>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</si>
  <si>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</si>
  <si>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</si>
  <si>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</si>
  <si>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</si>
  <si>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</si>
  <si>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</si>
  <si>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</si>
  <si>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</si>
  <si>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</si>
  <si>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</si>
  <si>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</si>
  <si>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</si>
  <si>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</si>
  <si>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</si>
  <si>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</si>
  <si>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</si>
  <si>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</si>
  <si>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</si>
  <si>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</si>
  <si>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</si>
  <si>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</si>
  <si>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</si>
  <si>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</si>
  <si>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</si>
  <si>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</si>
  <si>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</si>
  <si>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</si>
  <si>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</si>
  <si>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</si>
  <si>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</si>
  <si>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</si>
  <si>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</si>
  <si>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</si>
  <si>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</si>
  <si>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</si>
  <si>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</si>
  <si>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</si>
  <si>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</si>
  <si>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</si>
  <si>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</si>
  <si>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</si>
  <si>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</si>
  <si>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</si>
  <si>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</si>
  <si>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</si>
  <si>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</si>
  <si>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</si>
  <si>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</si>
  <si>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</si>
  <si>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</si>
  <si>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</si>
  <si>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</si>
  <si>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</si>
  <si>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</si>
  <si>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</si>
  <si>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</si>
  <si>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</si>
  <si>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</si>
  <si>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</si>
  <si>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</si>
  <si>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</si>
  <si>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</si>
  <si>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</si>
  <si>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</si>
  <si>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</si>
  <si>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</si>
  <si>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</si>
  <si>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</si>
  <si>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</si>
  <si>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</si>
  <si>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</si>
  <si>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</si>
  <si>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</si>
  <si>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</si>
  <si>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</si>
  <si>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</si>
  <si>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</si>
  <si>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</si>
  <si>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</si>
  <si>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</si>
  <si>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</si>
  <si>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</si>
  <si>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</si>
  <si>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</si>
  <si>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</si>
  <si>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</si>
  <si>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</si>
  <si>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</si>
  <si>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</si>
  <si>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</si>
  <si>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</si>
  <si>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</si>
  <si>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</si>
  <si>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</si>
  <si>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</si>
  <si>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</si>
  <si>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</si>
  <si>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</si>
  <si>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</si>
  <si>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</si>
  <si>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</si>
  <si>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</si>
  <si>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</si>
  <si>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</si>
  <si>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</si>
  <si>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</si>
  <si>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</si>
  <si>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</si>
  <si>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</si>
  <si>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</si>
  <si>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</si>
  <si>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</si>
  <si>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</si>
  <si>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</si>
  <si>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</si>
  <si>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</si>
  <si>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</si>
  <si>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</si>
  <si>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</si>
  <si>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</si>
  <si>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</si>
  <si>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</si>
  <si>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</si>
  <si>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</si>
  <si>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</si>
  <si>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</si>
  <si>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</si>
  <si>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</si>
  <si>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</si>
  <si>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</si>
  <si>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</si>
  <si>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</si>
  <si>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</si>
  <si>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</si>
  <si>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</si>
  <si>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</si>
  <si>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</si>
  <si>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</si>
  <si>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</si>
  <si>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</si>
  <si>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</si>
  <si>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</si>
  <si>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</si>
  <si>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</si>
  <si>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</si>
  <si>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</si>
  <si>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</si>
  <si>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</si>
  <si>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</si>
  <si>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</si>
  <si>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</si>
  <si>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</si>
  <si>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</si>
  <si>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</si>
  <si>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</si>
  <si>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</si>
  <si>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</si>
  <si>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</si>
  <si>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</si>
  <si>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</si>
  <si>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</si>
  <si>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</si>
  <si>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</si>
  <si>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</si>
  <si>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</si>
  <si>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</si>
  <si>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</si>
  <si>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</si>
  <si>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</si>
  <si>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</si>
  <si>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</si>
  <si>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</si>
  <si>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</si>
  <si>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</si>
  <si>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</si>
  <si>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</si>
  <si>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</si>
  <si>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</si>
  <si>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</si>
  <si>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</si>
  <si>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</si>
  <si>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</si>
  <si>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</si>
  <si>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</si>
  <si>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</si>
  <si>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</si>
  <si>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</si>
  <si>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</si>
  <si>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</si>
  <si>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</si>
  <si>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</si>
  <si>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</si>
  <si>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</si>
  <si>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</si>
  <si>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</si>
  <si>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</si>
  <si>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</si>
  <si>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</si>
  <si>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</si>
  <si>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</si>
  <si>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</si>
  <si>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</si>
  <si>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</si>
  <si>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</si>
  <si>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</si>
  <si>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174289</t>
  </si>
  <si>
    <t>334891</t>
  </si>
  <si>
    <t>801</t>
  </si>
  <si>
    <t>1309</t>
  </si>
  <si>
    <t>117004</t>
  </si>
  <si>
    <t>261327</t>
  </si>
  <si>
    <t>132458</t>
  </si>
  <si>
    <t>393555</t>
  </si>
  <si>
    <t>541</t>
  </si>
  <si>
    <t>825</t>
  </si>
  <si>
    <t>431195</t>
  </si>
  <si>
    <t>1559739</t>
  </si>
  <si>
    <t>1430</t>
  </si>
  <si>
    <t>441</t>
  </si>
  <si>
    <t>430370</t>
  </si>
  <si>
    <t>1555089</t>
  </si>
  <si>
    <t>792</t>
  </si>
  <si>
    <t>203415</t>
  </si>
  <si>
    <t>684681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</si>
</sst>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9967</c:v>
                </c:pt>
                <c:pt idx="1">
                  <c:v>13601</c:v>
                </c:pt>
                <c:pt idx="2">
                  <c:v>12983</c:v>
                </c:pt>
                <c:pt idx="3">
                  <c:v>13036</c:v>
                </c:pt>
                <c:pt idx="4">
                  <c:v>10698</c:v>
                </c:pt>
                <c:pt idx="5">
                  <c:v>15401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0746887966804978E-2"/>
                  <c:y val="-6.27450980392157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8451</c:v>
                </c:pt>
                <c:pt idx="1">
                  <c:v>21413</c:v>
                </c:pt>
                <c:pt idx="2">
                  <c:v>23332</c:v>
                </c:pt>
                <c:pt idx="3">
                  <c:v>37834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6570</c:v>
                </c:pt>
                <c:pt idx="1">
                  <c:v>17022</c:v>
                </c:pt>
                <c:pt idx="2">
                  <c:v>17642</c:v>
                </c:pt>
                <c:pt idx="3">
                  <c:v>29549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23999.999999999996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7708331" createdVersion="8" refreshedVersion="8" minRefreshableVersion="3" recordCount="852" xr:uid="{8D9D6DB7-C64F-4C80-9A78-61C3071D7139}">
  <cacheSource type="worksheet">
    <worksheetSource ref="A4:AB2543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1713" createdVersion="8" refreshedVersion="8" minRefreshableVersion="3" recordCount="852" xr:uid="{9D45AC4C-13ED-4258-A051-E1A0E0BEF410}">
  <cacheSource type="worksheet">
    <worksheetSource ref="A4:AB7109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51851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63426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sd="0" x="11"/>
        <item sd="0" x="12"/>
        <item sd="0" x="13"/>
        <item sd="0" x="14"/>
        <item h="1" m="1" x="16"/>
        <item h="1" x="15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1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0"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5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m="1" x="16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6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7" nd="1"/>
        <i x="16" nd="1"/>
        <i x="15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 s="1"/>
        <i x="12" s="1"/>
        <i x="13" s="1"/>
        <i x="14" s="1"/>
        <i x="16" nd="1"/>
        <i x="1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8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46237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32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T16" sqref="T1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46216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29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B855"/>
  <sheetViews>
    <sheetView tabSelected="1" topLeftCell="K1" zoomScaleNormal="100" workbookViewId="0">
      <pane ySplit="4" topLeftCell="A744" activePane="bottomLeft" state="frozen"/>
      <selection pane="bottomLeft" activeCell="O796" sqref="O796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hidden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hidden="1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hidden="1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hidden="1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hidden="1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hidden="1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hidden="1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hidden="1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hidden="1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hidden="1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hidden="1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hidden="1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hidden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hidden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hidden="1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hidden="1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hidden="1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hidden="1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hidden="1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hidden="1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hidden="1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hidden="1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hidden="1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hidden="1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hidden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hidden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hidden="1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hidden="1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hidden="1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hidden="1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hidden="1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hidden="1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hidden="1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hidden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hidden="1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hidden="1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hidden="1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hidden="1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hidden="1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hidden="1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hidden="1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hidden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hidden="1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hidden="1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hidden="1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hidden="1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hidden="1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hidden="1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hidden="1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hidden="1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hidden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hidden="1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hidden="1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hidden="1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hidden="1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hidden="1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hidden="1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hidden="1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hidden="1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hidden="1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hidden="1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hidden="1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hidden="1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hidden="1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hidden="1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hidden="1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hidden="1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hidden="1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hidden="1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hidden="1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hidden="1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hidden="1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hidden="1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hidden="1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hidden="1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hidden="1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hidden="1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hidden="1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hidden="1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hidden="1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hidden="1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hidden="1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hidden="1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hidden="1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hidden="1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hidden="1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hidden="1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hidden="1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hidden="1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hidden="1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hidden="1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hidden="1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hidden="1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hidden="1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hidden="1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hidden="1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hidden="1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hidden="1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hidden="1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hidden="1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hidden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hidden="1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hidden="1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hidden="1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hidden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hidden="1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hidden="1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hidden="1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hidden="1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hidden="1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hidden="1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hidden="1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hidden="1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hidden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hidden="1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hidden="1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hidden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hidden="1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hidden="1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hidden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hidden="1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hidden="1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hidden="1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hidden="1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hidden="1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hidden="1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hidden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hidden="1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hidden="1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hidden="1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hidden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hidden="1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hidden="1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hidden="1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hidden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hidden="1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hidden="1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hidden="1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hidden="1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hidden="1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hidden="1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hidden="1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hidden="1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hidden="1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hidden="1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hidden="1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hidden="1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hidden="1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hidden="1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hidden="1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hidden="1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hidden="1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hidden="1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hidden="1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hidden="1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hidden="1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hidden="1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hidden="1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hidden="1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hidden="1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hidden="1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hidden="1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hidden="1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hidden="1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hidden="1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hidden="1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hidden="1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hidden="1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hidden="1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hidden="1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hidden="1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hidden="1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hidden="1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hidden="1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hidden="1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hidden="1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hidden="1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hidden="1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hidden="1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hidden="1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hidden="1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hidden="1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hidden="1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hidden="1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hidden="1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hidden="1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hidden="1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hidden="1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hidden="1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hidden="1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hidden="1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hidden="1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hidden="1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hidden="1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hidden="1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hidden="1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hidden="1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hidden="1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hidden="1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hidden="1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hidden="1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hidden="1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hidden="1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hidden="1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hidden="1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hidden="1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hidden="1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hidden="1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hidden="1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hidden="1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hidden="1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hidden="1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hidden="1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hidden="1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hidden="1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hidden="1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hidden="1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hidden="1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hidden="1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hidden="1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hidden="1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hidden="1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hidden="1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hidden="1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hidden="1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hidden="1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hidden="1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hidden="1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hidden="1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hidden="1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hidden="1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hidden="1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hidden="1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hidden="1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hidden="1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hidden="1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hidden="1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hidden="1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hidden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hidden="1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hidden="1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hidden="1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hidden="1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hidden="1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hidden="1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hidden="1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hidden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hidden="1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hidden="1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hidden="1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hidden="1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hidden="1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hidden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hidden="1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hidden="1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hidden="1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hidden="1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hidden="1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hidden="1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hidden="1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hidden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hidden="1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hidden="1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hidden="1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hidden="1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hidden="1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hidden="1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hidden="1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hidden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hidden="1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hidden="1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hidden="1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hidden="1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hidden="1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hidden="1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hidden="1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hidden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hidden="1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hidden="1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hidden="1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hidden="1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hidden="1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hidden="1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hidden="1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hidden="1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hidden="1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hidden="1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hidden="1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hidden="1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hidden="1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hidden="1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hidden="1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hidden="1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hidden="1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hidden="1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hidden="1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hidden="1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hidden="1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hidden="1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hidden="1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hidden="1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hidden="1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hidden="1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hidden="1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hidden="1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hidden="1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hidden="1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hidden="1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hidden="1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hidden="1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hidden="1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hidden="1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hidden="1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hidden="1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hidden="1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hidden="1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hidden="1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hidden="1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hidden="1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hidden="1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hidden="1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hidden="1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hidden="1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hidden="1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hidden="1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hidden="1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hidden="1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hidden="1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hidden="1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hidden="1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hidden="1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hidden="1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hidden="1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hidden="1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hidden="1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hidden="1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hidden="1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hidden="1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hidden="1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hidden="1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hidden="1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hidden="1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hidden="1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hidden="1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hidden="1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hidden="1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hidden="1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hidden="1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hidden="1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hidden="1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hidden="1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hidden="1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hidden="1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hidden="1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hidden="1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hidden="1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hidden="1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hidden="1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hidden="1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hidden="1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hidden="1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hidden="1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hidden="1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hidden="1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hidden="1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hidden="1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hidden="1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hidden="1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hidden="1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hidden="1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hidden="1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hidden="1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hidden="1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hidden="1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hidden="1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hidden="1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hidden="1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hidden="1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hidden="1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hidden="1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hidden="1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hidden="1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hidden="1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hidden="1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hidden="1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hidden="1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hidden="1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hidden="1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hidden="1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hidden="1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hidden="1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hidden="1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hidden="1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hidden="1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hidden="1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hidden="1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hidden="1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hidden="1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idden="1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hidden="1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idden="1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hidden="1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hidden="1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hidden="1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hidden="1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hidden="1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hidden="1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hidden="1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idden="1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idden="1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hidden="1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hidden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hidden="1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hidden="1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hidden="1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hidden="1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hidden="1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idden="1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hidden="1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hidden="1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hidden="1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hidden="1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hidden="1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hidden="1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hidden="1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idden="1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hidden="1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hidden="1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hidden="1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hidden="1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hidden="1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hidden="1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hidden="1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idden="1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hidden="1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hidden="1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hidden="1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hidden="1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hidden="1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hidden="1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hidden="1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hidden="1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idden="1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hidden="1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hidden="1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hidden="1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idden="1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hidden="1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hidden="1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hidden="1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hidden="1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hidden="1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hidden="1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hidden="1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hidden="1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hidden="1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hidden="1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hidden="1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hidden="1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hidden="1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hidden="1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hidden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hidden="1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hidden="1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hidden="1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hidden="1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hidden="1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hidden="1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hidden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hidden="1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hidden="1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hidden="1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hidden="1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hidden="1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hidden="1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hidden="1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hidden="1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hidden="1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hidden="1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hidden="1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hidden="1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hidden="1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hidden="1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hidden="1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hidden="1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hidden="1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hidden="1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hidden="1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hidden="1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hidden="1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hidden="1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hidden="1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hidden="1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hidden="1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hidden="1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hidden="1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hidden="1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hidden="1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hidden="1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hidden="1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hidden="1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hidden="1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hidden="1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hidden="1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hidden="1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hidden="1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hidden="1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hidden="1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hidden="1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hidden="1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hidden="1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hidden="1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hidden="1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hidden="1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hidden="1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hidden="1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hidden="1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hidden="1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hidden="1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hidden="1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hidden="1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hidden="1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hidden="1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hidden="1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hidden="1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hidden="1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hidden="1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hidden="1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hidden="1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hidden="1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hidden="1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hidden="1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hidden="1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hidden="1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hidden="1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hidden="1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hidden="1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hidden="1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hidden="1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hidden="1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hidden="1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hidden="1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hidden="1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hidden="1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hidden="1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hidden="1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hidden="1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hidden="1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hidden="1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hidden="1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hidden="1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hidden="1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hidden="1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hidden="1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hidden="1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hidden="1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hidden="1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hidden="1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hidden="1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hidden="1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hidden="1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hidden="1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hidden="1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hidden="1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hidden="1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hidden="1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hidden="1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hidden="1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hidden="1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hidden="1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hidden="1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hidden="1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hidden="1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hidden="1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hidden="1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hidden="1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hidden="1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hidden="1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hidden="1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hidden="1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hidden="1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hidden="1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hidden="1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hidden="1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hidden="1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hidden="1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hidden="1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hidden="1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hidden="1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hidden="1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hidden="1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hidden="1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hidden="1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hidden="1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hidden="1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hidden="1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hidden="1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hidden="1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hidden="1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hidden="1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hidden="1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hidden="1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hidden="1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hidden="1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hidden="1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hidden="1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hidden="1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hidden="1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hidden="1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hidden="1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hidden="1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hidden="1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hidden="1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hidden="1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hidden="1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hidden="1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hidden="1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hidden="1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hidden="1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hidden="1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hidden="1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hidden="1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hidden="1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hidden="1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hidden="1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hidden="1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hidden="1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hidden="1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hidden="1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hidden="1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hidden="1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hidden="1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hidden="1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hidden="1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hidden="1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hidden="1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hidden="1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hidden="1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hidden="1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hidden="1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hidden="1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hidden="1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hidden="1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hidden="1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hidden="1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hidden="1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hidden="1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hidden="1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hidden="1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hidden="1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hidden="1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hidden="1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hidden="1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hidden="1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hidden="1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hidden="1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hidden="1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hidden="1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hidden="1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hidden="1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hidden="1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hidden="1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hidden="1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hidden="1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hidden="1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hidden="1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hidden="1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hidden="1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hidden="1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hidden="1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hidden="1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hidden="1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hidden="1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hidden="1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hidden="1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hidden="1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hidden="1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hidden="1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hidden="1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hidden="1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hidden="1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hidden="1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hidden="1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hidden="1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hidden="1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hidden="1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hidden="1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hidden="1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hidden="1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hidden="1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hidden="1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hidden="1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hidden="1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hidden="1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hidden="1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hidden="1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hidden="1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idden="1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hidden="1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hidden="1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hidden="1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idden="1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hidden="1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idden="1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hidden="1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hidden="1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hidden="1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hidden="1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hidden="1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hidden="1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hidden="1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hidden="1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idden="1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hidden="1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hidden="1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hidden="1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hidden="1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hidden="1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hidden="1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hidden="1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hidden="1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hidden="1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hidden="1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hidden="1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hidden="1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hidden="1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hidden="1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83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 t="shared" ref="H733:H740" si="55"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idden="1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 t="shared" si="55"/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 t="shared" si="55"/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 t="shared" si="55"/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 t="shared" si="55"/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hidden="1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 t="shared" si="55"/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hidden="1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hidden="1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hidden="1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ref="H750:H766" si="56">15000/7</f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6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6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6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6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hidden="1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 t="shared" si="56"/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 t="shared" si="56"/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 t="shared" si="56"/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hidden="1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 t="shared" si="56"/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 t="shared" si="56"/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 t="shared" si="56"/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 t="shared" si="56"/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hidden="1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idden="1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 t="shared" si="56"/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2980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2981</v>
      </c>
      <c r="Y767" s="2" t="s">
        <v>2982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 t="shared" ref="H768:H774" si="57"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2983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 t="shared" si="57"/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2984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2985</v>
      </c>
      <c r="Y769" s="2" t="s">
        <v>2986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 t="shared" si="57"/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2987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2988</v>
      </c>
      <c r="Y770" s="2" t="s">
        <v>2989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 t="shared" si="57"/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2990</v>
      </c>
      <c r="Y771" s="2" t="s">
        <v>2991</v>
      </c>
      <c r="Z771" s="2" t="s">
        <v>548</v>
      </c>
      <c r="AA771" s="2" t="s">
        <v>548</v>
      </c>
      <c r="AB771" s="2">
        <v>119.1</v>
      </c>
    </row>
    <row r="772" spans="1:28" hidden="1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2992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2993</v>
      </c>
      <c r="Y772" s="2" t="s">
        <v>2994</v>
      </c>
      <c r="Z772" s="2">
        <v>0.1</v>
      </c>
      <c r="AA772" s="2" t="s">
        <v>548</v>
      </c>
      <c r="AB772" s="2">
        <v>254.5</v>
      </c>
    </row>
    <row r="773" spans="1:28" hidden="1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2995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2996</v>
      </c>
      <c r="Y773" s="2" t="s">
        <v>2997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 t="shared" si="57"/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2998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2999</v>
      </c>
      <c r="Y774" s="2" t="s">
        <v>3000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3001</v>
      </c>
      <c r="Y775" s="2" t="s">
        <v>3002</v>
      </c>
      <c r="Z775" s="2">
        <v>0.1</v>
      </c>
      <c r="AA775" s="2" t="s">
        <v>548</v>
      </c>
      <c r="AB775" s="2">
        <v>291.60000000000002</v>
      </c>
    </row>
    <row r="776" spans="1:28" hidden="1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 t="shared" ref="H777:H783" si="58"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3003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3004</v>
      </c>
      <c r="Y777" s="2" t="s">
        <v>3005</v>
      </c>
      <c r="Z777" s="2">
        <v>1.1000000000000001</v>
      </c>
      <c r="AA777" s="2" t="s">
        <v>548</v>
      </c>
      <c r="AB777" s="2">
        <v>66.2</v>
      </c>
    </row>
    <row r="778" spans="1:28" hidden="1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idden="1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3008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3006</v>
      </c>
      <c r="Y779" s="2" t="s">
        <v>3007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 t="shared" si="58"/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3009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3010</v>
      </c>
      <c r="Y780" s="2" t="s">
        <v>3011</v>
      </c>
      <c r="Z780" s="2">
        <v>0.2</v>
      </c>
      <c r="AA780" s="2" t="s">
        <v>548</v>
      </c>
      <c r="AB780" s="2">
        <v>119.3</v>
      </c>
    </row>
    <row r="781" spans="1:28" hidden="1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3014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3012</v>
      </c>
      <c r="Y781" s="2" t="s">
        <v>3013</v>
      </c>
      <c r="Z781" s="2">
        <v>0.1</v>
      </c>
      <c r="AA781" s="2" t="s">
        <v>548</v>
      </c>
      <c r="AB781" s="2">
        <v>254.6</v>
      </c>
    </row>
    <row r="782" spans="1:28" hidden="1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3018</v>
      </c>
      <c r="O782" s="79">
        <v>5749</v>
      </c>
      <c r="P782" s="2">
        <v>5.3</v>
      </c>
      <c r="Q782" s="2">
        <v>17.18</v>
      </c>
      <c r="R782" s="2" t="s">
        <v>3019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3020</v>
      </c>
      <c r="Y782" s="2" t="s">
        <v>3021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 t="shared" si="58"/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3022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3023</v>
      </c>
      <c r="Y783" s="2" t="s">
        <v>3024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44"/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hidden="1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ref="I785:I792" si="59"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3001</v>
      </c>
      <c r="Y785" s="2" t="s">
        <v>3002</v>
      </c>
      <c r="Z785" s="2" t="s">
        <v>548</v>
      </c>
      <c r="AA785" s="2" t="s">
        <v>45</v>
      </c>
      <c r="AB785" s="2">
        <v>291.60000000000002</v>
      </c>
    </row>
    <row r="786" spans="1:28" hidden="1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9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hidden="1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9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hidden="1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9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3006</v>
      </c>
      <c r="Y788" s="2" t="s">
        <v>3007</v>
      </c>
      <c r="Z788" s="2" t="s">
        <v>548</v>
      </c>
      <c r="AA788" s="2" t="s">
        <v>45</v>
      </c>
      <c r="AB788" s="2">
        <v>331.5</v>
      </c>
    </row>
    <row r="789" spans="1:28" hidden="1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9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hidden="1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9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3012</v>
      </c>
      <c r="Y790" s="2" t="s">
        <v>3013</v>
      </c>
      <c r="Z790" s="2" t="s">
        <v>548</v>
      </c>
      <c r="AA790" s="2" t="s">
        <v>45</v>
      </c>
      <c r="AB790" s="2">
        <v>254.6</v>
      </c>
    </row>
    <row r="791" spans="1:28" hidden="1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9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3015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3016</v>
      </c>
      <c r="Y791" s="2" t="s">
        <v>3017</v>
      </c>
      <c r="Z791" s="2" t="s">
        <v>548</v>
      </c>
      <c r="AA791" s="2" t="s">
        <v>548</v>
      </c>
      <c r="AB791" s="2">
        <v>49.3</v>
      </c>
    </row>
    <row r="792" spans="1:28" hidden="1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9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>
        <f>75686/2</f>
        <v>37843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x14ac:dyDescent="0.25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x14ac:dyDescent="0.25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x14ac:dyDescent="0.25">
      <c r="A855" s="4"/>
      <c r="B855" s="8"/>
      <c r="C855" s="8"/>
      <c r="D855" s="7"/>
      <c r="E855" s="7"/>
      <c r="F855" s="13"/>
      <c r="G855" s="59"/>
      <c r="H855" s="6"/>
      <c r="I855" s="6"/>
      <c r="J855" s="2"/>
      <c r="K855" s="2"/>
      <c r="L855" s="2"/>
      <c r="M855" s="2"/>
      <c r="N855" s="2"/>
      <c r="O855" s="77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</sheetData>
  <autoFilter ref="A4:AB792" xr:uid="{00000000-0001-0000-0000-000000000000}">
    <filterColumn colId="1">
      <filters>
        <filter val="S32"/>
      </filters>
    </filterColumn>
    <filterColumn colId="4">
      <filters>
        <filter val="Produção"/>
      </filters>
    </filterColumn>
    <sortState xmlns:xlrd2="http://schemas.microsoft.com/office/spreadsheetml/2017/richdata2" ref="A5:AB792">
      <sortCondition ref="A4:A792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R17" sqref="R17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2929</v>
      </c>
      <c r="R1" t="s">
        <v>2930</v>
      </c>
      <c r="S1" t="s">
        <v>2931</v>
      </c>
      <c r="T1" t="s">
        <v>2932</v>
      </c>
    </row>
    <row r="2" spans="1:20" x14ac:dyDescent="0.2">
      <c r="Q2" s="18" t="s">
        <v>1361</v>
      </c>
      <c r="R2" s="19">
        <v>8451</v>
      </c>
      <c r="S2" s="19">
        <v>24000</v>
      </c>
      <c r="T2" s="19">
        <v>6570</v>
      </c>
    </row>
    <row r="3" spans="1:20" x14ac:dyDescent="0.2">
      <c r="A3" s="9" t="s">
        <v>2929</v>
      </c>
      <c r="B3" s="15" t="s">
        <v>2931</v>
      </c>
      <c r="C3" s="15" t="s">
        <v>2930</v>
      </c>
      <c r="D3" t="s">
        <v>2933</v>
      </c>
      <c r="Q3" s="18" t="s">
        <v>1827</v>
      </c>
      <c r="R3" s="19">
        <v>21413</v>
      </c>
      <c r="S3" s="19">
        <v>24000</v>
      </c>
      <c r="T3" s="19">
        <v>17022</v>
      </c>
    </row>
    <row r="4" spans="1:20" x14ac:dyDescent="0.2">
      <c r="A4" s="10" t="s">
        <v>2681</v>
      </c>
      <c r="B4" s="15">
        <v>90000.000000000044</v>
      </c>
      <c r="C4" s="15">
        <v>75686</v>
      </c>
      <c r="D4">
        <v>36</v>
      </c>
      <c r="Q4" s="18" t="s">
        <v>2254</v>
      </c>
      <c r="R4" s="19">
        <v>23332</v>
      </c>
      <c r="S4" s="19">
        <v>23999.999999999996</v>
      </c>
      <c r="T4" s="19">
        <v>17642</v>
      </c>
    </row>
    <row r="5" spans="1:20" x14ac:dyDescent="0.2">
      <c r="A5" s="11" t="s">
        <v>47</v>
      </c>
      <c r="B5" s="15">
        <v>90000.000000000044</v>
      </c>
      <c r="C5" s="15">
        <v>75686</v>
      </c>
      <c r="D5">
        <v>36</v>
      </c>
      <c r="Q5" s="18" t="s">
        <v>2681</v>
      </c>
      <c r="R5" s="19">
        <v>37834</v>
      </c>
      <c r="S5" s="19">
        <v>23999.999999999996</v>
      </c>
      <c r="T5" s="19">
        <v>29549</v>
      </c>
    </row>
    <row r="6" spans="1:20" x14ac:dyDescent="0.2">
      <c r="A6" s="12">
        <v>46242</v>
      </c>
      <c r="B6" s="15">
        <v>15000</v>
      </c>
      <c r="C6" s="15">
        <v>9967</v>
      </c>
      <c r="D6">
        <v>4</v>
      </c>
      <c r="Q6" s="18" t="s">
        <v>2934</v>
      </c>
      <c r="R6" s="19">
        <v>91030</v>
      </c>
      <c r="S6" s="19">
        <v>96000</v>
      </c>
      <c r="T6" s="19">
        <v>70783</v>
      </c>
    </row>
    <row r="7" spans="1:20" x14ac:dyDescent="0.2">
      <c r="A7" s="12">
        <v>46241</v>
      </c>
      <c r="B7" s="15">
        <v>15000</v>
      </c>
      <c r="C7" s="15">
        <v>13601</v>
      </c>
      <c r="D7">
        <v>6</v>
      </c>
    </row>
    <row r="8" spans="1:20" x14ac:dyDescent="0.2">
      <c r="A8" s="12">
        <v>46240</v>
      </c>
      <c r="B8" s="15">
        <v>15000</v>
      </c>
      <c r="C8" s="15">
        <v>12983</v>
      </c>
      <c r="D8">
        <v>7</v>
      </c>
    </row>
    <row r="9" spans="1:20" x14ac:dyDescent="0.2">
      <c r="A9" s="12">
        <v>46239</v>
      </c>
      <c r="B9" s="15">
        <v>15000</v>
      </c>
      <c r="C9" s="15">
        <v>13036</v>
      </c>
      <c r="D9">
        <v>7</v>
      </c>
    </row>
    <row r="10" spans="1:20" x14ac:dyDescent="0.2">
      <c r="A10" s="12">
        <v>46238</v>
      </c>
      <c r="B10" s="15">
        <v>15000</v>
      </c>
      <c r="C10" s="15">
        <v>10698</v>
      </c>
      <c r="D10">
        <v>5</v>
      </c>
    </row>
    <row r="11" spans="1:20" x14ac:dyDescent="0.2">
      <c r="A11" s="12">
        <v>46237</v>
      </c>
      <c r="B11" s="15">
        <v>15000</v>
      </c>
      <c r="C11" s="15">
        <v>15401</v>
      </c>
      <c r="D11">
        <v>7</v>
      </c>
    </row>
    <row r="12" spans="1:20" hidden="1" x14ac:dyDescent="0.2">
      <c r="A12" s="10" t="s">
        <v>2934</v>
      </c>
      <c r="B12" s="15">
        <v>90000.000000000044</v>
      </c>
      <c r="C12" s="15">
        <v>75686</v>
      </c>
      <c r="D12">
        <v>36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2929</v>
      </c>
      <c r="B3" t="s">
        <v>2931</v>
      </c>
      <c r="C3" t="s">
        <v>2935</v>
      </c>
      <c r="O3" s="9" t="s">
        <v>2929</v>
      </c>
      <c r="P3" t="s">
        <v>2931</v>
      </c>
      <c r="Q3" t="s">
        <v>2935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2936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2934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2934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2937</v>
      </c>
      <c r="G3" s="17" t="s">
        <v>2938</v>
      </c>
      <c r="H3" s="17" t="s">
        <v>2939</v>
      </c>
      <c r="I3" s="17" t="s">
        <v>2940</v>
      </c>
      <c r="J3" s="17" t="s">
        <v>2941</v>
      </c>
      <c r="K3" s="17" t="s">
        <v>2942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2943</v>
      </c>
    </row>
    <row r="5" spans="6:11" x14ac:dyDescent="0.2">
      <c r="F5" s="17">
        <v>116</v>
      </c>
      <c r="H5" s="17">
        <v>110</v>
      </c>
      <c r="J5" s="17" t="s">
        <v>2944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2945</v>
      </c>
    </row>
    <row r="3" spans="1:17" x14ac:dyDescent="0.2">
      <c r="A3" s="25" t="s">
        <v>7</v>
      </c>
      <c r="B3" s="25" t="s">
        <v>2946</v>
      </c>
      <c r="C3" s="25" t="s">
        <v>2947</v>
      </c>
      <c r="D3" s="25" t="s">
        <v>2948</v>
      </c>
      <c r="E3" s="25" t="s">
        <v>2949</v>
      </c>
      <c r="F3" s="25" t="s">
        <v>2950</v>
      </c>
      <c r="H3" s="22" t="s">
        <v>2950</v>
      </c>
      <c r="I3" s="22" t="s">
        <v>2946</v>
      </c>
      <c r="J3" s="22" t="s">
        <v>2947</v>
      </c>
      <c r="K3" s="22" t="s">
        <v>2949</v>
      </c>
      <c r="L3" s="22" t="s">
        <v>2951</v>
      </c>
      <c r="M3" s="25" t="s">
        <v>2952</v>
      </c>
      <c r="O3" s="25" t="s">
        <v>7</v>
      </c>
      <c r="P3" s="25" t="s">
        <v>2949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2953</v>
      </c>
      <c r="H4" s="28" t="s">
        <v>2953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2953</v>
      </c>
      <c r="H5" s="28" t="s">
        <v>2954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2953</v>
      </c>
      <c r="H6" s="28" t="s">
        <v>2955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2953</v>
      </c>
      <c r="H7" s="28" t="s">
        <v>2956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2953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2953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2953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2953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2953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2953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2954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2954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2954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2954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2954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2954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2954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2955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2955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2955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2955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2955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2955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2955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2955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2955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2955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2955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2955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2955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2956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2956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2956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2956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2956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2956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2956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2956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2956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2956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2956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2956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2956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2956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2956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2956</v>
      </c>
    </row>
    <row r="50" spans="1:6" x14ac:dyDescent="0.2">
      <c r="A50" s="84" t="s">
        <v>2957</v>
      </c>
      <c r="B50" s="84"/>
      <c r="C50" s="84"/>
      <c r="E50" s="23">
        <f>SUM(E4:E49)</f>
        <v>12900</v>
      </c>
    </row>
    <row r="56" spans="1:6" ht="15.75" x14ac:dyDescent="0.25">
      <c r="A56" s="34" t="s">
        <v>2958</v>
      </c>
    </row>
    <row r="57" spans="1:6" ht="25.5" x14ac:dyDescent="0.2">
      <c r="A57" s="35" t="s">
        <v>2959</v>
      </c>
      <c r="B57" s="36" t="s">
        <v>2960</v>
      </c>
      <c r="C57" s="36" t="s">
        <v>2961</v>
      </c>
      <c r="D57" s="36" t="s">
        <v>2962</v>
      </c>
    </row>
    <row r="58" spans="1:6" x14ac:dyDescent="0.2">
      <c r="A58" s="40" t="s">
        <v>2963</v>
      </c>
      <c r="B58" s="37">
        <v>108384.01</v>
      </c>
      <c r="C58" s="37"/>
      <c r="D58" s="37">
        <v>108384.01</v>
      </c>
    </row>
    <row r="59" spans="1:6" x14ac:dyDescent="0.2">
      <c r="A59" s="40" t="s">
        <v>2964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2965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2966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2967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2968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2969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2970</v>
      </c>
      <c r="B65" s="37">
        <v>23860.793000000001</v>
      </c>
      <c r="C65" s="37"/>
      <c r="D65" s="37"/>
    </row>
    <row r="66" spans="1:4" x14ac:dyDescent="0.2">
      <c r="A66" s="40" t="s">
        <v>2971</v>
      </c>
      <c r="B66" s="37">
        <v>1344.431</v>
      </c>
      <c r="C66" s="37"/>
      <c r="D66" s="37"/>
    </row>
    <row r="67" spans="1:4" x14ac:dyDescent="0.2">
      <c r="A67" s="38" t="s">
        <v>2957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2972</v>
      </c>
      <c r="E2" s="48" t="s">
        <v>2973</v>
      </c>
      <c r="F2" s="48" t="s">
        <v>2974</v>
      </c>
      <c r="G2" s="48" t="s">
        <v>2975</v>
      </c>
      <c r="H2" s="48" t="s">
        <v>2976</v>
      </c>
      <c r="I2" s="48" t="s">
        <v>2977</v>
      </c>
      <c r="J2" s="48" t="s">
        <v>2978</v>
      </c>
      <c r="K2" s="48" t="s">
        <v>2979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Luciana Aparecida Fioramonte Vilas Boas</cp:lastModifiedBy>
  <cp:revision/>
  <cp:lastPrinted>2026-08-10T17:29:20Z</cp:lastPrinted>
  <dcterms:created xsi:type="dcterms:W3CDTF">2026-05-12T12:10:54Z</dcterms:created>
  <dcterms:modified xsi:type="dcterms:W3CDTF">2026-08-10T20:29:20Z</dcterms:modified>
  <cp:category/>
  <cp:contentStatus/>
</cp:coreProperties>
</file>