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677" documentId="8_{CE5C6F22-4BE2-41D0-BCDC-905D26C0C4E3}" xr6:coauthVersionLast="47" xr6:coauthVersionMax="47" xr10:uidLastSave="{649A58E3-3E4D-4DFB-BC55-ED906239B804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BD!$A$4:$AB$685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0" i="1" l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<sst xmlns="http://schemas.openxmlformats.org/spreadsheetml/2006/main" count="8411" uniqueCount="2459">
  <si>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</si>
  <si>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</si>
  <si>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</si>
  <si>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</si>
  <si>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</si>
  <si>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</si>
  <si>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</si>
  <si>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</si>
  <si>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</si>
  <si>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</si>
  <si>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</si>
  <si>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</si>
  <si>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</si>
  <si>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</si>
  <si>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</si>
  <si>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</si>
  <si>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</si>
  <si>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</si>
  <si>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</si>
  <si>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</si>
  <si>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</si>
  <si>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</si>
  <si>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</si>
  <si>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</si>
  <si>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</si>
  <si>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</si>
  <si>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</si>
  <si>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</si>
  <si>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</si>
  <si>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</si>
  <si>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</si>
  <si>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</si>
  <si>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</si>
  <si>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</si>
  <si>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</si>
  <si>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</si>
  <si>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</si>
  <si>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</si>
  <si>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</si>
  <si>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</si>
  <si>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</si>
  <si>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</si>
  <si>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</si>
  <si>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</si>
  <si>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</si>
  <si>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</si>
  <si>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</si>
  <si>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</si>
  <si>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</si>
  <si>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</si>
  <si>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</si>
  <si>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</si>
  <si>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</si>
  <si>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</si>
  <si>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</si>
  <si>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</si>
  <si>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</si>
  <si>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</si>
  <si>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</si>
  <si>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</si>
  <si>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</si>
  <si>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</si>
  <si>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</si>
  <si>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</si>
  <si>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</si>
  <si>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</si>
  <si>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</si>
  <si>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</si>
  <si>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</si>
  <si>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</si>
  <si>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</si>
  <si>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</si>
  <si>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</si>
  <si>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</si>
  <si>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</si>
  <si>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</si>
  <si>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</si>
  <si>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</si>
  <si>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</si>
  <si>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</si>
  <si>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</si>
  <si>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</si>
  <si>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</si>
  <si>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</si>
  <si>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</si>
  <si>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</si>
  <si>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</si>
  <si>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</si>
  <si>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</si>
  <si>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</si>
  <si>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</si>
  <si>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</si>
  <si>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</si>
  <si>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</si>
  <si>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</si>
  <si>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</si>
  <si>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</si>
  <si>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</si>
  <si>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</si>
  <si>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</si>
  <si>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</si>
  <si>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</si>
  <si>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</si>
  <si>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</si>
  <si>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</si>
  <si>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</si>
  <si>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</si>
  <si>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</si>
  <si>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</si>
  <si>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</si>
  <si>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</si>
  <si>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</si>
  <si>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</si>
  <si>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</si>
  <si>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</si>
  <si>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</si>
  <si>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</si>
  <si>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</si>
  <si>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</si>
  <si>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</si>
  <si>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</si>
  <si>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</si>
  <si>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</si>
  <si>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</si>
  <si>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</si>
  <si>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</si>
  <si>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</si>
  <si>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</si>
  <si>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</si>
  <si>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</si>
  <si>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</si>
  <si>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</si>
  <si>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</si>
  <si>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</si>
  <si>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</si>
  <si>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</si>
  <si>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</si>
  <si>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</si>
  <si>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</si>
  <si>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</si>
  <si>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</si>
  <si>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</si>
  <si>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</si>
  <si>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</si>
  <si>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</si>
  <si>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</si>
  <si>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</si>
  <si>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</si>
  <si>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</si>
  <si>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</si>
  <si>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</si>
  <si>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</si>
  <si>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</si>
  <si>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</si>
  <si>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</si>
  <si>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</si>
  <si>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</si>
  <si>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</si>
  <si>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</si>
  <si>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</si>
  <si>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</si>
  <si>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</si>
  <si>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</si>
  <si>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</si>
  <si>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</si>
  <si>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</si>
  <si>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</si>
  <si>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</si>
  <si>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</si>
  <si>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</si>
  <si>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</si>
  <si>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</si>
  <si>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</si>
  <si>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</si>
  <si>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</si>
  <si>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</si>
  <si>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</si>
  <si>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</si>
  <si>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</si>
  <si>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</si>
  <si>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</si>
  <si>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</si>
  <si>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</si>
  <si>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</si>
  <si>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</si>
  <si>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</si>
  <si>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</si>
  <si>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</si>
  <si>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</si>
  <si>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</si>
  <si>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</si>
  <si>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</si>
  <si>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</si>
  <si>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</si>
  <si>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</si>
  <si>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</si>
  <si>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</si>
  <si>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</si>
  <si>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</si>
  <si>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</si>
  <si>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</si>
  <si>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</si>
  <si>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</si>
  <si>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</si>
  <si>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</si>
  <si>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</si>
  <si>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</si>
  <si>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</si>
  <si>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</si>
  <si>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</si>
  <si>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</si>
  <si>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</si>
  <si>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</si>
  <si>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</si>
  <si>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</si>
  <si>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</si>
  <si>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</si>
  <si>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</si>
  <si>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</si>
  <si>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</si>
  <si>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</si>
  <si>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</si>
  <si>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</si>
  <si>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</si>
  <si>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</si>
  <si>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</si>
  <si>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</si>
  <si>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</si>
  <si>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</si>
  <si>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</si>
  <si>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</si>
  <si>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</si>
  <si>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</si>
  <si>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</si>
  <si>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</si>
  <si>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</si>
  <si>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</si>
  <si>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</si>
  <si>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</si>
  <si>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</si>
  <si>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</si>
  <si>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</si>
  <si>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</si>
  <si>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</si>
  <si>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</si>
  <si>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</si>
  <si>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</si>
  <si>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</si>
  <si>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</si>
  <si>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</si>
  <si>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</si>
  <si>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</si>
  <si>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</si>
  <si>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</si>
  <si>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</si>
  <si>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</si>
  <si>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</si>
  <si>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</si>
  <si>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</si>
  <si>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</si>
  <si>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</si>
  <si>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</si>
  <si>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</si>
  <si>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</si>
  <si>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</si>
  <si>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</si>
  <si>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</si>
  <si>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</si>
  <si>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</si>
  <si>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</si>
  <si>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</si>
  <si>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</si>
  <si>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</si>
  <si>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</si>
  <si>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</si>
  <si>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</si>
  <si>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</si>
  <si>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</si>
  <si>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</si>
  <si>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</si>
  <si>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</si>
  <si>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</si>
  <si>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</si>
  <si>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</si>
  <si>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</si>
  <si>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</si>
  <si>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</si>
  <si>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</si>
  <si>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</si>
  <si>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</si>
  <si>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</si>
  <si>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</si>
  <si>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</si>
  <si>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</si>
  <si>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</si>
  <si>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</si>
  <si>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</si>
  <si>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</si>
  <si>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</si>
  <si>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</si>
  <si>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</si>
  <si>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</si>
  <si>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</si>
  <si>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</si>
  <si>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</si>
  <si>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</si>
  <si>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</si>
  <si>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</si>
  <si>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</si>
  <si>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</si>
  <si>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</si>
  <si>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</si>
  <si>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</si>
  <si>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</si>
  <si>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</si>
  <si>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</si>
  <si>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</si>
  <si>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</si>
  <si>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</si>
  <si>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</si>
  <si>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</si>
  <si>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</si>
  <si>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</si>
  <si>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</si>
  <si>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</si>
  <si>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</si>
  <si>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</si>
  <si>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</si>
  <si>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</si>
  <si>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</si>
  <si>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</si>
  <si>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</si>
  <si>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</si>
  <si>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</si>
  <si>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</si>
  <si>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</si>
  <si>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</si>
  <si>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</si>
  <si>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</si>
  <si>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</si>
  <si>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</si>
  <si>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</si>
  <si>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</si>
  <si>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</si>
  <si>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</si>
  <si>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</si>
  <si>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</si>
  <si>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</si>
  <si>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</si>
  <si>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</si>
  <si>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</si>
  <si>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</si>
  <si>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</si>
  <si>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</si>
  <si>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</si>
  <si>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</si>
  <si>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</si>
  <si>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</si>
  <si>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</si>
  <si>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</si>
  <si>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</si>
  <si>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</si>
  <si>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</si>
  <si>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</si>
  <si>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</si>
  <si>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</si>
  <si>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</si>
  <si>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</si>
  <si>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</si>
  <si>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</si>
  <si>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</si>
  <si>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</si>
  <si>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</si>
  <si>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</si>
  <si>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</si>
  <si>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</si>
  <si>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</si>
  <si>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</si>
  <si>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</si>
  <si>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</si>
  <si>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</si>
  <si>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</si>
  <si>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</si>
  <si>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</si>
  <si>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</si>
  <si>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</si>
  <si>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</si>
  <si>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</si>
  <si>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</si>
  <si>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</si>
  <si>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</si>
  <si>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</si>
  <si>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</si>
  <si>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</si>
  <si>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</si>
  <si>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</si>
  <si>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</si>
  <si>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</si>
  <si>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</si>
  <si>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</si>
  <si>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</si>
  <si>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</si>
  <si>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</si>
  <si>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</si>
  <si>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</si>
  <si>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</si>
  <si>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</si>
  <si>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</si>
  <si>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</si>
  <si>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</si>
  <si>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</si>
  <si>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</si>
  <si>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</si>
  <si>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</si>
  <si>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</si>
  <si>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</si>
  <si>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</si>
  <si>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</si>
  <si>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</si>
  <si>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</si>
  <si>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</si>
  <si>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</si>
  <si>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</si>
  <si>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</si>
  <si>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</si>
  <si>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</si>
  <si>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</si>
  <si>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</si>
  <si>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</si>
  <si>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</si>
  <si>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</si>
  <si>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</si>
  <si>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</si>
  <si>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</si>
  <si>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</si>
  <si>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</si>
  <si>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</si>
  <si>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</si>
  <si>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</si>
  <si>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</si>
  <si>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</si>
  <si>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</si>
  <si>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</si>
  <si>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</si>
  <si>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</si>
  <si>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</si>
  <si>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</si>
  <si>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</si>
  <si>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</si>
  <si>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</si>
  <si>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</si>
  <si>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</si>
  <si>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</si>
  <si>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</si>
  <si>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</si>
  <si>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</si>
  <si>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</si>
  <si>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</si>
  <si>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</si>
  <si>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</si>
  <si>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</si>
  <si>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</si>
  <si>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</si>
  <si>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</si>
  <si>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</si>
  <si>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</si>
  <si>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</si>
  <si>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</si>
  <si>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</si>
  <si>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</si>
  <si>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</si>
  <si>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</si>
  <si>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</si>
  <si>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</si>
  <si>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</si>
  <si>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</si>
  <si>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</si>
  <si>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</si>
  <si>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</si>
  <si>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</si>
  <si>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</si>
  <si>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</si>
  <si>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</si>
  <si>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</si>
  <si>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</si>
  <si>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</si>
  <si>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</si>
  <si>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</si>
  <si>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</si>
  <si>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</si>
  <si>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</si>
  <si>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</si>
  <si>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</si>
  <si>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</si>
  <si>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</si>
  <si>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</si>
  <si>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</si>
  <si>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</si>
  <si>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</si>
  <si>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</si>
  <si>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</si>
  <si>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</si>
  <si>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</si>
  <si>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</si>
  <si>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</si>
  <si>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</si>
  <si>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</si>
  <si>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</si>
  <si>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</si>
  <si>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</si>
  <si>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</si>
  <si>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</si>
  <si>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</si>
  <si>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</si>
  <si>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</si>
  <si>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</si>
  <si>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</si>
  <si>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</si>
  <si>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</si>
  <si>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</si>
  <si>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</si>
  <si>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</si>
  <si>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</si>
  <si>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</si>
  <si>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</si>
  <si>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</si>
  <si>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</si>
  <si>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</si>
  <si>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</si>
  <si>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</si>
  <si>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</si>
  <si>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</si>
  <si>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</si>
  <si>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</si>
  <si>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</si>
  <si>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</si>
  <si>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</si>
  <si>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</si>
  <si>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</si>
  <si>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</si>
  <si>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</si>
  <si>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</si>
  <si>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</si>
  <si>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</si>
  <si>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</si>
  <si>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</si>
  <si>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</si>
  <si>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</si>
  <si>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</si>
  <si>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</si>
  <si>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</si>
  <si>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</si>
  <si>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</si>
  <si>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</si>
  <si>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</si>
  <si>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</si>
  <si>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</si>
  <si>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</si>
  <si>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</si>
  <si>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</si>
  <si>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</si>
  <si>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</si>
  <si>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</si>
  <si>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</si>
  <si>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</si>
  <si>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</si>
  <si>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</si>
  <si>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</si>
  <si>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</si>
  <si>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</si>
  <si>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</si>
  <si>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</si>
  <si>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</si>
  <si>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</si>
  <si>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</si>
  <si>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</si>
  <si>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</si>
  <si>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</si>
  <si>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</si>
  <si>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</si>
  <si>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</si>
  <si>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</si>
  <si>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</si>
  <si>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</si>
  <si>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</si>
  <si>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</si>
  <si>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</si>
  <si>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</si>
  <si>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</si>
  <si>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</si>
  <si>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</si>
  <si>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</si>
  <si>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</si>
  <si>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</si>
  <si>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</si>
  <si>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</si>
  <si>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</si>
  <si>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</si>
  <si>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</si>
  <si>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</si>
  <si>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</si>
  <si>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</si>
  <si>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</si>
  <si>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</si>
  <si>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</si>
  <si>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</si>
  <si>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</si>
  <si>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</si>
  <si>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</si>
  <si>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</si>
  <si>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</si>
  <si>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</si>
  <si>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</si>
  <si>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</si>
  <si>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</si>
  <si>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</si>
  <si>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</si>
  <si>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</si>
  <si>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</si>
  <si>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</si>
  <si>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</si>
  <si>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</si>
  <si>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</si>
  <si>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</si>
  <si>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</si>
  <si>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</si>
  <si>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</si>
  <si>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</si>
  <si>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</si>
  <si>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</si>
  <si>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</si>
  <si>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</si>
  <si>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</si>
  <si>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</si>
  <si>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</si>
  <si>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</si>
  <si>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</si>
  <si>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</si>
  <si>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</si>
  <si>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</si>
  <si>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</si>
  <si>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</si>
  <si>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</si>
  <si>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</si>
  <si>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</si>
  <si>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</si>
  <si>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</si>
  <si>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</si>
  <si>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</si>
  <si>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</si>
  <si>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</si>
  <si>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</si>
  <si>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</si>
  <si>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</si>
  <si>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</si>
  <si>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</si>
  <si>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</si>
  <si>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</si>
  <si>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</si>
  <si>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</si>
  <si>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</si>
  <si>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</si>
  <si>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</si>
  <si>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</si>
  <si>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</si>
  <si>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</si>
  <si>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</si>
  <si>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</si>
  <si>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</si>
  <si>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</si>
  <si>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</si>
  <si>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</si>
  <si>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</si>
  <si>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</si>
  <si>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</si>
  <si>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</si>
  <si>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</si>
  <si>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</si>
  <si>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</si>
  <si>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</si>
  <si>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</si>
  <si>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</si>
  <si>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</si>
  <si>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</si>
  <si>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</si>
  <si>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</si>
  <si>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</si>
  <si>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</si>
  <si>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</si>
  <si>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</si>
  <si>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</si>
  <si>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</si>
  <si>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</si>
  <si>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</si>
  <si>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</si>
  <si>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</si>
  <si>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</si>
  <si>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</si>
  <si>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</si>
  <si>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</si>
  <si>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</si>
  <si>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</si>
  <si>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</si>
  <si>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</si>
  <si>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</si>
  <si>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</si>
  <si>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</si>
  <si>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</si>
  <si>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</si>
  <si>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</si>
  <si>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</si>
  <si>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</si>
  <si>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</si>
  <si>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</si>
  <si>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</si>
  <si>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</si>
  <si>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</si>
  <si>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</si>
  <si>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</si>
  <si>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</si>
  <si>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</si>
  <si>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</si>
  <si>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</si>
  <si>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</si>
  <si>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</si>
  <si>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</si>
  <si>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</si>
  <si>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</si>
  <si>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</si>
  <si>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</si>
  <si>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</si>
  <si>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</si>
  <si>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</si>
  <si>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</si>
  <si>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</si>
  <si>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</si>
  <si>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</si>
  <si>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</si>
  <si>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</si>
  <si>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</si>
  <si>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</si>
  <si>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</si>
  <si>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</si>
  <si>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</si>
  <si>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</si>
  <si>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</si>
  <si>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</si>
  <si>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</si>
  <si>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</si>
  <si>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</si>
  <si>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</si>
  <si>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</si>
  <si>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</si>
  <si>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</si>
  <si>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</si>
  <si>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</si>
  <si>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</si>
  <si>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</si>
  <si>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</si>
  <si>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</si>
  <si>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</si>
  <si>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</si>
  <si>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</si>
  <si>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</si>
  <si>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</si>
  <si>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</si>
  <si>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</si>
  <si>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</si>
  <si>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</si>
  <si>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</si>
  <si>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</si>
  <si>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</si>
  <si>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</si>
  <si>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</si>
  <si>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</si>
  <si>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</si>
  <si>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</si>
  <si>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</si>
  <si>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</si>
  <si>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</si>
  <si>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</si>
  <si>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</si>
  <si>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</si>
  <si>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</si>
  <si>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</si>
  <si>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</si>
  <si>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</si>
  <si>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</si>
  <si>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</si>
  <si>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</si>
  <si>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</si>
  <si>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</si>
  <si>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</si>
  <si>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</si>
  <si>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</si>
  <si>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</si>
  <si>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</si>
  <si>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</si>
  <si>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</si>
  <si>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</si>
  <si>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</si>
  <si>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</si>
  <si>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</si>
  <si>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</si>
  <si>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</si>
  <si>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</si>
  <si>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</si>
  <si>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</si>
  <si>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</si>
  <si>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</si>
  <si>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</si>
  <si>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</si>
  <si>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</si>
  <si>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</si>
  <si>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</si>
  <si>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</si>
  <si>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</si>
  <si>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</si>
  <si>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</si>
  <si>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</si>
  <si>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</si>
  <si>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</si>
  <si>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</si>
  <si>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</si>
  <si>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</si>
  <si>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</si>
  <si>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</si>
  <si>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</si>
  <si>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</si>
  <si>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</si>
  <si>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</si>
  <si>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</si>
  <si>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</si>
  <si>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</si>
  <si>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</si>
  <si>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</si>
  <si>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</si>
  <si>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</si>
  <si>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</si>
  <si>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</si>
  <si>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</si>
  <si>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</si>
  <si>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</si>
  <si>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</si>
  <si>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</si>
  <si>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</si>
  <si>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</si>
  <si>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</si>
  <si>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</si>
  <si>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</si>
  <si>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</si>
  <si>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</si>
  <si>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</si>
  <si>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</si>
  <si>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</si>
  <si>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</si>
  <si>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</si>
  <si>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</si>
  <si>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</si>
  <si>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</si>
  <si>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</si>
  <si>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</si>
  <si>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</si>
  <si>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</si>
  <si>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</si>
  <si>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</si>
  <si>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</si>
  <si>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</si>
  <si>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</si>
  <si>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</si>
  <si>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</si>
  <si>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</si>
  <si>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</si>
  <si>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</si>
  <si>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</si>
  <si>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</si>
  <si>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</si>
  <si>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</si>
  <si>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</si>
  <si>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</si>
  <si>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</si>
  <si>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</si>
  <si>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</si>
  <si>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</si>
  <si>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</si>
  <si>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</si>
  <si>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</si>
  <si>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</si>
  <si>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</si>
  <si>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</si>
  <si>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</si>
  <si>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</si>
  <si>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</si>
  <si>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</si>
  <si>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</si>
  <si>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</si>
  <si>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</si>
  <si>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</si>
  <si>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</si>
  <si>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</si>
  <si>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</si>
  <si>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</si>
  <si>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</si>
  <si>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</si>
  <si>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</si>
  <si>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</si>
  <si>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</si>
  <si>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</si>
  <si>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</si>
  <si>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</si>
  <si>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</si>
  <si>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</si>
  <si>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</si>
  <si>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</si>
  <si>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</si>
  <si>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</si>
  <si>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</si>
  <si>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</si>
  <si>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</si>
  <si>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</si>
  <si>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</si>
  <si>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</si>
  <si>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</si>
  <si>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</si>
  <si>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</si>
  <si>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</si>
  <si>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</si>
  <si>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</si>
  <si>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</si>
  <si>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</si>
  <si>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</si>
  <si>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</si>
  <si>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</si>
  <si>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</si>
  <si>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</si>
  <si>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</si>
  <si>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</si>
  <si>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</si>
  <si>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</si>
  <si>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</si>
  <si>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</si>
  <si>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</si>
  <si>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</si>
  <si>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</si>
  <si>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</si>
  <si>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</si>
  <si>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</si>
  <si>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</si>
  <si>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</si>
  <si>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</si>
  <si>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</si>
  <si>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</si>
  <si>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</si>
  <si>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</si>
  <si>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</si>
  <si>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</si>
  <si>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</si>
  <si>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</si>
  <si>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</si>
  <si>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</si>
  <si>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</si>
  <si>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</si>
  <si>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</si>
  <si>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</si>
  <si>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</si>
  <si>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</si>
  <si>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</si>
  <si>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</si>
  <si>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</si>
  <si>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</si>
  <si>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</si>
  <si>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</si>
  <si>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</si>
  <si>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</si>
  <si>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</si>
  <si>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</si>
  <si>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</si>
  <si>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</si>
  <si>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</si>
  <si>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</si>
  <si>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</si>
  <si>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</si>
  <si>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</si>
  <si>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</si>
  <si>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</si>
  <si>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</si>
  <si>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</si>
  <si>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</si>
  <si>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</si>
  <si>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</si>
  <si>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</si>
  <si>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</si>
  <si>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</si>
  <si>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</si>
  <si>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</si>
  <si>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</si>
  <si>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</si>
  <si>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</si>
  <si>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</si>
  <si>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</si>
  <si>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</si>
  <si>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</si>
  <si>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</si>
  <si>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</si>
  <si>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</si>
  <si>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</si>
  <si>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</si>
  <si>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</si>
  <si>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</si>
  <si>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</si>
  <si>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</si>
  <si>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</si>
  <si>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</si>
  <si>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</si>
  <si>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</si>
  <si>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</si>
  <si>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</si>
  <si>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</si>
  <si>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</si>
  <si>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</si>
  <si>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</si>
  <si>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</si>
  <si>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</si>
  <si>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</si>
  <si>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</si>
  <si>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</si>
  <si>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</si>
  <si>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</si>
  <si>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</si>
  <si>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</si>
  <si>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</si>
  <si>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</si>
  <si>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</si>
  <si>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</si>
  <si>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</si>
  <si>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</si>
  <si>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</si>
  <si>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</si>
  <si>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</si>
  <si>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</si>
  <si>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</si>
  <si>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</si>
  <si>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</si>
  <si>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</si>
  <si>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</si>
  <si>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</si>
  <si>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</si>
  <si>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</si>
  <si>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</si>
  <si>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</si>
  <si>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</si>
  <si>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</si>
  <si>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</si>
  <si>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</si>
  <si>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</si>
  <si>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</si>
  <si>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</si>
  <si>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</si>
  <si>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</si>
  <si>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</si>
  <si>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</si>
  <si>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</si>
  <si>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</si>
  <si>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</si>
  <si>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</si>
  <si>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</si>
  <si>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</si>
  <si>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</si>
  <si>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</si>
  <si>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</si>
  <si>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</si>
  <si>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</si>
  <si>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</si>
  <si>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</si>
  <si>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</si>
  <si>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</si>
  <si>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</si>
  <si>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</si>
  <si>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</si>
  <si>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</si>
  <si>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</si>
  <si>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</si>
  <si>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</si>
  <si>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</si>
  <si>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</si>
  <si>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</si>
  <si>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</si>
  <si>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</si>
  <si>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</si>
  <si>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</si>
  <si>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</si>
  <si>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</si>
  <si>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</si>
  <si>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</si>
  <si>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</si>
  <si>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</si>
  <si>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</si>
  <si>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</si>
  <si>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</si>
  <si>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</si>
  <si>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</si>
  <si>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</si>
  <si>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</si>
  <si>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</si>
  <si>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</si>
  <si>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</si>
  <si>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</si>
  <si>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</si>
  <si>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</si>
  <si>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</si>
  <si>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</si>
  <si>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</si>
  <si>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</si>
  <si>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</si>
  <si>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</si>
  <si>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</si>
  <si>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</si>
  <si>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</si>
  <si>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</si>
  <si>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</si>
  <si>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</si>
  <si>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</si>
  <si>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</si>
  <si>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</si>
  <si>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</si>
  <si>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</si>
  <si>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</si>
  <si>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</si>
  <si>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</si>
  <si>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</si>
  <si>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</si>
  <si>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</si>
  <si>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</si>
  <si>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</si>
  <si>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</si>
  <si>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</si>
  <si>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</si>
  <si>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</si>
  <si>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</si>
  <si>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</si>
  <si>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</si>
  <si>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</si>
  <si>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</si>
  <si>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</si>
  <si>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</si>
  <si>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</si>
  <si>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</si>
  <si>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</si>
  <si>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</si>
  <si>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</si>
  <si>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</si>
  <si>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</si>
  <si>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</si>
  <si>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</si>
  <si>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</si>
  <si>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</si>
  <si>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</si>
  <si>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</si>
  <si>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</si>
  <si>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</si>
  <si>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</si>
  <si>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</si>
  <si>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</si>
  <si>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</si>
  <si>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</si>
  <si>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</si>
  <si>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</si>
  <si>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</si>
  <si>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</si>
  <si>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</si>
  <si>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</si>
  <si>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</si>
  <si>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</si>
  <si>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</si>
  <si>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</si>
  <si>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</si>
  <si>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</si>
  <si>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</si>
  <si>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</si>
  <si>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</si>
  <si>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</si>
  <si>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</si>
  <si>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</si>
  <si>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</si>
  <si>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</si>
  <si>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</si>
  <si>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</si>
  <si>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</si>
  <si>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</si>
  <si>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</si>
  <si>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</si>
  <si>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</si>
  <si>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</si>
  <si>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</si>
  <si>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</si>
  <si>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</si>
  <si>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</si>
  <si>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</si>
  <si>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</si>
  <si>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</si>
  <si>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</si>
  <si>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</si>
  <si>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</si>
  <si>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</si>
  <si>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</si>
  <si>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</si>
  <si>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</si>
  <si>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</si>
  <si>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</si>
  <si>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</si>
  <si>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</si>
  <si>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</si>
  <si>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</si>
  <si>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</si>
  <si>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</si>
  <si>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</si>
  <si>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</si>
  <si>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</si>
  <si>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</si>
  <si>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</si>
  <si>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</si>
  <si>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</si>
  <si>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</si>
  <si>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</si>
  <si>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</si>
  <si>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</si>
  <si>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</si>
  <si>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</si>
  <si>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</si>
  <si>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</si>
  <si>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</si>
  <si>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</si>
  <si>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</si>
  <si>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</si>
  <si>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</si>
  <si>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</si>
  <si>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</si>
  <si>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</si>
  <si>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</si>
  <si>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</si>
  <si>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</si>
  <si>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</si>
  <si>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</si>
  <si>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</si>
  <si>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</si>
  <si>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</si>
  <si>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</si>
  <si>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</si>
  <si>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</si>
  <si>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</si>
  <si>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</si>
  <si>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</si>
  <si>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</si>
  <si>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</si>
  <si>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</si>
  <si>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</si>
  <si>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</si>
  <si>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</si>
  <si>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</si>
  <si>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</si>
  <si>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</si>
  <si>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</si>
  <si>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</si>
  <si>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</si>
  <si>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</si>
  <si>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</si>
  <si>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</si>
  <si>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</si>
  <si>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</si>
  <si>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</si>
  <si>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</si>
  <si>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</si>
  <si>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</si>
  <si>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</si>
  <si>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</si>
  <si>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</si>
  <si>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</si>
  <si>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</si>
  <si>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</si>
  <si>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</si>
  <si>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</si>
  <si>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</si>
  <si>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</si>
  <si>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</si>
  <si>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</si>
  <si>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</si>
  <si>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</si>
  <si>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</si>
  <si>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</si>
  <si>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</si>
  <si>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</si>
  <si>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</si>
  <si>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</si>
  <si>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</si>
  <si>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</si>
  <si>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</si>
  <si>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</si>
  <si>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</si>
  <si>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</si>
  <si>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</si>
  <si>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</si>
  <si>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</si>
  <si>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</si>
  <si>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</si>
  <si>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</si>
  <si>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</si>
  <si>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</si>
  <si>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</si>
  <si>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</si>
  <si>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</si>
  <si>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</si>
  <si>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</si>
  <si>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</si>
  <si>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</si>
  <si>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</si>
  <si>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</si>
  <si>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</si>
  <si>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</si>
  <si>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</si>
  <si>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</si>
  <si>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</si>
  <si>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</si>
  <si>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</si>
  <si>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</si>
  <si>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</si>
  <si>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</si>
  <si>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</si>
  <si>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</si>
  <si>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</si>
  <si>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</si>
  <si>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</si>
  <si>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</si>
  <si>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</si>
  <si>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</si>
  <si>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</si>
  <si>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</si>
  <si>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</si>
  <si>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</si>
  <si>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</si>
  <si>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</si>
  <si>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</si>
  <si>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</si>
  <si>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</si>
  <si>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</si>
  <si>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</si>
  <si>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</si>
  <si>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</si>
  <si>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</si>
  <si>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</si>
  <si>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</si>
  <si>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</si>
  <si>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</si>
  <si>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</si>
  <si>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</si>
  <si>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</si>
  <si>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</si>
  <si>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</si>
  <si>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</si>
  <si>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</si>
  <si>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</si>
  <si>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</si>
  <si>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</si>
  <si>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</si>
  <si>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</si>
  <si>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</si>
  <si>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</si>
  <si>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</si>
  <si>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</si>
  <si>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</si>
  <si>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</si>
  <si>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</si>
  <si>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</si>
  <si>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</si>
  <si>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</si>
  <si>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</si>
  <si>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</si>
  <si>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</si>
  <si>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</si>
  <si>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</si>
  <si>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</si>
  <si>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</si>
  <si>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</si>
  <si>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</si>
  <si>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</si>
  <si>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</si>
  <si>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</si>
  <si>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</si>
  <si>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</si>
  <si>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</si>
  <si>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</si>
  <si>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</si>
  <si>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</si>
  <si>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</si>
  <si>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</si>
  <si>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</si>
  <si>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</si>
  <si>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</si>
  <si>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</si>
  <si>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</si>
  <si>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</si>
  <si>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</si>
  <si>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</si>
  <si>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</si>
  <si>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</si>
  <si>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</si>
  <si>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</si>
  <si>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</si>
  <si>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</si>
  <si>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</si>
  <si>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</si>
  <si>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</si>
  <si>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</si>
  <si>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</si>
  <si>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</si>
  <si>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</si>
  <si>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</si>
  <si>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</si>
  <si>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</si>
  <si>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</si>
  <si>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</si>
  <si>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</si>
  <si>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</si>
  <si>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</si>
  <si>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</si>
  <si>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</si>
  <si>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</si>
  <si>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</si>
  <si>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</si>
  <si>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</si>
  <si>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</si>
  <si>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</si>
  <si>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</si>
  <si>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</si>
  <si>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</si>
  <si>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</si>
  <si>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</si>
  <si>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</si>
  <si>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</si>
  <si>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</si>
  <si>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</si>
  <si>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</si>
  <si>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</si>
  <si>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</si>
  <si>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</si>
  <si>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</si>
  <si>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</si>
  <si>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</si>
  <si>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</si>
  <si>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</si>
  <si>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</si>
  <si>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</si>
  <si>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</si>
  <si>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</si>
  <si>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</si>
  <si>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</si>
  <si>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</si>
  <si>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</si>
  <si>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</si>
  <si>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</si>
  <si>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</si>
  <si>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</si>
  <si>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</si>
  <si>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</si>
  <si>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</si>
  <si>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</si>
  <si>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</si>
  <si>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</si>
  <si>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</si>
  <si>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</si>
  <si>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</si>
  <si>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</si>
  <si>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</si>
  <si>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</si>
  <si>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</si>
  <si>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</si>
  <si>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</si>
  <si>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</si>
  <si>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</si>
  <si>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</si>
  <si>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</si>
  <si>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</si>
  <si>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</si>
  <si>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</si>
  <si>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</si>
  <si>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</si>
  <si>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</si>
  <si>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</si>
  <si>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</si>
  <si>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</si>
  <si>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</si>
  <si>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</si>
  <si>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</si>
  <si>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</si>
  <si>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</si>
  <si>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</si>
  <si>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</si>
  <si>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</si>
  <si>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</si>
  <si>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</si>
  <si>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</si>
  <si>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</si>
  <si>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</si>
  <si>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</si>
  <si>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</si>
  <si>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</si>
  <si>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</si>
  <si>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</si>
  <si>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</si>
  <si>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</si>
  <si>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</si>
  <si>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</si>
  <si>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</si>
  <si>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</si>
  <si>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</si>
  <si>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</si>
  <si>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</si>
  <si>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</si>
  <si>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</si>
  <si>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</si>
  <si>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</si>
  <si>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</si>
  <si>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</si>
  <si>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</si>
  <si>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</si>
  <si>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</si>
  <si>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</si>
  <si>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</si>
  <si>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</si>
  <si>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</si>
  <si>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</si>
  <si>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</si>
  <si>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</si>
  <si>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</si>
  <si>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</si>
  <si>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</si>
  <si>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</si>
  <si>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</si>
  <si>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</si>
  <si>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</si>
  <si>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</si>
  <si>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</si>
  <si>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</si>
  <si>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</si>
  <si>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</si>
  <si>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</si>
  <si>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</si>
  <si>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</si>
  <si>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</si>
  <si>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</si>
  <si>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</si>
  <si>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</si>
  <si>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</si>
  <si>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</si>
  <si>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</si>
  <si>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</si>
  <si>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</si>
  <si>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</si>
  <si>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</si>
  <si>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</si>
  <si>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</si>
  <si>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</si>
  <si>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</si>
  <si>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</si>
  <si>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</si>
  <si>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</si>
  <si>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</si>
  <si>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</si>
  <si>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</si>
  <si>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</si>
  <si>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</si>
  <si>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</si>
  <si>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</si>
  <si>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</si>
  <si>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</si>
  <si>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</si>
  <si>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</si>
  <si>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</si>
  <si>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</si>
  <si>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</si>
  <si>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</si>
  <si>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</si>
  <si>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</si>
  <si>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</si>
  <si>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</si>
  <si>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</si>
  <si>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</si>
  <si>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</si>
  <si>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</si>
  <si>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</si>
  <si>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</si>
  <si>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</si>
  <si>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</si>
  <si>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</si>
  <si>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</si>
  <si>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</si>
  <si>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</si>
  <si>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</si>
  <si>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</si>
  <si>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</si>
  <si>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</si>
  <si>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</si>
  <si>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</si>
  <si>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</si>
  <si>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</si>
  <si>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</si>
  <si>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</si>
  <si>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</si>
  <si>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</si>
  <si>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</si>
  <si>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</si>
  <si>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</si>
  <si>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</si>
  <si>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</si>
  <si>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</si>
  <si>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</si>
  <si>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</si>
  <si>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</si>
  <si>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</si>
  <si>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</si>
  <si>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</si>
  <si>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</si>
  <si>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</si>
  <si>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</si>
  <si>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</si>
  <si>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</si>
  <si>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</si>
  <si>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</si>
  <si>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</si>
  <si>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</si>
  <si>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</si>
  <si>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</si>
  <si>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</si>
  <si>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</si>
  <si>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</si>
  <si>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</si>
  <si>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</si>
  <si>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</si>
  <si>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</si>
  <si>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</si>
  <si>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</si>
  <si>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</si>
  <si>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</si>
  <si>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</si>
  <si>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</si>
  <si>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</si>
  <si>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</si>
  <si>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</si>
  <si>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</si>
  <si>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</si>
  <si>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</si>
  <si>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</si>
  <si>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</si>
  <si>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</si>
  <si>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</si>
  <si>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</si>
  <si>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</si>
  <si>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</si>
  <si>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</si>
  <si>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</si>
  <si>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</si>
  <si>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</si>
  <si>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</si>
  <si>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</si>
  <si>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</si>
  <si>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</si>
  <si>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</si>
  <si>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</si>
  <si>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</si>
  <si>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</si>
  <si>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</si>
  <si>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</si>
  <si>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</si>
  <si>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</si>
  <si>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</si>
  <si>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</si>
  <si>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</si>
  <si>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</si>
  <si>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</si>
  <si>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</si>
  <si>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</si>
  <si>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</si>
  <si>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</si>
  <si>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</si>
  <si>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</si>
  <si>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</si>
  <si>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</si>
  <si>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</si>
  <si>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</si>
  <si>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</si>
  <si>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</si>
  <si>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</si>
  <si>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</si>
  <si>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</si>
  <si>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</si>
  <si>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</si>
  <si>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</si>
  <si>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</si>
  <si>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</si>
  <si>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</si>
  <si>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</si>
  <si>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</si>
  <si>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</si>
  <si>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</si>
  <si>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</si>
  <si>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</si>
  <si>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</si>
  <si>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</si>
  <si>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</si>
  <si>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</si>
  <si>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</si>
  <si>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</si>
  <si>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</si>
  <si>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</si>
  <si>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</si>
  <si>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</si>
  <si>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</si>
  <si>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</si>
  <si>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</si>
  <si>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</si>
  <si>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</si>
  <si>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</si>
  <si>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</si>
  <si>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</si>
  <si>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</si>
  <si>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</si>
  <si>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</si>
  <si>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</si>
  <si>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</si>
  <si>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</si>
  <si>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</si>
  <si>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</si>
  <si>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</si>
  <si>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</si>
  <si>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</si>
  <si>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</si>
  <si>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</si>
  <si>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</si>
  <si>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</si>
  <si>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</si>
  <si>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</si>
  <si>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</si>
  <si>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</si>
  <si>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</si>
  <si>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</si>
  <si>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</si>
  <si>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</si>
  <si>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</si>
  <si>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</si>
  <si>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</si>
  <si>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</si>
  <si>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</si>
  <si>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</si>
  <si>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</si>
  <si>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</si>
  <si>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</si>
  <si>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</si>
  <si>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</si>
  <si>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</si>
  <si>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</si>
  <si>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</si>
  <si>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</si>
  <si>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</si>
  <si>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</si>
  <si>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</si>
  <si>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</si>
  <si>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</si>
  <si>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</si>
  <si>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</si>
  <si>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</si>
  <si>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</si>
  <si>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</si>
  <si>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</si>
  <si>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</si>
  <si>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</si>
  <si>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</si>
  <si>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</si>
  <si>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</si>
  <si>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</si>
  <si>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</si>
  <si>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</si>
  <si>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</si>
  <si>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</si>
  <si>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</si>
  <si>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</si>
  <si>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</si>
  <si>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</si>
  <si>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</si>
  <si>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</si>
  <si>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</si>
  <si>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</si>
  <si>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</si>
  <si>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</si>
  <si>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</si>
  <si>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</si>
  <si>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</si>
  <si>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</si>
  <si>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</si>
  <si>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</si>
  <si>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</si>
  <si>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</si>
  <si>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</si>
  <si>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</si>
  <si>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</si>
  <si>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</si>
  <si>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</si>
  <si>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</si>
  <si>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</si>
  <si>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</si>
  <si>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</si>
  <si>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</si>
  <si>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</si>
  <si>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</si>
  <si>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</si>
  <si>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</si>
  <si>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</si>
  <si>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</si>
  <si>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</si>
  <si>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</si>
  <si>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</si>
  <si>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</si>
  <si>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</si>
  <si>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</si>
  <si>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</si>
  <si>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</si>
  <si>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</si>
  <si>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</si>
  <si>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</si>
  <si>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</si>
  <si>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</si>
  <si>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</si>
  <si>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</si>
  <si>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</si>
  <si>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</si>
  <si>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</si>
  <si>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</si>
  <si>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</si>
  <si>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</si>
  <si>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</si>
  <si>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</si>
  <si>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</si>
  <si>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</si>
  <si>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</si>
  <si>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</si>
  <si>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</si>
  <si>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</si>
  <si>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</si>
  <si>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</si>
  <si>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</si>
  <si>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</si>
  <si>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</si>
  <si>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</si>
  <si>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</si>
  <si>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</si>
  <si>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</si>
  <si>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</si>
  <si>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</si>
  <si>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</si>
  <si>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</si>
  <si>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</si>
  <si>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</si>
  <si>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</si>
  <si>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</si>
  <si>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</si>
  <si>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</si>
  <si>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</si>
  <si>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</si>
  <si>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</si>
  <si>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</si>
  <si>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</si>
  <si>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</si>
  <si>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</si>
  <si>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</si>
  <si>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</si>
  <si>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</si>
  <si>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</si>
  <si>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</si>
  <si>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</si>
  <si>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</si>
  <si>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</si>
  <si>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</si>
  <si>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</si>
  <si>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</si>
  <si>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</si>
  <si>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</si>
  <si>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</si>
  <si>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</si>
  <si>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</si>
  <si>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</si>
  <si>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</si>
  <si>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</si>
  <si>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</si>
  <si>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</si>
  <si>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</si>
  <si>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</si>
  <si>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</si>
  <si>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</si>
  <si>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</si>
  <si>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</si>
  <si>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</si>
  <si>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</si>
  <si>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</si>
  <si>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</si>
  <si>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</si>
  <si>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</si>
  <si>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</si>
  <si>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</si>
  <si>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</si>
  <si>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</si>
  <si>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</si>
  <si>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</si>
  <si>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</si>
  <si>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</si>
  <si>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</si>
  <si>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</si>
  <si>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</si>
  <si>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</si>
  <si>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</si>
  <si>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</si>
  <si>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</si>
  <si>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</si>
  <si>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</si>
  <si>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</si>
  <si>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</si>
  <si>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</si>
  <si>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</si>
  <si>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</si>
  <si>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</si>
  <si>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</si>
  <si>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</si>
  <si>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</si>
  <si>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</si>
  <si>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</si>
  <si>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</si>
  <si>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</si>
  <si>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</si>
  <si>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</si>
  <si>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</si>
  <si>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</si>
  <si>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</si>
  <si>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</si>
  <si>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</si>
  <si>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</si>
  <si>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</si>
  <si>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</si>
  <si>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</si>
  <si>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</si>
  <si>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</si>
  <si>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</si>
  <si>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</si>
  <si>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</si>
  <si>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</si>
  <si>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</si>
  <si>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</si>
  <si>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</si>
  <si>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</si>
  <si>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</si>
  <si>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</si>
  <si>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</si>
  <si>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</si>
  <si>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</si>
  <si>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</si>
  <si>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</si>
  <si>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</si>
  <si>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</si>
  <si>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</si>
  <si>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</si>
  <si>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</si>
  <si>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</si>
  <si>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</si>
  <si>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</si>
  <si>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</si>
  <si>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</si>
  <si>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</si>
  <si>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</si>
  <si>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</si>
  <si>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</si>
  <si>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</si>
  <si>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</si>
  <si>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</si>
  <si>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</si>
  <si>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</si>
  <si>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</si>
  <si>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</si>
  <si>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</si>
  <si>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</si>
  <si>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</si>
  <si>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</si>
  <si>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</si>
  <si>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</si>
  <si>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</si>
  <si>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</si>
  <si>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</si>
  <si>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</si>
  <si>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</si>
  <si>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</si>
  <si>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</si>
  <si>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</si>
  <si>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</si>
  <si>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</si>
  <si>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</si>
  <si>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</si>
  <si>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</si>
  <si>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</si>
  <si>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</si>
  <si>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</si>
  <si>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</si>
  <si>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</si>
  <si>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</si>
  <si>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</si>
  <si>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</si>
  <si>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</si>
  <si>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</si>
  <si>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</si>
  <si>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</si>
  <si>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</si>
  <si>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</si>
  <si>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</si>
  <si>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</si>
  <si>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</si>
  <si>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</si>
  <si>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</si>
  <si>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</si>
  <si>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</si>
  <si>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</si>
  <si>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</si>
  <si>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</si>
  <si>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</si>
  <si>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</si>
  <si>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</si>
  <si>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</si>
  <si>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</si>
  <si>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</si>
  <si>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</si>
  <si>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</si>
  <si>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</si>
  <si>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</si>
  <si>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</si>
  <si>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</si>
  <si>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</si>
  <si>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</si>
  <si>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</si>
  <si>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</si>
  <si>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</si>
  <si>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</si>
  <si>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</si>
  <si>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</si>
  <si>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</si>
  <si>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</si>
  <si>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</si>
  <si>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</si>
  <si>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</si>
  <si>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</si>
  <si>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</si>
  <si>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</si>
  <si>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</si>
  <si>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</si>
  <si>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</si>
  <si>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</si>
  <si>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</si>
  <si>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</si>
  <si>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</si>
  <si>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</si>
  <si>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</si>
  <si>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</si>
  <si>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</si>
  <si>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</si>
  <si>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</si>
  <si>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</si>
  <si>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</si>
  <si>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</si>
  <si>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</si>
  <si>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</si>
  <si>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</si>
  <si>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</si>
  <si>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</si>
  <si>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</si>
  <si>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</si>
  <si>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</si>
  <si>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</si>
  <si>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</si>
  <si>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</si>
  <si>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</si>
  <si>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</si>
  <si>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</si>
  <si>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</si>
  <si>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</si>
  <si>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</si>
  <si>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</si>
  <si>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</si>
  <si>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</si>
  <si>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</si>
  <si>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</si>
  <si>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</si>
  <si>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</si>
  <si>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</si>
  <si>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</si>
  <si>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</si>
  <si>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</si>
  <si>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</si>
  <si>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</si>
  <si>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</si>
  <si>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</si>
  <si>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</si>
  <si>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</si>
  <si>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</si>
  <si>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</si>
  <si>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</si>
  <si>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</si>
  <si>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</si>
  <si>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</si>
  <si>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</si>
  <si>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</si>
  <si>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</si>
  <si>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</si>
  <si>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</si>
  <si>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</si>
  <si>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</si>
  <si>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</si>
  <si>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</si>
  <si>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</si>
  <si>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</si>
  <si>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</si>
  <si>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</si>
  <si>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</si>
  <si>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</si>
  <si>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</si>
  <si>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</si>
  <si>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</si>
  <si>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</si>
  <si>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</si>
  <si>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</si>
  <si>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</si>
  <si>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</si>
  <si>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</si>
  <si>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</si>
  <si>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</si>
  <si>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</si>
  <si>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</si>
  <si>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</si>
  <si>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</si>
  <si>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</si>
  <si>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</si>
  <si>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</si>
  <si>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</si>
  <si>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</si>
  <si>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</si>
  <si>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</si>
  <si>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</si>
  <si>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</si>
  <si>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</si>
  <si>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</si>
  <si>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</si>
  <si>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</si>
  <si>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</si>
  <si>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</si>
  <si>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</si>
  <si>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</si>
  <si>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</si>
  <si>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</si>
  <si>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</si>
  <si>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</si>
  <si>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</si>
  <si>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</si>
  <si>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</si>
  <si>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</si>
  <si>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</si>
  <si>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</si>
  <si>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</si>
  <si>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</si>
  <si>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</si>
  <si>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</si>
  <si>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</si>
  <si>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</si>
  <si>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</si>
  <si>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</si>
  <si>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</si>
  <si>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</si>
  <si>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</si>
  <si>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</si>
  <si>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</si>
  <si>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</si>
  <si>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</si>
  <si>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</si>
  <si>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</si>
  <si>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</si>
  <si>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</si>
  <si>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</si>
  <si>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</si>
  <si>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</si>
  <si>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</si>
  <si>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</si>
  <si>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</si>
  <si>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</si>
  <si>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</si>
  <si>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</si>
  <si>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</si>
  <si>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</si>
  <si>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</si>
  <si>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</si>
  <si>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</si>
  <si>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</si>
  <si>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</si>
  <si>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</si>
  <si>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</si>
  <si>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</si>
  <si>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</si>
  <si>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</si>
  <si>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</si>
  <si>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</si>
  <si>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</si>
  <si>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</si>
  <si>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</si>
  <si>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</si>
  <si>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</si>
  <si>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</si>
  <si>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</si>
  <si>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</si>
  <si>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</si>
  <si>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</si>
  <si>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</si>
  <si>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</si>
  <si>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</si>
  <si>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</si>
  <si>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</si>
  <si>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</si>
  <si>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</si>
  <si>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</si>
  <si>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</si>
  <si>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</si>
  <si>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</si>
  <si>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</si>
  <si>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</si>
  <si>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</si>
  <si>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</si>
  <si>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</si>
  <si>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</si>
  <si>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</si>
  <si>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</si>
  <si>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</si>
  <si>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</si>
  <si>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</si>
  <si>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</si>
  <si>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</si>
  <si>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</si>
  <si>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</si>
  <si>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</si>
  <si>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</si>
  <si>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</si>
  <si>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</si>
  <si>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</si>
  <si>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</si>
  <si>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</si>
  <si>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</si>
  <si>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</si>
  <si>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</si>
  <si>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</si>
  <si>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</si>
  <si>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</si>
  <si>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</si>
  <si>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</si>
  <si>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</si>
  <si>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</si>
  <si>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</si>
  <si>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</si>
  <si>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</si>
  <si>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</si>
  <si>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</si>
  <si>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</si>
  <si>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</si>
  <si>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</si>
  <si>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</si>
  <si>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</si>
  <si>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</si>
  <si>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</si>
  <si>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</si>
  <si>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</si>
  <si>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</si>
  <si>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</si>
  <si>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</si>
  <si>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</si>
  <si>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</si>
  <si>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</si>
  <si>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</si>
  <si>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</si>
  <si>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</si>
  <si>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</si>
  <si>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</si>
  <si>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</si>
  <si>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</si>
  <si>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</si>
  <si>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</si>
  <si>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</si>
  <si>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</si>
  <si>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</si>
  <si>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</si>
  <si>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</si>
  <si>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</si>
  <si>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</si>
  <si>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</si>
  <si>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</si>
  <si>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</si>
  <si>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</si>
  <si>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</si>
  <si>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</si>
  <si>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</si>
  <si>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</si>
  <si>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</si>
  <si>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</si>
  <si>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</si>
  <si>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</si>
  <si>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</si>
  <si>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</si>
  <si>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</si>
  <si>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</si>
  <si>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</si>
  <si>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</si>
  <si>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</si>
  <si>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</si>
  <si>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</si>
  <si>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</si>
  <si>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</si>
  <si>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</si>
  <si>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</si>
  <si>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</si>
  <si>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</si>
  <si>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</si>
  <si>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</si>
  <si>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</si>
  <si>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</si>
  <si>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</si>
  <si>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</si>
  <si>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</si>
  <si>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</si>
  <si>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</si>
  <si>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</si>
  <si>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</si>
  <si>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</si>
  <si>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</si>
  <si>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</si>
  <si>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</si>
  <si>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</si>
  <si>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</si>
  <si>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</si>
  <si>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</si>
  <si>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</si>
  <si>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</si>
  <si>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</si>
  <si>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</si>
  <si>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</si>
  <si>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</si>
  <si>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</si>
  <si>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</si>
  <si>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</si>
  <si>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</si>
  <si>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</si>
  <si>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</si>
  <si>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</si>
  <si>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</si>
  <si>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</si>
  <si>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</si>
  <si>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</si>
  <si>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</si>
  <si>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</si>
  <si>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</si>
  <si>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</si>
  <si>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</si>
  <si>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</si>
  <si>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</si>
  <si>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</si>
  <si>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</si>
  <si>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</si>
  <si>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</si>
  <si>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</si>
  <si>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</si>
  <si>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</si>
  <si>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</si>
  <si>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</si>
  <si>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</si>
  <si>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</si>
  <si>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</si>
  <si>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</si>
  <si>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</si>
  <si>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</si>
  <si>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</si>
  <si>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</si>
  <si>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</si>
  <si>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</si>
  <si>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</si>
  <si>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</si>
  <si>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</si>
  <si>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</si>
  <si>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</si>
  <si>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</si>
  <si>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</si>
  <si>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</si>
  <si>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</si>
  <si>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</si>
  <si>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</si>
  <si>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</si>
  <si>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</si>
  <si>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</si>
  <si>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</si>
  <si>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</si>
  <si>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</si>
  <si>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</si>
  <si>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</si>
  <si>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</si>
  <si>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</si>
  <si>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</si>
  <si>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</si>
  <si>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</si>
  <si>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</si>
  <si>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</si>
  <si>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</si>
  <si>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</si>
  <si>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</si>
  <si>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</si>
  <si>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</si>
  <si>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</si>
  <si>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</si>
  <si>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</si>
  <si>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</si>
  <si>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</si>
  <si>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</si>
  <si>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</si>
  <si>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</si>
  <si>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</si>
  <si>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</si>
  <si>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</si>
  <si>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</si>
  <si>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</si>
  <si>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</si>
  <si>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</si>
  <si>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</si>
  <si>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</si>
  <si>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</si>
  <si>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</si>
  <si>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</si>
  <si>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</si>
  <si>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 xml:space="preserve"> 29 Jul 2026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</si>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</sst>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14" fontId="1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46223</v>
      </c>
      <c r="D2" s="82"/>
      <c r="E2" s="62" t="s">
        <v>1</v>
      </c>
      <c r="F2" s="82">
        <v>46229</v>
      </c>
      <c r="G2" s="82"/>
      <c r="H2" s="61"/>
      <c r="I2" s="83" t="s">
        <v>2</v>
      </c>
      <c r="J2" s="83"/>
      <c r="K2" s="61">
        <f>_xlfn.ISOWEEKNUM(C2)</f>
        <v>30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2">
        <v>46202</v>
      </c>
      <c r="D2" s="82"/>
      <c r="E2" s="62" t="s">
        <v>1</v>
      </c>
      <c r="F2" s="82">
        <v>46228</v>
      </c>
      <c r="G2" s="82"/>
      <c r="H2" s="61"/>
      <c r="I2" s="83" t="s">
        <v>2</v>
      </c>
      <c r="J2" s="83"/>
      <c r="K2" s="61">
        <f>_xlfn.ISOWEEKNUM(C2)</f>
        <v>27</v>
      </c>
      <c r="L2" s="61" t="s">
        <v>1</v>
      </c>
      <c r="M2" s="61">
        <f>_xlfn.ISOWEEKNUM(F2)</f>
        <v>30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42"/>
  <sheetViews>
    <sheetView tabSelected="1" zoomScaleNormal="100" workbookViewId="0">
      <pane ySplit="4" topLeftCell="A678" activePane="bottomLeft" state="frozen"/>
      <selection pane="bottomLeft" activeCell="F693" sqref="F693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1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6"/>
    </row>
    <row r="2" spans="1:28" x14ac:dyDescent="0.25">
      <c r="A2" s="53" t="s">
        <v>5</v>
      </c>
      <c r="H2" s="1">
        <f>15000/7</f>
        <v>2142.8571428571427</v>
      </c>
      <c r="O2" s="76"/>
    </row>
    <row r="3" spans="1:28" x14ac:dyDescent="0.25">
      <c r="A3" s="53" t="s">
        <v>6</v>
      </c>
      <c r="O3" s="76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7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8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8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8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8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8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8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8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8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8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8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8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8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8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8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8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8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8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8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8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9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8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9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8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8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8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8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8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8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8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8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8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8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8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8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8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8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8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8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8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8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8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8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8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8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8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8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8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8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8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8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8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8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8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8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8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8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8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8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8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8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8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8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8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8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8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8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8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8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ref="I508:I539" si="39"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9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8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9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9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9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8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40">15000/7</f>
        <v>2142.8571428571427</v>
      </c>
      <c r="I520" s="6">
        <f t="shared" si="39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40"/>
        <v>2142.8571428571427</v>
      </c>
      <c r="I521" s="6">
        <f t="shared" si="39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9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8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1">15000/7</f>
        <v>2142.8571428571427</v>
      </c>
      <c r="I528" s="6">
        <f t="shared" si="39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1"/>
        <v>2142.8571428571427</v>
      </c>
      <c r="I529" s="6">
        <f t="shared" si="39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9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8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2">15000/7</f>
        <v>2142.8571428571427</v>
      </c>
      <c r="I536" s="6">
        <f t="shared" si="39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2"/>
        <v>2142.8571428571427</v>
      </c>
      <c r="I537" s="6">
        <f t="shared" si="39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3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8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3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8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8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80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0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0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0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0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0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 t="shared" si="51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80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ref="H617:H621" si="52">15000/6</f>
        <v>2500</v>
      </c>
      <c r="I617" s="6">
        <f t="shared" si="51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80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51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51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0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51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 t="shared" ref="H627:H629" si="53">15000/5</f>
        <v>3000</v>
      </c>
      <c r="I627" s="6">
        <f t="shared" si="51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 t="shared" si="53"/>
        <v>3000</v>
      </c>
      <c r="I628" s="6">
        <f t="shared" si="51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 t="shared" si="53"/>
        <v>3000</v>
      </c>
      <c r="I629" s="6">
        <f t="shared" si="51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51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80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51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 t="shared" si="54"/>
        <v>2500</v>
      </c>
      <c r="I636" s="6">
        <f t="shared" ref="I636:I684" si="55"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55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80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 t="shared" si="54"/>
        <v>2500</v>
      </c>
      <c r="I644" s="6">
        <f t="shared" si="55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 t="shared" si="54"/>
        <v>2500</v>
      </c>
      <c r="I645" s="6">
        <f t="shared" si="55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55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 t="shared" si="54"/>
        <v>2500</v>
      </c>
      <c r="I647" s="6">
        <f t="shared" si="55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 t="shared" si="55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ref="H649:H663" si="56">15000/7</f>
        <v>2142.8571428571427</v>
      </c>
      <c r="I649" s="6">
        <f t="shared" si="55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80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6"/>
        <v>2142.8571428571427</v>
      </c>
      <c r="I650" s="6">
        <f t="shared" si="55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80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6"/>
        <v>2142.8571428571427</v>
      </c>
      <c r="I651" s="6">
        <f t="shared" si="55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6"/>
        <v>2142.8571428571427</v>
      </c>
      <c r="I652" s="6">
        <f t="shared" si="55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55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6"/>
        <v>2142.8571428571427</v>
      </c>
      <c r="I656" s="6">
        <f t="shared" si="55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80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80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6"/>
        <v>2142.8571428571427</v>
      </c>
      <c r="I659" s="6">
        <f t="shared" si="55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6"/>
        <v>2142.8571428571427</v>
      </c>
      <c r="I661" s="6">
        <f t="shared" si="55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 t="shared" si="56"/>
        <v>2142.8571428571427</v>
      </c>
      <c r="I663" s="6">
        <f t="shared" si="55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0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0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/>
      <c r="I672" s="6">
        <f t="shared" si="55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75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5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8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75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/>
      <c r="I674" s="6">
        <f t="shared" si="55"/>
        <v>312.39892183288407</v>
      </c>
      <c r="J674" s="2" t="s">
        <v>2313</v>
      </c>
      <c r="K674" s="2">
        <v>11.13</v>
      </c>
      <c r="L674" s="2" t="s">
        <v>693</v>
      </c>
      <c r="M674" s="2" t="s">
        <v>1264</v>
      </c>
      <c r="N674" s="2" t="s">
        <v>2314</v>
      </c>
      <c r="O674" s="56">
        <v>3477</v>
      </c>
      <c r="P674" s="2" t="s">
        <v>1066</v>
      </c>
      <c r="Q674" s="2" t="s">
        <v>1206</v>
      </c>
      <c r="R674" s="2" t="s">
        <v>2315</v>
      </c>
      <c r="S674" s="2" t="s">
        <v>737</v>
      </c>
      <c r="T674" s="2" t="s">
        <v>2316</v>
      </c>
      <c r="U674" s="2" t="s">
        <v>1586</v>
      </c>
      <c r="V674" s="2" t="s">
        <v>2317</v>
      </c>
      <c r="W674" s="2" t="s">
        <v>2318</v>
      </c>
      <c r="X674" s="2" t="s">
        <v>2319</v>
      </c>
      <c r="Y674" s="2" t="s">
        <v>2320</v>
      </c>
      <c r="Z674" s="2" t="s">
        <v>800</v>
      </c>
      <c r="AA674" s="2" t="s">
        <v>548</v>
      </c>
      <c r="AB674" s="2" t="s">
        <v>2321</v>
      </c>
    </row>
    <row r="675" spans="1:28" x14ac:dyDescent="0.25">
      <c r="A675" s="75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/>
      <c r="I675" s="6">
        <f t="shared" si="55"/>
        <v>219.91017964071858</v>
      </c>
      <c r="J675" s="2" t="s">
        <v>954</v>
      </c>
      <c r="K675" s="2">
        <v>6.68</v>
      </c>
      <c r="L675" s="2" t="s">
        <v>1696</v>
      </c>
      <c r="M675" s="2" t="s">
        <v>2322</v>
      </c>
      <c r="N675" s="2" t="s">
        <v>2323</v>
      </c>
      <c r="O675" s="56">
        <v>1469</v>
      </c>
      <c r="P675" s="2" t="s">
        <v>2324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2325</v>
      </c>
      <c r="W675" s="2" t="s">
        <v>2326</v>
      </c>
      <c r="X675" s="2" t="s">
        <v>2327</v>
      </c>
      <c r="Y675" s="2" t="s">
        <v>2328</v>
      </c>
      <c r="Z675" s="2" t="s">
        <v>998</v>
      </c>
      <c r="AA675" s="2" t="s">
        <v>548</v>
      </c>
      <c r="AB675" s="2" t="s">
        <v>2329</v>
      </c>
    </row>
    <row r="676" spans="1:28" x14ac:dyDescent="0.25">
      <c r="A676" s="75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/>
      <c r="I676" s="6">
        <f t="shared" si="55"/>
        <v>303.23014804845224</v>
      </c>
      <c r="J676" s="2" t="s">
        <v>2330</v>
      </c>
      <c r="K676" s="2">
        <v>7.43</v>
      </c>
      <c r="L676" s="2" t="s">
        <v>618</v>
      </c>
      <c r="M676" s="2" t="s">
        <v>2331</v>
      </c>
      <c r="N676" s="2" t="s">
        <v>2332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2333</v>
      </c>
      <c r="W676" s="2" t="s">
        <v>2334</v>
      </c>
      <c r="X676" s="2" t="s">
        <v>2335</v>
      </c>
      <c r="Y676" s="2" t="s">
        <v>2336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75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/>
      <c r="I677" s="6">
        <f t="shared" si="55"/>
        <v>511.89979123173276</v>
      </c>
      <c r="J677" s="2" t="s">
        <v>2337</v>
      </c>
      <c r="K677" s="2">
        <v>4.79</v>
      </c>
      <c r="L677" s="2" t="s">
        <v>2338</v>
      </c>
      <c r="M677" s="2" t="s">
        <v>2339</v>
      </c>
      <c r="N677" s="2" t="s">
        <v>2340</v>
      </c>
      <c r="O677" s="56">
        <v>2452</v>
      </c>
      <c r="P677" s="2" t="s">
        <v>713</v>
      </c>
      <c r="Q677" s="2" t="s">
        <v>2341</v>
      </c>
      <c r="R677" s="2" t="s">
        <v>1690</v>
      </c>
      <c r="S677" s="2" t="s">
        <v>1797</v>
      </c>
      <c r="T677" s="2" t="s">
        <v>2342</v>
      </c>
      <c r="U677" s="2" t="s">
        <v>2343</v>
      </c>
      <c r="V677" s="2" t="s">
        <v>2344</v>
      </c>
      <c r="W677" s="2" t="s">
        <v>2345</v>
      </c>
      <c r="X677" s="2" t="s">
        <v>2346</v>
      </c>
      <c r="Y677" s="2" t="s">
        <v>2347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75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/>
      <c r="I678" s="6">
        <f t="shared" si="55"/>
        <v>499.40119760479047</v>
      </c>
      <c r="J678" s="2" t="s">
        <v>1581</v>
      </c>
      <c r="K678" s="2">
        <v>5.01</v>
      </c>
      <c r="L678" s="2" t="s">
        <v>2348</v>
      </c>
      <c r="M678" s="2" t="s">
        <v>2349</v>
      </c>
      <c r="N678" s="2" t="s">
        <v>2350</v>
      </c>
      <c r="O678" s="56">
        <v>2502</v>
      </c>
      <c r="P678" s="2" t="s">
        <v>2351</v>
      </c>
      <c r="Q678" s="2" t="s">
        <v>2352</v>
      </c>
      <c r="R678" s="2" t="s">
        <v>974</v>
      </c>
      <c r="S678" s="2" t="s">
        <v>2017</v>
      </c>
      <c r="T678" s="2" t="s">
        <v>2353</v>
      </c>
      <c r="U678" s="2" t="s">
        <v>1168</v>
      </c>
      <c r="V678" s="2" t="s">
        <v>2354</v>
      </c>
      <c r="W678" s="2" t="s">
        <v>2355</v>
      </c>
      <c r="X678" s="2" t="s">
        <v>2356</v>
      </c>
      <c r="Y678" s="2" t="s">
        <v>2357</v>
      </c>
      <c r="Z678" s="2" t="s">
        <v>649</v>
      </c>
      <c r="AA678" s="2" t="s">
        <v>548</v>
      </c>
      <c r="AB678" s="2" t="s">
        <v>2358</v>
      </c>
    </row>
    <row r="679" spans="1:28" x14ac:dyDescent="0.25">
      <c r="A679" s="75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/>
      <c r="I679" s="6">
        <f t="shared" si="55"/>
        <v>384.44444444444446</v>
      </c>
      <c r="J679" s="2" t="s">
        <v>1108</v>
      </c>
      <c r="K679" s="2">
        <v>6.3</v>
      </c>
      <c r="L679" s="2" t="s">
        <v>1321</v>
      </c>
      <c r="M679" s="2" t="s">
        <v>2359</v>
      </c>
      <c r="N679" s="2" t="s">
        <v>2360</v>
      </c>
      <c r="O679" s="56">
        <v>2422</v>
      </c>
      <c r="P679" s="2" t="s">
        <v>2007</v>
      </c>
      <c r="Q679" s="2" t="s">
        <v>2361</v>
      </c>
      <c r="R679" s="2" t="s">
        <v>2362</v>
      </c>
      <c r="S679" s="2" t="s">
        <v>712</v>
      </c>
      <c r="T679" s="2" t="s">
        <v>1957</v>
      </c>
      <c r="U679" s="2" t="s">
        <v>2106</v>
      </c>
      <c r="V679" s="2" t="s">
        <v>2363</v>
      </c>
      <c r="W679" s="2" t="s">
        <v>2364</v>
      </c>
      <c r="X679" s="2" t="s">
        <v>2365</v>
      </c>
      <c r="Y679" s="2" t="s">
        <v>2366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75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/>
      <c r="I680" s="6">
        <f t="shared" si="55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2367</v>
      </c>
      <c r="N680" s="2" t="s">
        <v>2368</v>
      </c>
      <c r="O680" s="56">
        <v>650</v>
      </c>
      <c r="P680" s="2" t="s">
        <v>2369</v>
      </c>
      <c r="Q680" s="2" t="s">
        <v>2370</v>
      </c>
      <c r="R680" s="2" t="s">
        <v>2371</v>
      </c>
      <c r="S680" s="2" t="s">
        <v>685</v>
      </c>
      <c r="T680" s="2" t="s">
        <v>1015</v>
      </c>
      <c r="U680" s="2" t="s">
        <v>2372</v>
      </c>
      <c r="V680" s="2" t="s">
        <v>2373</v>
      </c>
      <c r="W680" s="2" t="s">
        <v>2374</v>
      </c>
      <c r="X680" s="2" t="s">
        <v>2375</v>
      </c>
      <c r="Y680" s="2" t="s">
        <v>2376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75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5"/>
        <v>0</v>
      </c>
      <c r="J681" s="2" t="s">
        <v>2377</v>
      </c>
      <c r="K681" s="2" t="s">
        <v>45</v>
      </c>
      <c r="L681" s="2" t="s">
        <v>1255</v>
      </c>
      <c r="M681" s="2" t="s">
        <v>2378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2379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75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5"/>
        <v>263.42494714587735</v>
      </c>
      <c r="J682" s="2" t="s">
        <v>2380</v>
      </c>
      <c r="K682" s="2">
        <v>9.4600000000000009</v>
      </c>
      <c r="L682" s="2" t="s">
        <v>636</v>
      </c>
      <c r="M682" s="2" t="s">
        <v>2381</v>
      </c>
      <c r="N682" s="2" t="s">
        <v>2382</v>
      </c>
      <c r="O682" s="56">
        <v>2492</v>
      </c>
      <c r="P682" s="2" t="s">
        <v>706</v>
      </c>
      <c r="Q682" s="2" t="s">
        <v>2383</v>
      </c>
      <c r="R682" s="2" t="s">
        <v>1821</v>
      </c>
      <c r="S682" s="2" t="s">
        <v>839</v>
      </c>
      <c r="T682" s="2" t="s">
        <v>1183</v>
      </c>
      <c r="U682" s="2" t="s">
        <v>2384</v>
      </c>
      <c r="V682" s="2" t="s">
        <v>2385</v>
      </c>
      <c r="W682" s="2" t="s">
        <v>2386</v>
      </c>
      <c r="X682" s="2" t="s">
        <v>2387</v>
      </c>
      <c r="Y682" s="2" t="s">
        <v>2388</v>
      </c>
      <c r="Z682" s="2" t="s">
        <v>579</v>
      </c>
      <c r="AA682" s="2" t="s">
        <v>548</v>
      </c>
      <c r="AB682" s="2" t="s">
        <v>2389</v>
      </c>
    </row>
    <row r="683" spans="1:28" x14ac:dyDescent="0.25">
      <c r="A683" s="75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/>
      <c r="I683" s="6">
        <f t="shared" si="55"/>
        <v>373.32242225859244</v>
      </c>
      <c r="J683" s="2" t="s">
        <v>2390</v>
      </c>
      <c r="K683" s="2">
        <v>6.11</v>
      </c>
      <c r="L683" s="2" t="s">
        <v>734</v>
      </c>
      <c r="M683" s="2" t="s">
        <v>2391</v>
      </c>
      <c r="N683" s="2" t="s">
        <v>2392</v>
      </c>
      <c r="O683" s="56">
        <v>2281</v>
      </c>
      <c r="P683" s="2" t="s">
        <v>2393</v>
      </c>
      <c r="Q683" s="2" t="s">
        <v>1022</v>
      </c>
      <c r="R683" s="2" t="s">
        <v>2394</v>
      </c>
      <c r="S683" s="2" t="s">
        <v>685</v>
      </c>
      <c r="T683" s="2" t="s">
        <v>2395</v>
      </c>
      <c r="U683" s="2" t="s">
        <v>1917</v>
      </c>
      <c r="V683" s="2" t="s">
        <v>1359</v>
      </c>
      <c r="W683" s="2" t="s">
        <v>2396</v>
      </c>
      <c r="X683" s="2" t="s">
        <v>2397</v>
      </c>
      <c r="Y683" s="2" t="s">
        <v>2398</v>
      </c>
      <c r="Z683" s="2" t="s">
        <v>719</v>
      </c>
      <c r="AA683" s="2" t="s">
        <v>548</v>
      </c>
      <c r="AB683" s="2" t="s">
        <v>2399</v>
      </c>
    </row>
    <row r="684" spans="1:28" x14ac:dyDescent="0.25">
      <c r="A684" s="75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/>
      <c r="I684" s="6">
        <f t="shared" si="55"/>
        <v>259.73904939422181</v>
      </c>
      <c r="J684" s="2" t="s">
        <v>2400</v>
      </c>
      <c r="K684" s="2">
        <v>10.73</v>
      </c>
      <c r="L684" s="2" t="s">
        <v>706</v>
      </c>
      <c r="M684" s="2" t="s">
        <v>1717</v>
      </c>
      <c r="N684" s="2" t="s">
        <v>2401</v>
      </c>
      <c r="O684" s="56">
        <v>2787</v>
      </c>
      <c r="P684" s="2" t="s">
        <v>1996</v>
      </c>
      <c r="Q684" s="2" t="s">
        <v>2402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2403</v>
      </c>
      <c r="W684" s="2" t="s">
        <v>2404</v>
      </c>
      <c r="X684" s="2" t="s">
        <v>2405</v>
      </c>
      <c r="Y684" s="2" t="s">
        <v>2406</v>
      </c>
      <c r="Z684" s="2" t="s">
        <v>690</v>
      </c>
      <c r="AA684" s="2" t="s">
        <v>548</v>
      </c>
      <c r="AB684" s="2" t="s">
        <v>2407</v>
      </c>
    </row>
    <row r="685" spans="1:28" x14ac:dyDescent="0.25">
      <c r="A685" s="75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/>
      <c r="I685" s="6">
        <f t="shared" ref="I685:I690" si="57"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2408</v>
      </c>
      <c r="N685" s="2" t="s">
        <v>2409</v>
      </c>
      <c r="O685" s="56">
        <v>720</v>
      </c>
      <c r="P685" s="2" t="s">
        <v>1296</v>
      </c>
      <c r="Q685" s="2" t="s">
        <v>1383</v>
      </c>
      <c r="R685" s="2" t="s">
        <v>2410</v>
      </c>
      <c r="S685" s="2" t="s">
        <v>642</v>
      </c>
      <c r="T685" s="2" t="s">
        <v>2411</v>
      </c>
      <c r="U685" s="2" t="s">
        <v>2124</v>
      </c>
      <c r="V685" s="2" t="s">
        <v>2412</v>
      </c>
      <c r="W685" s="2" t="s">
        <v>2413</v>
      </c>
      <c r="X685" s="2" t="s">
        <v>2414</v>
      </c>
      <c r="Y685" s="2" t="s">
        <v>2415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75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/>
      <c r="I686" s="6">
        <f t="shared" si="57"/>
        <v>342.76206322795343</v>
      </c>
      <c r="J686" s="2" t="s">
        <v>2416</v>
      </c>
      <c r="K686" s="2">
        <v>6.01</v>
      </c>
      <c r="L686" s="2" t="s">
        <v>1380</v>
      </c>
      <c r="M686" s="2" t="s">
        <v>2417</v>
      </c>
      <c r="N686" s="2" t="s">
        <v>2418</v>
      </c>
      <c r="O686" s="56">
        <v>2060</v>
      </c>
      <c r="P686" s="2" t="s">
        <v>2419</v>
      </c>
      <c r="Q686" s="2" t="s">
        <v>2420</v>
      </c>
      <c r="R686" s="2" t="s">
        <v>2421</v>
      </c>
      <c r="S686" s="2" t="s">
        <v>747</v>
      </c>
      <c r="T686" s="2" t="s">
        <v>2422</v>
      </c>
      <c r="U686" s="2" t="s">
        <v>2423</v>
      </c>
      <c r="V686" s="2" t="s">
        <v>2424</v>
      </c>
      <c r="W686" s="2" t="s">
        <v>2425</v>
      </c>
      <c r="X686" s="2" t="s">
        <v>2426</v>
      </c>
      <c r="Y686" s="2" t="s">
        <v>2427</v>
      </c>
      <c r="Z686" s="2" t="s">
        <v>548</v>
      </c>
      <c r="AA686" s="2" t="s">
        <v>548</v>
      </c>
      <c r="AB686" s="2" t="s">
        <v>2358</v>
      </c>
    </row>
    <row r="687" spans="1:28" x14ac:dyDescent="0.25">
      <c r="A687" s="75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/>
      <c r="I687" s="6">
        <f t="shared" si="57"/>
        <v>298.22866344605472</v>
      </c>
      <c r="J687" s="2" t="s">
        <v>2428</v>
      </c>
      <c r="K687" s="2">
        <v>6.21</v>
      </c>
      <c r="L687" s="2" t="s">
        <v>561</v>
      </c>
      <c r="M687" s="2" t="s">
        <v>2429</v>
      </c>
      <c r="N687" s="2" t="s">
        <v>2430</v>
      </c>
      <c r="O687" s="56">
        <v>1852</v>
      </c>
      <c r="P687" s="2" t="s">
        <v>2431</v>
      </c>
      <c r="Q687" s="2" t="s">
        <v>2432</v>
      </c>
      <c r="R687" s="2" t="s">
        <v>904</v>
      </c>
      <c r="S687" s="2" t="s">
        <v>595</v>
      </c>
      <c r="T687" s="2" t="s">
        <v>2095</v>
      </c>
      <c r="U687" s="2" t="s">
        <v>2433</v>
      </c>
      <c r="V687" s="2" t="s">
        <v>2434</v>
      </c>
      <c r="W687" s="2" t="s">
        <v>2435</v>
      </c>
      <c r="X687" s="2" t="s">
        <v>2436</v>
      </c>
      <c r="Y687" s="2" t="s">
        <v>2437</v>
      </c>
      <c r="Z687" s="2" t="s">
        <v>649</v>
      </c>
      <c r="AA687" s="2" t="s">
        <v>548</v>
      </c>
      <c r="AB687" s="2" t="s">
        <v>2438</v>
      </c>
    </row>
    <row r="688" spans="1:28" x14ac:dyDescent="0.25">
      <c r="A688" s="2" t="s">
        <v>2439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/>
      <c r="I688" s="6">
        <f t="shared" si="57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2440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2441</v>
      </c>
      <c r="W688" s="2" t="s">
        <v>2442</v>
      </c>
      <c r="X688" s="2" t="s">
        <v>2443</v>
      </c>
      <c r="Y688" s="2" t="s">
        <v>2444</v>
      </c>
      <c r="Z688" s="2" t="s">
        <v>800</v>
      </c>
      <c r="AA688" s="2" t="s">
        <v>548</v>
      </c>
      <c r="AB688" s="2" t="s">
        <v>2445</v>
      </c>
    </row>
    <row r="689" spans="1:28" x14ac:dyDescent="0.25">
      <c r="A689" s="2" t="s">
        <v>2439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7"/>
        <v>0</v>
      </c>
      <c r="J689" s="2" t="s">
        <v>2446</v>
      </c>
      <c r="K689" s="2">
        <v>0.56999999999999995</v>
      </c>
      <c r="L689" s="2" t="s">
        <v>652</v>
      </c>
      <c r="M689" s="2" t="s">
        <v>2447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2448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2" t="s">
        <v>2439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7"/>
        <v>255.10835913312692</v>
      </c>
      <c r="J690" s="2" t="s">
        <v>604</v>
      </c>
      <c r="K690" s="2">
        <v>6.46</v>
      </c>
      <c r="L690" s="2" t="s">
        <v>1117</v>
      </c>
      <c r="M690" s="2" t="s">
        <v>2449</v>
      </c>
      <c r="N690" s="2" t="s">
        <v>2450</v>
      </c>
      <c r="O690" s="86">
        <v>1648</v>
      </c>
      <c r="P690" s="2" t="s">
        <v>2451</v>
      </c>
      <c r="Q690" s="2" t="s">
        <v>2452</v>
      </c>
      <c r="R690" s="2" t="s">
        <v>1132</v>
      </c>
      <c r="S690" s="2" t="s">
        <v>1256</v>
      </c>
      <c r="T690" s="2" t="s">
        <v>2453</v>
      </c>
      <c r="U690" s="2" t="s">
        <v>1059</v>
      </c>
      <c r="V690" s="2" t="s">
        <v>2454</v>
      </c>
      <c r="W690" s="2" t="s">
        <v>2455</v>
      </c>
      <c r="X690" s="2" t="s">
        <v>2456</v>
      </c>
      <c r="Y690" s="2" t="s">
        <v>2457</v>
      </c>
      <c r="Z690" s="2" t="s">
        <v>621</v>
      </c>
      <c r="AA690" s="2" t="s">
        <v>548</v>
      </c>
      <c r="AB690" s="2" t="s">
        <v>2458</v>
      </c>
    </row>
    <row r="691" spans="1:28" x14ac:dyDescent="0.25">
      <c r="A691" s="4"/>
      <c r="B691" s="8"/>
      <c r="C691" s="8"/>
      <c r="D691" s="7"/>
      <c r="E691" s="7"/>
      <c r="F691" s="13"/>
      <c r="G691" s="59"/>
      <c r="H691" s="6"/>
      <c r="I691" s="6"/>
      <c r="J691" s="2"/>
      <c r="K691" s="2"/>
      <c r="L691" s="2"/>
      <c r="M691" s="2"/>
      <c r="N691" s="2"/>
      <c r="O691" s="78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x14ac:dyDescent="0.25">
      <c r="A692" s="4"/>
      <c r="B692" s="8"/>
      <c r="C692" s="8"/>
      <c r="D692" s="7"/>
      <c r="E692" s="7"/>
      <c r="F692" s="13"/>
      <c r="G692" s="59"/>
      <c r="H692" s="6"/>
      <c r="I692" s="6"/>
      <c r="J692" s="2"/>
      <c r="K692" s="2"/>
      <c r="L692" s="2"/>
      <c r="M692" s="2"/>
      <c r="N692" s="2"/>
      <c r="O692" s="78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x14ac:dyDescent="0.25">
      <c r="A693" s="4"/>
      <c r="B693" s="8"/>
      <c r="C693" s="8"/>
      <c r="D693" s="7"/>
      <c r="E693" s="7"/>
      <c r="F693" s="13"/>
      <c r="G693" s="59"/>
      <c r="H693" s="6"/>
      <c r="I693" s="6"/>
      <c r="J693" s="2"/>
      <c r="K693" s="2"/>
      <c r="L693" s="2"/>
      <c r="M693" s="2"/>
      <c r="N693" s="2"/>
      <c r="O693" s="78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x14ac:dyDescent="0.25">
      <c r="A694" s="4"/>
      <c r="B694" s="8"/>
      <c r="C694" s="8"/>
      <c r="D694" s="7"/>
      <c r="E694" s="7"/>
      <c r="F694" s="13"/>
      <c r="G694" s="59"/>
      <c r="H694" s="6"/>
      <c r="I694" s="6"/>
      <c r="J694" s="2"/>
      <c r="K694" s="2"/>
      <c r="L694" s="2"/>
      <c r="M694" s="2"/>
      <c r="N694" s="2"/>
      <c r="O694" s="78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x14ac:dyDescent="0.25">
      <c r="A695" s="4"/>
      <c r="B695" s="8"/>
      <c r="C695" s="8"/>
      <c r="D695" s="7"/>
      <c r="E695" s="7"/>
      <c r="F695" s="13"/>
      <c r="G695" s="59"/>
      <c r="H695" s="6"/>
      <c r="I695" s="6"/>
      <c r="J695" s="2"/>
      <c r="K695" s="2"/>
      <c r="L695" s="2"/>
      <c r="M695" s="2"/>
      <c r="N695" s="2"/>
      <c r="O695" s="78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x14ac:dyDescent="0.25">
      <c r="A696" s="4"/>
      <c r="B696" s="8"/>
      <c r="C696" s="8"/>
      <c r="D696" s="7"/>
      <c r="E696" s="7"/>
      <c r="F696" s="13"/>
      <c r="G696" s="59"/>
      <c r="H696" s="6"/>
      <c r="I696" s="6"/>
      <c r="J696" s="2"/>
      <c r="K696" s="2"/>
      <c r="L696" s="2"/>
      <c r="M696" s="2"/>
      <c r="N696" s="2"/>
      <c r="O696" s="78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59"/>
      <c r="H697" s="6"/>
      <c r="I697" s="6"/>
      <c r="J697" s="2"/>
      <c r="K697" s="2"/>
      <c r="L697" s="2"/>
      <c r="M697" s="2"/>
      <c r="N697" s="2"/>
      <c r="O697" s="78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59"/>
      <c r="H698" s="6"/>
      <c r="I698" s="6"/>
      <c r="J698" s="2"/>
      <c r="K698" s="2"/>
      <c r="L698" s="2"/>
      <c r="M698" s="2"/>
      <c r="N698" s="2"/>
      <c r="O698" s="78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59"/>
      <c r="H699" s="6"/>
      <c r="I699" s="6"/>
      <c r="J699" s="2"/>
      <c r="K699" s="2"/>
      <c r="L699" s="2"/>
      <c r="M699" s="2"/>
      <c r="N699" s="2"/>
      <c r="O699" s="78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59"/>
      <c r="H700" s="6"/>
      <c r="I700" s="6"/>
      <c r="J700" s="2"/>
      <c r="K700" s="2"/>
      <c r="L700" s="2"/>
      <c r="M700" s="2"/>
      <c r="N700" s="2"/>
      <c r="O700" s="78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59"/>
      <c r="H701" s="6"/>
      <c r="I701" s="6"/>
      <c r="J701" s="2"/>
      <c r="K701" s="2"/>
      <c r="L701" s="2"/>
      <c r="M701" s="2"/>
      <c r="N701" s="2"/>
      <c r="O701" s="78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59"/>
      <c r="H702" s="6"/>
      <c r="I702" s="6"/>
      <c r="J702" s="2"/>
      <c r="K702" s="2"/>
      <c r="L702" s="2"/>
      <c r="M702" s="2"/>
      <c r="N702" s="2"/>
      <c r="O702" s="78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59"/>
      <c r="H703" s="6"/>
      <c r="I703" s="6"/>
      <c r="J703" s="2"/>
      <c r="K703" s="2"/>
      <c r="L703" s="2"/>
      <c r="M703" s="2"/>
      <c r="N703" s="2"/>
      <c r="O703" s="78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59"/>
      <c r="H704" s="6"/>
      <c r="I704" s="6"/>
      <c r="J704" s="2"/>
      <c r="K704" s="2"/>
      <c r="L704" s="2"/>
      <c r="M704" s="2"/>
      <c r="N704" s="2"/>
      <c r="O704" s="78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59"/>
      <c r="H705" s="6"/>
      <c r="I705" s="6"/>
      <c r="J705" s="2"/>
      <c r="K705" s="2"/>
      <c r="L705" s="2"/>
      <c r="M705" s="2"/>
      <c r="N705" s="2"/>
      <c r="O705" s="78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59"/>
      <c r="H706" s="6"/>
      <c r="I706" s="6"/>
      <c r="J706" s="2"/>
      <c r="K706" s="2"/>
      <c r="L706" s="2"/>
      <c r="M706" s="2"/>
      <c r="N706" s="2"/>
      <c r="O706" s="78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59"/>
      <c r="H707" s="6"/>
      <c r="I707" s="6"/>
      <c r="J707" s="2"/>
      <c r="K707" s="2"/>
      <c r="L707" s="2"/>
      <c r="M707" s="2"/>
      <c r="N707" s="2"/>
      <c r="O707" s="78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59"/>
      <c r="H708" s="6"/>
      <c r="I708" s="6"/>
      <c r="J708" s="2"/>
      <c r="K708" s="2"/>
      <c r="L708" s="2"/>
      <c r="M708" s="2"/>
      <c r="N708" s="2"/>
      <c r="O708" s="78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59"/>
      <c r="H709" s="6"/>
      <c r="I709" s="6"/>
      <c r="J709" s="2"/>
      <c r="K709" s="2"/>
      <c r="L709" s="2"/>
      <c r="M709" s="2"/>
      <c r="N709" s="2"/>
      <c r="O709" s="78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59"/>
      <c r="H710" s="6"/>
      <c r="I710" s="6"/>
      <c r="J710" s="2"/>
      <c r="K710" s="2"/>
      <c r="L710" s="2"/>
      <c r="M710" s="2"/>
      <c r="N710" s="2"/>
      <c r="O710" s="78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59"/>
      <c r="H711" s="6"/>
      <c r="I711" s="6"/>
      <c r="J711" s="2"/>
      <c r="K711" s="2"/>
      <c r="L711" s="2"/>
      <c r="M711" s="2"/>
      <c r="N711" s="2"/>
      <c r="O711" s="78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59"/>
      <c r="H712" s="6"/>
      <c r="I712" s="6"/>
      <c r="J712" s="2"/>
      <c r="K712" s="2"/>
      <c r="L712" s="2"/>
      <c r="M712" s="2"/>
      <c r="N712" s="2"/>
      <c r="O712" s="78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59"/>
      <c r="H713" s="6"/>
      <c r="I713" s="6"/>
      <c r="J713" s="2"/>
      <c r="K713" s="2"/>
      <c r="L713" s="2"/>
      <c r="M713" s="2"/>
      <c r="N713" s="2"/>
      <c r="O713" s="78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59"/>
      <c r="H714" s="6"/>
      <c r="I714" s="6"/>
      <c r="J714" s="2"/>
      <c r="K714" s="2"/>
      <c r="L714" s="2"/>
      <c r="M714" s="2"/>
      <c r="N714" s="2"/>
      <c r="O714" s="78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59"/>
      <c r="H715" s="6"/>
      <c r="I715" s="6"/>
      <c r="J715" s="2"/>
      <c r="K715" s="2"/>
      <c r="L715" s="2"/>
      <c r="M715" s="2"/>
      <c r="N715" s="2"/>
      <c r="O715" s="78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59"/>
      <c r="H716" s="6"/>
      <c r="I716" s="6"/>
      <c r="J716" s="2"/>
      <c r="K716" s="2"/>
      <c r="L716" s="2"/>
      <c r="M716" s="2"/>
      <c r="N716" s="2"/>
      <c r="O716" s="78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59"/>
      <c r="H717" s="6"/>
      <c r="I717" s="6"/>
      <c r="J717" s="2"/>
      <c r="K717" s="2"/>
      <c r="L717" s="2"/>
      <c r="M717" s="2"/>
      <c r="N717" s="2"/>
      <c r="O717" s="78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59"/>
      <c r="H718" s="6"/>
      <c r="I718" s="6"/>
      <c r="J718" s="2"/>
      <c r="K718" s="2"/>
      <c r="L718" s="2"/>
      <c r="M718" s="2"/>
      <c r="N718" s="2"/>
      <c r="O718" s="78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59"/>
      <c r="H719" s="6"/>
      <c r="I719" s="6"/>
      <c r="J719" s="2"/>
      <c r="K719" s="2"/>
      <c r="L719" s="2"/>
      <c r="M719" s="2"/>
      <c r="N719" s="2"/>
      <c r="O719" s="78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59"/>
      <c r="H720" s="6"/>
      <c r="I720" s="6"/>
      <c r="J720" s="2"/>
      <c r="K720" s="2"/>
      <c r="L720" s="2"/>
      <c r="M720" s="2"/>
      <c r="N720" s="2"/>
      <c r="O720" s="78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59"/>
      <c r="H721" s="6"/>
      <c r="I721" s="6"/>
      <c r="J721" s="2"/>
      <c r="K721" s="2"/>
      <c r="L721" s="2"/>
      <c r="M721" s="2"/>
      <c r="N721" s="2"/>
      <c r="O721" s="78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59"/>
      <c r="H722" s="6"/>
      <c r="I722" s="6"/>
      <c r="J722" s="2"/>
      <c r="K722" s="2"/>
      <c r="L722" s="2"/>
      <c r="M722" s="2"/>
      <c r="N722" s="2"/>
      <c r="O722" s="78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59"/>
      <c r="H723" s="6"/>
      <c r="I723" s="6"/>
      <c r="J723" s="2"/>
      <c r="K723" s="2"/>
      <c r="L723" s="2"/>
      <c r="M723" s="2"/>
      <c r="N723" s="2"/>
      <c r="O723" s="78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59"/>
      <c r="H724" s="6"/>
      <c r="I724" s="6"/>
      <c r="J724" s="2"/>
      <c r="K724" s="2"/>
      <c r="L724" s="2"/>
      <c r="M724" s="2"/>
      <c r="N724" s="2"/>
      <c r="O724" s="78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59"/>
      <c r="H725" s="6"/>
      <c r="I725" s="6"/>
      <c r="J725" s="2"/>
      <c r="K725" s="2"/>
      <c r="L725" s="2"/>
      <c r="M725" s="2"/>
      <c r="N725" s="2"/>
      <c r="O725" s="78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59"/>
      <c r="H726" s="6"/>
      <c r="I726" s="6"/>
      <c r="J726" s="2"/>
      <c r="K726" s="2"/>
      <c r="L726" s="2"/>
      <c r="M726" s="2"/>
      <c r="N726" s="2"/>
      <c r="O726" s="78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59"/>
      <c r="H727" s="6"/>
      <c r="I727" s="6"/>
      <c r="J727" s="2"/>
      <c r="K727" s="2"/>
      <c r="L727" s="2"/>
      <c r="M727" s="2"/>
      <c r="N727" s="2"/>
      <c r="O727" s="78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59"/>
      <c r="H728" s="6"/>
      <c r="I728" s="6"/>
      <c r="J728" s="2"/>
      <c r="K728" s="2"/>
      <c r="L728" s="2"/>
      <c r="M728" s="2"/>
      <c r="N728" s="2"/>
      <c r="O728" s="78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59"/>
      <c r="H729" s="6"/>
      <c r="I729" s="6"/>
      <c r="J729" s="2"/>
      <c r="K729" s="2"/>
      <c r="L729" s="2"/>
      <c r="M729" s="2"/>
      <c r="N729" s="2"/>
      <c r="O729" s="78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59"/>
      <c r="H730" s="6"/>
      <c r="I730" s="6"/>
      <c r="J730" s="2"/>
      <c r="K730" s="2"/>
      <c r="L730" s="2"/>
      <c r="M730" s="2"/>
      <c r="N730" s="2"/>
      <c r="O730" s="78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59"/>
      <c r="H731" s="6"/>
      <c r="I731" s="6"/>
      <c r="J731" s="2"/>
      <c r="K731" s="2"/>
      <c r="L731" s="2"/>
      <c r="M731" s="2"/>
      <c r="N731" s="2"/>
      <c r="O731" s="78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59"/>
      <c r="H732" s="6"/>
      <c r="I732" s="6"/>
      <c r="J732" s="2"/>
      <c r="K732" s="2"/>
      <c r="L732" s="2"/>
      <c r="M732" s="2"/>
      <c r="N732" s="2"/>
      <c r="O732" s="78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59"/>
      <c r="H733" s="6"/>
      <c r="I733" s="6"/>
      <c r="J733" s="2"/>
      <c r="K733" s="2"/>
      <c r="L733" s="2"/>
      <c r="M733" s="2"/>
      <c r="N733" s="2"/>
      <c r="O733" s="78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59"/>
      <c r="H734" s="6"/>
      <c r="I734" s="6"/>
      <c r="J734" s="2"/>
      <c r="K734" s="2"/>
      <c r="L734" s="2"/>
      <c r="M734" s="2"/>
      <c r="N734" s="2"/>
      <c r="O734" s="78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59"/>
      <c r="H735" s="6"/>
      <c r="I735" s="6"/>
      <c r="J735" s="2"/>
      <c r="K735" s="2"/>
      <c r="L735" s="2"/>
      <c r="M735" s="2"/>
      <c r="N735" s="2"/>
      <c r="O735" s="78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59"/>
      <c r="H736" s="6"/>
      <c r="I736" s="6"/>
      <c r="J736" s="2"/>
      <c r="K736" s="2"/>
      <c r="L736" s="2"/>
      <c r="M736" s="2"/>
      <c r="N736" s="2"/>
      <c r="O736" s="78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59"/>
      <c r="H737" s="6"/>
      <c r="I737" s="6"/>
      <c r="J737" s="2"/>
      <c r="K737" s="2"/>
      <c r="L737" s="2"/>
      <c r="M737" s="2"/>
      <c r="N737" s="2"/>
      <c r="O737" s="78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59"/>
      <c r="H738" s="6"/>
      <c r="I738" s="6"/>
      <c r="J738" s="2"/>
      <c r="K738" s="2"/>
      <c r="L738" s="2"/>
      <c r="M738" s="2"/>
      <c r="N738" s="2"/>
      <c r="O738" s="78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59"/>
      <c r="H739" s="6"/>
      <c r="I739" s="6"/>
      <c r="J739" s="2"/>
      <c r="K739" s="2"/>
      <c r="L739" s="2"/>
      <c r="M739" s="2"/>
      <c r="N739" s="2"/>
      <c r="O739" s="78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59"/>
      <c r="H740" s="6"/>
      <c r="I740" s="6"/>
      <c r="J740" s="2"/>
      <c r="K740" s="2"/>
      <c r="L740" s="2"/>
      <c r="M740" s="2"/>
      <c r="N740" s="2"/>
      <c r="O740" s="78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59"/>
      <c r="H741" s="6"/>
      <c r="I741" s="6"/>
      <c r="J741" s="2"/>
      <c r="K741" s="2"/>
      <c r="L741" s="2"/>
      <c r="M741" s="2"/>
      <c r="N741" s="2"/>
      <c r="O741" s="78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59"/>
      <c r="H742" s="6"/>
      <c r="I742" s="6"/>
      <c r="J742" s="2"/>
      <c r="K742" s="2"/>
      <c r="L742" s="2"/>
      <c r="M742" s="2"/>
      <c r="N742" s="2"/>
      <c r="O742" s="78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59"/>
      <c r="H743" s="6"/>
      <c r="I743" s="6"/>
      <c r="J743" s="2"/>
      <c r="K743" s="2"/>
      <c r="L743" s="2"/>
      <c r="M743" s="2"/>
      <c r="N743" s="2"/>
      <c r="O743" s="78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59"/>
      <c r="H744" s="6"/>
      <c r="I744" s="6"/>
      <c r="J744" s="2"/>
      <c r="K744" s="2"/>
      <c r="L744" s="2"/>
      <c r="M744" s="2"/>
      <c r="N744" s="2"/>
      <c r="O744" s="78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59"/>
      <c r="H745" s="6"/>
      <c r="I745" s="6"/>
      <c r="J745" s="2"/>
      <c r="K745" s="2"/>
      <c r="L745" s="2"/>
      <c r="M745" s="2"/>
      <c r="N745" s="2"/>
      <c r="O745" s="78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59"/>
      <c r="H746" s="6"/>
      <c r="I746" s="6"/>
      <c r="J746" s="2"/>
      <c r="K746" s="2"/>
      <c r="L746" s="2"/>
      <c r="M746" s="2"/>
      <c r="N746" s="2"/>
      <c r="O746" s="78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59"/>
      <c r="H747" s="6"/>
      <c r="I747" s="6"/>
      <c r="J747" s="2"/>
      <c r="K747" s="2"/>
      <c r="L747" s="2"/>
      <c r="M747" s="2"/>
      <c r="N747" s="2"/>
      <c r="O747" s="78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59"/>
      <c r="H748" s="6"/>
      <c r="I748" s="6"/>
      <c r="J748" s="2"/>
      <c r="K748" s="2"/>
      <c r="L748" s="2"/>
      <c r="M748" s="2"/>
      <c r="N748" s="2"/>
      <c r="O748" s="78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59"/>
      <c r="H749" s="6"/>
      <c r="I749" s="6"/>
      <c r="J749" s="2"/>
      <c r="K749" s="2"/>
      <c r="L749" s="2"/>
      <c r="M749" s="2"/>
      <c r="N749" s="2"/>
      <c r="O749" s="78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59"/>
      <c r="H750" s="6"/>
      <c r="I750" s="6"/>
      <c r="J750" s="2"/>
      <c r="K750" s="2"/>
      <c r="L750" s="2"/>
      <c r="M750" s="2"/>
      <c r="N750" s="2"/>
      <c r="O750" s="78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59"/>
      <c r="H751" s="6"/>
      <c r="I751" s="6"/>
      <c r="J751" s="2"/>
      <c r="K751" s="2"/>
      <c r="L751" s="2"/>
      <c r="M751" s="2"/>
      <c r="N751" s="2"/>
      <c r="O751" s="78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59"/>
      <c r="H752" s="6"/>
      <c r="I752" s="6"/>
      <c r="J752" s="2"/>
      <c r="K752" s="2"/>
      <c r="L752" s="2"/>
      <c r="M752" s="2"/>
      <c r="N752" s="2"/>
      <c r="O752" s="78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59"/>
      <c r="H753" s="6"/>
      <c r="I753" s="6"/>
      <c r="J753" s="2"/>
      <c r="K753" s="2"/>
      <c r="L753" s="2"/>
      <c r="M753" s="2"/>
      <c r="N753" s="2"/>
      <c r="O753" s="78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59"/>
      <c r="H754" s="6"/>
      <c r="I754" s="6"/>
      <c r="J754" s="2"/>
      <c r="K754" s="2"/>
      <c r="L754" s="2"/>
      <c r="M754" s="2"/>
      <c r="N754" s="2"/>
      <c r="O754" s="78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59"/>
      <c r="H755" s="6"/>
      <c r="I755" s="6"/>
      <c r="J755" s="2"/>
      <c r="K755" s="2"/>
      <c r="L755" s="2"/>
      <c r="M755" s="2"/>
      <c r="N755" s="2"/>
      <c r="O755" s="78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59"/>
      <c r="H756" s="6"/>
      <c r="I756" s="6"/>
      <c r="J756" s="2"/>
      <c r="K756" s="2"/>
      <c r="L756" s="2"/>
      <c r="M756" s="2"/>
      <c r="N756" s="2"/>
      <c r="O756" s="78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59"/>
      <c r="H757" s="6"/>
      <c r="I757" s="6"/>
      <c r="J757" s="2"/>
      <c r="K757" s="2"/>
      <c r="L757" s="2"/>
      <c r="M757" s="2"/>
      <c r="N757" s="2"/>
      <c r="O757" s="78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59"/>
      <c r="H758" s="6"/>
      <c r="I758" s="6"/>
      <c r="J758" s="2"/>
      <c r="K758" s="2"/>
      <c r="L758" s="2"/>
      <c r="M758" s="2"/>
      <c r="N758" s="2"/>
      <c r="O758" s="78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59"/>
      <c r="H759" s="6"/>
      <c r="I759" s="6"/>
      <c r="J759" s="2"/>
      <c r="K759" s="2"/>
      <c r="L759" s="2"/>
      <c r="M759" s="2"/>
      <c r="N759" s="2"/>
      <c r="O759" s="78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59"/>
      <c r="H760" s="6"/>
      <c r="I760" s="6"/>
      <c r="J760" s="2"/>
      <c r="K760" s="2"/>
      <c r="L760" s="2"/>
      <c r="M760" s="2"/>
      <c r="N760" s="2"/>
      <c r="O760" s="78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59"/>
      <c r="H761" s="6"/>
      <c r="I761" s="6"/>
      <c r="J761" s="2"/>
      <c r="K761" s="2"/>
      <c r="L761" s="2"/>
      <c r="M761" s="2"/>
      <c r="N761" s="2"/>
      <c r="O761" s="78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59"/>
      <c r="H762" s="6"/>
      <c r="I762" s="6"/>
      <c r="J762" s="2"/>
      <c r="K762" s="2"/>
      <c r="L762" s="2"/>
      <c r="M762" s="2"/>
      <c r="N762" s="2"/>
      <c r="O762" s="78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59"/>
      <c r="H763" s="6"/>
      <c r="I763" s="6"/>
      <c r="J763" s="2"/>
      <c r="K763" s="2"/>
      <c r="L763" s="2"/>
      <c r="M763" s="2"/>
      <c r="N763" s="2"/>
      <c r="O763" s="78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59"/>
      <c r="H764" s="6"/>
      <c r="I764" s="6"/>
      <c r="J764" s="2"/>
      <c r="K764" s="2"/>
      <c r="L764" s="2"/>
      <c r="M764" s="2"/>
      <c r="N764" s="2"/>
      <c r="O764" s="78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59"/>
      <c r="H765" s="6"/>
      <c r="I765" s="6"/>
      <c r="J765" s="2"/>
      <c r="K765" s="2"/>
      <c r="L765" s="2"/>
      <c r="M765" s="2"/>
      <c r="N765" s="2"/>
      <c r="O765" s="78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59"/>
      <c r="H766" s="6"/>
      <c r="I766" s="6"/>
      <c r="J766" s="2"/>
      <c r="K766" s="2"/>
      <c r="L766" s="2"/>
      <c r="M766" s="2"/>
      <c r="N766" s="2"/>
      <c r="O766" s="78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8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8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8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8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8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8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8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8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8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8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8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8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8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8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8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8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8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8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8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8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8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8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8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8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8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8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8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8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8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8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8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8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8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8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8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8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8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8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8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8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8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8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8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8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8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8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8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8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8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8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8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8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8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8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8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8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8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8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8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8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8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8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8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8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8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8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8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8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8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8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8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8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8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8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8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8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85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2262</v>
      </c>
      <c r="R1" t="s">
        <v>2263</v>
      </c>
      <c r="S1" t="s">
        <v>2264</v>
      </c>
      <c r="T1" t="s">
        <v>2265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2262</v>
      </c>
      <c r="B3" s="15" t="s">
        <v>2264</v>
      </c>
      <c r="C3" s="15" t="s">
        <v>2263</v>
      </c>
      <c r="D3" t="s">
        <v>2266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2267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2267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2262</v>
      </c>
      <c r="B3" t="s">
        <v>2264</v>
      </c>
      <c r="C3" t="s">
        <v>2268</v>
      </c>
      <c r="O3" s="9" t="s">
        <v>2262</v>
      </c>
      <c r="P3" t="s">
        <v>2264</v>
      </c>
      <c r="Q3" t="s">
        <v>2268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2269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2267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2267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2270</v>
      </c>
      <c r="G3" s="17" t="s">
        <v>2271</v>
      </c>
      <c r="H3" s="17" t="s">
        <v>2272</v>
      </c>
      <c r="I3" s="17" t="s">
        <v>2273</v>
      </c>
      <c r="J3" s="17" t="s">
        <v>2274</v>
      </c>
      <c r="K3" s="17" t="s">
        <v>2275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2276</v>
      </c>
    </row>
    <row r="5" spans="6:11" x14ac:dyDescent="0.2">
      <c r="F5" s="17">
        <v>116</v>
      </c>
      <c r="H5" s="17">
        <v>110</v>
      </c>
      <c r="J5" s="17" t="s">
        <v>2277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2278</v>
      </c>
    </row>
    <row r="3" spans="1:17" x14ac:dyDescent="0.2">
      <c r="A3" s="25" t="s">
        <v>7</v>
      </c>
      <c r="B3" s="25" t="s">
        <v>2279</v>
      </c>
      <c r="C3" s="25" t="s">
        <v>2280</v>
      </c>
      <c r="D3" s="25" t="s">
        <v>2281</v>
      </c>
      <c r="E3" s="25" t="s">
        <v>2282</v>
      </c>
      <c r="F3" s="25" t="s">
        <v>2283</v>
      </c>
      <c r="H3" s="22" t="s">
        <v>2283</v>
      </c>
      <c r="I3" s="22" t="s">
        <v>2279</v>
      </c>
      <c r="J3" s="22" t="s">
        <v>2280</v>
      </c>
      <c r="K3" s="22" t="s">
        <v>2282</v>
      </c>
      <c r="L3" s="22" t="s">
        <v>2284</v>
      </c>
      <c r="M3" s="25" t="s">
        <v>2285</v>
      </c>
      <c r="O3" s="25" t="s">
        <v>7</v>
      </c>
      <c r="P3" s="25" t="s">
        <v>2282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2286</v>
      </c>
      <c r="H4" s="28" t="s">
        <v>2286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2286</v>
      </c>
      <c r="H5" s="28" t="s">
        <v>2287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2286</v>
      </c>
      <c r="H6" s="28" t="s">
        <v>2288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2286</v>
      </c>
      <c r="H7" s="28" t="s">
        <v>2289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2286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2286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2286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2286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2286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2286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2287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2287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2287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2287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2287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2287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2287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2288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2288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2288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2288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2288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2288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2288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2288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2288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2288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2288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2288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2288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2289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2289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2289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2289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2289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2289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2289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2289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2289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2289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2289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2289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2289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2289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2289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2289</v>
      </c>
    </row>
    <row r="50" spans="1:6" x14ac:dyDescent="0.2">
      <c r="A50" s="85" t="s">
        <v>2290</v>
      </c>
      <c r="B50" s="85"/>
      <c r="C50" s="85"/>
      <c r="E50" s="23">
        <f>SUM(E4:E49)</f>
        <v>12900</v>
      </c>
    </row>
    <row r="56" spans="1:6" ht="15.75" x14ac:dyDescent="0.25">
      <c r="A56" s="34" t="s">
        <v>2291</v>
      </c>
    </row>
    <row r="57" spans="1:6" ht="25.5" x14ac:dyDescent="0.2">
      <c r="A57" s="35" t="s">
        <v>2292</v>
      </c>
      <c r="B57" s="36" t="s">
        <v>2293</v>
      </c>
      <c r="C57" s="36" t="s">
        <v>2294</v>
      </c>
      <c r="D57" s="36" t="s">
        <v>2295</v>
      </c>
    </row>
    <row r="58" spans="1:6" x14ac:dyDescent="0.2">
      <c r="A58" s="40" t="s">
        <v>2296</v>
      </c>
      <c r="B58" s="37">
        <v>108384.01</v>
      </c>
      <c r="C58" s="37"/>
      <c r="D58" s="37">
        <v>108384.01</v>
      </c>
    </row>
    <row r="59" spans="1:6" x14ac:dyDescent="0.2">
      <c r="A59" s="40" t="s">
        <v>2297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2298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2299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2300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2301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2302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2303</v>
      </c>
      <c r="B65" s="37">
        <v>23860.793000000001</v>
      </c>
      <c r="C65" s="37"/>
      <c r="D65" s="37"/>
    </row>
    <row r="66" spans="1:4" x14ac:dyDescent="0.2">
      <c r="A66" s="40" t="s">
        <v>2304</v>
      </c>
      <c r="B66" s="37">
        <v>1344.431</v>
      </c>
      <c r="C66" s="37"/>
      <c r="D66" s="37"/>
    </row>
    <row r="67" spans="1:4" x14ac:dyDescent="0.2">
      <c r="A67" s="38" t="s">
        <v>2290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2305</v>
      </c>
      <c r="E2" s="48" t="s">
        <v>2306</v>
      </c>
      <c r="F2" s="48" t="s">
        <v>2307</v>
      </c>
      <c r="G2" s="48" t="s">
        <v>2308</v>
      </c>
      <c r="H2" s="48" t="s">
        <v>2309</v>
      </c>
      <c r="I2" s="48" t="s">
        <v>2310</v>
      </c>
      <c r="J2" s="48" t="s">
        <v>2311</v>
      </c>
      <c r="K2" s="48" t="s">
        <v>2312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2026-07-30T15:08:05Z</dcterms:modified>
  <cp:category/>
  <cp:contentStatus/>
</cp:coreProperties>
</file>