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556" documentId="8_{CE5C6F22-4BE2-41D0-BCDC-905D26C0C4E3}" xr6:coauthVersionLast="47" xr6:coauthVersionMax="47" xr10:uidLastSave="{B7402CD3-D4D1-4380-B8AF-7891CAACF89F}"/>
  <bookViews>
    <workbookView xWindow="-120" yWindow="-120" windowWidth="20730" windowHeight="11040" tabRatio="678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BD!$A$4:$AB$792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72" r:id="rId9"/>
    <pivotCache cacheId="78" r:id="rId10"/>
    <pivotCache cacheId="83" r:id="rId11"/>
    <pivotCache cacheId="87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3" i="1" l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<sst xmlns="http://schemas.openxmlformats.org/spreadsheetml/2006/main" count="10209" uniqueCount="3025">
  <si>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</si>
  <si>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</si>
  <si>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</si>
  <si>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</si>
  <si>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</si>
  <si>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</si>
  <si>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</si>
  <si>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</si>
  <si>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</si>
  <si>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</si>
  <si>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</si>
  <si>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</si>
  <si>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</si>
  <si>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</si>
  <si>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</si>
  <si>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</si>
  <si>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</si>
  <si>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</si>
  <si>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</si>
  <si>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</si>
  <si>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</si>
  <si>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</si>
  <si>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</si>
  <si>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</si>
  <si>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</si>
  <si>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</si>
  <si>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</si>
  <si>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</si>
  <si>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</si>
  <si>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</si>
  <si>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</si>
  <si>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</si>
  <si>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</si>
  <si>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</si>
  <si>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</si>
  <si>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</si>
  <si>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</si>
  <si>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</si>
  <si>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</si>
  <si>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</si>
  <si>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</si>
  <si>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</si>
  <si>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</si>
  <si>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</si>
  <si>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</si>
  <si>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</si>
  <si>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</si>
  <si>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</si>
  <si>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</si>
  <si>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</si>
  <si>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</si>
  <si>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</si>
  <si>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</si>
  <si>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</si>
  <si>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</si>
  <si>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</si>
  <si>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</si>
  <si>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</si>
  <si>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</si>
  <si>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</si>
  <si>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</si>
  <si>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</si>
  <si>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</si>
  <si>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</si>
  <si>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</si>
  <si>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</si>
  <si>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</si>
  <si>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</si>
  <si>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</si>
  <si>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</si>
  <si>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</si>
  <si>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</si>
  <si>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</si>
  <si>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</si>
  <si>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</si>
  <si>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</si>
  <si>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</si>
  <si>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</si>
  <si>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</si>
  <si>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</si>
  <si>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</si>
  <si>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</si>
  <si>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</si>
  <si>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</si>
  <si>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</si>
  <si>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</si>
  <si>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</si>
  <si>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</si>
  <si>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</si>
  <si>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</si>
  <si>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</si>
  <si>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</si>
  <si>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</si>
  <si>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</si>
  <si>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</si>
  <si>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</si>
  <si>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</si>
  <si>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</si>
  <si>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</si>
  <si>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</si>
  <si>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</si>
  <si>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</si>
  <si>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</si>
  <si>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</si>
  <si>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</si>
  <si>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</si>
  <si>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</si>
  <si>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</si>
  <si>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</si>
  <si>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</si>
  <si>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</si>
  <si>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</si>
  <si>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</si>
  <si>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</si>
  <si>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</si>
  <si>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</si>
  <si>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</si>
  <si>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</si>
  <si>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</si>
  <si>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</si>
  <si>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</si>
  <si>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</si>
  <si>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</si>
  <si>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</si>
  <si>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</si>
  <si>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</si>
  <si>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</si>
  <si>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</si>
  <si>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</si>
  <si>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</si>
  <si>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</si>
  <si>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</si>
  <si>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</si>
  <si>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</si>
  <si>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</si>
  <si>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</si>
  <si>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</si>
  <si>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</si>
  <si>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</si>
  <si>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</si>
  <si>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</si>
  <si>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</si>
  <si>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</si>
  <si>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</si>
  <si>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</si>
  <si>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</si>
  <si>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</si>
  <si>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</si>
  <si>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</si>
  <si>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</si>
  <si>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</si>
  <si>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</si>
  <si>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</si>
  <si>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</si>
  <si>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</si>
  <si>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</si>
  <si>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</si>
  <si>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</si>
  <si>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</si>
  <si>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</si>
  <si>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</si>
  <si>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</si>
  <si>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</si>
  <si>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</si>
  <si>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</si>
  <si>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</si>
  <si>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</si>
  <si>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</si>
  <si>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</si>
  <si>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</si>
  <si>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</si>
  <si>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</si>
  <si>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</si>
  <si>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</si>
  <si>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</si>
  <si>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</si>
  <si>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</si>
  <si>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</si>
  <si>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</si>
  <si>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</si>
  <si>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</si>
  <si>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</si>
  <si>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</si>
  <si>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</si>
  <si>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</si>
  <si>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</si>
  <si>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</si>
  <si>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</si>
  <si>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</si>
  <si>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</si>
  <si>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</si>
  <si>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</si>
  <si>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</si>
  <si>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</si>
  <si>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</si>
  <si>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</si>
  <si>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</si>
  <si>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</si>
  <si>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</si>
  <si>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</si>
  <si>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</si>
  <si>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</si>
  <si>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</si>
  <si>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</si>
  <si>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</si>
  <si>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</si>
  <si>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</si>
  <si>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</si>
  <si>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</si>
  <si>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</si>
  <si>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</si>
  <si>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</si>
  <si>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</si>
  <si>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</si>
  <si>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</si>
  <si>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</si>
  <si>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</si>
  <si>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</si>
  <si>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</si>
  <si>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</si>
  <si>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</si>
  <si>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</si>
  <si>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</si>
  <si>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</si>
  <si>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</si>
  <si>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</si>
  <si>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</si>
  <si>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</si>
  <si>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</si>
  <si>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</si>
  <si>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</si>
  <si>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</si>
  <si>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</si>
  <si>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</si>
  <si>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</si>
  <si>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</si>
  <si>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</si>
  <si>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</si>
  <si>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</si>
  <si>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</si>
  <si>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</si>
  <si>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</si>
  <si>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</si>
  <si>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</si>
  <si>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</si>
  <si>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</si>
  <si>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</si>
  <si>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</si>
  <si>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</si>
  <si>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</si>
  <si>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</si>
  <si>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</si>
  <si>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</si>
  <si>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</si>
  <si>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</si>
  <si>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</si>
  <si>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</si>
  <si>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</si>
  <si>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</si>
  <si>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</si>
  <si>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</si>
  <si>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</si>
  <si>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</si>
  <si>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</si>
  <si>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</si>
  <si>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</si>
  <si>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</si>
  <si>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</si>
  <si>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</si>
  <si>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</si>
  <si>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</si>
  <si>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</si>
  <si>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</si>
  <si>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</si>
  <si>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</si>
  <si>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</si>
  <si>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</si>
  <si>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</si>
  <si>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</si>
  <si>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</si>
  <si>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</si>
  <si>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</si>
  <si>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</si>
  <si>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</si>
  <si>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</si>
  <si>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</si>
  <si>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</si>
  <si>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</si>
  <si>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</si>
  <si>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</si>
  <si>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</si>
  <si>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</si>
  <si>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</si>
  <si>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</si>
  <si>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</si>
  <si>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</si>
  <si>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</si>
  <si>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</si>
  <si>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</si>
  <si>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</si>
  <si>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</si>
  <si>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</si>
  <si>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</si>
  <si>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</si>
  <si>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</si>
  <si>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</si>
  <si>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</si>
  <si>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</si>
  <si>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</si>
  <si>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</si>
  <si>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</si>
  <si>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</si>
  <si>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</si>
  <si>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</si>
  <si>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</si>
  <si>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</si>
  <si>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</si>
  <si>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</si>
  <si>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</si>
  <si>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</si>
  <si>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</si>
  <si>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</si>
  <si>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</si>
  <si>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</si>
  <si>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</si>
  <si>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</si>
  <si>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</si>
  <si>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</si>
  <si>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</si>
  <si>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</si>
  <si>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</si>
  <si>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</si>
  <si>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</si>
  <si>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</si>
  <si>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</si>
  <si>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</si>
  <si>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</si>
  <si>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</si>
  <si>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</si>
  <si>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</si>
  <si>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</si>
  <si>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</si>
  <si>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</si>
  <si>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</si>
  <si>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</si>
  <si>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</si>
  <si>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</si>
  <si>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</si>
  <si>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</si>
  <si>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</si>
  <si>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</si>
  <si>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</si>
  <si>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</si>
  <si>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</si>
  <si>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</si>
  <si>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</si>
  <si>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</si>
  <si>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</si>
  <si>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</si>
  <si>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</si>
  <si>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</si>
  <si>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</si>
  <si>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</si>
  <si>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</si>
  <si>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</si>
  <si>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</si>
  <si>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</si>
  <si>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</si>
  <si>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</si>
  <si>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</si>
  <si>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</si>
  <si>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</si>
  <si>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</si>
  <si>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</si>
  <si>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</si>
  <si>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</si>
  <si>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</si>
  <si>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</si>
  <si>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</si>
  <si>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</si>
  <si>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</si>
  <si>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</si>
  <si>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</si>
  <si>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</si>
  <si>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</si>
  <si>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</si>
  <si>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</si>
  <si>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</si>
  <si>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</si>
  <si>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</si>
  <si>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</si>
  <si>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</si>
  <si>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</si>
  <si>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</si>
  <si>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</si>
  <si>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</si>
  <si>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</si>
  <si>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</si>
  <si>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</si>
  <si>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</si>
  <si>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</si>
  <si>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</si>
  <si>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</si>
  <si>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</si>
  <si>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</si>
  <si>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</si>
  <si>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</si>
  <si>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</si>
  <si>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</si>
  <si>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</si>
  <si>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</si>
  <si>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</si>
  <si>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</si>
  <si>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</si>
  <si>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</si>
  <si>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</si>
  <si>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</si>
  <si>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</si>
  <si>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</si>
  <si>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</si>
  <si>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</si>
  <si>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</si>
  <si>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</si>
  <si>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</si>
  <si>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</si>
  <si>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</si>
  <si>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</si>
  <si>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</si>
  <si>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</si>
  <si>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</si>
  <si>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</si>
  <si>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</si>
  <si>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</si>
  <si>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</si>
  <si>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</si>
  <si>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</si>
  <si>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</si>
  <si>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</si>
  <si>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</si>
  <si>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</si>
  <si>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</si>
  <si>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</si>
  <si>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</si>
  <si>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</si>
  <si>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</si>
  <si>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</si>
  <si>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</si>
  <si>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</si>
  <si>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</si>
  <si>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</si>
  <si>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</si>
  <si>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</si>
  <si>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</si>
  <si>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</si>
  <si>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</si>
  <si>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</si>
  <si>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</si>
  <si>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</si>
  <si>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</si>
  <si>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</si>
  <si>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</si>
  <si>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</si>
  <si>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</si>
  <si>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</si>
  <si>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</si>
  <si>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</si>
  <si>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</si>
  <si>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</si>
  <si>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</si>
  <si>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</si>
  <si>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</si>
  <si>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</si>
  <si>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</si>
  <si>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</si>
  <si>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</si>
  <si>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</si>
  <si>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</si>
  <si>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</si>
  <si>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</si>
  <si>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</si>
  <si>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</si>
  <si>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</si>
  <si>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</si>
  <si>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</si>
  <si>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</si>
  <si>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</si>
  <si>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</si>
  <si>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</si>
  <si>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</si>
  <si>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</si>
  <si>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</si>
  <si>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</si>
  <si>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</si>
  <si>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</si>
  <si>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</si>
  <si>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</si>
  <si>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</si>
  <si>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</si>
  <si>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</si>
  <si>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</si>
  <si>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</si>
  <si>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</si>
  <si>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</si>
  <si>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</si>
  <si>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</si>
  <si>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</si>
  <si>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</si>
  <si>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</si>
  <si>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</si>
  <si>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</si>
  <si>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</si>
  <si>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</si>
  <si>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</si>
  <si>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</si>
  <si>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</si>
  <si>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</si>
  <si>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</si>
  <si>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</si>
  <si>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</si>
  <si>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</si>
  <si>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</si>
  <si>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</si>
  <si>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</si>
  <si>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</si>
  <si>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</si>
  <si>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</si>
  <si>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</si>
  <si>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</si>
  <si>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</si>
  <si>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</si>
  <si>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</si>
  <si>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</si>
  <si>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</si>
  <si>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</si>
  <si>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</si>
  <si>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</si>
  <si>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</si>
  <si>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</si>
  <si>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</si>
  <si>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</si>
  <si>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</si>
  <si>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</si>
  <si>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</si>
  <si>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</si>
  <si>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</si>
  <si>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</si>
  <si>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</si>
  <si>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</si>
  <si>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</si>
  <si>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</si>
  <si>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</si>
  <si>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</si>
  <si>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</si>
  <si>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</si>
  <si>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</si>
  <si>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</si>
  <si>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</si>
  <si>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</si>
  <si>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</si>
  <si>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</si>
  <si>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</si>
  <si>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</si>
  <si>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</si>
  <si>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</si>
  <si>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</si>
  <si>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</si>
  <si>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</si>
  <si>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</si>
  <si>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</si>
  <si>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</si>
  <si>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</si>
  <si>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</si>
  <si>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</si>
  <si>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</si>
  <si>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</si>
  <si>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</si>
  <si>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</si>
  <si>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</si>
  <si>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</si>
  <si>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</si>
  <si>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</si>
  <si>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</si>
  <si>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</si>
  <si>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</si>
  <si>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</si>
  <si>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</si>
  <si>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</si>
  <si>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</si>
  <si>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</si>
  <si>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</si>
  <si>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</si>
  <si>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</si>
  <si>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</si>
  <si>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</si>
  <si>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</si>
  <si>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</si>
  <si>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</si>
  <si>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</si>
  <si>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</si>
  <si>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</si>
  <si>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</si>
  <si>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</si>
  <si>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</si>
  <si>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</si>
  <si>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</si>
  <si>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</si>
  <si>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</si>
  <si>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</si>
  <si>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</si>
  <si>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</si>
  <si>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</si>
  <si>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</si>
  <si>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</si>
  <si>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</si>
  <si>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</si>
  <si>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</si>
  <si>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</si>
  <si>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</si>
  <si>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</si>
  <si>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</si>
  <si>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</si>
  <si>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</si>
  <si>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</si>
  <si>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</si>
  <si>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</si>
  <si>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</si>
  <si>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</si>
  <si>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</si>
  <si>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</si>
  <si>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</si>
  <si>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</si>
  <si>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</si>
  <si>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</si>
  <si>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</si>
  <si>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</si>
  <si>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</si>
  <si>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</si>
  <si>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</si>
  <si>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</si>
  <si>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</si>
  <si>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</si>
  <si>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</si>
  <si>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</si>
  <si>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</si>
  <si>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</si>
  <si>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</si>
  <si>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</si>
  <si>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</si>
  <si>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</si>
  <si>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</si>
  <si>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</si>
  <si>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</si>
  <si>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</si>
  <si>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</si>
  <si>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</si>
  <si>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</si>
  <si>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</si>
  <si>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</si>
  <si>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</si>
  <si>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</si>
  <si>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</si>
  <si>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</si>
  <si>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</si>
  <si>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</si>
  <si>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</si>
  <si>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</si>
  <si>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</si>
  <si>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</si>
  <si>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</si>
  <si>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</si>
  <si>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</si>
  <si>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</si>
  <si>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</si>
  <si>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</si>
  <si>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</si>
  <si>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</si>
  <si>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</si>
  <si>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</si>
  <si>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</si>
  <si>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</si>
  <si>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</si>
  <si>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</si>
  <si>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</si>
  <si>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</si>
  <si>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</si>
  <si>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</si>
  <si>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</si>
  <si>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</si>
  <si>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</si>
  <si>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</si>
  <si>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</si>
  <si>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</si>
  <si>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</si>
  <si>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</si>
  <si>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</si>
  <si>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</si>
  <si>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</si>
  <si>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</si>
  <si>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</si>
  <si>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</si>
  <si>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</si>
  <si>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</si>
  <si>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</si>
  <si>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</si>
  <si>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</si>
  <si>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</si>
  <si>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</si>
  <si>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</si>
  <si>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</si>
  <si>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</si>
  <si>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</si>
  <si>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</si>
  <si>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</si>
  <si>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</si>
  <si>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</si>
  <si>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</si>
  <si>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</si>
  <si>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</si>
  <si>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</si>
  <si>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</si>
  <si>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</si>
  <si>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</si>
  <si>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</si>
  <si>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</si>
  <si>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</si>
  <si>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</si>
  <si>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</si>
  <si>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</si>
  <si>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</si>
  <si>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</si>
  <si>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</si>
  <si>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</si>
  <si>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</si>
  <si>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</si>
  <si>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</si>
  <si>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</si>
  <si>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</si>
  <si>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</si>
  <si>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</si>
  <si>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</si>
  <si>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</si>
  <si>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</si>
  <si>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</si>
  <si>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</si>
  <si>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</si>
  <si>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</si>
  <si>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</si>
  <si>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</si>
  <si>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</si>
  <si>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</si>
  <si>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</si>
  <si>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</si>
  <si>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</si>
  <si>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</si>
  <si>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</si>
  <si>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</si>
  <si>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</si>
  <si>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</si>
  <si>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</si>
  <si>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</si>
  <si>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</si>
  <si>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</si>
  <si>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</si>
  <si>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</si>
  <si>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</si>
  <si>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</si>
  <si>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</si>
  <si>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</si>
  <si>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</si>
  <si>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</si>
  <si>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</si>
  <si>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</si>
  <si>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</si>
  <si>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</si>
  <si>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</si>
  <si>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</si>
  <si>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</si>
  <si>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</si>
  <si>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</si>
  <si>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</si>
  <si>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</si>
  <si>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</si>
  <si>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</si>
  <si>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</si>
  <si>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</si>
  <si>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</si>
  <si>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</si>
  <si>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</si>
  <si>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</si>
  <si>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</si>
  <si>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</si>
  <si>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</si>
  <si>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</si>
  <si>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</si>
  <si>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</si>
  <si>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</si>
  <si>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</si>
  <si>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</si>
  <si>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</si>
  <si>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</si>
  <si>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</si>
  <si>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</si>
  <si>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</si>
  <si>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</si>
  <si>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</si>
  <si>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</si>
  <si>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</si>
  <si>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</si>
  <si>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</si>
  <si>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</si>
  <si>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</si>
  <si>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</si>
  <si>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</si>
  <si>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</si>
  <si>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</si>
  <si>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</si>
  <si>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</si>
  <si>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</si>
  <si>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</si>
  <si>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</si>
  <si>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</si>
  <si>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</si>
  <si>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</si>
  <si>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</si>
  <si>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</si>
  <si>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</si>
  <si>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</si>
  <si>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</si>
  <si>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</si>
  <si>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</si>
  <si>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</si>
  <si>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</si>
  <si>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</si>
  <si>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</si>
  <si>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</si>
  <si>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</si>
  <si>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</si>
  <si>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</si>
  <si>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</si>
  <si>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</si>
  <si>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</si>
  <si>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</si>
  <si>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</si>
  <si>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</si>
  <si>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</si>
  <si>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</si>
  <si>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</si>
  <si>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</si>
  <si>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</si>
  <si>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</si>
  <si>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</si>
  <si>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</si>
  <si>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</si>
  <si>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</si>
  <si>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</si>
  <si>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</si>
  <si>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</si>
  <si>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</si>
  <si>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</si>
  <si>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</si>
  <si>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</si>
  <si>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</si>
  <si>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</si>
  <si>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</si>
  <si>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</si>
  <si>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</si>
  <si>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</si>
  <si>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</si>
  <si>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</si>
  <si>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</si>
  <si>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</si>
  <si>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</si>
  <si>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</si>
  <si>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</si>
  <si>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</si>
  <si>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</si>
  <si>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</si>
  <si>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</si>
  <si>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</si>
  <si>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</si>
  <si>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</si>
  <si>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</si>
  <si>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</si>
  <si>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</si>
  <si>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</si>
  <si>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</si>
  <si>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</si>
  <si>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</si>
  <si>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</si>
  <si>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</si>
  <si>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</si>
  <si>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</si>
  <si>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</si>
  <si>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</si>
  <si>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</si>
  <si>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</si>
  <si>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</si>
  <si>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</si>
  <si>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</si>
  <si>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</si>
  <si>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</si>
  <si>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</si>
  <si>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</si>
  <si>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</si>
  <si>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</si>
  <si>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</si>
  <si>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</si>
  <si>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</si>
  <si>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</si>
  <si>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</si>
  <si>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</si>
  <si>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</si>
  <si>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</si>
  <si>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</si>
  <si>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</si>
  <si>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</si>
  <si>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</si>
  <si>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</si>
  <si>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</si>
  <si>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</si>
  <si>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</si>
  <si>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</si>
  <si>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</si>
  <si>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</si>
  <si>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</si>
  <si>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</si>
  <si>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</si>
  <si>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</si>
  <si>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</si>
  <si>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</si>
  <si>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</si>
  <si>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</si>
  <si>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</si>
  <si>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</si>
  <si>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</si>
  <si>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</si>
  <si>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</si>
  <si>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</si>
  <si>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</si>
  <si>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</si>
  <si>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</si>
  <si>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</si>
  <si>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</si>
  <si>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</si>
  <si>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</si>
  <si>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</si>
  <si>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</si>
  <si>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</si>
  <si>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</si>
  <si>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</si>
  <si>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</si>
  <si>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</si>
  <si>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</si>
  <si>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</si>
  <si>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</si>
  <si>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</si>
  <si>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</si>
  <si>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</si>
  <si>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</si>
  <si>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</si>
  <si>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</si>
  <si>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</si>
  <si>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</si>
  <si>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</si>
  <si>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</si>
  <si>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</si>
  <si>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</si>
  <si>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</si>
  <si>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</si>
  <si>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</si>
  <si>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</si>
  <si>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</si>
  <si>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</si>
  <si>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</si>
  <si>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</si>
  <si>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</si>
  <si>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</si>
  <si>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</si>
  <si>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</si>
  <si>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</si>
  <si>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</si>
  <si>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</si>
  <si>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</si>
  <si>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</si>
  <si>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</si>
  <si>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</si>
  <si>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</si>
  <si>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</si>
  <si>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</si>
  <si>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</si>
  <si>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</si>
  <si>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</si>
  <si>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</si>
  <si>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</si>
  <si>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</si>
  <si>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</si>
  <si>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</si>
  <si>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</si>
  <si>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</si>
  <si>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</si>
  <si>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</si>
  <si>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</si>
  <si>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</si>
  <si>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</si>
  <si>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</si>
  <si>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</si>
  <si>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</si>
  <si>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</si>
  <si>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</si>
  <si>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</si>
  <si>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</si>
  <si>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</si>
  <si>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</si>
  <si>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</si>
  <si>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</si>
  <si>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</si>
  <si>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</si>
  <si>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</si>
  <si>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</si>
  <si>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</si>
  <si>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</si>
  <si>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</si>
  <si>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</si>
  <si>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</si>
  <si>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</si>
  <si>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</si>
  <si>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</si>
  <si>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</si>
  <si>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</si>
  <si>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</si>
  <si>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</si>
  <si>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</si>
  <si>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</si>
  <si>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</si>
  <si>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</si>
  <si>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</si>
  <si>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</si>
  <si>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</si>
  <si>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</si>
  <si>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</si>
  <si>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</si>
  <si>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</si>
  <si>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</si>
  <si>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</si>
  <si>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</si>
  <si>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</si>
  <si>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</si>
  <si>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</si>
  <si>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</si>
  <si>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</si>
  <si>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</si>
  <si>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</si>
  <si>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</si>
  <si>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</si>
  <si>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</si>
  <si>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</si>
  <si>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</si>
  <si>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</si>
  <si>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</si>
  <si>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</si>
  <si>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</si>
  <si>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</si>
  <si>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</si>
  <si>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</si>
  <si>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</si>
  <si>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</si>
  <si>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</si>
  <si>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</si>
  <si>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</si>
  <si>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</si>
  <si>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</si>
  <si>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</si>
  <si>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</si>
  <si>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</si>
  <si>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</si>
  <si>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</si>
  <si>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</si>
  <si>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</si>
  <si>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</si>
  <si>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</si>
  <si>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</si>
  <si>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</si>
  <si>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</si>
  <si>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</si>
  <si>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</si>
  <si>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</si>
  <si>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</si>
  <si>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</si>
  <si>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</si>
  <si>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</si>
  <si>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</si>
  <si>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</si>
  <si>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</si>
  <si>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</si>
  <si>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</si>
  <si>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</si>
  <si>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</si>
  <si>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</si>
  <si>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</si>
  <si>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</si>
  <si>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</si>
  <si>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</si>
  <si>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</si>
  <si>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</si>
  <si>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</si>
  <si>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</si>
  <si>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</si>
  <si>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</si>
  <si>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</si>
  <si>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</si>
  <si>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</si>
  <si>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</si>
  <si>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</si>
  <si>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</si>
  <si>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</si>
  <si>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</si>
  <si>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</si>
  <si>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</si>
  <si>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</si>
  <si>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</si>
  <si>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</si>
  <si>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</si>
  <si>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</si>
  <si>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</si>
  <si>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</si>
  <si>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</si>
  <si>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</si>
  <si>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</si>
  <si>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</si>
  <si>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</si>
  <si>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</si>
  <si>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</si>
  <si>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</si>
  <si>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</si>
  <si>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</si>
  <si>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</si>
  <si>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</si>
  <si>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</si>
  <si>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</si>
  <si>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</si>
  <si>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</si>
  <si>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</si>
  <si>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</si>
  <si>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</si>
  <si>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</si>
  <si>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</si>
  <si>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</si>
  <si>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</si>
  <si>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</si>
  <si>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</si>
  <si>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</si>
  <si>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</si>
  <si>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</si>
  <si>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</si>
  <si>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</si>
  <si>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</si>
  <si>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</si>
  <si>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</si>
  <si>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</si>
  <si>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</si>
  <si>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</si>
  <si>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</si>
  <si>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</si>
  <si>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</si>
  <si>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</si>
  <si>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</si>
  <si>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</si>
  <si>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</si>
  <si>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</si>
  <si>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</si>
  <si>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</si>
  <si>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</si>
  <si>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</si>
  <si>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</si>
  <si>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</si>
  <si>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</si>
  <si>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</si>
  <si>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</si>
  <si>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</si>
  <si>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</si>
  <si>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</si>
  <si>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</si>
  <si>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</si>
  <si>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</si>
  <si>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</si>
  <si>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</si>
  <si>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</si>
  <si>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</si>
  <si>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</si>
  <si>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</si>
  <si>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</si>
  <si>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</si>
  <si>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</si>
  <si>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</si>
  <si>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</si>
  <si>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</si>
  <si>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</si>
  <si>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</si>
  <si>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</si>
  <si>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</si>
  <si>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</si>
  <si>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</si>
  <si>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</si>
  <si>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</si>
  <si>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</si>
  <si>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</si>
  <si>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</si>
  <si>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</si>
  <si>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</si>
  <si>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</si>
  <si>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</si>
  <si>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</si>
  <si>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</si>
  <si>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</si>
  <si>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</si>
  <si>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</si>
  <si>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</si>
  <si>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</si>
  <si>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</si>
  <si>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</si>
  <si>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</si>
  <si>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</si>
  <si>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</si>
  <si>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</si>
  <si>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</si>
  <si>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</si>
  <si>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</si>
  <si>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</si>
  <si>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</si>
  <si>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</si>
  <si>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</si>
  <si>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</si>
  <si>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</si>
  <si>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</si>
  <si>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</si>
  <si>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</si>
  <si>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</si>
  <si>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</si>
  <si>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</si>
  <si>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</si>
  <si>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</si>
  <si>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</si>
  <si>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</si>
  <si>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</si>
  <si>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</si>
  <si>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</si>
  <si>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</si>
  <si>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</si>
  <si>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</si>
  <si>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</si>
  <si>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</si>
  <si>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</si>
  <si>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</si>
  <si>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</si>
  <si>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</si>
  <si>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</si>
  <si>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</si>
  <si>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</si>
  <si>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</si>
  <si>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</si>
  <si>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</si>
  <si>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</si>
  <si>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</si>
  <si>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</si>
  <si>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</si>
  <si>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</si>
  <si>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</si>
  <si>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</si>
  <si>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</si>
  <si>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</si>
  <si>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</si>
  <si>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</si>
  <si>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</si>
  <si>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</si>
  <si>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</si>
  <si>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</si>
  <si>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</si>
  <si>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</si>
  <si>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</si>
  <si>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</si>
  <si>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</si>
  <si>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</si>
  <si>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</si>
  <si>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</si>
  <si>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</si>
  <si>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</si>
  <si>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</si>
  <si>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</si>
  <si>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</si>
  <si>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</si>
  <si>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</si>
  <si>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</si>
  <si>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</si>
  <si>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</si>
  <si>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</si>
  <si>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</si>
  <si>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</si>
  <si>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</si>
  <si>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</si>
  <si>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</si>
  <si>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</si>
  <si>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</si>
  <si>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</si>
  <si>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</si>
  <si>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</si>
  <si>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</si>
  <si>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</si>
  <si>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</si>
  <si>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</si>
  <si>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</si>
  <si>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</si>
  <si>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</si>
  <si>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</si>
  <si>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</si>
  <si>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</si>
  <si>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</si>
  <si>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</si>
  <si>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</si>
  <si>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</si>
  <si>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</si>
  <si>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</si>
  <si>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</si>
  <si>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</si>
  <si>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</si>
  <si>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</si>
  <si>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</si>
  <si>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</si>
  <si>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</si>
  <si>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</si>
  <si>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</si>
  <si>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</si>
  <si>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</si>
  <si>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</si>
  <si>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</si>
  <si>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</si>
  <si>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</si>
  <si>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</si>
  <si>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</si>
  <si>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</si>
  <si>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</si>
  <si>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</si>
  <si>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</si>
  <si>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</si>
  <si>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</si>
  <si>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</si>
  <si>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</si>
  <si>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</si>
  <si>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</si>
  <si>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</si>
  <si>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</si>
  <si>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</si>
  <si>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</si>
  <si>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</si>
  <si>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</si>
  <si>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</si>
  <si>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</si>
  <si>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</si>
  <si>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</si>
  <si>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</si>
  <si>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</si>
  <si>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</si>
  <si>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</si>
  <si>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</si>
  <si>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</si>
  <si>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</si>
  <si>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</si>
  <si>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</si>
  <si>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</si>
  <si>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</si>
  <si>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</si>
  <si>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</si>
  <si>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</si>
  <si>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</si>
  <si>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</si>
  <si>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</si>
  <si>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</si>
  <si>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</si>
  <si>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</si>
  <si>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</si>
  <si>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</si>
  <si>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</si>
  <si>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</si>
  <si>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</si>
  <si>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</si>
  <si>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</si>
  <si>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</si>
  <si>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</si>
  <si>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</si>
  <si>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</si>
  <si>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</si>
  <si>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</si>
  <si>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</si>
  <si>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</si>
  <si>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</si>
  <si>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</si>
  <si>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</si>
  <si>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</si>
  <si>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</si>
  <si>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</si>
  <si>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</si>
  <si>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</si>
  <si>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</si>
  <si>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</si>
  <si>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</si>
  <si>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</si>
  <si>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</si>
  <si>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</si>
  <si>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</si>
  <si>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</si>
  <si>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</si>
  <si>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</si>
  <si>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</si>
  <si>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</si>
  <si>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</si>
  <si>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</si>
  <si>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</si>
  <si>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</si>
  <si>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</si>
  <si>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</si>
  <si>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</si>
  <si>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</si>
  <si>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</si>
  <si>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</si>
  <si>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</si>
  <si>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</si>
  <si>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</si>
  <si>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</si>
  <si>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</si>
  <si>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</si>
  <si>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</si>
  <si>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</si>
  <si>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</si>
  <si>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</si>
  <si>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</si>
  <si>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</si>
  <si>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</si>
  <si>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</si>
  <si>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</si>
  <si>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</si>
  <si>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</si>
  <si>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</si>
  <si>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</si>
  <si>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</si>
  <si>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</si>
  <si>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</si>
  <si>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</si>
  <si>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</si>
  <si>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</si>
  <si>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</si>
  <si>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</si>
  <si>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</si>
  <si>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</si>
  <si>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</si>
  <si>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</si>
  <si>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</si>
  <si>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</si>
  <si>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</si>
  <si>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</si>
  <si>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</si>
  <si>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</si>
  <si>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</si>
  <si>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</si>
  <si>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</si>
  <si>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</si>
  <si>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</si>
  <si>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</si>
  <si>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</si>
  <si>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</si>
  <si>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</si>
  <si>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</si>
  <si>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</si>
  <si>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</si>
  <si>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</si>
  <si>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</si>
  <si>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</si>
  <si>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</si>
  <si>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</si>
  <si>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</si>
  <si>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</si>
  <si>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</si>
  <si>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</si>
  <si>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</si>
  <si>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</si>
  <si>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</si>
  <si>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</si>
  <si>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</si>
  <si>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</si>
  <si>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</si>
  <si>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</si>
  <si>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</si>
  <si>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</si>
  <si>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</si>
  <si>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</si>
  <si>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</si>
  <si>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</si>
  <si>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</si>
  <si>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</si>
  <si>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</si>
  <si>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</si>
  <si>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</si>
  <si>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</si>
  <si>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</si>
  <si>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</si>
  <si>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</si>
  <si>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</si>
  <si>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</si>
  <si>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</si>
  <si>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</si>
  <si>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</si>
  <si>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</si>
  <si>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</si>
  <si>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</si>
  <si>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</si>
  <si>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</si>
  <si>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</si>
  <si>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</si>
  <si>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</si>
  <si>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</si>
  <si>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</si>
  <si>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</si>
  <si>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</si>
  <si>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</si>
  <si>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</si>
  <si>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</si>
  <si>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</si>
  <si>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</si>
  <si>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</si>
  <si>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</si>
  <si>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</si>
  <si>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</si>
  <si>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</si>
  <si>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</si>
  <si>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</si>
  <si>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</si>
  <si>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</si>
  <si>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</si>
  <si>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</si>
  <si>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</si>
  <si>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</si>
  <si>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</si>
  <si>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</si>
  <si>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</si>
  <si>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</si>
  <si>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</si>
  <si>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</si>
  <si>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</si>
  <si>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</si>
  <si>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</si>
  <si>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</si>
  <si>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</si>
  <si>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</si>
  <si>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</si>
  <si>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</si>
  <si>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</si>
  <si>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</si>
  <si>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</si>
  <si>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</si>
  <si>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</si>
  <si>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</si>
  <si>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</si>
  <si>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</si>
  <si>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</si>
  <si>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</si>
  <si>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</si>
  <si>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</si>
  <si>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</si>
  <si>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</si>
  <si>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</si>
  <si>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</si>
  <si>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</si>
  <si>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</si>
  <si>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</si>
  <si>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</si>
  <si>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</si>
  <si>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</si>
  <si>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</si>
  <si>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</si>
  <si>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</si>
  <si>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</si>
  <si>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</si>
  <si>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</si>
  <si>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</si>
  <si>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</si>
  <si>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</si>
  <si>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</si>
  <si>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</si>
  <si>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</si>
  <si>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</si>
  <si>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</si>
  <si>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</si>
  <si>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</si>
  <si>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</si>
  <si>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</si>
  <si>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</si>
  <si>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</si>
  <si>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</si>
  <si>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</si>
  <si>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</si>
  <si>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</si>
  <si>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</si>
  <si>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</si>
  <si>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</si>
  <si>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</si>
  <si>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</si>
  <si>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</si>
  <si>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</si>
  <si>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</si>
  <si>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</si>
  <si>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</si>
  <si>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</si>
  <si>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</si>
  <si>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</si>
  <si>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</si>
  <si>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</si>
  <si>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</si>
  <si>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</si>
  <si>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</si>
  <si>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</si>
  <si>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</si>
  <si>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</si>
  <si>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</si>
  <si>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</si>
  <si>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</si>
  <si>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</si>
  <si>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</si>
  <si>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</si>
  <si>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</si>
  <si>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</si>
  <si>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</si>
  <si>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</si>
  <si>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</si>
  <si>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</si>
  <si>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</si>
  <si>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</si>
  <si>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</si>
  <si>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</si>
  <si>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</si>
  <si>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</si>
  <si>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</si>
  <si>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</si>
  <si>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</si>
  <si>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</si>
  <si>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</si>
  <si>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</si>
  <si>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</si>
  <si>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</si>
  <si>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</si>
  <si>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</si>
  <si>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</si>
  <si>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</si>
  <si>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</si>
  <si>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</si>
  <si>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</si>
  <si>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</si>
  <si>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</si>
  <si>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</si>
  <si>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</si>
  <si>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</si>
  <si>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</si>
  <si>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</si>
  <si>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</si>
  <si>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</si>
  <si>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</si>
  <si>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</si>
  <si>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</si>
  <si>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</si>
  <si>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</si>
  <si>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</si>
  <si>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</si>
  <si>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</si>
  <si>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</si>
  <si>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</si>
  <si>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</si>
  <si>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</si>
  <si>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</si>
  <si>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</si>
  <si>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</si>
  <si>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</si>
  <si>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</si>
  <si>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</si>
  <si>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</si>
  <si>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</si>
  <si>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</si>
  <si>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</si>
  <si>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</si>
  <si>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</si>
  <si>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</si>
  <si>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</si>
  <si>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</si>
  <si>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</si>
  <si>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</si>
  <si>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</si>
  <si>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</si>
  <si>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</si>
  <si>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</si>
  <si>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</si>
  <si>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</si>
  <si>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</si>
  <si>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</si>
  <si>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</si>
  <si>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</si>
  <si>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</si>
  <si>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</si>
  <si>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</si>
  <si>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</si>
  <si>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</si>
  <si>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</si>
  <si>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</si>
  <si>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</si>
  <si>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</si>
  <si>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</si>
  <si>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</si>
  <si>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</si>
  <si>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</si>
  <si>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</si>
  <si>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</si>
  <si>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</si>
  <si>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</si>
  <si>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</si>
  <si>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</si>
  <si>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</si>
  <si>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</si>
  <si>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</si>
  <si>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</si>
  <si>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</si>
  <si>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</si>
  <si>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</si>
  <si>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</si>
  <si>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</si>
  <si>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</si>
  <si>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</si>
  <si>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</si>
  <si>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</si>
  <si>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</si>
  <si>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</si>
  <si>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</si>
  <si>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</si>
  <si>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</si>
  <si>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</si>
  <si>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</si>
  <si>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</si>
  <si>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</si>
  <si>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</si>
  <si>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</si>
  <si>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</si>
  <si>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</si>
  <si>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</si>
  <si>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</si>
  <si>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</si>
  <si>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</si>
  <si>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</si>
  <si>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</si>
  <si>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</si>
  <si>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</si>
  <si>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</si>
  <si>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</si>
  <si>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</si>
  <si>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</si>
  <si>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</si>
  <si>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</si>
  <si>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</si>
  <si>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</si>
  <si>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</si>
  <si>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</si>
  <si>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</si>
  <si>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</si>
  <si>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</si>
  <si>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</si>
  <si>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</si>
  <si>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</si>
  <si>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</si>
  <si>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</si>
  <si>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</si>
  <si>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</si>
  <si>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</si>
  <si>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</si>
  <si>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</si>
  <si>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</si>
  <si>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</si>
  <si>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</si>
  <si>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</si>
  <si>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</si>
  <si>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</si>
  <si>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</si>
  <si>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</si>
  <si>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</si>
  <si>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</si>
  <si>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</si>
  <si>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</si>
  <si>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</si>
  <si>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</si>
  <si>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</si>
  <si>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</si>
  <si>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</si>
  <si>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</si>
  <si>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</si>
  <si>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</si>
  <si>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</si>
  <si>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</si>
  <si>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</si>
  <si>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</si>
  <si>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</si>
  <si>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</si>
  <si>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</si>
  <si>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</si>
  <si>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</si>
  <si>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</si>
  <si>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</si>
  <si>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</si>
  <si>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</si>
  <si>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</si>
  <si>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</si>
  <si>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</si>
  <si>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</si>
  <si>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</si>
  <si>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</si>
  <si>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</si>
  <si>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</si>
  <si>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</si>
  <si>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</si>
  <si>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</si>
  <si>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</si>
  <si>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</si>
  <si>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</si>
  <si>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</si>
  <si>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</si>
  <si>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</si>
  <si>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</si>
  <si>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</si>
  <si>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</si>
  <si>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</si>
  <si>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</si>
  <si>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</si>
  <si>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</si>
  <si>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</si>
  <si>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</si>
  <si>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</si>
  <si>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</si>
  <si>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</si>
  <si>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</si>
  <si>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</si>
  <si>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</si>
  <si>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</si>
  <si>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</si>
  <si>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</si>
  <si>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</si>
  <si>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</si>
  <si>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</si>
  <si>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</si>
  <si>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</si>
  <si>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</si>
  <si>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</si>
  <si>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</si>
  <si>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</si>
  <si>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</si>
  <si>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</si>
  <si>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</si>
  <si>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</si>
  <si>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</si>
  <si>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</si>
  <si>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</si>
  <si>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</si>
  <si>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</si>
  <si>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</si>
  <si>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</si>
  <si>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</si>
  <si>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</si>
  <si>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</si>
  <si>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</si>
  <si>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</si>
  <si>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</si>
  <si>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</si>
  <si>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</si>
  <si>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</si>
  <si>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</si>
  <si>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</si>
  <si>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</si>
  <si>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</si>
  <si>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</si>
  <si>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</si>
  <si>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</si>
  <si>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</si>
  <si>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</si>
  <si>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</si>
  <si>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</si>
  <si>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</si>
  <si>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</si>
  <si>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</si>
  <si>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</si>
  <si>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</si>
  <si>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</si>
  <si>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</si>
  <si>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</si>
  <si>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</si>
  <si>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</si>
  <si>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</si>
  <si>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</si>
  <si>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</si>
  <si>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</si>
  <si>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</si>
  <si>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</si>
  <si>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</si>
  <si>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</si>
  <si>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</si>
  <si>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</si>
  <si>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</si>
  <si>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</si>
  <si>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</si>
  <si>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</si>
  <si>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</si>
  <si>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</si>
  <si>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</si>
  <si>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</si>
  <si>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</si>
  <si>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</si>
  <si>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</si>
  <si>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</si>
  <si>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</si>
  <si>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</si>
  <si>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</si>
  <si>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</si>
  <si>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</si>
  <si>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</si>
  <si>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</si>
  <si>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</si>
  <si>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</si>
  <si>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</si>
  <si>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</si>
  <si>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</si>
  <si>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</si>
  <si>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</si>
  <si>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</si>
  <si>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</si>
  <si>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</si>
  <si>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</si>
  <si>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</si>
  <si>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</si>
  <si>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</si>
  <si>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</si>
  <si>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</si>
  <si>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</si>
  <si>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</si>
  <si>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</si>
  <si>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</si>
  <si>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</si>
  <si>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</si>
  <si>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</si>
  <si>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</si>
  <si>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</si>
  <si>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</si>
  <si>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</si>
  <si>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</si>
  <si>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</si>
  <si>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</si>
  <si>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</si>
  <si>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</si>
  <si>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</si>
  <si>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</si>
  <si>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</si>
  <si>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</si>
  <si>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</si>
  <si>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</si>
  <si>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</si>
  <si>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</si>
  <si>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</si>
  <si>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</si>
  <si>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</si>
  <si>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</si>
  <si>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</si>
  <si>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</si>
  <si>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</si>
  <si>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</si>
  <si>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</si>
  <si>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</si>
  <si>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</si>
  <si>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</si>
  <si>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</si>
  <si>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</si>
  <si>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</si>
  <si>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</si>
  <si>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</si>
  <si>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</si>
  <si>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</si>
  <si>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</si>
  <si>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</si>
  <si>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</si>
  <si>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</si>
  <si>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</si>
  <si>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</si>
  <si>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</si>
  <si>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</si>
  <si>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</si>
  <si>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</si>
  <si>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</si>
  <si>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</si>
  <si>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</si>
  <si>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</si>
  <si>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</si>
  <si>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</si>
  <si>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</si>
  <si>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</si>
  <si>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</si>
  <si>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</si>
  <si>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</si>
  <si>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</si>
  <si>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</si>
  <si>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</si>
  <si>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</si>
  <si>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</si>
  <si>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</si>
  <si>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</si>
  <si>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</si>
  <si>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</si>
  <si>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</si>
  <si>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</si>
  <si>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</si>
  <si>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</si>
  <si>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</si>
  <si>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</si>
  <si>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</si>
  <si>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</si>
  <si>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</si>
  <si>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</si>
  <si>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</si>
  <si>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</si>
  <si>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</si>
  <si>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</si>
  <si>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</si>
  <si>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</si>
  <si>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</si>
  <si>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</si>
  <si>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</si>
  <si>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</si>
  <si>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</si>
  <si>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</si>
  <si>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</si>
  <si>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</si>
  <si>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</si>
  <si>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</si>
  <si>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</si>
  <si>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</si>
  <si>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</si>
  <si>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</si>
  <si>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</si>
  <si>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</si>
  <si>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</si>
  <si>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</si>
  <si>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</si>
  <si>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</si>
  <si>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</si>
  <si>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</si>
  <si>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</si>
  <si>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</si>
  <si>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</si>
  <si>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</si>
  <si>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</si>
  <si>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</si>
  <si>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</si>
  <si>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</si>
  <si>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</si>
  <si>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</si>
  <si>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</si>
  <si>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</si>
  <si>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</si>
  <si>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</si>
  <si>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</si>
  <si>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</si>
  <si>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</si>
  <si>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</si>
  <si>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</si>
  <si>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</si>
  <si>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</si>
  <si>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</si>
  <si>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</si>
  <si>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</si>
  <si>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</si>
  <si>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</si>
  <si>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</si>
  <si>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</si>
  <si>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</si>
  <si>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</si>
  <si>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</si>
  <si>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</si>
  <si>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</si>
  <si>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</si>
  <si>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</si>
  <si>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</si>
  <si>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</si>
  <si>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</si>
  <si>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</si>
  <si>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</si>
  <si>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</si>
  <si>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</si>
  <si>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</si>
  <si>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</si>
  <si>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</si>
  <si>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</si>
  <si>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</si>
  <si>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</si>
  <si>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</si>
  <si>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</si>
  <si>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</si>
  <si>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</si>
  <si>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</si>
  <si>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</si>
  <si>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</si>
  <si>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</si>
  <si>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</si>
  <si>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</si>
  <si>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</si>
  <si>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</si>
  <si>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</si>
  <si>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</si>
  <si>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</si>
  <si>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</si>
  <si>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</si>
  <si>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</si>
  <si>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</si>
  <si>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</si>
  <si>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</si>
  <si>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</si>
  <si>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</si>
  <si>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</si>
  <si>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</si>
  <si>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</si>
  <si>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</si>
  <si>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</si>
  <si>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</si>
  <si>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</si>
  <si>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</si>
  <si>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</si>
  <si>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</si>
  <si>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</si>
  <si>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</si>
  <si>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</si>
  <si>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</si>
  <si>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</si>
  <si>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</si>
  <si>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</si>
  <si>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</si>
  <si>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</si>
  <si>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</si>
  <si>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</si>
  <si>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</si>
  <si>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</si>
  <si>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</si>
  <si>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</si>
  <si>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</si>
  <si>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</si>
  <si>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</si>
  <si>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</si>
  <si>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</si>
  <si>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</si>
  <si>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</si>
  <si>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</si>
  <si>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</si>
  <si>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</si>
  <si>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</si>
  <si>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</si>
  <si>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</si>
  <si>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</si>
  <si>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</si>
  <si>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</si>
  <si>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</si>
  <si>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</si>
  <si>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</si>
  <si>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</si>
  <si>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</si>
  <si>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</si>
  <si>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</si>
  <si>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</si>
  <si>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</si>
  <si>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</si>
  <si>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</si>
  <si>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</si>
  <si>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</si>
  <si>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</si>
  <si>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</si>
  <si>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</si>
  <si>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</si>
  <si>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</si>
  <si>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</si>
  <si>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</si>
  <si>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</si>
  <si>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</si>
  <si>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</si>
  <si>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</si>
  <si>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</si>
  <si>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</si>
  <si>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</si>
  <si>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</si>
  <si>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</si>
  <si>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</si>
  <si>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</si>
  <si>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</si>
  <si>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</si>
  <si>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</si>
  <si>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</si>
  <si>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</si>
  <si>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</si>
  <si>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</si>
  <si>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</si>
  <si>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</si>
  <si>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</si>
  <si>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</si>
  <si>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</si>
  <si>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</si>
  <si>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</si>
  <si>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</si>
  <si>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</si>
  <si>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</si>
  <si>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</si>
  <si>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</si>
  <si>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</si>
  <si>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</si>
  <si>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</si>
  <si>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</si>
  <si>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</si>
  <si>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</si>
  <si>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</si>
  <si>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</si>
  <si>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</si>
  <si>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</si>
  <si>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</si>
  <si>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</si>
  <si>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</si>
  <si>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</si>
  <si>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</si>
  <si>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</si>
  <si>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</si>
  <si>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</si>
  <si>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</si>
  <si>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</si>
  <si>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</si>
  <si>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</si>
  <si>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</si>
  <si>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</si>
  <si>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</si>
  <si>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</si>
  <si>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</si>
  <si>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</si>
  <si>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</si>
  <si>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</si>
  <si>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</si>
  <si>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</si>
  <si>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</si>
  <si>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</si>
  <si>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</si>
  <si>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</si>
  <si>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</si>
  <si>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</si>
  <si>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</si>
  <si>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</si>
  <si>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</si>
  <si>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</si>
  <si>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</si>
  <si>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</si>
  <si>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</si>
  <si>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</si>
  <si>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</si>
  <si>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</si>
  <si>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</si>
  <si>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</si>
  <si>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</si>
  <si>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</si>
  <si>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</si>
  <si>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</si>
  <si>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</si>
  <si>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</si>
  <si>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</si>
  <si>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</si>
  <si>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</si>
  <si>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</si>
  <si>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</si>
  <si>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</si>
  <si>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</si>
  <si>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</si>
  <si>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</si>
  <si>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</si>
  <si>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</si>
  <si>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</si>
  <si>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</si>
  <si>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</si>
  <si>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</si>
  <si>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</si>
  <si>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</si>
  <si>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</si>
  <si>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</si>
  <si>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</si>
  <si>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</si>
  <si>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</si>
  <si>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</si>
  <si>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</si>
  <si>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</si>
  <si>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</si>
  <si>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</si>
  <si>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</si>
  <si>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</si>
  <si>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</si>
  <si>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</si>
  <si>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</si>
  <si>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</si>
  <si>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</si>
  <si>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</si>
  <si>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</si>
  <si>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</si>
  <si>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</si>
  <si>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</si>
  <si>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</si>
  <si>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</si>
  <si>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</si>
  <si>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</si>
  <si>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</si>
  <si>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</si>
  <si>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</si>
  <si>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</si>
  <si>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</si>
  <si>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</si>
  <si>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</si>
  <si>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</si>
  <si>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</si>
  <si>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</si>
  <si>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</si>
  <si>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</si>
  <si>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</si>
  <si>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</si>
  <si>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</si>
  <si>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</si>
  <si>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</si>
  <si>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</si>
  <si>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</si>
  <si>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</si>
  <si>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</si>
  <si>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</si>
  <si>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</si>
  <si>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</si>
  <si>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</si>
  <si>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</si>
  <si>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</si>
  <si>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</si>
  <si>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</si>
  <si>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</si>
  <si>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</si>
  <si>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</si>
  <si>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</si>
  <si>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</si>
  <si>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</si>
  <si>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</si>
  <si>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</si>
  <si>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</si>
  <si>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</si>
  <si>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</si>
  <si>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</si>
  <si>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</si>
  <si>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</si>
  <si>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</si>
  <si>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</si>
  <si>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</si>
  <si>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</si>
  <si>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</si>
  <si>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</si>
  <si>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</si>
  <si>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</si>
  <si>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</si>
  <si>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</si>
  <si>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</si>
  <si>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</si>
  <si>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</si>
  <si>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</si>
  <si>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</si>
  <si>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</si>
  <si>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</si>
  <si>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</si>
  <si>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</si>
  <si>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</si>
  <si>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</si>
  <si>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</si>
  <si>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</si>
  <si>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</si>
  <si>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</si>
  <si>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</si>
  <si>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</si>
  <si>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</si>
  <si>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</si>
  <si>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</si>
  <si>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</si>
  <si>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</si>
  <si>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</si>
  <si>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</si>
  <si>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</si>
  <si>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</si>
  <si>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</si>
  <si>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</si>
  <si>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</si>
  <si>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</si>
  <si>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</si>
  <si>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</si>
  <si>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</si>
  <si>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</si>
  <si>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</si>
  <si>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</si>
  <si>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</si>
  <si>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</si>
  <si>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</si>
  <si>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</si>
  <si>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</si>
  <si>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</si>
  <si>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</si>
  <si>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</si>
  <si>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</si>
  <si>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</si>
  <si>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</si>
  <si>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</si>
  <si>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</si>
  <si>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</si>
  <si>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</si>
  <si>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</si>
  <si>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</si>
  <si>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</si>
  <si>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</si>
  <si>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</si>
  <si>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</si>
  <si>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</si>
  <si>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</si>
  <si>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</si>
  <si>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</si>
  <si>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</si>
  <si>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</si>
  <si>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</si>
  <si>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</si>
  <si>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</si>
  <si>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</si>
  <si>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</si>
  <si>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</si>
  <si>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</si>
  <si>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</si>
  <si>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</si>
  <si>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</si>
  <si>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</si>
  <si>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</si>
  <si>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</si>
  <si>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</si>
  <si>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</si>
  <si>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</si>
  <si>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</si>
  <si>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</si>
  <si>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</si>
  <si>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</si>
  <si>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</si>
  <si>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</si>
  <si>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</si>
  <si>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</si>
  <si>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</si>
  <si>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</si>
  <si>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</si>
  <si>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</si>
  <si>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</si>
  <si>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</si>
  <si>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</si>
  <si>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</si>
  <si>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</si>
  <si>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</si>
  <si>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</si>
  <si>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</si>
  <si>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</si>
  <si>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</si>
  <si>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</si>
  <si>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</si>
  <si>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</si>
  <si>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</si>
  <si>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</si>
  <si>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</si>
  <si>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</si>
  <si>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</si>
  <si>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</si>
  <si>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</si>
  <si>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</si>
  <si>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</si>
  <si>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</si>
  <si>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</si>
  <si>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</si>
  <si>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</si>
  <si>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</si>
  <si>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</si>
  <si>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</si>
  <si>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</si>
  <si>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</si>
  <si>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</si>
  <si>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</si>
  <si>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</si>
  <si>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</si>
  <si>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</si>
  <si>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</si>
  <si>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</si>
  <si>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</si>
  <si>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</si>
  <si>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</si>
  <si>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</si>
  <si>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</si>
  <si>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</si>
  <si>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</si>
  <si>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</si>
  <si>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</si>
  <si>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</si>
  <si>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</si>
  <si>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</si>
  <si>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</si>
  <si>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</si>
  <si>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</si>
  <si>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</si>
  <si>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</si>
  <si>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</si>
  <si>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</si>
  <si>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</si>
  <si>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</si>
  <si>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</si>
  <si>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</si>
  <si>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</si>
  <si>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</si>
  <si>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</si>
  <si>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</si>
  <si>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</si>
  <si>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</si>
  <si>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</si>
  <si>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</si>
  <si>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</si>
  <si>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</si>
  <si>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</si>
  <si>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</si>
  <si>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</si>
  <si>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</si>
  <si>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</si>
  <si>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</si>
  <si>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</si>
  <si>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</si>
  <si>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</si>
  <si>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</si>
  <si>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</si>
  <si>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</si>
  <si>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</si>
  <si>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</si>
  <si>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</si>
  <si>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</si>
  <si>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</si>
  <si>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</si>
  <si>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</si>
  <si>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</si>
  <si>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</si>
  <si>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</si>
  <si>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</si>
  <si>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</si>
  <si>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</si>
  <si>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</si>
  <si>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</si>
  <si>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</si>
  <si>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</si>
  <si>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</si>
  <si>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</si>
  <si>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</si>
  <si>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</si>
  <si>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</si>
  <si>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</si>
  <si>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</si>
  <si>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</si>
  <si>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</si>
  <si>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</si>
  <si>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</si>
  <si>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</si>
  <si>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</si>
  <si>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</si>
  <si>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</si>
  <si>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</si>
  <si>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</si>
  <si>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</si>
  <si>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</si>
  <si>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</si>
  <si>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</si>
  <si>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</si>
  <si>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</si>
  <si>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</si>
  <si>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</si>
  <si>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</si>
  <si>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</si>
  <si>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</si>
  <si>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</si>
  <si>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</si>
  <si>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</si>
  <si>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</si>
  <si>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</si>
  <si>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</si>
  <si>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</si>
  <si>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</si>
  <si>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</si>
  <si>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</si>
  <si>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</si>
  <si>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</si>
  <si>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</si>
  <si>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</si>
  <si>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</si>
  <si>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</si>
  <si>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</si>
  <si>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</si>
  <si>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</si>
  <si>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</si>
  <si>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</si>
  <si>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</si>
  <si>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</si>
  <si>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</si>
  <si>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</si>
  <si>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</si>
  <si>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</si>
  <si>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</si>
  <si>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</si>
  <si>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</si>
  <si>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</si>
  <si>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</si>
  <si>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</si>
  <si>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</si>
  <si>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</si>
  <si>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</si>
  <si>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</si>
  <si>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</si>
  <si>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</si>
  <si>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</si>
  <si>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</si>
  <si>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</si>
  <si>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</si>
  <si>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</si>
  <si>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</si>
  <si>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</si>
  <si>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</si>
  <si>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</si>
  <si>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</si>
  <si>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</si>
  <si>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</si>
  <si>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</si>
  <si>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</si>
  <si>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</si>
  <si>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</si>
  <si>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</si>
  <si>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</si>
  <si>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</si>
  <si>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</si>
  <si>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</si>
  <si>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</si>
  <si>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</si>
  <si>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</si>
  <si>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</si>
  <si>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</si>
  <si>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</si>
  <si>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</si>
  <si>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</si>
  <si>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</si>
  <si>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</si>
  <si>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</si>
  <si>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</si>
  <si>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</si>
  <si>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</si>
  <si>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</si>
  <si>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</si>
  <si>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</si>
  <si>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</si>
  <si>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</si>
  <si>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</si>
  <si>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</si>
  <si>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</si>
  <si>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</si>
  <si>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</si>
  <si>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</si>
  <si>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</si>
  <si>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</si>
  <si>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</si>
  <si>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</si>
  <si>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</si>
  <si>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</si>
  <si>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</si>
  <si>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</si>
  <si>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</si>
  <si>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</si>
  <si>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</si>
  <si>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</si>
  <si>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</si>
  <si>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</si>
  <si>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</si>
  <si>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</si>
  <si>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</si>
  <si>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</si>
  <si>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</si>
  <si>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</si>
  <si>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</si>
  <si>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</si>
  <si>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</si>
  <si>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</si>
  <si>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</si>
  <si>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</si>
  <si>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</si>
  <si>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</si>
  <si>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</si>
  <si>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</si>
  <si>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</si>
  <si>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</si>
  <si>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</si>
  <si>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</si>
  <si>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</si>
  <si>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</si>
  <si>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</si>
  <si>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</si>
  <si>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</si>
  <si>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</si>
  <si>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</si>
  <si>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</si>
  <si>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</si>
  <si>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</si>
  <si>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</si>
  <si>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</si>
  <si>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</si>
  <si>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</si>
  <si>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</si>
  <si>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</si>
  <si>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</si>
  <si>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</si>
  <si>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</si>
  <si>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</si>
  <si>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</si>
  <si>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</si>
  <si>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</si>
  <si>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</si>
  <si>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</si>
  <si>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</si>
  <si>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</si>
  <si>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</si>
  <si>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</si>
  <si>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</si>
  <si>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</si>
  <si>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</si>
  <si>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</si>
  <si>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</si>
  <si>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</si>
  <si>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</si>
  <si>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</si>
  <si>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</si>
  <si>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</si>
  <si>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</si>
  <si>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</si>
  <si>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</si>
  <si>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</si>
  <si>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</si>
  <si>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</si>
  <si>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</si>
  <si>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</si>
  <si>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</si>
  <si>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</si>
  <si>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</si>
  <si>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</si>
  <si>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</si>
  <si>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</si>
  <si>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</si>
  <si>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</si>
  <si>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</si>
  <si>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</si>
  <si>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</si>
  <si>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</si>
  <si>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</si>
  <si>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</si>
  <si>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</si>
  <si>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</si>
  <si>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</si>
  <si>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</si>
  <si>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</si>
  <si>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</si>
  <si>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</si>
  <si>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</si>
  <si>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</si>
  <si>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</si>
  <si>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</si>
  <si>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</si>
  <si>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</si>
  <si>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</si>
  <si>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</si>
  <si>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</si>
  <si>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</si>
  <si>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</si>
  <si>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</si>
  <si>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</si>
  <si>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</si>
  <si>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</si>
  <si>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</si>
  <si>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</si>
  <si>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</si>
  <si>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</si>
  <si>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</si>
  <si>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</si>
  <si>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</si>
  <si>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</si>
  <si>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</si>
  <si>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</si>
  <si>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</si>
  <si>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</si>
  <si>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</si>
  <si>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</si>
  <si>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</si>
  <si>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</si>
  <si>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</si>
  <si>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</si>
  <si>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</si>
  <si>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</si>
  <si>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</si>
  <si>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</si>
  <si>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</si>
  <si>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</si>
  <si>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</si>
  <si>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</si>
  <si>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</si>
  <si>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</si>
  <si>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</si>
  <si>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</si>
  <si>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</si>
  <si>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</si>
  <si>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</si>
  <si>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</si>
  <si>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</si>
  <si>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</si>
  <si>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</si>
  <si>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</si>
  <si>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</si>
  <si>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</si>
  <si>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</si>
  <si>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</si>
  <si>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</si>
  <si>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</si>
  <si>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</si>
  <si>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</si>
  <si>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</si>
  <si>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</si>
  <si>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</si>
  <si>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</si>
  <si>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</si>
  <si>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</si>
  <si>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</si>
  <si>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</si>
  <si>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</si>
  <si>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</si>
  <si>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</si>
  <si>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</si>
  <si>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</si>
  <si>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</si>
  <si>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</si>
  <si>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</si>
  <si>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</si>
  <si>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</si>
  <si>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</si>
  <si>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</si>
  <si>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</si>
  <si>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</si>
  <si>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</si>
  <si>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</si>
  <si>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</si>
  <si>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</si>
  <si>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</si>
  <si>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</si>
  <si>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</si>
  <si>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</si>
  <si>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</si>
  <si>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</si>
  <si>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</si>
  <si>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</si>
  <si>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</si>
  <si>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</si>
  <si>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</si>
  <si>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</si>
  <si>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</si>
  <si>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</si>
  <si>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</si>
  <si>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</si>
  <si>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</si>
  <si>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</si>
  <si>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</si>
  <si>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</si>
  <si>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</si>
  <si>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</si>
  <si>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</si>
  <si>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</si>
  <si>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</si>
  <si>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</si>
  <si>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</si>
  <si>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</si>
  <si>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</si>
  <si>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</si>
  <si>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</si>
  <si>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</si>
  <si>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</si>
  <si>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</si>
  <si>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</si>
  <si>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</si>
  <si>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</si>
  <si>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</si>
  <si>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</si>
  <si>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</si>
  <si>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</si>
  <si>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</si>
  <si>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</si>
  <si>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</si>
  <si>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</si>
  <si>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</si>
  <si>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</si>
  <si>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</si>
  <si>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</si>
  <si>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</si>
  <si>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</si>
  <si>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</si>
  <si>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</si>
  <si>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</si>
  <si>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</si>
  <si>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</si>
  <si>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</si>
  <si>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</si>
  <si>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</si>
  <si>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</si>
  <si>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</si>
  <si>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</si>
  <si>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</si>
  <si>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</si>
  <si>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</si>
  <si>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</si>
  <si>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</si>
  <si>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</si>
  <si>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</si>
  <si>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</si>
  <si>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</si>
  <si>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</si>
  <si>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</si>
  <si>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</si>
  <si>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</si>
  <si>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</si>
  <si>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</si>
  <si>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</si>
  <si>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</si>
  <si>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</si>
  <si>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</si>
  <si>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</si>
  <si>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</si>
  <si>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</si>
  <si>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</si>
  <si>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</si>
  <si>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</si>
  <si>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</si>
  <si>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</si>
  <si>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</si>
  <si>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</si>
  <si>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</si>
  <si>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</si>
  <si>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</si>
  <si>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</si>
  <si>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</si>
  <si>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</si>
  <si>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</si>
  <si>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</si>
  <si>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</si>
  <si>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</si>
  <si>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</si>
  <si>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</si>
  <si>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</si>
  <si>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</si>
  <si>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</si>
  <si>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</si>
  <si>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</si>
  <si>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</si>
  <si>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</si>
  <si>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</si>
  <si>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</si>
  <si>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</si>
  <si>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</si>
  <si>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</si>
  <si>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</si>
  <si>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</si>
  <si>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</si>
  <si>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</si>
  <si>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</si>
  <si>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</si>
  <si>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</si>
  <si>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</si>
  <si>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</si>
  <si>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</si>
  <si>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</si>
  <si>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</si>
  <si>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</si>
  <si>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</si>
  <si>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</si>
  <si>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</si>
  <si>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</si>
  <si>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</si>
  <si>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</si>
  <si>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</si>
  <si>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</si>
  <si>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</si>
  <si>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</si>
  <si>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</si>
  <si>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</si>
  <si>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</si>
  <si>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</si>
  <si>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</si>
  <si>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</si>
  <si>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</si>
  <si>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</si>
  <si>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</si>
  <si>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</si>
  <si>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174289</t>
  </si>
  <si>
    <t>334891</t>
  </si>
  <si>
    <t>801</t>
  </si>
  <si>
    <t>1309</t>
  </si>
  <si>
    <t>117004</t>
  </si>
  <si>
    <t>261327</t>
  </si>
  <si>
    <t>132458</t>
  </si>
  <si>
    <t>393555</t>
  </si>
  <si>
    <t>541</t>
  </si>
  <si>
    <t>825</t>
  </si>
  <si>
    <t>431195</t>
  </si>
  <si>
    <t>1559739</t>
  </si>
  <si>
    <t>1430</t>
  </si>
  <si>
    <t>441</t>
  </si>
  <si>
    <t>430370</t>
  </si>
  <si>
    <t>1555089</t>
  </si>
  <si>
    <t>792</t>
  </si>
  <si>
    <t>203415</t>
  </si>
  <si>
    <t>684681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</si>
</sst>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2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3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09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70">
      <pivotArea outline="0" collapsedLevelsAreSubtotals="1" fieldPosition="0"/>
    </format>
    <format dxfId="69">
      <pivotArea dataOnly="0" labelOnly="1" fieldPosition="0">
        <references count="1">
          <reference field="1" count="0"/>
        </references>
      </pivotArea>
    </format>
    <format dxfId="68">
      <pivotArea dataOnly="0" labelOnly="1" grandRow="1" outline="0" fieldPosition="0"/>
    </format>
    <format dxfId="67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66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65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71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abSelected="1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5"/>
  <sheetViews>
    <sheetView zoomScaleNormal="100" workbookViewId="0">
      <pane ySplit="4" topLeftCell="A729" activePane="bottomLeft" state="frozen"/>
      <selection pane="bottomLeft" activeCell="B741" sqref="B74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0"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0"/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0"/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0"/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0"/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0"/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1"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1"/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1"/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1"/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1"/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1"/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1"/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1"/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1"/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1"/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1"/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1"/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1"/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2980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2981</v>
      </c>
      <c r="Y767" s="2" t="s">
        <v>2982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2"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2983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2"/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2984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2985</v>
      </c>
      <c r="Y769" s="2" t="s">
        <v>2986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2"/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2987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2988</v>
      </c>
      <c r="Y770" s="2" t="s">
        <v>2989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2"/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2990</v>
      </c>
      <c r="Y771" s="2" t="s">
        <v>2991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2992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2993</v>
      </c>
      <c r="Y772" s="2" t="s">
        <v>2994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2995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2996</v>
      </c>
      <c r="Y773" s="2" t="s">
        <v>2997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2"/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2998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2999</v>
      </c>
      <c r="Y774" s="2" t="s">
        <v>3000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3001</v>
      </c>
      <c r="Y775" s="2" t="s">
        <v>3002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3"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3003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3004</v>
      </c>
      <c r="Y777" s="2" t="s">
        <v>3005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3008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3006</v>
      </c>
      <c r="Y779" s="2" t="s">
        <v>3007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3"/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3009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3010</v>
      </c>
      <c r="Y780" s="2" t="s">
        <v>3011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3014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3012</v>
      </c>
      <c r="Y781" s="2" t="s">
        <v>3013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3018</v>
      </c>
      <c r="O782" s="79">
        <v>5749</v>
      </c>
      <c r="P782" s="2">
        <v>5.3</v>
      </c>
      <c r="Q782" s="2">
        <v>17.18</v>
      </c>
      <c r="R782" s="2" t="s">
        <v>3019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3020</v>
      </c>
      <c r="Y782" s="2" t="s">
        <v>3021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3"/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3022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3023</v>
      </c>
      <c r="Y783" s="2" t="s">
        <v>3024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44"/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3001</v>
      </c>
      <c r="Y785" s="2" t="s">
        <v>3002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3006</v>
      </c>
      <c r="Y788" s="2" t="s">
        <v>3007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3012</v>
      </c>
      <c r="Y790" s="2" t="s">
        <v>3013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3015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3016</v>
      </c>
      <c r="Y791" s="2" t="s">
        <v>3017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</sheetData>
  <autoFilter ref="A4:AB792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2929</v>
      </c>
      <c r="R1" t="s">
        <v>2930</v>
      </c>
      <c r="S1" t="s">
        <v>2931</v>
      </c>
      <c r="T1" t="s">
        <v>2932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2929</v>
      </c>
      <c r="B3" s="15" t="s">
        <v>2931</v>
      </c>
      <c r="C3" s="15" t="s">
        <v>2930</v>
      </c>
      <c r="D3" t="s">
        <v>2933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 s="85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 s="8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 s="85">
        <v>4</v>
      </c>
      <c r="Q6" s="18" t="s">
        <v>2934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 s="85">
        <v>6</v>
      </c>
    </row>
    <row r="8" spans="1:20" x14ac:dyDescent="0.2">
      <c r="A8" s="12">
        <v>46240</v>
      </c>
      <c r="B8" s="15">
        <v>15000</v>
      </c>
      <c r="C8" s="15">
        <v>12983</v>
      </c>
      <c r="D8" s="85">
        <v>7</v>
      </c>
    </row>
    <row r="9" spans="1:20" x14ac:dyDescent="0.2">
      <c r="A9" s="12">
        <v>46239</v>
      </c>
      <c r="B9" s="15">
        <v>15000</v>
      </c>
      <c r="C9" s="15">
        <v>13036</v>
      </c>
      <c r="D9" s="85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 s="85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 s="85">
        <v>7</v>
      </c>
    </row>
    <row r="12" spans="1:20" hidden="1" x14ac:dyDescent="0.2">
      <c r="A12" s="10" t="s">
        <v>2934</v>
      </c>
      <c r="B12" s="15">
        <v>90000.000000000044</v>
      </c>
      <c r="C12" s="15">
        <v>75686</v>
      </c>
      <c r="D12" s="85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2929</v>
      </c>
      <c r="B3" t="s">
        <v>2931</v>
      </c>
      <c r="C3" t="s">
        <v>2935</v>
      </c>
      <c r="O3" s="9" t="s">
        <v>2929</v>
      </c>
      <c r="P3" t="s">
        <v>2931</v>
      </c>
      <c r="Q3" t="s">
        <v>2935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5">
        <v>12</v>
      </c>
      <c r="Q4" s="85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5">
        <v>12</v>
      </c>
      <c r="Q5" s="8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5">
        <v>12</v>
      </c>
      <c r="Q6" s="85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5">
        <v>12</v>
      </c>
      <c r="Q7" s="85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2936</v>
      </c>
      <c r="P8" s="85"/>
      <c r="Q8" s="85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2934</v>
      </c>
      <c r="P9" s="85">
        <v>48</v>
      </c>
      <c r="Q9" s="85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2934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2937</v>
      </c>
      <c r="G3" s="17" t="s">
        <v>2938</v>
      </c>
      <c r="H3" s="17" t="s">
        <v>2939</v>
      </c>
      <c r="I3" s="17" t="s">
        <v>2940</v>
      </c>
      <c r="J3" s="17" t="s">
        <v>2941</v>
      </c>
      <c r="K3" s="17" t="s">
        <v>2942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2943</v>
      </c>
    </row>
    <row r="5" spans="6:11" x14ac:dyDescent="0.2">
      <c r="F5" s="17">
        <v>116</v>
      </c>
      <c r="H5" s="17">
        <v>110</v>
      </c>
      <c r="J5" s="17" t="s">
        <v>2944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2945</v>
      </c>
    </row>
    <row r="3" spans="1:17" x14ac:dyDescent="0.2">
      <c r="A3" s="25" t="s">
        <v>7</v>
      </c>
      <c r="B3" s="25" t="s">
        <v>2946</v>
      </c>
      <c r="C3" s="25" t="s">
        <v>2947</v>
      </c>
      <c r="D3" s="25" t="s">
        <v>2948</v>
      </c>
      <c r="E3" s="25" t="s">
        <v>2949</v>
      </c>
      <c r="F3" s="25" t="s">
        <v>2950</v>
      </c>
      <c r="H3" s="22" t="s">
        <v>2950</v>
      </c>
      <c r="I3" s="22" t="s">
        <v>2946</v>
      </c>
      <c r="J3" s="22" t="s">
        <v>2947</v>
      </c>
      <c r="K3" s="22" t="s">
        <v>2949</v>
      </c>
      <c r="L3" s="22" t="s">
        <v>2951</v>
      </c>
      <c r="M3" s="25" t="s">
        <v>2952</v>
      </c>
      <c r="O3" s="25" t="s">
        <v>7</v>
      </c>
      <c r="P3" s="25" t="s">
        <v>2949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2953</v>
      </c>
      <c r="H4" s="28" t="s">
        <v>2953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2953</v>
      </c>
      <c r="H5" s="28" t="s">
        <v>2954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2953</v>
      </c>
      <c r="H6" s="28" t="s">
        <v>2955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2953</v>
      </c>
      <c r="H7" s="28" t="s">
        <v>2956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2953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2953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2953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2953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2953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2953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2954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2954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2954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2954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2954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2954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2954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2955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2955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2955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2955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2955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2955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2955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2955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2955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2955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2955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2955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2955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2956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2956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2956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2956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2956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2956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2956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2956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2956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2956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2956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2956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2956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2956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2956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2956</v>
      </c>
    </row>
    <row r="50" spans="1:6" x14ac:dyDescent="0.2">
      <c r="A50" s="84" t="s">
        <v>2957</v>
      </c>
      <c r="B50" s="84"/>
      <c r="C50" s="84"/>
      <c r="E50" s="23">
        <f>SUM(E4:E49)</f>
        <v>12900</v>
      </c>
    </row>
    <row r="56" spans="1:6" ht="15.75" x14ac:dyDescent="0.25">
      <c r="A56" s="34" t="s">
        <v>2958</v>
      </c>
    </row>
    <row r="57" spans="1:6" ht="25.5" x14ac:dyDescent="0.2">
      <c r="A57" s="35" t="s">
        <v>2959</v>
      </c>
      <c r="B57" s="36" t="s">
        <v>2960</v>
      </c>
      <c r="C57" s="36" t="s">
        <v>2961</v>
      </c>
      <c r="D57" s="36" t="s">
        <v>2962</v>
      </c>
    </row>
    <row r="58" spans="1:6" x14ac:dyDescent="0.2">
      <c r="A58" s="40" t="s">
        <v>2963</v>
      </c>
      <c r="B58" s="37">
        <v>108384.01</v>
      </c>
      <c r="C58" s="37"/>
      <c r="D58" s="37">
        <v>108384.01</v>
      </c>
    </row>
    <row r="59" spans="1:6" x14ac:dyDescent="0.2">
      <c r="A59" s="40" t="s">
        <v>2964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2965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2966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2967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2968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2969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2970</v>
      </c>
      <c r="B65" s="37">
        <v>23860.793000000001</v>
      </c>
      <c r="C65" s="37"/>
      <c r="D65" s="37"/>
    </row>
    <row r="66" spans="1:4" x14ac:dyDescent="0.2">
      <c r="A66" s="40" t="s">
        <v>2971</v>
      </c>
      <c r="B66" s="37">
        <v>1344.431</v>
      </c>
      <c r="C66" s="37"/>
      <c r="D66" s="37"/>
    </row>
    <row r="67" spans="1:4" x14ac:dyDescent="0.2">
      <c r="A67" s="38" t="s">
        <v>2957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2972</v>
      </c>
      <c r="E2" s="48" t="s">
        <v>2973</v>
      </c>
      <c r="F2" s="48" t="s">
        <v>2974</v>
      </c>
      <c r="G2" s="48" t="s">
        <v>2975</v>
      </c>
      <c r="H2" s="48" t="s">
        <v>2976</v>
      </c>
      <c r="I2" s="48" t="s">
        <v>2977</v>
      </c>
      <c r="J2" s="48" t="s">
        <v>2978</v>
      </c>
      <c r="K2" s="48" t="s">
        <v>2979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2026-08-10T17:29:20Z</cp:lastPrinted>
  <dcterms:created xsi:type="dcterms:W3CDTF">2026-05-12T12:10:54Z</dcterms:created>
  <dcterms:modified xsi:type="dcterms:W3CDTF">2026-08-10T17:30:17Z</dcterms:modified>
  <cp:category/>
  <cp:contentStatus/>
</cp:coreProperties>
</file>