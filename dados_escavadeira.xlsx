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419" documentId="8_{CE5C6F22-4BE2-41D0-BCDC-905D26C0C4E3}" xr6:coauthVersionLast="47" xr6:coauthVersionMax="47" xr10:uidLastSave="{3A90B47E-77A0-4CFF-A4C2-D2CBB5C902A9}"/>
  <bookViews>
    <workbookView xWindow="-120" yWindow="-120" windowWidth="20730" windowHeight="11040" tabRatio="678" firstSheet="1" activeTab="1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714" r:id="rId9"/>
    <pivotCache cacheId="715" r:id="rId10"/>
    <pivotCache cacheId="716" r:id="rId11"/>
    <pivotCache cacheId="717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8" i="1" l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<sst xmlns="http://schemas.openxmlformats.org/spreadsheetml/2006/main" count="11500" uniqueCount="3264">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</sst>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22/08/2026</c:v>
                  </c:pt>
                  <c:pt idx="1">
                    <c:v>21/08/2026</c:v>
                  </c:pt>
                  <c:pt idx="2">
                    <c:v>20/08/2026</c:v>
                  </c:pt>
                  <c:pt idx="3">
                    <c:v>19/08/2026</c:v>
                  </c:pt>
                  <c:pt idx="4">
                    <c:v>18/08/2026</c:v>
                  </c:pt>
                  <c:pt idx="5">
                    <c:v>17/08/2026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S34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11997</c:v>
                </c:pt>
                <c:pt idx="1">
                  <c:v>13011</c:v>
                </c:pt>
                <c:pt idx="2">
                  <c:v>9223</c:v>
                </c:pt>
                <c:pt idx="3">
                  <c:v>13317</c:v>
                </c:pt>
                <c:pt idx="4">
                  <c:v>14465</c:v>
                </c:pt>
                <c:pt idx="5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22/08/2026</c:v>
                  </c:pt>
                  <c:pt idx="1">
                    <c:v>21/08/2026</c:v>
                  </c:pt>
                  <c:pt idx="2">
                    <c:v>20/08/2026</c:v>
                  </c:pt>
                  <c:pt idx="3">
                    <c:v>19/08/2026</c:v>
                  </c:pt>
                  <c:pt idx="4">
                    <c:v>18/08/2026</c:v>
                  </c:pt>
                  <c:pt idx="5">
                    <c:v>17/08/2026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S34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22/08/2026</c:v>
                  </c:pt>
                  <c:pt idx="1">
                    <c:v>21/08/2026</c:v>
                  </c:pt>
                  <c:pt idx="2">
                    <c:v>20/08/2026</c:v>
                  </c:pt>
                  <c:pt idx="3">
                    <c:v>19/08/2026</c:v>
                  </c:pt>
                  <c:pt idx="4">
                    <c:v>18/08/2026</c:v>
                  </c:pt>
                  <c:pt idx="5">
                    <c:v>17/08/2026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S34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[]</a:t>
                </a:fld>
                <a:endParaRPr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S31</c:v>
                </c:pt>
                <c:pt idx="1">
                  <c:v>S32</c:v>
                </c:pt>
                <c:pt idx="2">
                  <c:v>S33</c:v>
                </c:pt>
                <c:pt idx="3">
                  <c:v>S34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23332</c:v>
                </c:pt>
                <c:pt idx="1">
                  <c:v>37834</c:v>
                </c:pt>
                <c:pt idx="2">
                  <c:v>28356</c:v>
                </c:pt>
                <c:pt idx="3">
                  <c:v>7965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S31</c:v>
                </c:pt>
                <c:pt idx="1">
                  <c:v>S32</c:v>
                </c:pt>
                <c:pt idx="2">
                  <c:v>S33</c:v>
                </c:pt>
                <c:pt idx="3">
                  <c:v>S34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17642</c:v>
                </c:pt>
                <c:pt idx="1">
                  <c:v>29549</c:v>
                </c:pt>
                <c:pt idx="2">
                  <c:v>24262</c:v>
                </c:pt>
                <c:pt idx="3">
                  <c:v>7087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S31</c:v>
                </c:pt>
                <c:pt idx="1">
                  <c:v>S32</c:v>
                </c:pt>
                <c:pt idx="2">
                  <c:v>S33</c:v>
                </c:pt>
                <c:pt idx="3">
                  <c:v>S34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23999.999999999996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48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4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7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h="1" x="1"/>
        <item h="1" m="1" x="18"/>
        <item h="1" x="0"/>
        <item h="1" x="17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7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7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sd="0" x="13"/>
        <item sd="0" x="14"/>
        <item sd="0" x="15"/>
        <item sd="0" x="16"/>
        <item h="1"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3"/>
    </i>
    <i>
      <x v="14"/>
    </i>
    <i>
      <x v="15"/>
    </i>
    <i>
      <x v="1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0">
      <pivotArea outline="0" collapsedLevelsAreSubtotals="1" fieldPosition="0"/>
    </format>
    <format dxfId="1">
      <pivotArea dataOnly="0" labelOnly="1" fieldPosition="0">
        <references count="1">
          <reference field="1" count="0"/>
        </references>
      </pivotArea>
    </format>
    <format dxfId="2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4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5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6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7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7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 s="1"/>
        <i x="18" nd="1"/>
        <i x="17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4" s="1"/>
        <i x="15" s="1"/>
        <i x="16" s="1"/>
        <i x="17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>
      <c r="C3" t="s">
        <v>3</v>
      </c>
      <c r="U3" s="64"/>
      <c r="V3" s="64"/>
      <c r="W3" s="64"/>
      <c r="X3" s="64"/>
      <c r="Y3" s="64"/>
      <c r="Z3" s="64"/>
    </row>
    <row r="4" spans="1:27" ht="1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abSelected="1" workbookViewId="0">
      <selection activeCell="S6" sqref="S6"/>
    </sheetView>
  </sheetViews>
  <sheetFormatPr defaultColWidth="8.7109375" defaultRowHeight="12.75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/>
    <row r="2" spans="1:27" ht="18.75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>
      <c r="U3" s="64"/>
      <c r="V3" s="64"/>
      <c r="W3" s="64"/>
      <c r="X3" s="64"/>
      <c r="Y3" s="64"/>
      <c r="Z3" s="64"/>
    </row>
    <row r="4" spans="1:27" ht="1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>
      <c r="U5" s="65"/>
      <c r="V5" s="65"/>
      <c r="W5" s="65"/>
      <c r="X5" s="65"/>
      <c r="Y5" s="65"/>
      <c r="Z5" s="65"/>
      <c r="AA5" s="65"/>
    </row>
    <row r="6" spans="1:27">
      <c r="U6" s="66"/>
      <c r="V6" s="66"/>
      <c r="W6" s="66"/>
      <c r="X6" s="66"/>
      <c r="Y6" s="52"/>
      <c r="Z6" s="52"/>
    </row>
    <row r="7" spans="1:27">
      <c r="U7" s="66"/>
      <c r="V7" s="66"/>
      <c r="W7" s="66"/>
      <c r="X7" s="66"/>
      <c r="Y7" s="52"/>
      <c r="Z7" s="52"/>
    </row>
    <row r="8" spans="1:27">
      <c r="U8" s="67"/>
      <c r="V8" s="67"/>
      <c r="W8" s="67"/>
      <c r="X8" s="67"/>
      <c r="Y8" s="52"/>
      <c r="Z8" s="52"/>
    </row>
    <row r="9" spans="1:27">
      <c r="U9" s="67"/>
      <c r="V9" s="67"/>
      <c r="W9" s="67"/>
      <c r="X9" s="67"/>
      <c r="Y9" s="52"/>
      <c r="Z9" s="52"/>
    </row>
    <row r="10" spans="1:27">
      <c r="U10" s="67"/>
      <c r="V10" s="67"/>
      <c r="W10" s="67"/>
      <c r="X10" s="67"/>
      <c r="Y10" s="52"/>
      <c r="Z10" s="52"/>
    </row>
    <row r="11" spans="1:27">
      <c r="U11" s="67"/>
      <c r="V11" s="67"/>
      <c r="W11" s="67"/>
      <c r="X11" s="67"/>
      <c r="Y11" s="52"/>
      <c r="Z11" s="52"/>
    </row>
    <row r="12" spans="1:27">
      <c r="U12" s="67"/>
      <c r="V12" s="67"/>
      <c r="W12" s="67"/>
      <c r="X12" s="67"/>
      <c r="Y12" s="52"/>
      <c r="Z12" s="52"/>
    </row>
    <row r="13" spans="1:27" ht="24.75" customHeight="1">
      <c r="U13" s="67"/>
      <c r="V13" s="67"/>
      <c r="W13" s="67"/>
      <c r="X13" s="67"/>
      <c r="Y13" s="52"/>
      <c r="Z13" s="52"/>
    </row>
    <row r="14" spans="1:27" ht="24.75" customHeight="1">
      <c r="U14" s="67"/>
      <c r="V14" s="67"/>
      <c r="W14" s="67"/>
      <c r="X14" s="67"/>
      <c r="Y14" s="52"/>
      <c r="Z14" s="52"/>
    </row>
    <row r="15" spans="1:27" ht="24.75" customHeight="1">
      <c r="U15" s="67"/>
      <c r="V15" s="67"/>
      <c r="W15" s="67"/>
      <c r="X15" s="67"/>
      <c r="Y15" s="52"/>
      <c r="Z15" s="52"/>
    </row>
    <row r="16" spans="1:27" ht="24.75" customHeight="1">
      <c r="U16" s="52"/>
      <c r="V16" s="52"/>
      <c r="W16" s="52"/>
      <c r="X16" s="52"/>
      <c r="Y16" s="52"/>
      <c r="Z16" s="52"/>
    </row>
    <row r="17" ht="24.75" customHeight="1"/>
    <row r="18" ht="24.75" customHeight="1"/>
    <row r="19" ht="24.75" customHeight="1"/>
    <row r="20" ht="24.75" customHeight="1"/>
    <row r="21" ht="24.75" customHeight="1"/>
    <row r="25" hidden="1"/>
    <row r="26" hidden="1"/>
    <row r="27" hidden="1"/>
    <row r="28" hidden="1"/>
    <row r="29" hidden="1"/>
    <row r="30" hidden="1"/>
    <row r="31" hidden="1"/>
    <row r="32" hidden="1"/>
    <row r="33" hidden="1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2"/>
  <sheetViews>
    <sheetView zoomScaleNormal="100" workbookViewId="0">
      <pane ySplit="4" topLeftCell="A902" activePane="bottomLeft" state="frozen"/>
      <selection pane="bottomLeft" activeCell="H912" sqref="H912"/>
    </sheetView>
  </sheetViews>
  <sheetFormatPr defaultColWidth="9.140625" defaultRowHeight="1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>
      <c r="A1" s="53" t="s">
        <v>4</v>
      </c>
      <c r="O1" s="75"/>
    </row>
    <row r="2" spans="1:28">
      <c r="A2" s="53" t="s">
        <v>5</v>
      </c>
      <c r="H2" s="1">
        <f>15000/7</f>
        <v>2142.8571428571427</v>
      </c>
      <c r="O2" s="75"/>
    </row>
    <row r="3" spans="1:28">
      <c r="A3" s="53" t="s">
        <v>6</v>
      </c>
      <c r="O3" s="75"/>
    </row>
    <row r="4" spans="1:28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>15000/7</f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>15000/7</f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>15000/7</f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>15000/7</f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>IFERROR(O784/K784,)</f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>IFERROR(O793/K793,)</f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>IFERROR(O794/K794,)</f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>IFERROR(O795/K795,)</f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>IFERROR(O798/K798,)</f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>IFERROR(O799/K799,)</f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>IFERROR(O800/K800,)</f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>IFERROR(O801/K801,)</f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>IFERROR(O802/K802,)</f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>IFERROR(O803/K803,)</f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>IFERROR(O804/K804,)</f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>IFERROR(O810/K810,)</f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>IFERROR(O811/K811,)</f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>IFERROR(O812/K812,)</f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>IFERROR(O813/K813,)</f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>IFERROR(O814/K814,)</f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>IFERROR(O817/K817,)</f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>IFERROR(O818/K818,)</f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>IFERROR(O819/K819,)</f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>IFERROR(O820/K820,)</f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>IFERROR(O821/K821,)</f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>IFERROR(O822/K822,)</f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>IFERROR(O823/K823,)</f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>IFERROR(O832/K832,)</f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>IFERROR(O833/K833,)</f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>IFERROR(O834/K834,)</f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>IFERROR(O835/K835,)</f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>IFERROR(O836/K836,)</f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>IFERROR(O837/K837,)</f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>IFERROR(O838/K838,)</f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>IFERROR(O839/K839,)</f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>IFERROR(O840/K840,)</f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>IFERROR(O841/K841,)</f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>IFERROR(O842/K842,)</f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>IFERROR(O843/K843,)</f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>IFERROR(O844/K844,)</f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>IFERROR(O845/K845,)</f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>IFERROR(O846/K846,)</f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>IFERROR(O847/K847,)</f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>IFERROR(O848/K848,)</f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>IFERROR(O849/K849,)</f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>IFERROR(O850/K850,)</f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>IFERROR(O851/K851,)</f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>IFERROR(O852/K852,)</f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>IFERROR(O853/K853,)</f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>IFERROR(O854/K854,)</f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>IFERROR(O855/K855,)</f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>IFERROR(O856/K856,)</f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>IFERROR(O857/K857,)</f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0">15000/6</f>
        <v>2500</v>
      </c>
      <c r="I858" s="6">
        <f>IFERROR(O858/K858,)</f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0"/>
        <v>2500</v>
      </c>
      <c r="I859" s="6">
        <f>IFERROR(O859/K859,)</f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0"/>
        <v>2500</v>
      </c>
      <c r="I860" s="6">
        <f>IFERROR(O860/K860,)</f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>IFERROR(O861/K861,)</f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0"/>
        <v>2500</v>
      </c>
      <c r="I862" s="6">
        <f>IFERROR(O862/K862,)</f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0"/>
        <v>2500</v>
      </c>
      <c r="I864" s="6">
        <f>IFERROR(O864/K864,)</f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>IFERROR(O865/K865,)</f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0"/>
        <v>2500</v>
      </c>
      <c r="I866" s="6">
        <f>IFERROR(O866/K866,)</f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>IFERROR(O867/K867,)</f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0"/>
        <v>2500</v>
      </c>
      <c r="I868" s="6">
        <f>IFERROR(O868/K868,)</f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>IFERROR(O869/K869,)</f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0"/>
        <v>2500</v>
      </c>
      <c r="I870" s="6">
        <f>IFERROR(O870/K870,)</f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0"/>
        <v>2500</v>
      </c>
      <c r="I871" s="6">
        <f>IFERROR(O871/K871,)</f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>IFERROR(O872/K872,)</f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0"/>
        <v>2500</v>
      </c>
      <c r="I873" s="6">
        <f>IFERROR(O873/K873,)</f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0"/>
        <v>2500</v>
      </c>
      <c r="I874" s="6">
        <f>IFERROR(O874/K874,)</f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>IFERROR(O875/K875,)</f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0"/>
        <v>2500</v>
      </c>
      <c r="I876" s="6">
        <f>IFERROR(O876/K876,)</f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>IFERROR(O877/K877,)</f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0"/>
        <v>2500</v>
      </c>
      <c r="I878" s="6">
        <f>IFERROR(O878/K878,)</f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0"/>
        <v>2500</v>
      </c>
      <c r="I879" s="6">
        <f>IFERROR(O879/K879,)</f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0"/>
        <v>2500</v>
      </c>
      <c r="I880" s="6">
        <f>IFERROR(O880/K880,)</f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>IFERROR(O881/K881,)</f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0"/>
        <v>2500</v>
      </c>
      <c r="I882" s="6">
        <f>IFERROR(O882/K882,)</f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0"/>
        <v>2500</v>
      </c>
      <c r="I883" s="6">
        <f>IFERROR(O883/K883,)</f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>IFERROR(O884/K884,)</f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0"/>
        <v>2500</v>
      </c>
      <c r="I885" s="6">
        <f>IFERROR(O885/K885,)</f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>IFERROR(O886/K886,)</f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0"/>
        <v>2500</v>
      </c>
      <c r="I887" s="6">
        <f>IFERROR(O887/K887,)</f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0"/>
        <v>2500</v>
      </c>
      <c r="I888" s="6">
        <f>IFERROR(O888/K888,)</f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0"/>
        <v>2500</v>
      </c>
      <c r="I889" s="6">
        <f>IFERROR(O889/K889,)</f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>IFERROR(O890/K890,)</f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0"/>
        <v>2500</v>
      </c>
      <c r="I891" s="6">
        <f>IFERROR(O891/K891,)</f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0"/>
        <v>2500</v>
      </c>
      <c r="I892" s="6">
        <f>IFERROR(O892/K892,)</f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>IFERROR(O893/K893,)</f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0"/>
        <v>2500</v>
      </c>
      <c r="I894" s="6">
        <f>IFERROR(O894/K894,)</f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0"/>
        <v>2500</v>
      </c>
      <c r="I896" s="6">
        <f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0"/>
        <v>2500</v>
      </c>
      <c r="I897" s="6">
        <f>IFERROR(O897/K897,)</f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0"/>
        <v>2500</v>
      </c>
      <c r="I898" s="6">
        <f>IFERROR(O898/K898,)</f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>IFERROR(O899/K899,)</f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0"/>
        <v>2500</v>
      </c>
      <c r="I900" s="6">
        <f>IFERROR(O900/K900,)</f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>IFERROR(O901/K901,)</f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>IFERROR(O902/K902,)</f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>IFERROR(O903/K903,)</f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>IFERROR(O904/K904,)</f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>IFERROR(O905/K905,)</f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>IFERROR(O906/K906,)</f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>IFERROR(O907/K907,)</f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>IFERROR(O908/K908,)</f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>IFERROR(O909/K909,)</f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>IFERROR(O910/K910,)</f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>IFERROR(O911/K911,)</f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>IFERROR(O912/K912,)</f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>IFERROR(O913/K913,)</f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>IFERROR(O914/K914,)</f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>IFERROR(O915/K915,)</f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>IFERROR(O916/K916,)</f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>
      <c r="A917" s="2"/>
      <c r="B917" s="8"/>
      <c r="C917" s="8"/>
      <c r="D917" s="8"/>
      <c r="E917" s="8"/>
      <c r="F917" s="13"/>
      <c r="G917" s="59"/>
      <c r="H917" s="6"/>
      <c r="I917" s="6"/>
      <c r="J917" s="2"/>
      <c r="K917" s="2"/>
      <c r="L917" s="2"/>
      <c r="M917" s="2"/>
      <c r="N917" s="2"/>
      <c r="O917" s="5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>
      <c r="A918" s="2"/>
      <c r="B918" s="8"/>
      <c r="C918" s="8"/>
      <c r="D918" s="8"/>
      <c r="E918" s="8"/>
      <c r="F918" s="13"/>
      <c r="G918" s="59"/>
      <c r="H918" s="6"/>
      <c r="I918" s="6"/>
      <c r="J918" s="2"/>
      <c r="K918" s="2"/>
      <c r="L918" s="2"/>
      <c r="M918" s="2"/>
      <c r="N918" s="2"/>
      <c r="O918" s="5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>
      <c r="A919" s="2"/>
      <c r="B919" s="8"/>
      <c r="C919" s="8"/>
      <c r="D919" s="8"/>
      <c r="E919" s="8"/>
      <c r="F919" s="13"/>
      <c r="G919" s="59"/>
      <c r="H919" s="6"/>
      <c r="I919" s="6"/>
      <c r="J919" s="2"/>
      <c r="K919" s="2"/>
      <c r="L919" s="2"/>
      <c r="M919" s="2"/>
      <c r="N919" s="2"/>
      <c r="O919" s="5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>
      <c r="A920" s="2"/>
      <c r="B920" s="8"/>
      <c r="C920" s="8"/>
      <c r="D920" s="8"/>
      <c r="E920" s="8"/>
      <c r="F920" s="13"/>
      <c r="G920" s="59"/>
      <c r="H920" s="6"/>
      <c r="I920" s="6"/>
      <c r="J920" s="2"/>
      <c r="K920" s="2"/>
      <c r="L920" s="2"/>
      <c r="M920" s="2"/>
      <c r="N920" s="2"/>
      <c r="O920" s="5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>
      <c r="A921" s="2"/>
      <c r="B921" s="8"/>
      <c r="C921" s="8"/>
      <c r="D921" s="8"/>
      <c r="E921" s="8"/>
      <c r="F921" s="13"/>
      <c r="G921" s="59"/>
      <c r="H921" s="6"/>
      <c r="I921" s="6"/>
      <c r="J921" s="2"/>
      <c r="K921" s="2"/>
      <c r="L921" s="2"/>
      <c r="M921" s="2"/>
      <c r="N921" s="2"/>
      <c r="O921" s="5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>
      <c r="A922" s="2"/>
      <c r="B922" s="8"/>
      <c r="C922" s="8"/>
      <c r="D922" s="8"/>
      <c r="E922" s="8"/>
      <c r="F922" s="13"/>
      <c r="G922" s="59"/>
      <c r="H922" s="6"/>
      <c r="I922" s="6"/>
      <c r="J922" s="2"/>
      <c r="K922" s="2"/>
      <c r="L922" s="2"/>
      <c r="M922" s="2"/>
      <c r="N922" s="2"/>
      <c r="O922" s="5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>
      <c r="A923" s="2"/>
      <c r="B923" s="8"/>
      <c r="C923" s="8"/>
      <c r="D923" s="8"/>
      <c r="E923" s="8"/>
      <c r="F923" s="13"/>
      <c r="G923" s="59"/>
      <c r="H923" s="6"/>
      <c r="I923" s="6"/>
      <c r="J923" s="2"/>
      <c r="K923" s="2"/>
      <c r="L923" s="2"/>
      <c r="M923" s="2"/>
      <c r="N923" s="2"/>
      <c r="O923" s="5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>
      <c r="A924" s="2"/>
      <c r="B924" s="8"/>
      <c r="C924" s="8"/>
      <c r="D924" s="8"/>
      <c r="E924" s="8"/>
      <c r="F924" s="13"/>
      <c r="G924" s="59"/>
      <c r="H924" s="6"/>
      <c r="I924" s="6"/>
      <c r="J924" s="2"/>
      <c r="K924" s="2"/>
      <c r="L924" s="2"/>
      <c r="M924" s="2"/>
      <c r="N924" s="2"/>
      <c r="O924" s="5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5" sqref="Q5"/>
    </sheetView>
  </sheetViews>
  <sheetFormatPr defaultRowHeight="12.75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>
      <c r="Q1" s="9" t="s">
        <v>3213</v>
      </c>
      <c r="R1" t="s">
        <v>3214</v>
      </c>
      <c r="S1" t="s">
        <v>3215</v>
      </c>
      <c r="T1" t="s">
        <v>3216</v>
      </c>
    </row>
    <row r="2" spans="1:20">
      <c r="Q2" s="18" t="s">
        <v>2254</v>
      </c>
      <c r="R2" s="19">
        <v>23332</v>
      </c>
      <c r="S2" s="19">
        <v>23999.999999999996</v>
      </c>
      <c r="T2" s="19">
        <v>17642</v>
      </c>
    </row>
    <row r="3" spans="1:20">
      <c r="A3" s="9" t="s">
        <v>3213</v>
      </c>
      <c r="B3" s="15" t="s">
        <v>3215</v>
      </c>
      <c r="C3" s="15" t="s">
        <v>3214</v>
      </c>
      <c r="D3" t="s">
        <v>3217</v>
      </c>
      <c r="Q3" s="18" t="s">
        <v>2681</v>
      </c>
      <c r="R3" s="19">
        <v>37834</v>
      </c>
      <c r="S3" s="19">
        <v>23999.999999999996</v>
      </c>
      <c r="T3" s="19">
        <v>29549</v>
      </c>
    </row>
    <row r="4" spans="1:20">
      <c r="A4" s="10" t="s">
        <v>3094</v>
      </c>
      <c r="B4" s="15">
        <v>90000</v>
      </c>
      <c r="C4" s="15">
        <v>78143</v>
      </c>
      <c r="D4">
        <v>35</v>
      </c>
      <c r="Q4" s="18" t="s">
        <v>2974</v>
      </c>
      <c r="R4" s="19">
        <v>28356</v>
      </c>
      <c r="S4" s="19">
        <v>24000</v>
      </c>
      <c r="T4" s="19">
        <v>24262</v>
      </c>
    </row>
    <row r="5" spans="1:20">
      <c r="A5" s="11" t="s">
        <v>47</v>
      </c>
      <c r="B5" s="15">
        <v>90000</v>
      </c>
      <c r="C5" s="15">
        <v>78143</v>
      </c>
      <c r="D5">
        <v>35</v>
      </c>
      <c r="Q5" s="18" t="s">
        <v>3094</v>
      </c>
      <c r="R5" s="19">
        <v>7965</v>
      </c>
      <c r="S5" s="19">
        <v>24000</v>
      </c>
      <c r="T5" s="19">
        <v>7087</v>
      </c>
    </row>
    <row r="6" spans="1:20">
      <c r="A6" s="12">
        <v>46256</v>
      </c>
      <c r="B6" s="15">
        <v>15000</v>
      </c>
      <c r="C6" s="15">
        <v>11997</v>
      </c>
      <c r="D6">
        <v>5</v>
      </c>
      <c r="Q6" s="18" t="s">
        <v>3218</v>
      </c>
      <c r="R6" s="19">
        <v>97487</v>
      </c>
      <c r="S6" s="19">
        <v>96000</v>
      </c>
      <c r="T6" s="19">
        <v>78540</v>
      </c>
    </row>
    <row r="7" spans="1:20">
      <c r="A7" s="12">
        <v>46255</v>
      </c>
      <c r="B7" s="15">
        <v>15000</v>
      </c>
      <c r="C7" s="15">
        <v>13011</v>
      </c>
      <c r="D7">
        <v>6</v>
      </c>
    </row>
    <row r="8" spans="1:20">
      <c r="A8" s="12">
        <v>46254</v>
      </c>
      <c r="B8" s="15">
        <v>15000</v>
      </c>
      <c r="C8" s="15">
        <v>9223</v>
      </c>
      <c r="D8">
        <v>6</v>
      </c>
    </row>
    <row r="9" spans="1:20">
      <c r="A9" s="12">
        <v>46253</v>
      </c>
      <c r="B9" s="15">
        <v>15000</v>
      </c>
      <c r="C9" s="15">
        <v>13317</v>
      </c>
      <c r="D9">
        <v>6</v>
      </c>
    </row>
    <row r="10" spans="1:20">
      <c r="A10" s="12">
        <v>46252</v>
      </c>
      <c r="B10" s="15">
        <v>15000</v>
      </c>
      <c r="C10" s="15">
        <v>14465</v>
      </c>
      <c r="D10">
        <v>6</v>
      </c>
    </row>
    <row r="11" spans="1:20">
      <c r="A11" s="12">
        <v>46251</v>
      </c>
      <c r="B11" s="15">
        <v>15000</v>
      </c>
      <c r="C11" s="15">
        <v>16130</v>
      </c>
      <c r="D11">
        <v>6</v>
      </c>
    </row>
    <row r="12" spans="1:20" hidden="1">
      <c r="A12" s="10" t="s">
        <v>3218</v>
      </c>
      <c r="B12" s="15">
        <v>90000</v>
      </c>
      <c r="C12" s="15">
        <v>78143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>
      <c r="A3" s="9" t="s">
        <v>3213</v>
      </c>
      <c r="B3" t="s">
        <v>3215</v>
      </c>
      <c r="C3" t="s">
        <v>3219</v>
      </c>
      <c r="O3" s="9" t="s">
        <v>3213</v>
      </c>
      <c r="P3" t="s">
        <v>3215</v>
      </c>
      <c r="Q3" t="s">
        <v>3219</v>
      </c>
    </row>
    <row r="4" spans="1:17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>
      <c r="A8" s="55">
        <v>46170</v>
      </c>
      <c r="B8" s="52">
        <v>2</v>
      </c>
      <c r="C8" s="52">
        <v>2.2142500000000003</v>
      </c>
      <c r="O8" s="10" t="s">
        <v>3220</v>
      </c>
    </row>
    <row r="9" spans="1:17">
      <c r="A9" s="55">
        <v>46171</v>
      </c>
      <c r="B9" s="52">
        <v>2</v>
      </c>
      <c r="C9" s="52">
        <v>2.0195454545454545</v>
      </c>
      <c r="O9" s="10" t="s">
        <v>3218</v>
      </c>
      <c r="P9">
        <v>48</v>
      </c>
      <c r="Q9">
        <v>35.931320898056192</v>
      </c>
    </row>
    <row r="10" spans="1:17">
      <c r="A10" s="55">
        <v>46172</v>
      </c>
      <c r="B10" s="52">
        <v>2</v>
      </c>
      <c r="C10" s="52">
        <v>1.7595238095238097</v>
      </c>
    </row>
    <row r="11" spans="1:17">
      <c r="A11" s="10" t="s">
        <v>3218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>
      <c r="F3" s="17" t="s">
        <v>3221</v>
      </c>
      <c r="G3" s="17" t="s">
        <v>3222</v>
      </c>
      <c r="H3" s="17" t="s">
        <v>3223</v>
      </c>
      <c r="I3" s="17" t="s">
        <v>3224</v>
      </c>
      <c r="J3" s="17" t="s">
        <v>3225</v>
      </c>
      <c r="K3" s="17" t="s">
        <v>3226</v>
      </c>
    </row>
    <row r="4" spans="6:11">
      <c r="F4" s="17">
        <v>99</v>
      </c>
      <c r="G4" s="17">
        <v>101</v>
      </c>
      <c r="H4" s="17">
        <v>96</v>
      </c>
      <c r="I4" s="17">
        <v>97</v>
      </c>
      <c r="J4" s="17" t="s">
        <v>3227</v>
      </c>
    </row>
    <row r="5" spans="6:11">
      <c r="F5" s="17">
        <v>116</v>
      </c>
      <c r="H5" s="17">
        <v>110</v>
      </c>
      <c r="J5" s="17" t="s">
        <v>3228</v>
      </c>
    </row>
    <row r="6" spans="6:11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>
      <c r="A1" s="30"/>
    </row>
    <row r="2" spans="1:17" ht="18.75">
      <c r="A2" s="30"/>
      <c r="O2" s="33" t="s">
        <v>3229</v>
      </c>
    </row>
    <row r="3" spans="1:17">
      <c r="A3" s="25" t="s">
        <v>7</v>
      </c>
      <c r="B3" s="25" t="s">
        <v>3230</v>
      </c>
      <c r="C3" s="25" t="s">
        <v>3231</v>
      </c>
      <c r="D3" s="25" t="s">
        <v>3232</v>
      </c>
      <c r="E3" s="25" t="s">
        <v>3233</v>
      </c>
      <c r="F3" s="25" t="s">
        <v>3234</v>
      </c>
      <c r="H3" s="22" t="s">
        <v>3234</v>
      </c>
      <c r="I3" s="22" t="s">
        <v>3230</v>
      </c>
      <c r="J3" s="22" t="s">
        <v>3231</v>
      </c>
      <c r="K3" s="22" t="s">
        <v>3233</v>
      </c>
      <c r="L3" s="22" t="s">
        <v>3235</v>
      </c>
      <c r="M3" s="25" t="s">
        <v>3236</v>
      </c>
      <c r="O3" s="25" t="s">
        <v>7</v>
      </c>
      <c r="P3" s="25" t="s">
        <v>3233</v>
      </c>
      <c r="Q3" s="25" t="s">
        <v>14</v>
      </c>
    </row>
    <row r="4" spans="1:17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3237</v>
      </c>
      <c r="H4" s="28" t="s">
        <v>3237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3237</v>
      </c>
      <c r="H5" s="28" t="s">
        <v>3238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3237</v>
      </c>
      <c r="H6" s="28" t="s">
        <v>3239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3237</v>
      </c>
      <c r="H7" s="28" t="s">
        <v>3240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3239</v>
      </c>
    </row>
    <row r="22" spans="1:17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3239</v>
      </c>
    </row>
    <row r="23" spans="1:17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3239</v>
      </c>
    </row>
    <row r="24" spans="1:17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3239</v>
      </c>
    </row>
    <row r="25" spans="1:17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3239</v>
      </c>
    </row>
    <row r="26" spans="1:17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3239</v>
      </c>
    </row>
    <row r="27" spans="1:17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3239</v>
      </c>
    </row>
    <row r="28" spans="1:17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3239</v>
      </c>
    </row>
    <row r="29" spans="1:17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3239</v>
      </c>
    </row>
    <row r="30" spans="1:17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3239</v>
      </c>
    </row>
    <row r="31" spans="1:17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3239</v>
      </c>
    </row>
    <row r="32" spans="1:17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3239</v>
      </c>
    </row>
    <row r="33" spans="1:10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3239</v>
      </c>
    </row>
    <row r="34" spans="1:10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3240</v>
      </c>
    </row>
    <row r="35" spans="1:10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3240</v>
      </c>
      <c r="I35" s="26"/>
      <c r="J35" s="26"/>
    </row>
    <row r="36" spans="1:10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3240</v>
      </c>
    </row>
    <row r="37" spans="1:10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3240</v>
      </c>
    </row>
    <row r="38" spans="1:10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3240</v>
      </c>
    </row>
    <row r="39" spans="1:10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3240</v>
      </c>
    </row>
    <row r="40" spans="1:10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3240</v>
      </c>
    </row>
    <row r="41" spans="1:10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3240</v>
      </c>
    </row>
    <row r="42" spans="1:10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3240</v>
      </c>
    </row>
    <row r="43" spans="1:10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3240</v>
      </c>
    </row>
    <row r="44" spans="1:10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3240</v>
      </c>
    </row>
    <row r="45" spans="1:10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3240</v>
      </c>
    </row>
    <row r="46" spans="1:10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3240</v>
      </c>
    </row>
    <row r="47" spans="1:10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3240</v>
      </c>
    </row>
    <row r="48" spans="1:10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3240</v>
      </c>
    </row>
    <row r="49" spans="1:6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3240</v>
      </c>
    </row>
    <row r="50" spans="1:6">
      <c r="A50" s="84" t="s">
        <v>3241</v>
      </c>
      <c r="B50" s="84"/>
      <c r="C50" s="84"/>
      <c r="E50" s="23">
        <f>SUM(E4:E49)</f>
        <v>12900</v>
      </c>
    </row>
    <row r="56" spans="1:6" ht="15.75">
      <c r="A56" s="34" t="s">
        <v>3242</v>
      </c>
    </row>
    <row r="57" spans="1:6" ht="25.5">
      <c r="A57" s="35" t="s">
        <v>3243</v>
      </c>
      <c r="B57" s="36" t="s">
        <v>3244</v>
      </c>
      <c r="C57" s="36" t="s">
        <v>3245</v>
      </c>
      <c r="D57" s="36" t="s">
        <v>3246</v>
      </c>
    </row>
    <row r="58" spans="1:6">
      <c r="A58" s="40" t="s">
        <v>3247</v>
      </c>
      <c r="B58" s="37">
        <v>108384.01</v>
      </c>
      <c r="C58" s="37"/>
      <c r="D58" s="37">
        <v>108384.01</v>
      </c>
    </row>
    <row r="59" spans="1:6">
      <c r="A59" s="40" t="s">
        <v>3248</v>
      </c>
      <c r="B59" s="37">
        <v>226208.87299999999</v>
      </c>
      <c r="C59" s="37"/>
      <c r="D59" s="37">
        <v>226208.87299999999</v>
      </c>
    </row>
    <row r="60" spans="1:6">
      <c r="A60" s="40" t="s">
        <v>3249</v>
      </c>
      <c r="B60" s="37">
        <f>185.64+208.48</f>
        <v>394.12</v>
      </c>
      <c r="C60" s="37"/>
      <c r="D60" s="37">
        <f>185.64+208.48</f>
        <v>394.12</v>
      </c>
    </row>
    <row r="61" spans="1:6">
      <c r="A61" s="40" t="s">
        <v>3250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>
      <c r="A62" s="40" t="s">
        <v>3251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>
      <c r="A63" s="40" t="s">
        <v>3252</v>
      </c>
      <c r="B63" s="37">
        <v>23784.219000000001</v>
      </c>
      <c r="C63" s="37"/>
      <c r="D63" s="37">
        <v>23784.219000000001</v>
      </c>
    </row>
    <row r="64" spans="1:6">
      <c r="A64" s="40" t="s">
        <v>3253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>
      <c r="A65" s="40" t="s">
        <v>3254</v>
      </c>
      <c r="B65" s="37">
        <v>23860.793000000001</v>
      </c>
      <c r="C65" s="37"/>
      <c r="D65" s="37"/>
    </row>
    <row r="66" spans="1:4">
      <c r="A66" s="40" t="s">
        <v>3255</v>
      </c>
      <c r="B66" s="37">
        <v>1344.431</v>
      </c>
      <c r="C66" s="37"/>
      <c r="D66" s="37"/>
    </row>
    <row r="67" spans="1:4">
      <c r="A67" s="38" t="s">
        <v>3241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>
      <c r="B2" s="47" t="s">
        <v>7</v>
      </c>
      <c r="C2" s="47" t="s">
        <v>8</v>
      </c>
      <c r="D2" s="48" t="s">
        <v>3256</v>
      </c>
      <c r="E2" s="48" t="s">
        <v>3257</v>
      </c>
      <c r="F2" s="48" t="s">
        <v>3258</v>
      </c>
      <c r="G2" s="48" t="s">
        <v>3259</v>
      </c>
      <c r="H2" s="48" t="s">
        <v>3260</v>
      </c>
      <c r="I2" s="48" t="s">
        <v>3261</v>
      </c>
      <c r="J2" s="48" t="s">
        <v>3262</v>
      </c>
      <c r="K2" s="48" t="s">
        <v>3263</v>
      </c>
      <c r="L2" s="48" t="s">
        <v>14</v>
      </c>
    </row>
    <row r="3" spans="2:1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2026-08-24T12:44:13Z</dcterms:modified>
  <cp:category/>
  <cp:contentStatus/>
</cp:coreProperties>
</file>