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8 - Controles/02 - Terraplenagem/"/>
    </mc:Choice>
  </mc:AlternateContent>
  <xr:revisionPtr revIDLastSave="8181" documentId="8_{CE5C6F22-4BE2-41D0-BCDC-905D26C0C4E3}" xr6:coauthVersionLast="47" xr6:coauthVersionMax="47" xr10:uidLastSave="{FD2C88BF-8F64-43FD-8CF7-A1B3C388952B}"/>
  <bookViews>
    <workbookView xWindow="28680" yWindow="-120" windowWidth="29040" windowHeight="15720" tabRatio="678" activeTab="2" xr2:uid="{00000000-000D-0000-FFFF-FFFF00000000}"/>
  </bookViews>
  <sheets>
    <sheet name="Ind. Produção Escavad. Prod." sheetId="8" r:id="rId1"/>
    <sheet name="Ind. Produção Escavadeiras Casc" sheetId="9" r:id="rId2"/>
    <sheet name="BD" sheetId="1" r:id="rId3"/>
    <sheet name="TabDin" sheetId="2" r:id="rId4"/>
    <sheet name="TabDin CBM" sheetId="7" state="hidden" r:id="rId5"/>
    <sheet name="Disposição Máquinas" sheetId="3" state="hidden" r:id="rId6"/>
    <sheet name="Liberações de Camadas" sheetId="4" state="hidden" r:id="rId7"/>
    <sheet name="CBM" sheetId="6" state="hidden" r:id="rId8"/>
  </sheets>
  <definedNames>
    <definedName name="_xlnm._FilterDatabase" localSheetId="2" hidden="1">BD!$A$4:$AB$1032</definedName>
    <definedName name="_xlnm._FilterDatabase" localSheetId="7" hidden="1">CBM!$B$2:$L$2</definedName>
    <definedName name="_xlnm._FilterDatabase" localSheetId="6" hidden="1">'Liberações de Camadas'!$A$3:$N$19</definedName>
    <definedName name="_xlnm.Print_Area" localSheetId="0">'Ind. Produção Escavad. Prod.'!$A$1:$P$34</definedName>
    <definedName name="_xlnm.Print_Area" localSheetId="1">'Ind. Produção Escavadeiras Casc'!$A$1:$P$34</definedName>
    <definedName name="SegmentaçãodeDados_Local_de_Atuação">#N/A</definedName>
    <definedName name="SegmentaçãodeDados_Local_de_Atuação1">#N/A</definedName>
    <definedName name="SegmentaçãodeDados_Semana">#N/A</definedName>
    <definedName name="SegmentaçãodeDados_Semana1">#N/A</definedName>
  </definedNames>
  <calcPr calcId="191028"/>
  <pivotCaches>
    <pivotCache cacheId="0" r:id="rId9"/>
    <pivotCache cacheId="1" r:id="rId10"/>
    <pivotCache cacheId="2" r:id="rId11"/>
    <pivotCache cacheId="3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4" i="1" l="1"/>
  <c r="H1018" i="1"/>
  <c r="H1019" i="1"/>
  <c r="H1020" i="1"/>
  <c r="H1021" i="1"/>
  <c r="H1022" i="1"/>
  <c r="H1017" i="1"/>
  <c r="H1016" i="1"/>
  <c r="H1012" i="1"/>
  <c r="H1013" i="1"/>
  <c r="H1014" i="1"/>
  <c r="H1011" i="1"/>
  <c r="H1009" i="1"/>
  <c r="H1008" i="1"/>
  <c r="H1004" i="1"/>
  <c r="H1005" i="1"/>
  <c r="H1006" i="1"/>
  <c r="H1003" i="1"/>
  <c r="H1001" i="1"/>
  <c r="H1000" i="1"/>
  <c r="H996" i="1"/>
  <c r="H997" i="1"/>
  <c r="H998" i="1"/>
  <c r="H995" i="1"/>
  <c r="H993" i="1"/>
  <c r="H992" i="1"/>
  <c r="H987" i="1"/>
  <c r="H988" i="1"/>
  <c r="H989" i="1"/>
  <c r="H990" i="1"/>
  <c r="H985" i="1"/>
  <c r="H984" i="1"/>
  <c r="H979" i="1"/>
  <c r="H980" i="1"/>
  <c r="H981" i="1"/>
  <c r="H982" i="1"/>
  <c r="H977" i="1"/>
  <c r="H1023" i="1"/>
  <c r="H1031" i="1"/>
  <c r="H1007" i="1"/>
  <c r="H1015" i="1"/>
  <c r="H999" i="1"/>
  <c r="H991" i="1"/>
  <c r="H983" i="1"/>
  <c r="I1032" i="1"/>
  <c r="I1024" i="1"/>
  <c r="I1031" i="1"/>
  <c r="I1023" i="1"/>
  <c r="I1030" i="1"/>
  <c r="I1022" i="1"/>
  <c r="I1029" i="1"/>
  <c r="I1021" i="1"/>
  <c r="I1028" i="1"/>
  <c r="I1020" i="1"/>
  <c r="I1027" i="1"/>
  <c r="I1019" i="1"/>
  <c r="I1018" i="1"/>
  <c r="I1026" i="1"/>
  <c r="I1025" i="1"/>
  <c r="I1017" i="1"/>
  <c r="I1016" i="1"/>
  <c r="I1008" i="1"/>
  <c r="I1015" i="1"/>
  <c r="I1007" i="1"/>
  <c r="I1014" i="1"/>
  <c r="I1006" i="1"/>
  <c r="I1013" i="1"/>
  <c r="I1005" i="1"/>
  <c r="I1012" i="1"/>
  <c r="I1004" i="1"/>
  <c r="I1011" i="1"/>
  <c r="I1003" i="1"/>
  <c r="I1010" i="1"/>
  <c r="I1002" i="1"/>
  <c r="I1009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H975" i="1"/>
  <c r="H967" i="1"/>
  <c r="H959" i="1"/>
  <c r="H951" i="1"/>
  <c r="H943" i="1"/>
  <c r="H934" i="1"/>
  <c r="H968" i="1"/>
  <c r="H966" i="1"/>
  <c r="H965" i="1"/>
  <c r="H964" i="1"/>
  <c r="H963" i="1"/>
  <c r="H961" i="1"/>
  <c r="H960" i="1"/>
  <c r="H958" i="1"/>
  <c r="H957" i="1"/>
  <c r="H956" i="1"/>
  <c r="H955" i="1"/>
  <c r="H953" i="1"/>
  <c r="H952" i="1"/>
  <c r="H950" i="1"/>
  <c r="H949" i="1"/>
  <c r="H948" i="1"/>
  <c r="H947" i="1"/>
  <c r="H945" i="1"/>
  <c r="H944" i="1"/>
  <c r="H942" i="1"/>
  <c r="H941" i="1"/>
  <c r="H939" i="1"/>
  <c r="H938" i="1"/>
  <c r="H936" i="1"/>
  <c r="H935" i="1"/>
  <c r="H933" i="1"/>
  <c r="H932" i="1"/>
  <c r="H930" i="1"/>
  <c r="H929" i="1"/>
  <c r="H922" i="1"/>
  <c r="H923" i="1"/>
  <c r="H924" i="1"/>
  <c r="H925" i="1"/>
  <c r="H921" i="1"/>
  <c r="H919" i="1"/>
  <c r="H91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0" i="1"/>
  <c r="I941" i="1"/>
  <c r="O939" i="1"/>
  <c r="I939" i="1"/>
  <c r="I938" i="1"/>
  <c r="I937" i="1"/>
  <c r="I936" i="1"/>
  <c r="O931" i="1"/>
  <c r="I935" i="1"/>
  <c r="I934" i="1"/>
  <c r="I933" i="1"/>
  <c r="I932" i="1"/>
  <c r="I930" i="1"/>
  <c r="I929" i="1"/>
  <c r="I928" i="1"/>
  <c r="I920" i="1"/>
  <c r="I926" i="1"/>
  <c r="I927" i="1"/>
  <c r="I925" i="1"/>
  <c r="I924" i="1"/>
  <c r="I923" i="1"/>
  <c r="I922" i="1"/>
  <c r="I921" i="1"/>
  <c r="I919" i="1"/>
  <c r="I918" i="1"/>
  <c r="I917" i="1"/>
  <c r="H908" i="1"/>
  <c r="H906" i="1"/>
  <c r="H905" i="1"/>
  <c r="H904" i="1"/>
  <c r="H901" i="1"/>
  <c r="H900" i="1"/>
  <c r="H898" i="1"/>
  <c r="H897" i="1"/>
  <c r="H896" i="1"/>
  <c r="H894" i="1"/>
  <c r="H892" i="1"/>
  <c r="H891" i="1"/>
  <c r="H889" i="1"/>
  <c r="H888" i="1"/>
  <c r="H887" i="1"/>
  <c r="H885" i="1"/>
  <c r="H883" i="1"/>
  <c r="H882" i="1"/>
  <c r="H880" i="1"/>
  <c r="H879" i="1"/>
  <c r="H878" i="1"/>
  <c r="H876" i="1"/>
  <c r="H874" i="1"/>
  <c r="H873" i="1"/>
  <c r="H871" i="1"/>
  <c r="H870" i="1"/>
  <c r="H868" i="1"/>
  <c r="H866" i="1"/>
  <c r="H864" i="1"/>
  <c r="H862" i="1"/>
  <c r="H858" i="1"/>
  <c r="H859" i="1"/>
  <c r="H860" i="1"/>
  <c r="H857" i="1"/>
  <c r="H855" i="1"/>
  <c r="H881" i="1"/>
  <c r="H872" i="1"/>
  <c r="H861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O894" i="1"/>
  <c r="O895" i="1"/>
  <c r="I892" i="1"/>
  <c r="I900" i="1"/>
  <c r="I899" i="1"/>
  <c r="I898" i="1"/>
  <c r="I897" i="1"/>
  <c r="I896" i="1"/>
  <c r="I894" i="1"/>
  <c r="I893" i="1"/>
  <c r="I891" i="1"/>
  <c r="I882" i="1"/>
  <c r="I890" i="1"/>
  <c r="I881" i="1"/>
  <c r="I889" i="1"/>
  <c r="I880" i="1"/>
  <c r="I888" i="1"/>
  <c r="I879" i="1"/>
  <c r="I877" i="1"/>
  <c r="I887" i="1"/>
  <c r="I878" i="1"/>
  <c r="I876" i="1"/>
  <c r="I886" i="1"/>
  <c r="I885" i="1"/>
  <c r="I875" i="1"/>
  <c r="I884" i="1"/>
  <c r="I883" i="1"/>
  <c r="I874" i="1"/>
  <c r="I873" i="1"/>
  <c r="I872" i="1"/>
  <c r="I871" i="1"/>
  <c r="I870" i="1"/>
  <c r="O868" i="1"/>
  <c r="I868" i="1" s="1"/>
  <c r="O869" i="1"/>
  <c r="I869" i="1" s="1"/>
  <c r="O866" i="1"/>
  <c r="I866" i="1" s="1"/>
  <c r="O867" i="1"/>
  <c r="I867" i="1" s="1"/>
  <c r="I864" i="1"/>
  <c r="I865" i="1"/>
  <c r="O862" i="1"/>
  <c r="O863" i="1"/>
  <c r="I863" i="1" s="1"/>
  <c r="I862" i="1"/>
  <c r="I861" i="1"/>
  <c r="I860" i="1"/>
  <c r="I859" i="1"/>
  <c r="I858" i="1"/>
  <c r="I857" i="1"/>
  <c r="I856" i="1"/>
  <c r="I855" i="1"/>
  <c r="H829" i="1"/>
  <c r="H826" i="1"/>
  <c r="H827" i="1"/>
  <c r="H825" i="1"/>
  <c r="H823" i="1"/>
  <c r="H821" i="1"/>
  <c r="H846" i="1"/>
  <c r="H841" i="1"/>
  <c r="H842" i="1"/>
  <c r="H843" i="1"/>
  <c r="H844" i="1"/>
  <c r="H838" i="1"/>
  <c r="H833" i="1"/>
  <c r="H834" i="1"/>
  <c r="H835" i="1"/>
  <c r="H836" i="1"/>
  <c r="H831" i="1"/>
  <c r="H811" i="1"/>
  <c r="H809" i="1"/>
  <c r="H807" i="1"/>
  <c r="H805" i="1"/>
  <c r="H802" i="1"/>
  <c r="H820" i="1"/>
  <c r="H817" i="1"/>
  <c r="H818" i="1"/>
  <c r="H816" i="1"/>
  <c r="H814" i="1"/>
  <c r="H812" i="1"/>
  <c r="H801" i="1"/>
  <c r="H794" i="1"/>
  <c r="H795" i="1"/>
  <c r="H797" i="1"/>
  <c r="H798" i="1"/>
  <c r="H799" i="1"/>
  <c r="H793" i="1"/>
  <c r="H837" i="1"/>
  <c r="H845" i="1"/>
  <c r="H819" i="1"/>
  <c r="H828" i="1"/>
  <c r="H800" i="1"/>
  <c r="H810" i="1"/>
  <c r="I854" i="1"/>
  <c r="I846" i="1"/>
  <c r="I838" i="1"/>
  <c r="I853" i="1"/>
  <c r="I845" i="1"/>
  <c r="I837" i="1"/>
  <c r="I852" i="1"/>
  <c r="I844" i="1"/>
  <c r="I836" i="1"/>
  <c r="I851" i="1"/>
  <c r="I843" i="1"/>
  <c r="I835" i="1"/>
  <c r="I850" i="1"/>
  <c r="I842" i="1"/>
  <c r="I834" i="1"/>
  <c r="I849" i="1"/>
  <c r="I841" i="1"/>
  <c r="I833" i="1"/>
  <c r="I848" i="1"/>
  <c r="I840" i="1"/>
  <c r="I832" i="1"/>
  <c r="I847" i="1"/>
  <c r="I839" i="1"/>
  <c r="I831" i="1"/>
  <c r="O814" i="1"/>
  <c r="I814" i="1" s="1"/>
  <c r="O815" i="1"/>
  <c r="O829" i="1"/>
  <c r="I829" i="1" s="1"/>
  <c r="O830" i="1"/>
  <c r="O823" i="1"/>
  <c r="O824" i="1"/>
  <c r="I820" i="1"/>
  <c r="I828" i="1"/>
  <c r="I819" i="1"/>
  <c r="I827" i="1"/>
  <c r="I818" i="1"/>
  <c r="I826" i="1"/>
  <c r="I817" i="1"/>
  <c r="I825" i="1"/>
  <c r="I816" i="1"/>
  <c r="I823" i="1"/>
  <c r="I822" i="1"/>
  <c r="I813" i="1"/>
  <c r="I821" i="1"/>
  <c r="I812" i="1"/>
  <c r="O808" i="1"/>
  <c r="O807" i="1" s="1"/>
  <c r="I807" i="1" s="1"/>
  <c r="O805" i="1"/>
  <c r="O804" i="1" s="1"/>
  <c r="I804" i="1" s="1"/>
  <c r="O796" i="1"/>
  <c r="O795" i="1" s="1"/>
  <c r="I795" i="1" s="1"/>
  <c r="I811" i="1"/>
  <c r="I801" i="1"/>
  <c r="I810" i="1"/>
  <c r="I800" i="1"/>
  <c r="I809" i="1"/>
  <c r="I799" i="1"/>
  <c r="I798" i="1"/>
  <c r="I806" i="1"/>
  <c r="I797" i="1"/>
  <c r="I803" i="1"/>
  <c r="I794" i="1"/>
  <c r="I793" i="1"/>
  <c r="I802" i="1"/>
  <c r="I784" i="1"/>
  <c r="H783" i="1"/>
  <c r="H777" i="1"/>
  <c r="H780" i="1"/>
  <c r="H775" i="1"/>
  <c r="H774" i="1"/>
  <c r="H768" i="1"/>
  <c r="H769" i="1"/>
  <c r="H770" i="1"/>
  <c r="H771" i="1"/>
  <c r="H767" i="1"/>
  <c r="H766" i="1"/>
  <c r="H757" i="1"/>
  <c r="H758" i="1"/>
  <c r="H760" i="1"/>
  <c r="H761" i="1"/>
  <c r="H762" i="1"/>
  <c r="H763" i="1"/>
  <c r="H756" i="1"/>
  <c r="H750" i="1"/>
  <c r="H751" i="1"/>
  <c r="H752" i="1"/>
  <c r="H753" i="1"/>
  <c r="H754" i="1"/>
  <c r="H749" i="1"/>
  <c r="H748" i="1"/>
  <c r="H746" i="1"/>
  <c r="H744" i="1"/>
  <c r="H743" i="1"/>
  <c r="H741" i="1"/>
  <c r="H740" i="1"/>
  <c r="H733" i="1"/>
  <c r="H735" i="1"/>
  <c r="H736" i="1"/>
  <c r="H737" i="1"/>
  <c r="H738" i="1"/>
  <c r="H732" i="1"/>
  <c r="H782" i="1"/>
  <c r="H791" i="1"/>
  <c r="H773" i="1"/>
  <c r="H765" i="1"/>
  <c r="H755" i="1"/>
  <c r="H747" i="1"/>
  <c r="H739" i="1"/>
  <c r="H730" i="1"/>
  <c r="H722" i="1"/>
  <c r="H713" i="1"/>
  <c r="H703" i="1"/>
  <c r="H694" i="1"/>
  <c r="H686" i="1"/>
  <c r="H678" i="1"/>
  <c r="I792" i="1"/>
  <c r="I783" i="1"/>
  <c r="I791" i="1"/>
  <c r="I782" i="1"/>
  <c r="I790" i="1"/>
  <c r="I781" i="1"/>
  <c r="I789" i="1"/>
  <c r="I780" i="1"/>
  <c r="I788" i="1"/>
  <c r="I779" i="1"/>
  <c r="O777" i="1"/>
  <c r="I777" i="1" s="1"/>
  <c r="O778" i="1"/>
  <c r="I778" i="1" s="1"/>
  <c r="I787" i="1"/>
  <c r="I786" i="1"/>
  <c r="I776" i="1"/>
  <c r="I785" i="1"/>
  <c r="I775" i="1"/>
  <c r="I774" i="1"/>
  <c r="I773" i="1"/>
  <c r="I772" i="1"/>
  <c r="I771" i="1"/>
  <c r="I770" i="1"/>
  <c r="I769" i="1"/>
  <c r="I768" i="1"/>
  <c r="I767" i="1"/>
  <c r="I766" i="1"/>
  <c r="I765" i="1"/>
  <c r="O763" i="1"/>
  <c r="I763" i="1" s="1"/>
  <c r="O764" i="1"/>
  <c r="I764" i="1" s="1"/>
  <c r="I762" i="1"/>
  <c r="I761" i="1"/>
  <c r="I759" i="1"/>
  <c r="I760" i="1"/>
  <c r="I757" i="1"/>
  <c r="I758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O733" i="1"/>
  <c r="I733" i="1" s="1"/>
  <c r="I732" i="1"/>
  <c r="H679" i="1"/>
  <c r="H677" i="1"/>
  <c r="H676" i="1"/>
  <c r="H675" i="1"/>
  <c r="H674" i="1"/>
  <c r="H672" i="1"/>
  <c r="H723" i="1"/>
  <c r="H721" i="1"/>
  <c r="H720" i="1"/>
  <c r="H719" i="1"/>
  <c r="H718" i="1"/>
  <c r="H716" i="1"/>
  <c r="H715" i="1"/>
  <c r="H714" i="1"/>
  <c r="H712" i="1"/>
  <c r="H711" i="1"/>
  <c r="H710" i="1"/>
  <c r="H708" i="1"/>
  <c r="H706" i="1"/>
  <c r="H704" i="1"/>
  <c r="H702" i="1"/>
  <c r="H700" i="1"/>
  <c r="H699" i="1"/>
  <c r="H696" i="1"/>
  <c r="H695" i="1"/>
  <c r="H693" i="1"/>
  <c r="H692" i="1"/>
  <c r="H691" i="1"/>
  <c r="H688" i="1"/>
  <c r="H687" i="1"/>
  <c r="H685" i="1"/>
  <c r="H684" i="1"/>
  <c r="H683" i="1"/>
  <c r="H680" i="1"/>
  <c r="I724" i="1"/>
  <c r="I725" i="1"/>
  <c r="I726" i="1"/>
  <c r="I727" i="1"/>
  <c r="I728" i="1"/>
  <c r="I729" i="1"/>
  <c r="I730" i="1"/>
  <c r="I731" i="1"/>
  <c r="I723" i="1"/>
  <c r="I714" i="1"/>
  <c r="I722" i="1"/>
  <c r="I713" i="1"/>
  <c r="I721" i="1"/>
  <c r="I712" i="1"/>
  <c r="I720" i="1"/>
  <c r="I711" i="1"/>
  <c r="I719" i="1"/>
  <c r="I710" i="1"/>
  <c r="I718" i="1"/>
  <c r="I709" i="1"/>
  <c r="I716" i="1"/>
  <c r="I717" i="1"/>
  <c r="I707" i="1"/>
  <c r="I708" i="1"/>
  <c r="I715" i="1"/>
  <c r="I706" i="1"/>
  <c r="O704" i="1"/>
  <c r="I704" i="1" s="1"/>
  <c r="O705" i="1"/>
  <c r="I705" i="1" s="1"/>
  <c r="I703" i="1"/>
  <c r="I702" i="1"/>
  <c r="O700" i="1"/>
  <c r="I700" i="1" s="1"/>
  <c r="O701" i="1"/>
  <c r="I701" i="1" s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7" i="1"/>
  <c r="I678" i="1"/>
  <c r="I676" i="1"/>
  <c r="I675" i="1"/>
  <c r="I674" i="1"/>
  <c r="I673" i="1"/>
  <c r="I672" i="1"/>
  <c r="H663" i="1"/>
  <c r="H656" i="1"/>
  <c r="H657" i="1"/>
  <c r="H658" i="1"/>
  <c r="H659" i="1"/>
  <c r="H660" i="1"/>
  <c r="H661" i="1"/>
  <c r="H655" i="1"/>
  <c r="H649" i="1"/>
  <c r="H650" i="1"/>
  <c r="H651" i="1"/>
  <c r="H652" i="1"/>
  <c r="H653" i="1"/>
  <c r="H648" i="1"/>
  <c r="H647" i="1"/>
  <c r="H645" i="1"/>
  <c r="H644" i="1"/>
  <c r="H643" i="1"/>
  <c r="H642" i="1"/>
  <c r="H640" i="1"/>
  <c r="H639" i="1"/>
  <c r="H635" i="1"/>
  <c r="H636" i="1"/>
  <c r="H637" i="1"/>
  <c r="H634" i="1"/>
  <c r="H632" i="1"/>
  <c r="H627" i="1"/>
  <c r="H628" i="1"/>
  <c r="H629" i="1"/>
  <c r="H626" i="1"/>
  <c r="H624" i="1"/>
  <c r="H617" i="1"/>
  <c r="H618" i="1"/>
  <c r="H619" i="1"/>
  <c r="H620" i="1"/>
  <c r="H621" i="1"/>
  <c r="H616" i="1"/>
  <c r="I671" i="1"/>
  <c r="I663" i="1"/>
  <c r="I670" i="1"/>
  <c r="I662" i="1"/>
  <c r="I669" i="1"/>
  <c r="I661" i="1"/>
  <c r="I668" i="1"/>
  <c r="I660" i="1"/>
  <c r="I667" i="1"/>
  <c r="I659" i="1"/>
  <c r="I666" i="1"/>
  <c r="I658" i="1"/>
  <c r="I665" i="1"/>
  <c r="I657" i="1"/>
  <c r="I664" i="1"/>
  <c r="I656" i="1"/>
  <c r="I655" i="1"/>
  <c r="I654" i="1"/>
  <c r="I653" i="1"/>
  <c r="I652" i="1"/>
  <c r="I651" i="1"/>
  <c r="I650" i="1"/>
  <c r="I648" i="1"/>
  <c r="I649" i="1"/>
  <c r="I647" i="1"/>
  <c r="I639" i="1"/>
  <c r="I646" i="1"/>
  <c r="I638" i="1"/>
  <c r="I645" i="1"/>
  <c r="I637" i="1"/>
  <c r="I644" i="1"/>
  <c r="I636" i="1"/>
  <c r="I643" i="1"/>
  <c r="I635" i="1"/>
  <c r="I642" i="1"/>
  <c r="I634" i="1"/>
  <c r="I641" i="1"/>
  <c r="I633" i="1"/>
  <c r="I640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H583" i="1"/>
  <c r="H577" i="1"/>
  <c r="H578" i="1"/>
  <c r="H579" i="1"/>
  <c r="H580" i="1"/>
  <c r="H576" i="1"/>
  <c r="H601" i="1"/>
  <c r="H602" i="1"/>
  <c r="H603" i="1"/>
  <c r="H604" i="1"/>
  <c r="H605" i="1"/>
  <c r="H600" i="1"/>
  <c r="H599" i="1"/>
  <c r="H592" i="1"/>
  <c r="H593" i="1"/>
  <c r="H594" i="1"/>
  <c r="H595" i="1"/>
  <c r="H596" i="1"/>
  <c r="H597" i="1"/>
  <c r="H591" i="1"/>
  <c r="H584" i="1"/>
  <c r="H585" i="1"/>
  <c r="H586" i="1"/>
  <c r="H587" i="1"/>
  <c r="H588" i="1"/>
  <c r="H589" i="1"/>
  <c r="H569" i="1"/>
  <c r="H570" i="1"/>
  <c r="H571" i="1"/>
  <c r="H572" i="1"/>
  <c r="H573" i="1"/>
  <c r="H568" i="1"/>
  <c r="H561" i="1"/>
  <c r="H562" i="1"/>
  <c r="H563" i="1"/>
  <c r="H564" i="1"/>
  <c r="H565" i="1"/>
  <c r="H560" i="1"/>
  <c r="H598" i="1"/>
  <c r="H590" i="1"/>
  <c r="H582" i="1"/>
  <c r="H574" i="1"/>
  <c r="H566" i="1"/>
  <c r="H606" i="1"/>
  <c r="I615" i="1"/>
  <c r="I607" i="1"/>
  <c r="I614" i="1"/>
  <c r="I606" i="1"/>
  <c r="I613" i="1"/>
  <c r="I605" i="1"/>
  <c r="I612" i="1"/>
  <c r="I604" i="1"/>
  <c r="I611" i="1"/>
  <c r="I603" i="1"/>
  <c r="I610" i="1"/>
  <c r="I602" i="1"/>
  <c r="I609" i="1"/>
  <c r="I601" i="1"/>
  <c r="I608" i="1"/>
  <c r="I600" i="1"/>
  <c r="I599" i="1"/>
  <c r="I591" i="1"/>
  <c r="I598" i="1"/>
  <c r="I590" i="1"/>
  <c r="I597" i="1"/>
  <c r="I589" i="1"/>
  <c r="I596" i="1"/>
  <c r="I588" i="1"/>
  <c r="I595" i="1"/>
  <c r="I587" i="1"/>
  <c r="I594" i="1"/>
  <c r="I586" i="1"/>
  <c r="I593" i="1"/>
  <c r="I585" i="1"/>
  <c r="I592" i="1"/>
  <c r="I584" i="1"/>
  <c r="I583" i="1"/>
  <c r="I575" i="1"/>
  <c r="I567" i="1"/>
  <c r="I582" i="1"/>
  <c r="I574" i="1"/>
  <c r="I581" i="1"/>
  <c r="I573" i="1"/>
  <c r="I580" i="1"/>
  <c r="I572" i="1"/>
  <c r="I579" i="1"/>
  <c r="I571" i="1"/>
  <c r="I578" i="1"/>
  <c r="I570" i="1"/>
  <c r="I577" i="1"/>
  <c r="I569" i="1"/>
  <c r="I576" i="1"/>
  <c r="I568" i="1"/>
  <c r="I566" i="1"/>
  <c r="I565" i="1"/>
  <c r="I564" i="1"/>
  <c r="I563" i="1"/>
  <c r="I562" i="1"/>
  <c r="I561" i="1"/>
  <c r="I560" i="1"/>
  <c r="H542" i="1"/>
  <c r="H541" i="1"/>
  <c r="H540" i="1"/>
  <c r="H539" i="1"/>
  <c r="H538" i="1"/>
  <c r="H537" i="1"/>
  <c r="H536" i="1"/>
  <c r="H534" i="1"/>
  <c r="H533" i="1"/>
  <c r="H532" i="1"/>
  <c r="H531" i="1"/>
  <c r="H530" i="1"/>
  <c r="H529" i="1"/>
  <c r="H528" i="1"/>
  <c r="H521" i="1"/>
  <c r="H522" i="1"/>
  <c r="H523" i="1"/>
  <c r="H524" i="1"/>
  <c r="H525" i="1"/>
  <c r="H526" i="1"/>
  <c r="H520" i="1"/>
  <c r="H551" i="1"/>
  <c r="H550" i="1"/>
  <c r="H549" i="1"/>
  <c r="H548" i="1"/>
  <c r="H547" i="1"/>
  <c r="H546" i="1"/>
  <c r="H544" i="1"/>
  <c r="H2" i="1"/>
  <c r="I552" i="1"/>
  <c r="I544" i="1"/>
  <c r="I553" i="1"/>
  <c r="I546" i="1"/>
  <c r="I554" i="1"/>
  <c r="I547" i="1"/>
  <c r="I555" i="1"/>
  <c r="I548" i="1"/>
  <c r="I556" i="1"/>
  <c r="I549" i="1"/>
  <c r="I540" i="1"/>
  <c r="I557" i="1"/>
  <c r="I550" i="1"/>
  <c r="I541" i="1"/>
  <c r="I559" i="1"/>
  <c r="I551" i="1"/>
  <c r="I542" i="1"/>
  <c r="I534" i="1"/>
  <c r="I526" i="1"/>
  <c r="I518" i="1"/>
  <c r="I510" i="1"/>
  <c r="I558" i="1"/>
  <c r="I545" i="1"/>
  <c r="I543" i="1"/>
  <c r="I535" i="1"/>
  <c r="I527" i="1"/>
  <c r="I519" i="1"/>
  <c r="I511" i="1"/>
  <c r="I533" i="1"/>
  <c r="I525" i="1"/>
  <c r="I517" i="1"/>
  <c r="I509" i="1"/>
  <c r="I532" i="1"/>
  <c r="I524" i="1"/>
  <c r="I516" i="1"/>
  <c r="I507" i="1"/>
  <c r="I539" i="1"/>
  <c r="I531" i="1"/>
  <c r="I523" i="1"/>
  <c r="I515" i="1"/>
  <c r="I506" i="1"/>
  <c r="I538" i="1"/>
  <c r="I530" i="1"/>
  <c r="I522" i="1"/>
  <c r="I514" i="1"/>
  <c r="I505" i="1"/>
  <c r="I537" i="1"/>
  <c r="I529" i="1"/>
  <c r="I521" i="1"/>
  <c r="I513" i="1"/>
  <c r="I504" i="1"/>
  <c r="I536" i="1"/>
  <c r="I528" i="1"/>
  <c r="I520" i="1"/>
  <c r="I512" i="1"/>
  <c r="I508" i="1"/>
  <c r="H457" i="1"/>
  <c r="I497" i="1"/>
  <c r="I490" i="1"/>
  <c r="I483" i="1"/>
  <c r="I476" i="1"/>
  <c r="I468" i="1"/>
  <c r="I460" i="1"/>
  <c r="I453" i="1"/>
  <c r="I498" i="1"/>
  <c r="I491" i="1"/>
  <c r="I484" i="1"/>
  <c r="I477" i="1"/>
  <c r="I469" i="1"/>
  <c r="I461" i="1"/>
  <c r="I454" i="1"/>
  <c r="I499" i="1"/>
  <c r="I492" i="1"/>
  <c r="I485" i="1"/>
  <c r="I478" i="1"/>
  <c r="I470" i="1"/>
  <c r="I462" i="1"/>
  <c r="I455" i="1"/>
  <c r="I500" i="1"/>
  <c r="I493" i="1"/>
  <c r="I486" i="1"/>
  <c r="I479" i="1"/>
  <c r="I471" i="1"/>
  <c r="I463" i="1"/>
  <c r="I456" i="1"/>
  <c r="I501" i="1"/>
  <c r="I494" i="1"/>
  <c r="I487" i="1"/>
  <c r="I480" i="1"/>
  <c r="I472" i="1"/>
  <c r="I467" i="1"/>
  <c r="I459" i="1"/>
  <c r="I502" i="1"/>
  <c r="I495" i="1"/>
  <c r="I488" i="1"/>
  <c r="I481" i="1"/>
  <c r="I473" i="1"/>
  <c r="I464" i="1"/>
  <c r="I457" i="1"/>
  <c r="I503" i="1"/>
  <c r="I496" i="1"/>
  <c r="I489" i="1"/>
  <c r="I482" i="1"/>
  <c r="I474" i="1"/>
  <c r="I465" i="1"/>
  <c r="I458" i="1"/>
  <c r="H409" i="1"/>
  <c r="H408" i="1"/>
  <c r="H406" i="1"/>
  <c r="H405" i="1"/>
  <c r="H403" i="1"/>
  <c r="H401" i="1"/>
  <c r="H400" i="1"/>
  <c r="H399" i="1"/>
  <c r="H397" i="1"/>
  <c r="H396" i="1"/>
  <c r="I451" i="1"/>
  <c r="I444" i="1"/>
  <c r="I436" i="1"/>
  <c r="I428" i="1"/>
  <c r="I419" i="1"/>
  <c r="I409" i="1"/>
  <c r="I403" i="1"/>
  <c r="I400" i="1"/>
  <c r="I450" i="1"/>
  <c r="I443" i="1"/>
  <c r="I435" i="1"/>
  <c r="I427" i="1"/>
  <c r="I418" i="1"/>
  <c r="I408" i="1"/>
  <c r="I401" i="1"/>
  <c r="I448" i="1"/>
  <c r="I441" i="1"/>
  <c r="I433" i="1"/>
  <c r="I425" i="1"/>
  <c r="I417" i="1"/>
  <c r="I411" i="1"/>
  <c r="I399" i="1"/>
  <c r="I449" i="1"/>
  <c r="I442" i="1"/>
  <c r="I434" i="1"/>
  <c r="I426" i="1"/>
  <c r="I420" i="1"/>
  <c r="I412" i="1"/>
  <c r="H398" i="1"/>
  <c r="H407" i="1"/>
  <c r="H416" i="1"/>
  <c r="H424" i="1"/>
  <c r="H432" i="1"/>
  <c r="H440" i="1"/>
  <c r="I447" i="1"/>
  <c r="I440" i="1"/>
  <c r="I432" i="1"/>
  <c r="I424" i="1"/>
  <c r="I416" i="1"/>
  <c r="I407" i="1"/>
  <c r="I398" i="1"/>
  <c r="I452" i="1"/>
  <c r="I439" i="1"/>
  <c r="I431" i="1"/>
  <c r="I423" i="1"/>
  <c r="I415" i="1"/>
  <c r="I406" i="1"/>
  <c r="I397" i="1"/>
  <c r="I437" i="1"/>
  <c r="I429" i="1"/>
  <c r="I421" i="1"/>
  <c r="I413" i="1"/>
  <c r="I404" i="1"/>
  <c r="I402" i="1"/>
  <c r="I438" i="1"/>
  <c r="I392" i="1"/>
  <c r="I384" i="1"/>
  <c r="I385" i="1"/>
  <c r="I386" i="1"/>
  <c r="I387" i="1"/>
  <c r="I388" i="1"/>
  <c r="I389" i="1"/>
  <c r="I390" i="1"/>
  <c r="I391" i="1"/>
  <c r="I393" i="1"/>
  <c r="I394" i="1"/>
  <c r="I395" i="1"/>
  <c r="I445" i="1"/>
  <c r="I430" i="1"/>
  <c r="I422" i="1"/>
  <c r="I414" i="1"/>
  <c r="I405" i="1"/>
  <c r="I396" i="1"/>
  <c r="I446" i="1"/>
  <c r="M2" i="9"/>
  <c r="K2" i="9"/>
  <c r="M2" i="8"/>
  <c r="K2" i="8"/>
  <c r="H378" i="1"/>
  <c r="H371" i="1"/>
  <c r="H363" i="1"/>
  <c r="H356" i="1"/>
  <c r="H347" i="1"/>
  <c r="H332" i="1"/>
  <c r="H324" i="1"/>
  <c r="H317" i="1"/>
  <c r="H309" i="1"/>
  <c r="H302" i="1"/>
  <c r="H294" i="1"/>
  <c r="I342" i="1"/>
  <c r="I380" i="1"/>
  <c r="I372" i="1"/>
  <c r="I364" i="1"/>
  <c r="I357" i="1"/>
  <c r="I349" i="1"/>
  <c r="I341" i="1"/>
  <c r="I334" i="1"/>
  <c r="I325" i="1"/>
  <c r="I318" i="1"/>
  <c r="I310" i="1"/>
  <c r="I303" i="1"/>
  <c r="I295" i="1"/>
  <c r="I293" i="1"/>
  <c r="I378" i="1"/>
  <c r="I371" i="1"/>
  <c r="I363" i="1"/>
  <c r="I356" i="1"/>
  <c r="I347" i="1"/>
  <c r="I340" i="1"/>
  <c r="I332" i="1"/>
  <c r="I324" i="1"/>
  <c r="I317" i="1"/>
  <c r="I309" i="1"/>
  <c r="I302" i="1"/>
  <c r="I294" i="1"/>
  <c r="I379" i="1"/>
  <c r="I370" i="1"/>
  <c r="I362" i="1"/>
  <c r="I355" i="1"/>
  <c r="I348" i="1"/>
  <c r="I339" i="1"/>
  <c r="I333" i="1"/>
  <c r="I323" i="1"/>
  <c r="I316" i="1"/>
  <c r="I308" i="1"/>
  <c r="I301" i="1"/>
  <c r="I377" i="1"/>
  <c r="I369" i="1"/>
  <c r="I361" i="1"/>
  <c r="I354" i="1"/>
  <c r="I346" i="1"/>
  <c r="I338" i="1"/>
  <c r="I331" i="1"/>
  <c r="I322" i="1"/>
  <c r="I315" i="1"/>
  <c r="I307" i="1"/>
  <c r="I300" i="1"/>
  <c r="I292" i="1"/>
  <c r="I383" i="1"/>
  <c r="I376" i="1"/>
  <c r="I368" i="1"/>
  <c r="I360" i="1"/>
  <c r="I353" i="1"/>
  <c r="I345" i="1"/>
  <c r="I337" i="1"/>
  <c r="I330" i="1"/>
  <c r="I321" i="1"/>
  <c r="I314" i="1"/>
  <c r="I306" i="1"/>
  <c r="I299" i="1"/>
  <c r="I291" i="1"/>
  <c r="I382" i="1"/>
  <c r="I374" i="1"/>
  <c r="I367" i="1"/>
  <c r="I359" i="1"/>
  <c r="I352" i="1"/>
  <c r="I344" i="1"/>
  <c r="I336" i="1"/>
  <c r="I328" i="1"/>
  <c r="I320" i="1"/>
  <c r="I313" i="1"/>
  <c r="I305" i="1"/>
  <c r="I298" i="1"/>
  <c r="I290" i="1"/>
  <c r="I289" i="1"/>
  <c r="I286" i="1"/>
  <c r="I287" i="1"/>
  <c r="I288" i="1"/>
  <c r="I381" i="1"/>
  <c r="I375" i="1"/>
  <c r="I366" i="1"/>
  <c r="I358" i="1"/>
  <c r="I351" i="1"/>
  <c r="I343" i="1"/>
  <c r="I335" i="1"/>
  <c r="I329" i="1"/>
  <c r="I319" i="1"/>
  <c r="I312" i="1"/>
  <c r="I304" i="1"/>
  <c r="I297" i="1"/>
  <c r="H285" i="1" l="1"/>
  <c r="H277" i="1"/>
  <c r="H268" i="1"/>
  <c r="H260" i="1"/>
  <c r="H253" i="1"/>
  <c r="H245" i="1"/>
  <c r="H237" i="1"/>
  <c r="H230" i="1" l="1"/>
  <c r="I274" i="1" l="1"/>
  <c r="I278" i="1"/>
  <c r="I233" i="1"/>
  <c r="I232" i="1"/>
  <c r="I280" i="1"/>
  <c r="I272" i="1"/>
  <c r="I264" i="1"/>
  <c r="I256" i="1"/>
  <c r="I248" i="1"/>
  <c r="I240" i="1"/>
  <c r="I231" i="1"/>
  <c r="I279" i="1"/>
  <c r="I271" i="1"/>
  <c r="I263" i="1"/>
  <c r="I255" i="1"/>
  <c r="I247" i="1"/>
  <c r="I239" i="1"/>
  <c r="I270" i="1"/>
  <c r="I262" i="1"/>
  <c r="I254" i="1"/>
  <c r="I246" i="1"/>
  <c r="I238" i="1"/>
  <c r="I229" i="1"/>
  <c r="I285" i="1"/>
  <c r="I277" i="1"/>
  <c r="I269" i="1"/>
  <c r="I261" i="1"/>
  <c r="I253" i="1"/>
  <c r="I245" i="1"/>
  <c r="I237" i="1"/>
  <c r="I230" i="1"/>
  <c r="I228" i="1"/>
  <c r="I284" i="1"/>
  <c r="I276" i="1"/>
  <c r="I268" i="1"/>
  <c r="I260" i="1"/>
  <c r="I252" i="1"/>
  <c r="I244" i="1"/>
  <c r="I236" i="1"/>
  <c r="I283" i="1"/>
  <c r="I275" i="1"/>
  <c r="I267" i="1"/>
  <c r="I259" i="1"/>
  <c r="I251" i="1"/>
  <c r="I243" i="1"/>
  <c r="I235" i="1"/>
  <c r="I266" i="1"/>
  <c r="I258" i="1"/>
  <c r="I250" i="1"/>
  <c r="I242" i="1"/>
  <c r="I234" i="1"/>
  <c r="I227" i="1"/>
  <c r="H25" i="6"/>
  <c r="I25" i="6" s="1"/>
  <c r="J25" i="6" s="1"/>
  <c r="K25" i="6" s="1"/>
  <c r="H24" i="6"/>
  <c r="I24" i="6" s="1"/>
  <c r="J24" i="6" s="1"/>
  <c r="K24" i="6" s="1"/>
  <c r="H23" i="6"/>
  <c r="I23" i="6" s="1"/>
  <c r="J23" i="6" s="1"/>
  <c r="K23" i="6" s="1"/>
  <c r="H22" i="6"/>
  <c r="I22" i="6" s="1"/>
  <c r="J22" i="6" s="1"/>
  <c r="K22" i="6" s="1"/>
  <c r="H21" i="6"/>
  <c r="I21" i="6" s="1"/>
  <c r="J21" i="6" s="1"/>
  <c r="K21" i="6" s="1"/>
  <c r="H20" i="6"/>
  <c r="I20" i="6" s="1"/>
  <c r="J20" i="6" s="1"/>
  <c r="K20" i="6" s="1"/>
  <c r="H221" i="1" l="1"/>
  <c r="H213" i="1"/>
  <c r="H205" i="1"/>
  <c r="H198" i="1"/>
  <c r="H190" i="1"/>
  <c r="H182" i="1"/>
  <c r="H175" i="1"/>
  <c r="H179" i="1" l="1"/>
  <c r="H187" i="1"/>
  <c r="H195" i="1"/>
  <c r="H203" i="1"/>
  <c r="H211" i="1"/>
  <c r="H219" i="1"/>
  <c r="I226" i="1"/>
  <c r="I219" i="1"/>
  <c r="I211" i="1"/>
  <c r="I203" i="1"/>
  <c r="I195" i="1"/>
  <c r="I187" i="1"/>
  <c r="I179" i="1"/>
  <c r="H177" i="1"/>
  <c r="H185" i="1"/>
  <c r="H193" i="1"/>
  <c r="H201" i="1"/>
  <c r="H209" i="1"/>
  <c r="H217" i="1"/>
  <c r="I225" i="1"/>
  <c r="I217" i="1"/>
  <c r="I209" i="1"/>
  <c r="I201" i="1"/>
  <c r="I193" i="1"/>
  <c r="I185" i="1"/>
  <c r="I177" i="1"/>
  <c r="H176" i="1" l="1"/>
  <c r="H184" i="1"/>
  <c r="H192" i="1"/>
  <c r="H200" i="1"/>
  <c r="H208" i="1"/>
  <c r="H216" i="1"/>
  <c r="I224" i="1"/>
  <c r="I216" i="1"/>
  <c r="I208" i="1"/>
  <c r="I200" i="1"/>
  <c r="I192" i="1"/>
  <c r="I184" i="1"/>
  <c r="I176" i="1"/>
  <c r="I221" i="1"/>
  <c r="I213" i="1"/>
  <c r="I205" i="1"/>
  <c r="I198" i="1"/>
  <c r="I190" i="1"/>
  <c r="I182" i="1"/>
  <c r="I175" i="1"/>
  <c r="I223" i="1"/>
  <c r="I215" i="1"/>
  <c r="I207" i="1"/>
  <c r="I197" i="1"/>
  <c r="I189" i="1"/>
  <c r="I181" i="1"/>
  <c r="I174" i="1"/>
  <c r="I183" i="1"/>
  <c r="I220" i="1"/>
  <c r="I212" i="1"/>
  <c r="I204" i="1"/>
  <c r="I196" i="1"/>
  <c r="I188" i="1"/>
  <c r="I173" i="1"/>
  <c r="I171" i="1"/>
  <c r="I222" i="1"/>
  <c r="I214" i="1"/>
  <c r="I206" i="1"/>
  <c r="I199" i="1"/>
  <c r="I191" i="1"/>
  <c r="I180" i="1"/>
  <c r="I172" i="1"/>
  <c r="H4" i="6" l="1"/>
  <c r="I4" i="6" s="1"/>
  <c r="H5" i="6"/>
  <c r="I5" i="6" s="1"/>
  <c r="H6" i="6"/>
  <c r="I6" i="6" s="1"/>
  <c r="H7" i="6"/>
  <c r="I7" i="6" s="1"/>
  <c r="H8" i="6"/>
  <c r="I8" i="6" s="1"/>
  <c r="H9" i="6"/>
  <c r="I9" i="6" s="1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3" i="6"/>
  <c r="I3" i="6" s="1"/>
  <c r="J17" i="6" l="1"/>
  <c r="K17" i="6" s="1"/>
  <c r="J18" i="6"/>
  <c r="K18" i="6" s="1"/>
  <c r="J19" i="6"/>
  <c r="K19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H119" i="1" l="1"/>
  <c r="H127" i="1"/>
  <c r="H135" i="1"/>
  <c r="H142" i="1"/>
  <c r="H150" i="1"/>
  <c r="H159" i="1"/>
  <c r="H167" i="1"/>
  <c r="H112" i="1"/>
  <c r="I149" i="1"/>
  <c r="I153" i="1"/>
  <c r="I155" i="1"/>
  <c r="O160" i="1"/>
  <c r="I160" i="1" s="1"/>
  <c r="O151" i="1"/>
  <c r="I151" i="1" s="1"/>
  <c r="I142" i="1"/>
  <c r="I150" i="1"/>
  <c r="I159" i="1"/>
  <c r="I167" i="1"/>
  <c r="I146" i="1"/>
  <c r="I154" i="1"/>
  <c r="I162" i="1"/>
  <c r="I170" i="1"/>
  <c r="I145" i="1"/>
  <c r="I152" i="1"/>
  <c r="I158" i="1"/>
  <c r="I166" i="1"/>
  <c r="I147" i="1"/>
  <c r="I163" i="1"/>
  <c r="I143" i="1"/>
  <c r="I161" i="1"/>
  <c r="I141" i="1"/>
  <c r="I157" i="1"/>
  <c r="I165" i="1"/>
  <c r="I144" i="1"/>
  <c r="I168" i="1"/>
  <c r="H5" i="1"/>
  <c r="H104" i="1"/>
  <c r="H96" i="1"/>
  <c r="H88" i="1"/>
  <c r="H81" i="1"/>
  <c r="H73" i="1"/>
  <c r="H67" i="1"/>
  <c r="H59" i="1"/>
  <c r="H69" i="1"/>
  <c r="I135" i="1"/>
  <c r="I138" i="1"/>
  <c r="I130" i="1"/>
  <c r="I122" i="1"/>
  <c r="I115" i="1"/>
  <c r="I107" i="1"/>
  <c r="I99" i="1"/>
  <c r="I91" i="1"/>
  <c r="I84" i="1"/>
  <c r="I76" i="1"/>
  <c r="I137" i="1"/>
  <c r="I129" i="1"/>
  <c r="I114" i="1"/>
  <c r="I106" i="1"/>
  <c r="I98" i="1"/>
  <c r="I90" i="1"/>
  <c r="I83" i="1"/>
  <c r="I75" i="1"/>
  <c r="I139" i="1"/>
  <c r="I131" i="1"/>
  <c r="I123" i="1"/>
  <c r="I116" i="1"/>
  <c r="I109" i="1"/>
  <c r="I101" i="1"/>
  <c r="I92" i="1"/>
  <c r="I85" i="1"/>
  <c r="I77" i="1"/>
  <c r="I136" i="1"/>
  <c r="I128" i="1"/>
  <c r="I120" i="1"/>
  <c r="I113" i="1"/>
  <c r="I105" i="1"/>
  <c r="I97" i="1"/>
  <c r="I89" i="1"/>
  <c r="I82" i="1"/>
  <c r="I74" i="1"/>
  <c r="I133" i="1"/>
  <c r="I125" i="1"/>
  <c r="I117" i="1"/>
  <c r="I110" i="1"/>
  <c r="I102" i="1"/>
  <c r="I94" i="1"/>
  <c r="I86" i="1"/>
  <c r="I79" i="1"/>
  <c r="I71" i="1"/>
  <c r="I134" i="1"/>
  <c r="I126" i="1"/>
  <c r="I118" i="1"/>
  <c r="I111" i="1"/>
  <c r="I103" i="1"/>
  <c r="I95" i="1"/>
  <c r="I87" i="1"/>
  <c r="I80" i="1"/>
  <c r="I72" i="1"/>
  <c r="I127" i="1"/>
  <c r="I119" i="1"/>
  <c r="I112" i="1"/>
  <c r="I104" i="1"/>
  <c r="I96" i="1"/>
  <c r="I88" i="1"/>
  <c r="I81" i="1"/>
  <c r="I73" i="1"/>
  <c r="C64" i="4"/>
  <c r="B64" i="4" s="1"/>
  <c r="B60" i="4"/>
  <c r="B61" i="4"/>
  <c r="C62" i="4"/>
  <c r="C67" i="4" s="1"/>
  <c r="D61" i="4"/>
  <c r="D60" i="4"/>
  <c r="D67" i="4" s="1"/>
  <c r="K7" i="4"/>
  <c r="E34" i="4"/>
  <c r="E35" i="4"/>
  <c r="L7" i="4" s="1"/>
  <c r="E36" i="4"/>
  <c r="E37" i="4"/>
  <c r="E38" i="4"/>
  <c r="E39" i="4"/>
  <c r="E40" i="4"/>
  <c r="E41" i="4"/>
  <c r="E42" i="4"/>
  <c r="E43" i="4"/>
  <c r="E44" i="4"/>
  <c r="E45" i="4"/>
  <c r="E46" i="4"/>
  <c r="E47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E48" i="4"/>
  <c r="E49" i="4"/>
  <c r="D48" i="4"/>
  <c r="D49" i="4"/>
  <c r="K6" i="4"/>
  <c r="E21" i="4"/>
  <c r="L6" i="4" s="1"/>
  <c r="E22" i="4"/>
  <c r="E23" i="4"/>
  <c r="E24" i="4"/>
  <c r="E25" i="4"/>
  <c r="E26" i="4"/>
  <c r="E27" i="4"/>
  <c r="E28" i="4"/>
  <c r="E29" i="4"/>
  <c r="E30" i="4"/>
  <c r="E31" i="4"/>
  <c r="E32" i="4"/>
  <c r="E33" i="4"/>
  <c r="D30" i="4"/>
  <c r="D22" i="4"/>
  <c r="D23" i="4"/>
  <c r="D24" i="4"/>
  <c r="D25" i="4"/>
  <c r="D26" i="4"/>
  <c r="D27" i="4"/>
  <c r="D28" i="4"/>
  <c r="D29" i="4"/>
  <c r="D31" i="4"/>
  <c r="D21" i="4"/>
  <c r="L5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P20" i="4"/>
  <c r="P5" i="4"/>
  <c r="P7" i="4"/>
  <c r="P9" i="4"/>
  <c r="P10" i="4"/>
  <c r="P12" i="4"/>
  <c r="P13" i="4"/>
  <c r="P16" i="4"/>
  <c r="P19" i="4"/>
  <c r="P4" i="4"/>
  <c r="Q4" i="4"/>
  <c r="K5" i="4"/>
  <c r="M5" i="4" s="1"/>
  <c r="K4" i="4"/>
  <c r="E18" i="4"/>
  <c r="E15" i="4"/>
  <c r="P14" i="4" s="1"/>
  <c r="E14" i="4"/>
  <c r="P11" i="4" s="1"/>
  <c r="D20" i="4"/>
  <c r="D19" i="4"/>
  <c r="D18" i="4"/>
  <c r="D17" i="4"/>
  <c r="D16" i="4"/>
  <c r="D15" i="4"/>
  <c r="D14" i="4"/>
  <c r="D5" i="4"/>
  <c r="D6" i="4"/>
  <c r="D7" i="4"/>
  <c r="D8" i="4"/>
  <c r="D9" i="4"/>
  <c r="D10" i="4"/>
  <c r="D11" i="4"/>
  <c r="D12" i="4"/>
  <c r="D13" i="4"/>
  <c r="D4" i="4"/>
  <c r="E16" i="4"/>
  <c r="E17" i="4"/>
  <c r="E19" i="4"/>
  <c r="P18" i="4" s="1"/>
  <c r="E20" i="4"/>
  <c r="E11" i="4"/>
  <c r="E5" i="4"/>
  <c r="P6" i="4" s="1"/>
  <c r="E6" i="4"/>
  <c r="E7" i="4"/>
  <c r="P8" i="4" s="1"/>
  <c r="E8" i="4"/>
  <c r="E9" i="4"/>
  <c r="E10" i="4"/>
  <c r="P15" i="4" s="1"/>
  <c r="E12" i="4"/>
  <c r="P17" i="4" s="1"/>
  <c r="E13" i="4"/>
  <c r="E4" i="4"/>
  <c r="L4" i="4" s="1"/>
  <c r="M4" i="4" s="1"/>
  <c r="I67" i="1"/>
  <c r="I59" i="1"/>
  <c r="I53" i="1"/>
  <c r="I45" i="1"/>
  <c r="I37" i="1"/>
  <c r="I29" i="1"/>
  <c r="I20" i="1"/>
  <c r="I9" i="1"/>
  <c r="I65" i="1"/>
  <c r="I58" i="1"/>
  <c r="I50" i="1"/>
  <c r="I42" i="1"/>
  <c r="I34" i="1"/>
  <c r="I25" i="1"/>
  <c r="I16" i="1"/>
  <c r="I8" i="1"/>
  <c r="I64" i="1"/>
  <c r="I57" i="1"/>
  <c r="I49" i="1"/>
  <c r="I41" i="1"/>
  <c r="I33" i="1"/>
  <c r="I24" i="1"/>
  <c r="I15" i="1"/>
  <c r="I7" i="1"/>
  <c r="I63" i="1"/>
  <c r="I56" i="1"/>
  <c r="I48" i="1"/>
  <c r="I40" i="1"/>
  <c r="I32" i="1"/>
  <c r="I23" i="1"/>
  <c r="I14" i="1"/>
  <c r="I68" i="1"/>
  <c r="I60" i="1"/>
  <c r="I54" i="1"/>
  <c r="I46" i="1"/>
  <c r="I38" i="1"/>
  <c r="I30" i="1"/>
  <c r="I21" i="1"/>
  <c r="I12" i="1"/>
  <c r="I66" i="1"/>
  <c r="I61" i="1"/>
  <c r="I51" i="1"/>
  <c r="I43" i="1"/>
  <c r="I35" i="1"/>
  <c r="I26" i="1"/>
  <c r="I17" i="1"/>
  <c r="I10" i="1"/>
  <c r="I70" i="1"/>
  <c r="I62" i="1"/>
  <c r="I55" i="1"/>
  <c r="I47" i="1"/>
  <c r="I39" i="1"/>
  <c r="I31" i="1"/>
  <c r="I22" i="1"/>
  <c r="I13" i="1"/>
  <c r="M7" i="4" l="1"/>
  <c r="M6" i="4"/>
  <c r="E50" i="4"/>
  <c r="B62" i="4"/>
  <c r="B67" i="4" s="1"/>
</calcChain>
</file>

<file path=xl/sharedStrings.xml><?xml version="1.0" encoding="utf-8"?>
<sst xmlns="http://schemas.openxmlformats.org/spreadsheetml/2006/main" count="12709" uniqueCount="3509">
  <si>
    <t>Semana:</t>
  </si>
  <si>
    <t>até</t>
  </si>
  <si>
    <t>Número Semana:</t>
  </si>
  <si>
    <t>P</t>
  </si>
  <si>
    <t>Tít.: Information for ES 0101_SP920178</t>
  </si>
  <si>
    <t>Intervalo de Datas: 06 May 2026 - 12 May 2026</t>
  </si>
  <si>
    <t>Data de Geração do Relatório: 12 May 2026 11: 55: 51 UTC</t>
  </si>
  <si>
    <t>Data</t>
  </si>
  <si>
    <t>Semana</t>
  </si>
  <si>
    <t>Status</t>
  </si>
  <si>
    <t>Prefixo</t>
  </si>
  <si>
    <t>Local de Atuação</t>
  </si>
  <si>
    <t>Cascalho Real</t>
  </si>
  <si>
    <t>Observação</t>
  </si>
  <si>
    <t>Meta Diária</t>
  </si>
  <si>
    <t>Produção (t/h)</t>
  </si>
  <si>
    <t>Hr Tempo Exec</t>
  </si>
  <si>
    <t>Horas Trabal.</t>
  </si>
  <si>
    <t>Hr Ociosas</t>
  </si>
  <si>
    <t>Percentual Mch Lenta</t>
  </si>
  <si>
    <t>Ciclos Diár.</t>
  </si>
  <si>
    <t>Carg Út Diár. (t)</t>
  </si>
  <si>
    <t>Carga Útil/Ciclo (t)</t>
  </si>
  <si>
    <t>Carg Út/Comb (t/L)</t>
  </si>
  <si>
    <t>Comb Diár (l)</t>
  </si>
  <si>
    <t>Comb Mch Lenta (l)</t>
  </si>
  <si>
    <t>Tx Comb Mrch Lenta (L/h)</t>
  </si>
  <si>
    <t>Comb em Oper (l)</t>
  </si>
  <si>
    <t>Tx Comb em Oper (L/h)</t>
  </si>
  <si>
    <t>Horômetro Vida Út</t>
  </si>
  <si>
    <t>Licznik wszyst cykli</t>
  </si>
  <si>
    <t>Med Carg Út Vid Útil (t)</t>
  </si>
  <si>
    <t>Dist. Diária (km)</t>
  </si>
  <si>
    <t>Distância/Ciclo (km)</t>
  </si>
  <si>
    <t>Distância Vida Út (km)</t>
  </si>
  <si>
    <t>S19</t>
  </si>
  <si>
    <t>Em operação</t>
  </si>
  <si>
    <t>ES 0075</t>
  </si>
  <si>
    <t>Jazida de Cascalho</t>
  </si>
  <si>
    <t>ES 0096</t>
  </si>
  <si>
    <t>Drenagem</t>
  </si>
  <si>
    <t>Pesagem distorcida</t>
  </si>
  <si>
    <t>-</t>
  </si>
  <si>
    <t>ES 0097</t>
  </si>
  <si>
    <t>Não está emitindo pesagem</t>
  </si>
  <si>
    <t/>
  </si>
  <si>
    <t>ES 0099</t>
  </si>
  <si>
    <t>Produção</t>
  </si>
  <si>
    <t>ES 0101</t>
  </si>
  <si>
    <t>ES 0116</t>
  </si>
  <si>
    <t>ES 0110</t>
  </si>
  <si>
    <t>Produção/Rebaixo</t>
  </si>
  <si>
    <t>ES 0126</t>
  </si>
  <si>
    <t>Em Manutenção</t>
  </si>
  <si>
    <t>Apoio</t>
  </si>
  <si>
    <t>Dia Não Operacional</t>
  </si>
  <si>
    <t>Não operacional</t>
  </si>
  <si>
    <t>S20</t>
  </si>
  <si>
    <t>S21</t>
  </si>
  <si>
    <t>Emitiu pesagem incorreta</t>
  </si>
  <si>
    <t>Não emitiu pesagem</t>
  </si>
  <si>
    <t>Limpeza</t>
  </si>
  <si>
    <t>S22</t>
  </si>
  <si>
    <t>Arrumou a praça</t>
  </si>
  <si>
    <t>S23</t>
  </si>
  <si>
    <t>Em manutenção</t>
  </si>
  <si>
    <t>S24</t>
  </si>
  <si>
    <t>ES 0135</t>
  </si>
  <si>
    <t>S25</t>
  </si>
  <si>
    <t>Sem operador</t>
  </si>
  <si>
    <t>Fator Climático</t>
  </si>
  <si>
    <t>S26</t>
  </si>
  <si>
    <t>5,99</t>
  </si>
  <si>
    <t>3,99</t>
  </si>
  <si>
    <t>33,38</t>
  </si>
  <si>
    <t>93,69</t>
  </si>
  <si>
    <t>7,57</t>
  </si>
  <si>
    <t>3,79</t>
  </si>
  <si>
    <t>86,12</t>
  </si>
  <si>
    <t>21,57</t>
  </si>
  <si>
    <t>8663,67</t>
  </si>
  <si>
    <t>234,8</t>
  </si>
  <si>
    <t>7,96</t>
  </si>
  <si>
    <t>7,06</t>
  </si>
  <si>
    <t>0,9</t>
  </si>
  <si>
    <t>11,31</t>
  </si>
  <si>
    <t>2,82</t>
  </si>
  <si>
    <t>9,75</t>
  </si>
  <si>
    <t>229,02</t>
  </si>
  <si>
    <t>4,26</t>
  </si>
  <si>
    <t>4,73</t>
  </si>
  <si>
    <t>224,76</t>
  </si>
  <si>
    <t>31,84</t>
  </si>
  <si>
    <t>7709,48</t>
  </si>
  <si>
    <t>0,1</t>
  </si>
  <si>
    <t>239,5</t>
  </si>
  <si>
    <t>9,06</t>
  </si>
  <si>
    <t>8,21</t>
  </si>
  <si>
    <t>0,85</t>
  </si>
  <si>
    <t>9,39</t>
  </si>
  <si>
    <t>4,29</t>
  </si>
  <si>
    <t>10,97</t>
  </si>
  <si>
    <t>320,81</t>
  </si>
  <si>
    <t>5,2</t>
  </si>
  <si>
    <t>6,12</t>
  </si>
  <si>
    <t>315,61</t>
  </si>
  <si>
    <t>38,46</t>
  </si>
  <si>
    <t>6430,79</t>
  </si>
  <si>
    <t>47,1</t>
  </si>
  <si>
    <t>7,73</t>
  </si>
  <si>
    <t>6,63</t>
  </si>
  <si>
    <t>1,1</t>
  </si>
  <si>
    <t>14,22</t>
  </si>
  <si>
    <t>2,01</t>
  </si>
  <si>
    <t>7,08</t>
  </si>
  <si>
    <t>128,7</t>
  </si>
  <si>
    <t>4,3</t>
  </si>
  <si>
    <t>123,97</t>
  </si>
  <si>
    <t>18,69</t>
  </si>
  <si>
    <t>2243,5</t>
  </si>
  <si>
    <t>0,6</t>
  </si>
  <si>
    <t>306,1</t>
  </si>
  <si>
    <t>7,76</t>
  </si>
  <si>
    <t>6,56</t>
  </si>
  <si>
    <t>1,2</t>
  </si>
  <si>
    <t>15,47</t>
  </si>
  <si>
    <t>3,15</t>
  </si>
  <si>
    <t>8,7</t>
  </si>
  <si>
    <t>262,14</t>
  </si>
  <si>
    <t>5,68</t>
  </si>
  <si>
    <t>256,46</t>
  </si>
  <si>
    <t>39,12</t>
  </si>
  <si>
    <t>1770,85</t>
  </si>
  <si>
    <t>4,8</t>
  </si>
  <si>
    <t>7,66</t>
  </si>
  <si>
    <t>6,66</t>
  </si>
  <si>
    <t>13,05</t>
  </si>
  <si>
    <t>1,91</t>
  </si>
  <si>
    <t>8,35</t>
  </si>
  <si>
    <t>147,63</t>
  </si>
  <si>
    <t>3,31</t>
  </si>
  <si>
    <t>144,32</t>
  </si>
  <si>
    <t>21,66</t>
  </si>
  <si>
    <t>734,23</t>
  </si>
  <si>
    <t>2,7</t>
  </si>
  <si>
    <t>71,3</t>
  </si>
  <si>
    <t>Na oficina</t>
  </si>
  <si>
    <t>9,11</t>
  </si>
  <si>
    <t>5,51</t>
  </si>
  <si>
    <t>3,6</t>
  </si>
  <si>
    <t>39,52</t>
  </si>
  <si>
    <t>1,88</t>
  </si>
  <si>
    <t>9,43</t>
  </si>
  <si>
    <t>120,66</t>
  </si>
  <si>
    <t>12,3</t>
  </si>
  <si>
    <t>3,42</t>
  </si>
  <si>
    <t>108,36</t>
  </si>
  <si>
    <t>19,67</t>
  </si>
  <si>
    <t>336,1</t>
  </si>
  <si>
    <t>23,8</t>
  </si>
  <si>
    <t>3,43</t>
  </si>
  <si>
    <t>2,98</t>
  </si>
  <si>
    <t>0,45</t>
  </si>
  <si>
    <t>13,13</t>
  </si>
  <si>
    <t>65,77</t>
  </si>
  <si>
    <t>1,89</t>
  </si>
  <si>
    <t>4,21</t>
  </si>
  <si>
    <t>63,88</t>
  </si>
  <si>
    <t>21,46</t>
  </si>
  <si>
    <t>8667,09</t>
  </si>
  <si>
    <t>234,9</t>
  </si>
  <si>
    <t>4,34</t>
  </si>
  <si>
    <t>3,69</t>
  </si>
  <si>
    <t>0,65</t>
  </si>
  <si>
    <t>14,98</t>
  </si>
  <si>
    <t>2,66</t>
  </si>
  <si>
    <t>116,87</t>
  </si>
  <si>
    <t>6,55</t>
  </si>
  <si>
    <t>112,62</t>
  </si>
  <si>
    <t>30,52</t>
  </si>
  <si>
    <t>7713,82</t>
  </si>
  <si>
    <t>3,7</t>
  </si>
  <si>
    <t>2,8</t>
  </si>
  <si>
    <t>24,33</t>
  </si>
  <si>
    <t>3,22</t>
  </si>
  <si>
    <t>106,94</t>
  </si>
  <si>
    <t>5,78</t>
  </si>
  <si>
    <t>101,73</t>
  </si>
  <si>
    <t>36,35</t>
  </si>
  <si>
    <t>6434,49</t>
  </si>
  <si>
    <t>47,2</t>
  </si>
  <si>
    <t>12,54</t>
  </si>
  <si>
    <t>11,34</t>
  </si>
  <si>
    <t>9,57</t>
  </si>
  <si>
    <t>2,39</t>
  </si>
  <si>
    <t>14,49</t>
  </si>
  <si>
    <t>247,47</t>
  </si>
  <si>
    <t>3,55</t>
  </si>
  <si>
    <t>243,21</t>
  </si>
  <si>
    <t>21,44</t>
  </si>
  <si>
    <t>746,77</t>
  </si>
  <si>
    <t>1,4</t>
  </si>
  <si>
    <t>72,7</t>
  </si>
  <si>
    <t>6,36</t>
  </si>
  <si>
    <t>1,3</t>
  </si>
  <si>
    <t>16,97</t>
  </si>
  <si>
    <t>1,61</t>
  </si>
  <si>
    <t>9,64</t>
  </si>
  <si>
    <t>129,65</t>
  </si>
  <si>
    <t>3,28</t>
  </si>
  <si>
    <t>125,39</t>
  </si>
  <si>
    <t>19,71</t>
  </si>
  <si>
    <t>343,76</t>
  </si>
  <si>
    <t>1,7</t>
  </si>
  <si>
    <t>25,5</t>
  </si>
  <si>
    <t>0,67</t>
  </si>
  <si>
    <t>0,32</t>
  </si>
  <si>
    <t>0,35</t>
  </si>
  <si>
    <t>51,94</t>
  </si>
  <si>
    <t>1,42</t>
  </si>
  <si>
    <t>4,06</t>
  </si>
  <si>
    <t>2,84</t>
  </si>
  <si>
    <t>8,77</t>
  </si>
  <si>
    <t>2244,17</t>
  </si>
  <si>
    <t>7,07</t>
  </si>
  <si>
    <t>5,97</t>
  </si>
  <si>
    <t>15,57</t>
  </si>
  <si>
    <t>130,6</t>
  </si>
  <si>
    <t>3,87</t>
  </si>
  <si>
    <t>126,34</t>
  </si>
  <si>
    <t>21,18</t>
  </si>
  <si>
    <t>8674,16</t>
  </si>
  <si>
    <t>0,7</t>
  </si>
  <si>
    <t>235,6</t>
  </si>
  <si>
    <t>6,81</t>
  </si>
  <si>
    <t>5,66</t>
  </si>
  <si>
    <t>1,15</t>
  </si>
  <si>
    <t>16,88</t>
  </si>
  <si>
    <t>3,74</t>
  </si>
  <si>
    <t>11,54</t>
  </si>
  <si>
    <t>146,68</t>
  </si>
  <si>
    <t>6,62</t>
  </si>
  <si>
    <t>5,76</t>
  </si>
  <si>
    <t>140,06</t>
  </si>
  <si>
    <t>24,73</t>
  </si>
  <si>
    <t>7720,63</t>
  </si>
  <si>
    <t>239,6</t>
  </si>
  <si>
    <t>9,08</t>
  </si>
  <si>
    <t>7,43</t>
  </si>
  <si>
    <t>1,65</t>
  </si>
  <si>
    <t>18,18</t>
  </si>
  <si>
    <t>12,55</t>
  </si>
  <si>
    <t>285,8</t>
  </si>
  <si>
    <t>8,99</t>
  </si>
  <si>
    <t>5,45</t>
  </si>
  <si>
    <t>276,81</t>
  </si>
  <si>
    <t>37,26</t>
  </si>
  <si>
    <t>6443,57</t>
  </si>
  <si>
    <t>4,07</t>
  </si>
  <si>
    <t>3,37</t>
  </si>
  <si>
    <t>17,19</t>
  </si>
  <si>
    <t>2,28</t>
  </si>
  <si>
    <t>8,62</t>
  </si>
  <si>
    <t>70,03</t>
  </si>
  <si>
    <t>67,19</t>
  </si>
  <si>
    <t>19,93</t>
  </si>
  <si>
    <t>2248,25</t>
  </si>
  <si>
    <t>0,3</t>
  </si>
  <si>
    <t>306,4</t>
  </si>
  <si>
    <t>13,34</t>
  </si>
  <si>
    <t>11,29</t>
  </si>
  <si>
    <t>2,05</t>
  </si>
  <si>
    <t>15,37</t>
  </si>
  <si>
    <t>2,5</t>
  </si>
  <si>
    <t>14,79</t>
  </si>
  <si>
    <t>245,11</t>
  </si>
  <si>
    <t>8,04</t>
  </si>
  <si>
    <t>3,92</t>
  </si>
  <si>
    <t>237,06</t>
  </si>
  <si>
    <t>760,11</t>
  </si>
  <si>
    <t>2,3</t>
  </si>
  <si>
    <t>1,05</t>
  </si>
  <si>
    <t>12,19</t>
  </si>
  <si>
    <t>2,45</t>
  </si>
  <si>
    <t>19,76</t>
  </si>
  <si>
    <t>169,87</t>
  </si>
  <si>
    <t>166,56</t>
  </si>
  <si>
    <t>22,01</t>
  </si>
  <si>
    <t>352,38</t>
  </si>
  <si>
    <t>26,6</t>
  </si>
  <si>
    <t>98,91</t>
  </si>
  <si>
    <t>2,37</t>
  </si>
  <si>
    <t>0,95</t>
  </si>
  <si>
    <t>286,79</t>
  </si>
  <si>
    <t>1771,15</t>
  </si>
  <si>
    <t>6,89</t>
  </si>
  <si>
    <t>5,04</t>
  </si>
  <si>
    <t>1,85</t>
  </si>
  <si>
    <t>26,84</t>
  </si>
  <si>
    <t>107,88</t>
  </si>
  <si>
    <t>3,58</t>
  </si>
  <si>
    <t>101,26</t>
  </si>
  <si>
    <t>20,08</t>
  </si>
  <si>
    <t>8681,05</t>
  </si>
  <si>
    <t>0,4</t>
  </si>
  <si>
    <t>6,83</t>
  </si>
  <si>
    <t>5,53</t>
  </si>
  <si>
    <t>19,03</t>
  </si>
  <si>
    <t>9,93</t>
  </si>
  <si>
    <t>157,57</t>
  </si>
  <si>
    <t>5,82</t>
  </si>
  <si>
    <t>27,12</t>
  </si>
  <si>
    <t>7727,46</t>
  </si>
  <si>
    <t>9,66</t>
  </si>
  <si>
    <t>8,66</t>
  </si>
  <si>
    <t>10,36</t>
  </si>
  <si>
    <t>4,95</t>
  </si>
  <si>
    <t>12,25</t>
  </si>
  <si>
    <t>340,69</t>
  </si>
  <si>
    <t>6,15</t>
  </si>
  <si>
    <t>334,54</t>
  </si>
  <si>
    <t>38,65</t>
  </si>
  <si>
    <t>6453,22</t>
  </si>
  <si>
    <t>47,3</t>
  </si>
  <si>
    <t>6,71</t>
  </si>
  <si>
    <t>5,91</t>
  </si>
  <si>
    <t>0,8</t>
  </si>
  <si>
    <t>11,93</t>
  </si>
  <si>
    <t>2,27</t>
  </si>
  <si>
    <t>6,9</t>
  </si>
  <si>
    <t>126,81</t>
  </si>
  <si>
    <t>20,99</t>
  </si>
  <si>
    <t>2254,95</t>
  </si>
  <si>
    <t>7,31</t>
  </si>
  <si>
    <t>6,16</t>
  </si>
  <si>
    <t>15,74</t>
  </si>
  <si>
    <t>3,13</t>
  </si>
  <si>
    <t>7,48</t>
  </si>
  <si>
    <t>246,52</t>
  </si>
  <si>
    <t>5,35</t>
  </si>
  <si>
    <t>240,37</t>
  </si>
  <si>
    <t>39,04</t>
  </si>
  <si>
    <t>1778,46</t>
  </si>
  <si>
    <t>4,9</t>
  </si>
  <si>
    <t>16,19</t>
  </si>
  <si>
    <t>14,44</t>
  </si>
  <si>
    <t>1,75</t>
  </si>
  <si>
    <t>10,81</t>
  </si>
  <si>
    <t>14,06</t>
  </si>
  <si>
    <t>321,76</t>
  </si>
  <si>
    <t>3,52</t>
  </si>
  <si>
    <t>21,86</t>
  </si>
  <si>
    <t>776,3</t>
  </si>
  <si>
    <t>1,8</t>
  </si>
  <si>
    <t>76,8</t>
  </si>
  <si>
    <t>9,1</t>
  </si>
  <si>
    <t>7,9</t>
  </si>
  <si>
    <t>13,18</t>
  </si>
  <si>
    <t>2,15</t>
  </si>
  <si>
    <t>12,97</t>
  </si>
  <si>
    <t>171,29</t>
  </si>
  <si>
    <t>167,5</t>
  </si>
  <si>
    <t>21,19</t>
  </si>
  <si>
    <t>361,48</t>
  </si>
  <si>
    <t>2,6</t>
  </si>
  <si>
    <t>29,2</t>
  </si>
  <si>
    <t>7,77</t>
  </si>
  <si>
    <t>6,17</t>
  </si>
  <si>
    <t>1,6</t>
  </si>
  <si>
    <t>20,6</t>
  </si>
  <si>
    <t>121,13</t>
  </si>
  <si>
    <t>19,65</t>
  </si>
  <si>
    <t>8688,82</t>
  </si>
  <si>
    <t>236,1</t>
  </si>
  <si>
    <t>7,65</t>
  </si>
  <si>
    <t>6,2</t>
  </si>
  <si>
    <t>1,45</t>
  </si>
  <si>
    <t>18,95</t>
  </si>
  <si>
    <t>2,76</t>
  </si>
  <si>
    <t>7,78</t>
  </si>
  <si>
    <t>189,27</t>
  </si>
  <si>
    <t>5,55</t>
  </si>
  <si>
    <t>181,23</t>
  </si>
  <si>
    <t>29,22</t>
  </si>
  <si>
    <t>7735,12</t>
  </si>
  <si>
    <t>239,7</t>
  </si>
  <si>
    <t>9,13</t>
  </si>
  <si>
    <t>7,93</t>
  </si>
  <si>
    <t>13,15</t>
  </si>
  <si>
    <t>4,82</t>
  </si>
  <si>
    <t>12,91</t>
  </si>
  <si>
    <t>311,82</t>
  </si>
  <si>
    <t>5,52</t>
  </si>
  <si>
    <t>305,2</t>
  </si>
  <si>
    <t>38,49</t>
  </si>
  <si>
    <t>6462,35</t>
  </si>
  <si>
    <t>47,4</t>
  </si>
  <si>
    <t>6,98</t>
  </si>
  <si>
    <t>17,2</t>
  </si>
  <si>
    <t>20,86</t>
  </si>
  <si>
    <t>123,5</t>
  </si>
  <si>
    <t>3,94</t>
  </si>
  <si>
    <t>118,77</t>
  </si>
  <si>
    <t>20,56</t>
  </si>
  <si>
    <t>2261,93</t>
  </si>
  <si>
    <t>307,7</t>
  </si>
  <si>
    <t>8,59</t>
  </si>
  <si>
    <t>7,54</t>
  </si>
  <si>
    <t>12,23</t>
  </si>
  <si>
    <t>11,73</t>
  </si>
  <si>
    <t>308,51</t>
  </si>
  <si>
    <t>4,51</t>
  </si>
  <si>
    <t>303,78</t>
  </si>
  <si>
    <t>40,31</t>
  </si>
  <si>
    <t>1787,04</t>
  </si>
  <si>
    <t>15,13</t>
  </si>
  <si>
    <t>13,63</t>
  </si>
  <si>
    <t>1,5</t>
  </si>
  <si>
    <t>9,91</t>
  </si>
  <si>
    <t>2,41</t>
  </si>
  <si>
    <t>297,63</t>
  </si>
  <si>
    <t>291,95</t>
  </si>
  <si>
    <t>21,42</t>
  </si>
  <si>
    <t>791,43</t>
  </si>
  <si>
    <t>0,2</t>
  </si>
  <si>
    <t>5,63</t>
  </si>
  <si>
    <t>4,83</t>
  </si>
  <si>
    <t>14,21</t>
  </si>
  <si>
    <t>1,67</t>
  </si>
  <si>
    <t>10,12</t>
  </si>
  <si>
    <t>91,32</t>
  </si>
  <si>
    <t>2,96</t>
  </si>
  <si>
    <t>88,96</t>
  </si>
  <si>
    <t>18,41</t>
  </si>
  <si>
    <t>367,11</t>
  </si>
  <si>
    <t>0,5</t>
  </si>
  <si>
    <t>29,7</t>
  </si>
  <si>
    <t>4,77</t>
  </si>
  <si>
    <t>3,32</t>
  </si>
  <si>
    <t>30,38</t>
  </si>
  <si>
    <t>72,4</t>
  </si>
  <si>
    <t>4,57</t>
  </si>
  <si>
    <t>19,79</t>
  </si>
  <si>
    <t>8693,59</t>
  </si>
  <si>
    <t>237,3</t>
  </si>
  <si>
    <t>4,23</t>
  </si>
  <si>
    <t>24,87</t>
  </si>
  <si>
    <t>2,42</t>
  </si>
  <si>
    <t>5,44</t>
  </si>
  <si>
    <t>130,12</t>
  </si>
  <si>
    <t>5,75</t>
  </si>
  <si>
    <t>122,08</t>
  </si>
  <si>
    <t>28,86</t>
  </si>
  <si>
    <t>7740,75</t>
  </si>
  <si>
    <t>3,23</t>
  </si>
  <si>
    <t>23,64</t>
  </si>
  <si>
    <t>4,59</t>
  </si>
  <si>
    <t>12,77</t>
  </si>
  <si>
    <t>127,28</t>
  </si>
  <si>
    <t>121,61</t>
  </si>
  <si>
    <t>37,65</t>
  </si>
  <si>
    <t>6466,58</t>
  </si>
  <si>
    <t>47,5</t>
  </si>
  <si>
    <t>8,14</t>
  </si>
  <si>
    <t>6,29</t>
  </si>
  <si>
    <t>22,74</t>
  </si>
  <si>
    <t>9,21</t>
  </si>
  <si>
    <t>133,44</t>
  </si>
  <si>
    <t>20,17</t>
  </si>
  <si>
    <t>2270,06</t>
  </si>
  <si>
    <t>308,3</t>
  </si>
  <si>
    <t>5,98</t>
  </si>
  <si>
    <t>9,8</t>
  </si>
  <si>
    <t>14,5</t>
  </si>
  <si>
    <t>253,15</t>
  </si>
  <si>
    <t>5,1</t>
  </si>
  <si>
    <t>249,84</t>
  </si>
  <si>
    <t>41,77</t>
  </si>
  <si>
    <t>1793,68</t>
  </si>
  <si>
    <t>15,15</t>
  </si>
  <si>
    <t>2,1</t>
  </si>
  <si>
    <t>13,86</t>
  </si>
  <si>
    <t>2,36</t>
  </si>
  <si>
    <t>11,82</t>
  </si>
  <si>
    <t>283,91</t>
  </si>
  <si>
    <t>3,61</t>
  </si>
  <si>
    <t>276,33</t>
  </si>
  <si>
    <t>21,17</t>
  </si>
  <si>
    <t>806,58</t>
  </si>
  <si>
    <t>7,26</t>
  </si>
  <si>
    <t>22,05</t>
  </si>
  <si>
    <t>2,03</t>
  </si>
  <si>
    <t>8,91</t>
  </si>
  <si>
    <t>117,82</t>
  </si>
  <si>
    <t>3,84</t>
  </si>
  <si>
    <t>111,67</t>
  </si>
  <si>
    <t>19,74</t>
  </si>
  <si>
    <t>374,37</t>
  </si>
  <si>
    <t>6,3</t>
  </si>
  <si>
    <t>2,4</t>
  </si>
  <si>
    <t>3,9</t>
  </si>
  <si>
    <t>61,89</t>
  </si>
  <si>
    <t>63,41</t>
  </si>
  <si>
    <t>15,14</t>
  </si>
  <si>
    <t>3,88</t>
  </si>
  <si>
    <t>48,26</t>
  </si>
  <si>
    <t>20,1</t>
  </si>
  <si>
    <t>8699,89</t>
  </si>
  <si>
    <t>237,4</t>
  </si>
  <si>
    <t>6,77</t>
  </si>
  <si>
    <t>4,27</t>
  </si>
  <si>
    <t>36,95</t>
  </si>
  <si>
    <t>88,01</t>
  </si>
  <si>
    <t>79,02</t>
  </si>
  <si>
    <t>18,52</t>
  </si>
  <si>
    <t>2276,83</t>
  </si>
  <si>
    <t>308,8</t>
  </si>
  <si>
    <t>1,23</t>
  </si>
  <si>
    <t>1,13</t>
  </si>
  <si>
    <t>8,13</t>
  </si>
  <si>
    <t>3,66</t>
  </si>
  <si>
    <t>8,17</t>
  </si>
  <si>
    <t>41,64</t>
  </si>
  <si>
    <t>0,47</t>
  </si>
  <si>
    <t>41,17</t>
  </si>
  <si>
    <t>36,43</t>
  </si>
  <si>
    <t>1794,91</t>
  </si>
  <si>
    <t>5,16</t>
  </si>
  <si>
    <t>1,55</t>
  </si>
  <si>
    <t>23,08</t>
  </si>
  <si>
    <t>1,62</t>
  </si>
  <si>
    <t>6,28</t>
  </si>
  <si>
    <t>98,42</t>
  </si>
  <si>
    <t>3,36</t>
  </si>
  <si>
    <t>93,22</t>
  </si>
  <si>
    <t>18,05</t>
  </si>
  <si>
    <t>381,08</t>
  </si>
  <si>
    <t>30,1</t>
  </si>
  <si>
    <t>5,28</t>
  </si>
  <si>
    <t>4,58</t>
  </si>
  <si>
    <t>13,26</t>
  </si>
  <si>
    <t>1,98</t>
  </si>
  <si>
    <t>2,62</t>
  </si>
  <si>
    <t>137,22</t>
  </si>
  <si>
    <t>5,41</t>
  </si>
  <si>
    <t>29,14</t>
  </si>
  <si>
    <t>7746,02</t>
  </si>
  <si>
    <t>239,9</t>
  </si>
  <si>
    <t>0</t>
  </si>
  <si>
    <t>8699.89</t>
  </si>
  <si>
    <t>237.4</t>
  </si>
  <si>
    <t>381.08</t>
  </si>
  <si>
    <t>31267</t>
  </si>
  <si>
    <t>61998</t>
  </si>
  <si>
    <t>30.1</t>
  </si>
  <si>
    <t>2276.83</t>
  </si>
  <si>
    <t>139863</t>
  </si>
  <si>
    <t>263018</t>
  </si>
  <si>
    <t>308.8</t>
  </si>
  <si>
    <t>S27</t>
  </si>
  <si>
    <t>3.54</t>
  </si>
  <si>
    <t>0.8</t>
  </si>
  <si>
    <t>22.57</t>
  </si>
  <si>
    <t>190</t>
  </si>
  <si>
    <t>3.04</t>
  </si>
  <si>
    <t>5.29</t>
  </si>
  <si>
    <t>109.3</t>
  </si>
  <si>
    <t>5.2</t>
  </si>
  <si>
    <t>6.51</t>
  </si>
  <si>
    <t>104.1</t>
  </si>
  <si>
    <t>37.94</t>
  </si>
  <si>
    <t>6470.13</t>
  </si>
  <si>
    <t>406540</t>
  </si>
  <si>
    <t>1439263</t>
  </si>
  <si>
    <t>47.5</t>
  </si>
  <si>
    <t>7746.02</t>
  </si>
  <si>
    <t>109931</t>
  </si>
  <si>
    <t>316335</t>
  </si>
  <si>
    <t>239.9</t>
  </si>
  <si>
    <t>0.4</t>
  </si>
  <si>
    <t>0.3</t>
  </si>
  <si>
    <t>75.8</t>
  </si>
  <si>
    <t>2.84</t>
  </si>
  <si>
    <t>1.89</t>
  </si>
  <si>
    <t>6.31</t>
  </si>
  <si>
    <t>0.95</t>
  </si>
  <si>
    <t>9.88</t>
  </si>
  <si>
    <t>8700.29</t>
  </si>
  <si>
    <t>11.86</t>
  </si>
  <si>
    <t>1.15</t>
  </si>
  <si>
    <t>9.7</t>
  </si>
  <si>
    <t>1352</t>
  </si>
  <si>
    <t>2.38</t>
  </si>
  <si>
    <t>13.83</t>
  </si>
  <si>
    <t>232.33</t>
  </si>
  <si>
    <t>4.26</t>
  </si>
  <si>
    <t>3.7</t>
  </si>
  <si>
    <t>228.07</t>
  </si>
  <si>
    <t>21.3</t>
  </si>
  <si>
    <t>392.94</t>
  </si>
  <si>
    <t>32619</t>
  </si>
  <si>
    <t>65212</t>
  </si>
  <si>
    <t>0.9</t>
  </si>
  <si>
    <t>31</t>
  </si>
  <si>
    <t>8.76</t>
  </si>
  <si>
    <t>2.75</t>
  </si>
  <si>
    <t>31.39</t>
  </si>
  <si>
    <t>479</t>
  </si>
  <si>
    <t>1.35</t>
  </si>
  <si>
    <t>4.85</t>
  </si>
  <si>
    <t>132.96</t>
  </si>
  <si>
    <t>8.99</t>
  </si>
  <si>
    <t>3.27</t>
  </si>
  <si>
    <t>123.97</t>
  </si>
  <si>
    <t>20.62</t>
  </si>
  <si>
    <t>2285.59</t>
  </si>
  <si>
    <t>140342</t>
  </si>
  <si>
    <t>263663</t>
  </si>
  <si>
    <t>0.7</t>
  </si>
  <si>
    <t>309.5</t>
  </si>
  <si>
    <t>7.65</t>
  </si>
  <si>
    <t>0.6</t>
  </si>
  <si>
    <t>7.84</t>
  </si>
  <si>
    <t>1114</t>
  </si>
  <si>
    <t>2.35</t>
  </si>
  <si>
    <t>16.8</t>
  </si>
  <si>
    <t>155.68</t>
  </si>
  <si>
    <t>2.37</t>
  </si>
  <si>
    <t>3.94</t>
  </si>
  <si>
    <t>153.31</t>
  </si>
  <si>
    <t>21.74</t>
  </si>
  <si>
    <t>814.23</t>
  </si>
  <si>
    <t>81870</t>
  </si>
  <si>
    <t>175564</t>
  </si>
  <si>
    <t>79.8</t>
  </si>
  <si>
    <t>9.24</t>
  </si>
  <si>
    <t>1.5</t>
  </si>
  <si>
    <t>16.24</t>
  </si>
  <si>
    <t>1025</t>
  </si>
  <si>
    <t>4.1</t>
  </si>
  <si>
    <t>13.37</t>
  </si>
  <si>
    <t>314.19</t>
  </si>
  <si>
    <t>8.04</t>
  </si>
  <si>
    <t>5.36</t>
  </si>
  <si>
    <t>306.14</t>
  </si>
  <si>
    <t>39.58</t>
  </si>
  <si>
    <t>6479.36</t>
  </si>
  <si>
    <t>407565</t>
  </si>
  <si>
    <t>1443464</t>
  </si>
  <si>
    <t>0.1</t>
  </si>
  <si>
    <t>47.6</t>
  </si>
  <si>
    <t>8.39</t>
  </si>
  <si>
    <t>1.4</t>
  </si>
  <si>
    <t>16.69</t>
  </si>
  <si>
    <t>1054</t>
  </si>
  <si>
    <t>2.7</t>
  </si>
  <si>
    <t>10.01</t>
  </si>
  <si>
    <t>283.91</t>
  </si>
  <si>
    <t>6.15</t>
  </si>
  <si>
    <t>4.39</t>
  </si>
  <si>
    <t>277.75</t>
  </si>
  <si>
    <t>39.76</t>
  </si>
  <si>
    <t>1803.29</t>
  </si>
  <si>
    <t>174547</t>
  </si>
  <si>
    <t>597297</t>
  </si>
  <si>
    <t>4.9</t>
  </si>
  <si>
    <t>6.91</t>
  </si>
  <si>
    <t>13.75</t>
  </si>
  <si>
    <t>47</t>
  </si>
  <si>
    <t>2.98</t>
  </si>
  <si>
    <t>0.73</t>
  </si>
  <si>
    <t>192.11</t>
  </si>
  <si>
    <t>5.48</t>
  </si>
  <si>
    <t>186.9</t>
  </si>
  <si>
    <t>31.36</t>
  </si>
  <si>
    <t>7752.93</t>
  </si>
  <si>
    <t>109978</t>
  </si>
  <si>
    <t>316475</t>
  </si>
  <si>
    <t>1.8</t>
  </si>
  <si>
    <t>0.04</t>
  </si>
  <si>
    <t>241.7</t>
  </si>
  <si>
    <t>1.62</t>
  </si>
  <si>
    <t>0.25</t>
  </si>
  <si>
    <t>15.45</t>
  </si>
  <si>
    <t>25.08</t>
  </si>
  <si>
    <t>3.79</t>
  </si>
  <si>
    <t>24.13</t>
  </si>
  <si>
    <t>17.64</t>
  </si>
  <si>
    <t>8701.91</t>
  </si>
  <si>
    <t>15.94</t>
  </si>
  <si>
    <t>1.7</t>
  </si>
  <si>
    <t>10.67</t>
  </si>
  <si>
    <t>64</t>
  </si>
  <si>
    <t>2.2</t>
  </si>
  <si>
    <t>0.45</t>
  </si>
  <si>
    <t>311.82</t>
  </si>
  <si>
    <t>3.06</t>
  </si>
  <si>
    <t>306.62</t>
  </si>
  <si>
    <t>21.54</t>
  </si>
  <si>
    <t>408.87</t>
  </si>
  <si>
    <t>32683</t>
  </si>
  <si>
    <t>65353</t>
  </si>
  <si>
    <t>3.6</t>
  </si>
  <si>
    <t>0.06</t>
  </si>
  <si>
    <t>34.6</t>
  </si>
  <si>
    <t>7.64</t>
  </si>
  <si>
    <t>1.65</t>
  </si>
  <si>
    <t>21.6</t>
  </si>
  <si>
    <t>445</t>
  </si>
  <si>
    <t>1.95</t>
  </si>
  <si>
    <t>6.79</t>
  </si>
  <si>
    <t>127.76</t>
  </si>
  <si>
    <t>6.62</t>
  </si>
  <si>
    <t>4.01</t>
  </si>
  <si>
    <t>121.13</t>
  </si>
  <si>
    <t>20.22</t>
  </si>
  <si>
    <t>2293.23</t>
  </si>
  <si>
    <t>140787</t>
  </si>
  <si>
    <t>264530</t>
  </si>
  <si>
    <t>0.5</t>
  </si>
  <si>
    <t>310</t>
  </si>
  <si>
    <t>8.3</t>
  </si>
  <si>
    <t>9.64</t>
  </si>
  <si>
    <t>1070</t>
  </si>
  <si>
    <t>15.73</t>
  </si>
  <si>
    <t>161.35</t>
  </si>
  <si>
    <t>3.55</t>
  </si>
  <si>
    <t>158.51</t>
  </si>
  <si>
    <t>21.13</t>
  </si>
  <si>
    <t>822.53</t>
  </si>
  <si>
    <t>82940</t>
  </si>
  <si>
    <t>178102</t>
  </si>
  <si>
    <t>80.7</t>
  </si>
  <si>
    <t>9.36</t>
  </si>
  <si>
    <t>1.05</t>
  </si>
  <si>
    <t>11.21</t>
  </si>
  <si>
    <t>267.34</t>
  </si>
  <si>
    <t>7.1</t>
  </si>
  <si>
    <t>6.76</t>
  </si>
  <si>
    <t>260.25</t>
  </si>
  <si>
    <t>31.3</t>
  </si>
  <si>
    <t>7762.3</t>
  </si>
  <si>
    <t>242.5</t>
  </si>
  <si>
    <t>2.41</t>
  </si>
  <si>
    <t>20.74</t>
  </si>
  <si>
    <t>288</t>
  </si>
  <si>
    <t>2.68</t>
  </si>
  <si>
    <t>9.94</t>
  </si>
  <si>
    <t>77.6</t>
  </si>
  <si>
    <t>3.31</t>
  </si>
  <si>
    <t>74.29</t>
  </si>
  <si>
    <t>38.88</t>
  </si>
  <si>
    <t>6481.77</t>
  </si>
  <si>
    <t>407853</t>
  </si>
  <si>
    <t>1444235</t>
  </si>
  <si>
    <t>8.63</t>
  </si>
  <si>
    <t>1.2</t>
  </si>
  <si>
    <t>13.9</t>
  </si>
  <si>
    <t>1139</t>
  </si>
  <si>
    <t>2.57</t>
  </si>
  <si>
    <t>9.63</t>
  </si>
  <si>
    <t>304.25</t>
  </si>
  <si>
    <t>4.34</t>
  </si>
  <si>
    <t>299.05</t>
  </si>
  <si>
    <t>40.22</t>
  </si>
  <si>
    <t>1811.93</t>
  </si>
  <si>
    <t>175686</t>
  </si>
  <si>
    <t>600226</t>
  </si>
  <si>
    <t>9.57</t>
  </si>
  <si>
    <t>17.76</t>
  </si>
  <si>
    <t>165.61</t>
  </si>
  <si>
    <t>3.9</t>
  </si>
  <si>
    <t>158.99</t>
  </si>
  <si>
    <t>20.2</t>
  </si>
  <si>
    <t>8711.48</t>
  </si>
  <si>
    <t>237.9</t>
  </si>
  <si>
    <t>11.89</t>
  </si>
  <si>
    <t>1.45</t>
  </si>
  <si>
    <t>12.2</t>
  </si>
  <si>
    <t>229.49</t>
  </si>
  <si>
    <t>2.94</t>
  </si>
  <si>
    <t>225.23</t>
  </si>
  <si>
    <t>21.58</t>
  </si>
  <si>
    <t>420.76</t>
  </si>
  <si>
    <t>1.9</t>
  </si>
  <si>
    <t>36.5</t>
  </si>
  <si>
    <t>7.11</t>
  </si>
  <si>
    <t>4.2</t>
  </si>
  <si>
    <t>59.1</t>
  </si>
  <si>
    <t>242</t>
  </si>
  <si>
    <t>1.46</t>
  </si>
  <si>
    <t>5.07</t>
  </si>
  <si>
    <t>69.56</t>
  </si>
  <si>
    <t>14.2</t>
  </si>
  <si>
    <t>3.38</t>
  </si>
  <si>
    <t>55.36</t>
  </si>
  <si>
    <t>19.05</t>
  </si>
  <si>
    <t>2300.34</t>
  </si>
  <si>
    <t>141029</t>
  </si>
  <si>
    <t>264883</t>
  </si>
  <si>
    <t>0.2</t>
  </si>
  <si>
    <t>310.2</t>
  </si>
  <si>
    <t>8.22</t>
  </si>
  <si>
    <t>0.55</t>
  </si>
  <si>
    <t>6.69</t>
  </si>
  <si>
    <t>1130</t>
  </si>
  <si>
    <t>2.55</t>
  </si>
  <si>
    <t>17.04</t>
  </si>
  <si>
    <t>169.4</t>
  </si>
  <si>
    <t>3.44</t>
  </si>
  <si>
    <t>167.5</t>
  </si>
  <si>
    <t>21.85</t>
  </si>
  <si>
    <t>830.75</t>
  </si>
  <si>
    <t>84070</t>
  </si>
  <si>
    <t>180988</t>
  </si>
  <si>
    <t>81.3</t>
  </si>
  <si>
    <t>12.78</t>
  </si>
  <si>
    <t>1.6</t>
  </si>
  <si>
    <t>12.52</t>
  </si>
  <si>
    <t>353.46</t>
  </si>
  <si>
    <t>10.41</t>
  </si>
  <si>
    <t>343.05</t>
  </si>
  <si>
    <t>30.67</t>
  </si>
  <si>
    <t>7775.08</t>
  </si>
  <si>
    <t>242.8</t>
  </si>
  <si>
    <t>10.12</t>
  </si>
  <si>
    <t>15.82</t>
  </si>
  <si>
    <t>1277</t>
  </si>
  <si>
    <t>10.23</t>
  </si>
  <si>
    <t>343.53</t>
  </si>
  <si>
    <t>4.44</t>
  </si>
  <si>
    <t>336.43</t>
  </si>
  <si>
    <t>39.5</t>
  </si>
  <si>
    <t>1822.04</t>
  </si>
  <si>
    <t>176963</t>
  </si>
  <si>
    <t>603740</t>
  </si>
  <si>
    <t>6.85</t>
  </si>
  <si>
    <t>17.52</t>
  </si>
  <si>
    <t>117.35</t>
  </si>
  <si>
    <t>4.73</t>
  </si>
  <si>
    <t>112.62</t>
  </si>
  <si>
    <t>19.93</t>
  </si>
  <si>
    <t>8718.33</t>
  </si>
  <si>
    <t>8.87</t>
  </si>
  <si>
    <t>15.78</t>
  </si>
  <si>
    <t>157.57</t>
  </si>
  <si>
    <t>152.84</t>
  </si>
  <si>
    <t>20.45</t>
  </si>
  <si>
    <t>429.63</t>
  </si>
  <si>
    <t>38.1</t>
  </si>
  <si>
    <t>7.51</t>
  </si>
  <si>
    <t>25.31</t>
  </si>
  <si>
    <t>773</t>
  </si>
  <si>
    <t>1.74</t>
  </si>
  <si>
    <t>11.61</t>
  </si>
  <si>
    <t>115.93</t>
  </si>
  <si>
    <t>3.74</t>
  </si>
  <si>
    <t>108.83</t>
  </si>
  <si>
    <t>19.41</t>
  </si>
  <si>
    <t>2307.85</t>
  </si>
  <si>
    <t>141802</t>
  </si>
  <si>
    <t>266229</t>
  </si>
  <si>
    <t>310.5</t>
  </si>
  <si>
    <t>8.65</t>
  </si>
  <si>
    <t>12.13</t>
  </si>
  <si>
    <t>951</t>
  </si>
  <si>
    <t>2.36</t>
  </si>
  <si>
    <t>13.59</t>
  </si>
  <si>
    <t>165.14</t>
  </si>
  <si>
    <t>4.06</t>
  </si>
  <si>
    <t>160.88</t>
  </si>
  <si>
    <t>21.16</t>
  </si>
  <si>
    <t>839.4</t>
  </si>
  <si>
    <t>85021</t>
  </si>
  <si>
    <t>183232</t>
  </si>
  <si>
    <t>81.9</t>
  </si>
  <si>
    <t>15.47</t>
  </si>
  <si>
    <t>2.15</t>
  </si>
  <si>
    <t>428.7</t>
  </si>
  <si>
    <t>5.94</t>
  </si>
  <si>
    <t>415.92</t>
  </si>
  <si>
    <t>31.23</t>
  </si>
  <si>
    <t>7790.55</t>
  </si>
  <si>
    <t>244</t>
  </si>
  <si>
    <t>3.1</t>
  </si>
  <si>
    <t>37.35</t>
  </si>
  <si>
    <t>661</t>
  </si>
  <si>
    <t>4.7</t>
  </si>
  <si>
    <t>14.38</t>
  </si>
  <si>
    <t>216.24</t>
  </si>
  <si>
    <t>16.09</t>
  </si>
  <si>
    <t>5.19</t>
  </si>
  <si>
    <t>200.15</t>
  </si>
  <si>
    <t>38.49</t>
  </si>
  <si>
    <t>6490.07</t>
  </si>
  <si>
    <t>408514</t>
  </si>
  <si>
    <t>1447345</t>
  </si>
  <si>
    <t>24.85</t>
  </si>
  <si>
    <t>1028</t>
  </si>
  <si>
    <t>2.74</t>
  </si>
  <si>
    <t>11.56</t>
  </si>
  <si>
    <t>243.69</t>
  </si>
  <si>
    <t>8.52</t>
  </si>
  <si>
    <t>4.48</t>
  </si>
  <si>
    <t>235.17</t>
  </si>
  <si>
    <t>40.93</t>
  </si>
  <si>
    <t>1829.69</t>
  </si>
  <si>
    <t>177991</t>
  </si>
  <si>
    <t>606557</t>
  </si>
  <si>
    <t>6.99</t>
  </si>
  <si>
    <t>15.01</t>
  </si>
  <si>
    <t>128.23</t>
  </si>
  <si>
    <t>4.51</t>
  </si>
  <si>
    <t>123.5</t>
  </si>
  <si>
    <t>20.78</t>
  </si>
  <si>
    <t>8725.32</t>
  </si>
  <si>
    <t>238.2</t>
  </si>
  <si>
    <t>13.02</t>
  </si>
  <si>
    <t>130.6</t>
  </si>
  <si>
    <t>3.68</t>
  </si>
  <si>
    <t>127.28</t>
  </si>
  <si>
    <t>21.18</t>
  </si>
  <si>
    <t>436.54</t>
  </si>
  <si>
    <t>39.8</t>
  </si>
  <si>
    <t>8.71</t>
  </si>
  <si>
    <t>1301</t>
  </si>
  <si>
    <t>2.16</t>
  </si>
  <si>
    <t>17.62</t>
  </si>
  <si>
    <t>159.46</t>
  </si>
  <si>
    <t>156.62</t>
  </si>
  <si>
    <t>21.34</t>
  </si>
  <si>
    <t>2315.89</t>
  </si>
  <si>
    <t>143103</t>
  </si>
  <si>
    <t>269039</t>
  </si>
  <si>
    <t>310.6</t>
  </si>
  <si>
    <t>6.11</t>
  </si>
  <si>
    <t>11.46</t>
  </si>
  <si>
    <t>735</t>
  </si>
  <si>
    <t>16.36</t>
  </si>
  <si>
    <t>118.77</t>
  </si>
  <si>
    <t>21.96</t>
  </si>
  <si>
    <t>845.51</t>
  </si>
  <si>
    <t>85756</t>
  </si>
  <si>
    <t>185214</t>
  </si>
  <si>
    <t>82.6</t>
  </si>
  <si>
    <t>15.95</t>
  </si>
  <si>
    <t>2.05</t>
  </si>
  <si>
    <t>12.85</t>
  </si>
  <si>
    <t>438.63</t>
  </si>
  <si>
    <t>12.3</t>
  </si>
  <si>
    <t>6</t>
  </si>
  <si>
    <t>426.33</t>
  </si>
  <si>
    <t>7806.5</t>
  </si>
  <si>
    <t>244.6</t>
  </si>
  <si>
    <t>7.68</t>
  </si>
  <si>
    <t>1.25</t>
  </si>
  <si>
    <t>16.28</t>
  </si>
  <si>
    <t>847</t>
  </si>
  <si>
    <t>4.54</t>
  </si>
  <si>
    <t>15.04</t>
  </si>
  <si>
    <t>255.52</t>
  </si>
  <si>
    <t>5.68</t>
  </si>
  <si>
    <t>248.42</t>
  </si>
  <si>
    <t>38.64</t>
  </si>
  <si>
    <t>6497.75</t>
  </si>
  <si>
    <t>409361</t>
  </si>
  <si>
    <t>1451187</t>
  </si>
  <si>
    <t>5.97</t>
  </si>
  <si>
    <t>15.9</t>
  </si>
  <si>
    <t>711</t>
  </si>
  <si>
    <t>1777</t>
  </si>
  <si>
    <t>2.5</t>
  </si>
  <si>
    <t>8.82</t>
  </si>
  <si>
    <t>201.57</t>
  </si>
  <si>
    <t>197.31</t>
  </si>
  <si>
    <t>39.27</t>
  </si>
  <si>
    <t>1835.66</t>
  </si>
  <si>
    <t>178702</t>
  </si>
  <si>
    <t>608334</t>
  </si>
  <si>
    <t>5</t>
  </si>
  <si>
    <t>0.02</t>
  </si>
  <si>
    <t>8725.34</t>
  </si>
  <si>
    <t>S28</t>
  </si>
  <si>
    <t>8.78</t>
  </si>
  <si>
    <t>17.09</t>
  </si>
  <si>
    <t> </t>
  </si>
  <si>
    <t>153.78</t>
  </si>
  <si>
    <t>148.1</t>
  </si>
  <si>
    <t>20.35</t>
  </si>
  <si>
    <t>8734.12</t>
  </si>
  <si>
    <t>238.3</t>
  </si>
  <si>
    <t>9.41</t>
  </si>
  <si>
    <t>21.26</t>
  </si>
  <si>
    <t>1.73</t>
  </si>
  <si>
    <t>0.44</t>
  </si>
  <si>
    <t>154.73</t>
  </si>
  <si>
    <t>20.89</t>
  </si>
  <si>
    <t>445.95</t>
  </si>
  <si>
    <t>1.1</t>
  </si>
  <si>
    <t>0.03</t>
  </si>
  <si>
    <t>40.9</t>
  </si>
  <si>
    <t>9.13</t>
  </si>
  <si>
    <t>10.95</t>
  </si>
  <si>
    <t>2.08</t>
  </si>
  <si>
    <t>15.64</t>
  </si>
  <si>
    <t>179.81</t>
  </si>
  <si>
    <t>175.08</t>
  </si>
  <si>
    <t>21.53</t>
  </si>
  <si>
    <t>2325.02</t>
  </si>
  <si>
    <t>310.8</t>
  </si>
  <si>
    <t>8.42</t>
  </si>
  <si>
    <t>11.28</t>
  </si>
  <si>
    <t>2.18</t>
  </si>
  <si>
    <t>16.77</t>
  </si>
  <si>
    <t>166.08</t>
  </si>
  <si>
    <t>3.98</t>
  </si>
  <si>
    <t>162.3</t>
  </si>
  <si>
    <t>21.73</t>
  </si>
  <si>
    <t>853.93</t>
  </si>
  <si>
    <t>82.7</t>
  </si>
  <si>
    <t>12.64</t>
  </si>
  <si>
    <t>2.1</t>
  </si>
  <si>
    <t>16.62</t>
  </si>
  <si>
    <t>347.78</t>
  </si>
  <si>
    <t>6.08</t>
  </si>
  <si>
    <t>335.01</t>
  </si>
  <si>
    <t>31.8</t>
  </si>
  <si>
    <t>7819.14</t>
  </si>
  <si>
    <t>245.1</t>
  </si>
  <si>
    <t>8.77</t>
  </si>
  <si>
    <t>10.84</t>
  </si>
  <si>
    <t>2.44</t>
  </si>
  <si>
    <t>7.13</t>
  </si>
  <si>
    <t>319.87</t>
  </si>
  <si>
    <t>4.98</t>
  </si>
  <si>
    <t>315.14</t>
  </si>
  <si>
    <t>40.31</t>
  </si>
  <si>
    <t>1844.43</t>
  </si>
  <si>
    <t>7.87</t>
  </si>
  <si>
    <t>22.87</t>
  </si>
  <si>
    <t>4.56</t>
  </si>
  <si>
    <t>14.58</t>
  </si>
  <si>
    <t>241.79</t>
  </si>
  <si>
    <t>5.52</t>
  </si>
  <si>
    <t>231.86</t>
  </si>
  <si>
    <t>38.2</t>
  </si>
  <si>
    <t>6505.62</t>
  </si>
  <si>
    <t>47.7</t>
  </si>
  <si>
    <t>8.37</t>
  </si>
  <si>
    <t>14.33</t>
  </si>
  <si>
    <t>144.79</t>
  </si>
  <si>
    <t>20.19</t>
  </si>
  <si>
    <t>8742.49</t>
  </si>
  <si>
    <t>238.4</t>
  </si>
  <si>
    <t>8.32</t>
  </si>
  <si>
    <t>21.62</t>
  </si>
  <si>
    <t>1.54</t>
  </si>
  <si>
    <t>138.64</t>
  </si>
  <si>
    <t>3.42</t>
  </si>
  <si>
    <t>132.49</t>
  </si>
  <si>
    <t>20.31</t>
  </si>
  <si>
    <t>454.27</t>
  </si>
  <si>
    <t>41.1</t>
  </si>
  <si>
    <t>9.01</t>
  </si>
  <si>
    <t>0.85</t>
  </si>
  <si>
    <t>9.44</t>
  </si>
  <si>
    <t>1.96</t>
  </si>
  <si>
    <t>15.28</t>
  </si>
  <si>
    <t>178.39</t>
  </si>
  <si>
    <t>3.34</t>
  </si>
  <si>
    <t>175.55</t>
  </si>
  <si>
    <t>21.52</t>
  </si>
  <si>
    <t>2334.03</t>
  </si>
  <si>
    <t>13.5</t>
  </si>
  <si>
    <t>2.42</t>
  </si>
  <si>
    <t>13.94</t>
  </si>
  <si>
    <t>280.59</t>
  </si>
  <si>
    <t>278.23</t>
  </si>
  <si>
    <t>21.56</t>
  </si>
  <si>
    <t>867.44</t>
  </si>
  <si>
    <t>86.7</t>
  </si>
  <si>
    <t>12.36</t>
  </si>
  <si>
    <t>29.14</t>
  </si>
  <si>
    <t>3.62</t>
  </si>
  <si>
    <t>5.21</t>
  </si>
  <si>
    <t>292.9</t>
  </si>
  <si>
    <t>5.65</t>
  </si>
  <si>
    <t>272.55</t>
  </si>
  <si>
    <t>31.13</t>
  </si>
  <si>
    <t>7831.49</t>
  </si>
  <si>
    <t>246.1</t>
  </si>
  <si>
    <t>6.88</t>
  </si>
  <si>
    <t>0.75</t>
  </si>
  <si>
    <t>10.9</t>
  </si>
  <si>
    <t>2.62</t>
  </si>
  <si>
    <t>5.54</t>
  </si>
  <si>
    <t>244.16</t>
  </si>
  <si>
    <t>5.05</t>
  </si>
  <si>
    <t>240.37</t>
  </si>
  <si>
    <t>39.21</t>
  </si>
  <si>
    <t>1851.31</t>
  </si>
  <si>
    <t>5.99</t>
  </si>
  <si>
    <t>18.36</t>
  </si>
  <si>
    <t>4.68</t>
  </si>
  <si>
    <t>17.06</t>
  </si>
  <si>
    <t>198.26</t>
  </si>
  <si>
    <t>5.59</t>
  </si>
  <si>
    <t>6511.61</t>
  </si>
  <si>
    <t>7.85</t>
  </si>
  <si>
    <t>45.24</t>
  </si>
  <si>
    <t>7.14</t>
  </si>
  <si>
    <t>101.26</t>
  </si>
  <si>
    <t>87.06</t>
  </si>
  <si>
    <t>20.26</t>
  </si>
  <si>
    <t>9078.75</t>
  </si>
  <si>
    <t>283.4</t>
  </si>
  <si>
    <t>8.83</t>
  </si>
  <si>
    <t>2.3</t>
  </si>
  <si>
    <t>26.06</t>
  </si>
  <si>
    <t>134.38</t>
  </si>
  <si>
    <t>9.46</t>
  </si>
  <si>
    <t>4.11</t>
  </si>
  <si>
    <t>124.92</t>
  </si>
  <si>
    <t>19.14</t>
  </si>
  <si>
    <t>8751.31</t>
  </si>
  <si>
    <t>239.4</t>
  </si>
  <si>
    <t>8.25</t>
  </si>
  <si>
    <t>17.58</t>
  </si>
  <si>
    <t>1.63</t>
  </si>
  <si>
    <t>9.48</t>
  </si>
  <si>
    <t>145.27</t>
  </si>
  <si>
    <t>3.59</t>
  </si>
  <si>
    <t>140.06</t>
  </si>
  <si>
    <t>20.6</t>
  </si>
  <si>
    <t>462.52</t>
  </si>
  <si>
    <t>12.55</t>
  </si>
  <si>
    <t>14.35</t>
  </si>
  <si>
    <t>21.01</t>
  </si>
  <si>
    <t>2342.4</t>
  </si>
  <si>
    <t>311.6</t>
  </si>
  <si>
    <t>15.84</t>
  </si>
  <si>
    <t>14.27</t>
  </si>
  <si>
    <t>324.6</t>
  </si>
  <si>
    <t>3.49</t>
  </si>
  <si>
    <t>321.29</t>
  </si>
  <si>
    <t>883.28</t>
  </si>
  <si>
    <t>1.75</t>
  </si>
  <si>
    <t>20.53</t>
  </si>
  <si>
    <t>3.01</t>
  </si>
  <si>
    <t>11.31</t>
  </si>
  <si>
    <t>216.71</t>
  </si>
  <si>
    <t>10.88</t>
  </si>
  <si>
    <t>6.22</t>
  </si>
  <si>
    <t>205.83</t>
  </si>
  <si>
    <t>30.39</t>
  </si>
  <si>
    <t>7840.02</t>
  </si>
  <si>
    <t>246.4</t>
  </si>
  <si>
    <t>7.67</t>
  </si>
  <si>
    <t>16.3</t>
  </si>
  <si>
    <t>4.13</t>
  </si>
  <si>
    <t>4.16</t>
  </si>
  <si>
    <t>41.65</t>
  </si>
  <si>
    <t>1858.98</t>
  </si>
  <si>
    <t>5.67</t>
  </si>
  <si>
    <t>16.74</t>
  </si>
  <si>
    <t>20.05</t>
  </si>
  <si>
    <t>191.16</t>
  </si>
  <si>
    <t>5.98</t>
  </si>
  <si>
    <t>185.49</t>
  </si>
  <si>
    <t>6517.29</t>
  </si>
  <si>
    <t>8.15</t>
  </si>
  <si>
    <t>11.05</t>
  </si>
  <si>
    <t>1.59</t>
  </si>
  <si>
    <t>7.34</t>
  </si>
  <si>
    <t>93.69</t>
  </si>
  <si>
    <t>4.21</t>
  </si>
  <si>
    <t>89.9</t>
  </si>
  <si>
    <t>12.41</t>
  </si>
  <si>
    <t>9086.9</t>
  </si>
  <si>
    <t>284.4</t>
  </si>
  <si>
    <t>7.19</t>
  </si>
  <si>
    <t>14.6</t>
  </si>
  <si>
    <t>122.08</t>
  </si>
  <si>
    <t>3.15</t>
  </si>
  <si>
    <t>19.34</t>
  </si>
  <si>
    <t>8758.5</t>
  </si>
  <si>
    <t>8.35</t>
  </si>
  <si>
    <t>1.85</t>
  </si>
  <si>
    <t>22.15</t>
  </si>
  <si>
    <t>1.99</t>
  </si>
  <si>
    <t>129.18</t>
  </si>
  <si>
    <t>3.33</t>
  </si>
  <si>
    <t>123.03</t>
  </si>
  <si>
    <t>18.92</t>
  </si>
  <si>
    <t>470.88</t>
  </si>
  <si>
    <t>42.3</t>
  </si>
  <si>
    <t>8.62</t>
  </si>
  <si>
    <t>16.83</t>
  </si>
  <si>
    <t>16.2</t>
  </si>
  <si>
    <t>3.26</t>
  </si>
  <si>
    <t>20.93</t>
  </si>
  <si>
    <t>2351.01</t>
  </si>
  <si>
    <t>311.8</t>
  </si>
  <si>
    <t>10.65</t>
  </si>
  <si>
    <t>4.69</t>
  </si>
  <si>
    <t>2.19</t>
  </si>
  <si>
    <t>14.21</t>
  </si>
  <si>
    <t>224.29</t>
  </si>
  <si>
    <t>1.42</t>
  </si>
  <si>
    <t>222.87</t>
  </si>
  <si>
    <t>21.95</t>
  </si>
  <si>
    <t>893.93</t>
  </si>
  <si>
    <t>87.5</t>
  </si>
  <si>
    <t>13.29</t>
  </si>
  <si>
    <t>3.8</t>
  </si>
  <si>
    <t>11.16</t>
  </si>
  <si>
    <t>17.03</t>
  </si>
  <si>
    <t>317.97</t>
  </si>
  <si>
    <t>30.89</t>
  </si>
  <si>
    <t>7853.31</t>
  </si>
  <si>
    <t>246.6</t>
  </si>
  <si>
    <t>6.38</t>
  </si>
  <si>
    <t>2.45</t>
  </si>
  <si>
    <t>38.41</t>
  </si>
  <si>
    <t>3.45</t>
  </si>
  <si>
    <t>11.2</t>
  </si>
  <si>
    <t>164.67</t>
  </si>
  <si>
    <t>3.86</t>
  </si>
  <si>
    <t>155.2</t>
  </si>
  <si>
    <t>1865.36</t>
  </si>
  <si>
    <t>28.5</t>
  </si>
  <si>
    <t>5.5</t>
  </si>
  <si>
    <t>10.17</t>
  </si>
  <si>
    <t>15.14</t>
  </si>
  <si>
    <t>13.25</t>
  </si>
  <si>
    <t>26.41</t>
  </si>
  <si>
    <t>6517.99</t>
  </si>
  <si>
    <t>8.27</t>
  </si>
  <si>
    <t>24.79</t>
  </si>
  <si>
    <t>7.93</t>
  </si>
  <si>
    <t>210.56</t>
  </si>
  <si>
    <t>32.41</t>
  </si>
  <si>
    <t>9095.17</t>
  </si>
  <si>
    <t>284.5</t>
  </si>
  <si>
    <t>7.4</t>
  </si>
  <si>
    <t>2.65</t>
  </si>
  <si>
    <t>35.79</t>
  </si>
  <si>
    <t>103.15</t>
  </si>
  <si>
    <t>11.36</t>
  </si>
  <si>
    <t>4.29</t>
  </si>
  <si>
    <t>91.8</t>
  </si>
  <si>
    <t>19.31</t>
  </si>
  <si>
    <t>8765.91</t>
  </si>
  <si>
    <t>240.7</t>
  </si>
  <si>
    <t>8.59</t>
  </si>
  <si>
    <t>0.65</t>
  </si>
  <si>
    <t>7.57</t>
  </si>
  <si>
    <t>0.81</t>
  </si>
  <si>
    <t>133.91</t>
  </si>
  <si>
    <t>3.64</t>
  </si>
  <si>
    <t>131.54</t>
  </si>
  <si>
    <t>16.57</t>
  </si>
  <si>
    <t>479.47</t>
  </si>
  <si>
    <t>42.8</t>
  </si>
  <si>
    <t>16.51</t>
  </si>
  <si>
    <t>19.61</t>
  </si>
  <si>
    <t>164.19</t>
  </si>
  <si>
    <t>4.24</t>
  </si>
  <si>
    <t>158.04</t>
  </si>
  <si>
    <t>2359.79</t>
  </si>
  <si>
    <t>311.9</t>
  </si>
  <si>
    <t>13.31</t>
  </si>
  <si>
    <t>2.85</t>
  </si>
  <si>
    <t>21.42</t>
  </si>
  <si>
    <t>2.61</t>
  </si>
  <si>
    <t>13.89</t>
  </si>
  <si>
    <t>223.34</t>
  </si>
  <si>
    <t>3.82</t>
  </si>
  <si>
    <t>212.46</t>
  </si>
  <si>
    <t>20.32</t>
  </si>
  <si>
    <t>907.24</t>
  </si>
  <si>
    <t>88.4</t>
  </si>
  <si>
    <t>15.41</t>
  </si>
  <si>
    <t>11.06</t>
  </si>
  <si>
    <t>323.18</t>
  </si>
  <si>
    <t>6.14</t>
  </si>
  <si>
    <t>30.72</t>
  </si>
  <si>
    <t>7865.31</t>
  </si>
  <si>
    <t>247.1</t>
  </si>
  <si>
    <t>7.3</t>
  </si>
  <si>
    <t>19.17</t>
  </si>
  <si>
    <t>3.13</t>
  </si>
  <si>
    <t>10.21</t>
  </si>
  <si>
    <t>234.7</t>
  </si>
  <si>
    <t>1872.66</t>
  </si>
  <si>
    <t>5.1</t>
  </si>
  <si>
    <t>3.91</t>
  </si>
  <si>
    <t>14.05</t>
  </si>
  <si>
    <t>13.71</t>
  </si>
  <si>
    <t>138.17</t>
  </si>
  <si>
    <t>5.16</t>
  </si>
  <si>
    <t>135.33</t>
  </si>
  <si>
    <t>6521.9</t>
  </si>
  <si>
    <t>5.86</t>
  </si>
  <si>
    <t>12.79</t>
  </si>
  <si>
    <t>7.53</t>
  </si>
  <si>
    <t>106.94</t>
  </si>
  <si>
    <t>20.36</t>
  </si>
  <si>
    <t>9101.03</t>
  </si>
  <si>
    <t>0.32</t>
  </si>
  <si>
    <t>0.05</t>
  </si>
  <si>
    <t>15.72</t>
  </si>
  <si>
    <t>0.47</t>
  </si>
  <si>
    <t>22.94</t>
  </si>
  <si>
    <t>6522.22</t>
  </si>
  <si>
    <t>6.97</t>
  </si>
  <si>
    <t>29.42</t>
  </si>
  <si>
    <t>3.92</t>
  </si>
  <si>
    <t>20.59</t>
  </si>
  <si>
    <t>8772.88</t>
  </si>
  <si>
    <t>5.47</t>
  </si>
  <si>
    <t>1.55</t>
  </si>
  <si>
    <t>28.34</t>
  </si>
  <si>
    <t>1.93</t>
  </si>
  <si>
    <t>8.8</t>
  </si>
  <si>
    <t>49.21</t>
  </si>
  <si>
    <t>3.36</t>
  </si>
  <si>
    <t>44.01</t>
  </si>
  <si>
    <t>11.23</t>
  </si>
  <si>
    <t>484.94</t>
  </si>
  <si>
    <t>0.01</t>
  </si>
  <si>
    <t>44.7</t>
  </si>
  <si>
    <t>15.46</t>
  </si>
  <si>
    <t>2.21</t>
  </si>
  <si>
    <t>17.31</t>
  </si>
  <si>
    <t>114.04</t>
  </si>
  <si>
    <t>19.86</t>
  </si>
  <si>
    <t>2366.58</t>
  </si>
  <si>
    <t>5.87</t>
  </si>
  <si>
    <t>15.32</t>
  </si>
  <si>
    <t>13.47</t>
  </si>
  <si>
    <t>70.98</t>
  </si>
  <si>
    <t>67.66</t>
  </si>
  <si>
    <t>13.61</t>
  </si>
  <si>
    <t>913.11</t>
  </si>
  <si>
    <t>89.5</t>
  </si>
  <si>
    <t>31.71</t>
  </si>
  <si>
    <t>3.93</t>
  </si>
  <si>
    <t>13.73</t>
  </si>
  <si>
    <t>135.8</t>
  </si>
  <si>
    <t>5.82</t>
  </si>
  <si>
    <t>124.45</t>
  </si>
  <si>
    <t>29.64</t>
  </si>
  <si>
    <t>7871.46</t>
  </si>
  <si>
    <t>6.1</t>
  </si>
  <si>
    <t>9.83</t>
  </si>
  <si>
    <t>11.34</t>
  </si>
  <si>
    <t>122.55</t>
  </si>
  <si>
    <t>120.19</t>
  </si>
  <si>
    <t>21.83</t>
  </si>
  <si>
    <t>1878.77</t>
  </si>
  <si>
    <t>S29</t>
  </si>
  <si>
    <t>6.58</t>
  </si>
  <si>
    <t>489</t>
  </si>
  <si>
    <t>1.44</t>
  </si>
  <si>
    <t>5.71</t>
  </si>
  <si>
    <t>21.46</t>
  </si>
  <si>
    <t>9107.61</t>
  </si>
  <si>
    <t>75318</t>
  </si>
  <si>
    <t>111273</t>
  </si>
  <si>
    <t>284.7</t>
  </si>
  <si>
    <t>7.07</t>
  </si>
  <si>
    <t>22.63</t>
  </si>
  <si>
    <t>105.05</t>
  </si>
  <si>
    <t>3.84</t>
  </si>
  <si>
    <t>98.89</t>
  </si>
  <si>
    <t>18.08</t>
  </si>
  <si>
    <t>8779.95</t>
  </si>
  <si>
    <t>241.3</t>
  </si>
  <si>
    <t>12.83</t>
  </si>
  <si>
    <t>2</t>
  </si>
  <si>
    <t>15.59</t>
  </si>
  <si>
    <t>1413</t>
  </si>
  <si>
    <t>12.9</t>
  </si>
  <si>
    <t>228.54</t>
  </si>
  <si>
    <t>21.1</t>
  </si>
  <si>
    <t>497.76</t>
  </si>
  <si>
    <t>38311</t>
  </si>
  <si>
    <t>74968</t>
  </si>
  <si>
    <t>3.4</t>
  </si>
  <si>
    <t>48.5</t>
  </si>
  <si>
    <t>11.71</t>
  </si>
  <si>
    <t>850</t>
  </si>
  <si>
    <t>1.88</t>
  </si>
  <si>
    <t>13.42</t>
  </si>
  <si>
    <t>115.45</t>
  </si>
  <si>
    <t>21.87</t>
  </si>
  <si>
    <t>2372.56</t>
  </si>
  <si>
    <t>151192</t>
  </si>
  <si>
    <t>286202</t>
  </si>
  <si>
    <t>312.4</t>
  </si>
  <si>
    <t>7.73</t>
  </si>
  <si>
    <t>11</t>
  </si>
  <si>
    <t>821</t>
  </si>
  <si>
    <t>2.56</t>
  </si>
  <si>
    <t>14.63</t>
  </si>
  <si>
    <t>143.37</t>
  </si>
  <si>
    <t>920.84</t>
  </si>
  <si>
    <t>94548</t>
  </si>
  <si>
    <t>206395</t>
  </si>
  <si>
    <t>90.2</t>
  </si>
  <si>
    <t>25.74</t>
  </si>
  <si>
    <t>593</t>
  </si>
  <si>
    <t>3.76</t>
  </si>
  <si>
    <t>10.29</t>
  </si>
  <si>
    <t>14.67</t>
  </si>
  <si>
    <t>6.24</t>
  </si>
  <si>
    <t>202.05</t>
  </si>
  <si>
    <t>29.8</t>
  </si>
  <si>
    <t>7880.59</t>
  </si>
  <si>
    <t>114182</t>
  </si>
  <si>
    <t>331860</t>
  </si>
  <si>
    <t>247.4</t>
  </si>
  <si>
    <t>15.54</t>
  </si>
  <si>
    <t>407</t>
  </si>
  <si>
    <t>4.43</t>
  </si>
  <si>
    <t>215.77</t>
  </si>
  <si>
    <t>210.09</t>
  </si>
  <si>
    <t>40.69</t>
  </si>
  <si>
    <t>6528.33</t>
  </si>
  <si>
    <t>412440</t>
  </si>
  <si>
    <t>1465780</t>
  </si>
  <si>
    <t>47.9</t>
  </si>
  <si>
    <t>0.43</t>
  </si>
  <si>
    <t>46.99</t>
  </si>
  <si>
    <t>20.97</t>
  </si>
  <si>
    <t>1879.19</t>
  </si>
  <si>
    <t>183204</t>
  </si>
  <si>
    <t>622932</t>
  </si>
  <si>
    <t>8.08</t>
  </si>
  <si>
    <t>14.84</t>
  </si>
  <si>
    <t>8.45</t>
  </si>
  <si>
    <t>151.89</t>
  </si>
  <si>
    <t>146.68</t>
  </si>
  <si>
    <t>21.31</t>
  </si>
  <si>
    <t>9115.7</t>
  </si>
  <si>
    <t>285.8</t>
  </si>
  <si>
    <t>4.42</t>
  </si>
  <si>
    <t>26.04</t>
  </si>
  <si>
    <t>73.82</t>
  </si>
  <si>
    <t>4.94</t>
  </si>
  <si>
    <t>68.14</t>
  </si>
  <si>
    <t>20.86</t>
  </si>
  <si>
    <t>8784.45</t>
  </si>
  <si>
    <t>241.9</t>
  </si>
  <si>
    <t>18.28</t>
  </si>
  <si>
    <t>1242</t>
  </si>
  <si>
    <t>16.03</t>
  </si>
  <si>
    <t>193.53</t>
  </si>
  <si>
    <t>2.91</t>
  </si>
  <si>
    <t>187.85</t>
  </si>
  <si>
    <t>21.55</t>
  </si>
  <si>
    <t>508.43</t>
  </si>
  <si>
    <t>39553</t>
  </si>
  <si>
    <t>78071</t>
  </si>
  <si>
    <t>50.4</t>
  </si>
  <si>
    <t>8.84</t>
  </si>
  <si>
    <t>10.18</t>
  </si>
  <si>
    <t>843</t>
  </si>
  <si>
    <t>2.06</t>
  </si>
  <si>
    <t>11.52</t>
  </si>
  <si>
    <t>150.47</t>
  </si>
  <si>
    <t>18.46</t>
  </si>
  <si>
    <t>2381.41</t>
  </si>
  <si>
    <t>152035</t>
  </si>
  <si>
    <t>287935</t>
  </si>
  <si>
    <t>313.3</t>
  </si>
  <si>
    <t>13.27</t>
  </si>
  <si>
    <t>10.93</t>
  </si>
  <si>
    <t>1625</t>
  </si>
  <si>
    <t>15.52</t>
  </si>
  <si>
    <t>261.67</t>
  </si>
  <si>
    <t>255.99</t>
  </si>
  <si>
    <t>21.66</t>
  </si>
  <si>
    <t>934.11</t>
  </si>
  <si>
    <t>96217</t>
  </si>
  <si>
    <t>210567</t>
  </si>
  <si>
    <t>92.2</t>
  </si>
  <si>
    <t>8.95</t>
  </si>
  <si>
    <t>3</t>
  </si>
  <si>
    <t>33.53</t>
  </si>
  <si>
    <t>402</t>
  </si>
  <si>
    <t>3.08</t>
  </si>
  <si>
    <t>6.3</t>
  </si>
  <si>
    <t>196.84</t>
  </si>
  <si>
    <t>17.98</t>
  </si>
  <si>
    <t>178.86</t>
  </si>
  <si>
    <t>30.08</t>
  </si>
  <si>
    <t>7889.54</t>
  </si>
  <si>
    <t>114584</t>
  </si>
  <si>
    <t>333100</t>
  </si>
  <si>
    <t>247.7</t>
  </si>
  <si>
    <t>1.3</t>
  </si>
  <si>
    <t>22.35</t>
  </si>
  <si>
    <t>480</t>
  </si>
  <si>
    <t>4.6</t>
  </si>
  <si>
    <t>12.44</t>
  </si>
  <si>
    <t>177.44</t>
  </si>
  <si>
    <t>5.46</t>
  </si>
  <si>
    <t>170.34</t>
  </si>
  <si>
    <t>37.72</t>
  </si>
  <si>
    <t>6534.15</t>
  </si>
  <si>
    <t>412920</t>
  </si>
  <si>
    <t>1467988</t>
  </si>
  <si>
    <t>2.11</t>
  </si>
  <si>
    <t>26.09</t>
  </si>
  <si>
    <t>101</t>
  </si>
  <si>
    <t>2.64</t>
  </si>
  <si>
    <t>4.37</t>
  </si>
  <si>
    <t>61.04</t>
  </si>
  <si>
    <t>4.3</t>
  </si>
  <si>
    <t>58.67</t>
  </si>
  <si>
    <t>37.65</t>
  </si>
  <si>
    <t>1881.3</t>
  </si>
  <si>
    <t>183305</t>
  </si>
  <si>
    <t>623199</t>
  </si>
  <si>
    <t>8.75</t>
  </si>
  <si>
    <t>15.43</t>
  </si>
  <si>
    <t>1.29</t>
  </si>
  <si>
    <t>8.48</t>
  </si>
  <si>
    <t>157.09</t>
  </si>
  <si>
    <t>151.42</t>
  </si>
  <si>
    <t>20.46</t>
  </si>
  <si>
    <t>9124.45</t>
  </si>
  <si>
    <t>285.9</t>
  </si>
  <si>
    <t>8.98</t>
  </si>
  <si>
    <t>173.18</t>
  </si>
  <si>
    <t>167.03</t>
  </si>
  <si>
    <t>21.9</t>
  </si>
  <si>
    <t>8793.42</t>
  </si>
  <si>
    <t>243.1</t>
  </si>
  <si>
    <t>1103</t>
  </si>
  <si>
    <t>18.8</t>
  </si>
  <si>
    <t>143.85</t>
  </si>
  <si>
    <t>140.53</t>
  </si>
  <si>
    <t>18.02</t>
  </si>
  <si>
    <t>517.08</t>
  </si>
  <si>
    <t>40656</t>
  </si>
  <si>
    <t>80775</t>
  </si>
  <si>
    <t>50.7</t>
  </si>
  <si>
    <t>8.06</t>
  </si>
  <si>
    <t>21.72</t>
  </si>
  <si>
    <t>961</t>
  </si>
  <si>
    <t>2.4</t>
  </si>
  <si>
    <t>15.91</t>
  </si>
  <si>
    <t>3.52</t>
  </si>
  <si>
    <t>21.99</t>
  </si>
  <si>
    <t>2389.46</t>
  </si>
  <si>
    <t>152996</t>
  </si>
  <si>
    <t>290238</t>
  </si>
  <si>
    <t>314.1</t>
  </si>
  <si>
    <t>16.81</t>
  </si>
  <si>
    <t>8.33</t>
  </si>
  <si>
    <t>2139</t>
  </si>
  <si>
    <t>2.58</t>
  </si>
  <si>
    <t>16.11</t>
  </si>
  <si>
    <t>342.58</t>
  </si>
  <si>
    <t>336.9</t>
  </si>
  <si>
    <t>21.86</t>
  </si>
  <si>
    <t>950.92</t>
  </si>
  <si>
    <t>98356</t>
  </si>
  <si>
    <t>216085</t>
  </si>
  <si>
    <t>92.4</t>
  </si>
  <si>
    <t>0.76</t>
  </si>
  <si>
    <t>39.39</t>
  </si>
  <si>
    <t>10</t>
  </si>
  <si>
    <t>0.24</t>
  </si>
  <si>
    <t>23.57</t>
  </si>
  <si>
    <t>7890.3</t>
  </si>
  <si>
    <t>114594</t>
  </si>
  <si>
    <t>333103</t>
  </si>
  <si>
    <t>7.26</t>
  </si>
  <si>
    <t>16.54</t>
  </si>
  <si>
    <t>454</t>
  </si>
  <si>
    <t>4.62</t>
  </si>
  <si>
    <t>8.58</t>
  </si>
  <si>
    <t>237.53</t>
  </si>
  <si>
    <t>39.22</t>
  </si>
  <si>
    <t>6541.41</t>
  </si>
  <si>
    <t>413374</t>
  </si>
  <si>
    <t>1470084</t>
  </si>
  <si>
    <t>48.1</t>
  </si>
  <si>
    <t>8.18</t>
  </si>
  <si>
    <t>15.27</t>
  </si>
  <si>
    <t>705</t>
  </si>
  <si>
    <t>2.9</t>
  </si>
  <si>
    <t>7.9</t>
  </si>
  <si>
    <t>258.35</t>
  </si>
  <si>
    <t>4.92</t>
  </si>
  <si>
    <t>252.2</t>
  </si>
  <si>
    <t>36.37</t>
  </si>
  <si>
    <t>1889.49</t>
  </si>
  <si>
    <t>184010</t>
  </si>
  <si>
    <t>625241</t>
  </si>
  <si>
    <t>8.29</t>
  </si>
  <si>
    <t>10.86</t>
  </si>
  <si>
    <t>10.1</t>
  </si>
  <si>
    <t>20.3</t>
  </si>
  <si>
    <t>9132.73</t>
  </si>
  <si>
    <t>22.43</t>
  </si>
  <si>
    <t>107.88</t>
  </si>
  <si>
    <t>102.21</t>
  </si>
  <si>
    <t>21.11</t>
  </si>
  <si>
    <t>8799.69</t>
  </si>
  <si>
    <t>243.3</t>
  </si>
  <si>
    <t>8.49</t>
  </si>
  <si>
    <t>9.42</t>
  </si>
  <si>
    <t>1580</t>
  </si>
  <si>
    <t>19.75</t>
  </si>
  <si>
    <t>172.24</t>
  </si>
  <si>
    <t>22.38</t>
  </si>
  <si>
    <t>525.58</t>
  </si>
  <si>
    <t>42500</t>
  </si>
  <si>
    <t>84993</t>
  </si>
  <si>
    <t>51.3</t>
  </si>
  <si>
    <t>1159</t>
  </si>
  <si>
    <t>2.49</t>
  </si>
  <si>
    <t>18.7</t>
  </si>
  <si>
    <t>154.26</t>
  </si>
  <si>
    <t>149.52</t>
  </si>
  <si>
    <t>21.12</t>
  </si>
  <si>
    <t>2397.79</t>
  </si>
  <si>
    <t>154155</t>
  </si>
  <si>
    <t>293123</t>
  </si>
  <si>
    <t>15.68</t>
  </si>
  <si>
    <t>2045</t>
  </si>
  <si>
    <t>2.76</t>
  </si>
  <si>
    <t>17.91</t>
  </si>
  <si>
    <t>310.88</t>
  </si>
  <si>
    <t>966.61</t>
  </si>
  <si>
    <t>100401</t>
  </si>
  <si>
    <t>221730</t>
  </si>
  <si>
    <t>99.5</t>
  </si>
  <si>
    <t>20.83</t>
  </si>
  <si>
    <t>339</t>
  </si>
  <si>
    <t>8.17</t>
  </si>
  <si>
    <t>111.2</t>
  </si>
  <si>
    <t>105.52</t>
  </si>
  <si>
    <t>29.22</t>
  </si>
  <si>
    <t>7894.86</t>
  </si>
  <si>
    <t>114933</t>
  </si>
  <si>
    <t>334011</t>
  </si>
  <si>
    <t>248</t>
  </si>
  <si>
    <t>1.08</t>
  </si>
  <si>
    <t>0.15</t>
  </si>
  <si>
    <t>13.87</t>
  </si>
  <si>
    <t>143</t>
  </si>
  <si>
    <t>19.5</t>
  </si>
  <si>
    <t>37.38</t>
  </si>
  <si>
    <t>35.96</t>
  </si>
  <si>
    <t>38.62</t>
  </si>
  <si>
    <t>6542.49</t>
  </si>
  <si>
    <t>413517</t>
  </si>
  <si>
    <t>1470813</t>
  </si>
  <si>
    <t>22.3</t>
  </si>
  <si>
    <t>996</t>
  </si>
  <si>
    <t>10.85</t>
  </si>
  <si>
    <t>279.17</t>
  </si>
  <si>
    <t>4.86</t>
  </si>
  <si>
    <t>270.18</t>
  </si>
  <si>
    <t>41.91</t>
  </si>
  <si>
    <t>1897.78</t>
  </si>
  <si>
    <t>185105</t>
  </si>
  <si>
    <t>628530</t>
  </si>
  <si>
    <t>9.07</t>
  </si>
  <si>
    <t>14.88</t>
  </si>
  <si>
    <t>1.68</t>
  </si>
  <si>
    <t>10.32</t>
  </si>
  <si>
    <t>160.41</t>
  </si>
  <si>
    <t>20.04</t>
  </si>
  <si>
    <t>9141.8</t>
  </si>
  <si>
    <t>287.1</t>
  </si>
  <si>
    <t>16.86</t>
  </si>
  <si>
    <t>147.16</t>
  </si>
  <si>
    <t>8807.99</t>
  </si>
  <si>
    <t>243.6</t>
  </si>
  <si>
    <t>19.48</t>
  </si>
  <si>
    <t>1296</t>
  </si>
  <si>
    <t>2.26</t>
  </si>
  <si>
    <t>18.03</t>
  </si>
  <si>
    <t>162.77</t>
  </si>
  <si>
    <t>3.24</t>
  </si>
  <si>
    <t>21.71</t>
  </si>
  <si>
    <t>534.56</t>
  </si>
  <si>
    <t>43796</t>
  </si>
  <si>
    <t>87928</t>
  </si>
  <si>
    <t>1</t>
  </si>
  <si>
    <t>52.3</t>
  </si>
  <si>
    <t>7.89</t>
  </si>
  <si>
    <t>1027</t>
  </si>
  <si>
    <t>2.14</t>
  </si>
  <si>
    <t>15.4</t>
  </si>
  <si>
    <t>142.9</t>
  </si>
  <si>
    <t>2405.68</t>
  </si>
  <si>
    <t>155182</t>
  </si>
  <si>
    <t>295324</t>
  </si>
  <si>
    <t>314.4</t>
  </si>
  <si>
    <t>11.07</t>
  </si>
  <si>
    <t>9.03</t>
  </si>
  <si>
    <t>1316</t>
  </si>
  <si>
    <t>2.72</t>
  </si>
  <si>
    <t>17.3</t>
  </si>
  <si>
    <t>206.78</t>
  </si>
  <si>
    <t>977.68</t>
  </si>
  <si>
    <t>101717</t>
  </si>
  <si>
    <t>225308</t>
  </si>
  <si>
    <t>100</t>
  </si>
  <si>
    <t>13.32</t>
  </si>
  <si>
    <t>19.89</t>
  </si>
  <si>
    <t>1347</t>
  </si>
  <si>
    <t>12.76</t>
  </si>
  <si>
    <t>344.47</t>
  </si>
  <si>
    <t>329.8</t>
  </si>
  <si>
    <t>30.9</t>
  </si>
  <si>
    <t>7908.19</t>
  </si>
  <si>
    <t>116280</t>
  </si>
  <si>
    <t>338407</t>
  </si>
  <si>
    <t>248.1</t>
  </si>
  <si>
    <t>0.63</t>
  </si>
  <si>
    <t>7.97</t>
  </si>
  <si>
    <t>86</t>
  </si>
  <si>
    <t>4.63</t>
  </si>
  <si>
    <t>15.87</t>
  </si>
  <si>
    <t>24.61</t>
  </si>
  <si>
    <t>42.63</t>
  </si>
  <si>
    <t>6543.12</t>
  </si>
  <si>
    <t>413603</t>
  </si>
  <si>
    <t>1471211</t>
  </si>
  <si>
    <t>20.96</t>
  </si>
  <si>
    <t>945</t>
  </si>
  <si>
    <t>3.46</t>
  </si>
  <si>
    <t>13.14</t>
  </si>
  <si>
    <t>36.42</t>
  </si>
  <si>
    <t>1906.13</t>
  </si>
  <si>
    <t>186050</t>
  </si>
  <si>
    <t>631795</t>
  </si>
  <si>
    <t>22.89</t>
  </si>
  <si>
    <t>787</t>
  </si>
  <si>
    <t>1.56</t>
  </si>
  <si>
    <t>13.17</t>
  </si>
  <si>
    <t>93.22</t>
  </si>
  <si>
    <t>87.54</t>
  </si>
  <si>
    <t>19.99</t>
  </si>
  <si>
    <t>9147.48</t>
  </si>
  <si>
    <t>79968</t>
  </si>
  <si>
    <t>118325</t>
  </si>
  <si>
    <t>287.2</t>
  </si>
  <si>
    <t>5.95</t>
  </si>
  <si>
    <t>10.09</t>
  </si>
  <si>
    <t>103.63</t>
  </si>
  <si>
    <t>19.39</t>
  </si>
  <si>
    <t>8813.94</t>
  </si>
  <si>
    <t>243.7</t>
  </si>
  <si>
    <t>6.12</t>
  </si>
  <si>
    <t>13.07</t>
  </si>
  <si>
    <t>517</t>
  </si>
  <si>
    <t>2.39</t>
  </si>
  <si>
    <t>18.24</t>
  </si>
  <si>
    <t>64.83</t>
  </si>
  <si>
    <t>12.19</t>
  </si>
  <si>
    <t>540.68</t>
  </si>
  <si>
    <t>44313</t>
  </si>
  <si>
    <t>89162</t>
  </si>
  <si>
    <t>52.7</t>
  </si>
  <si>
    <t>5.35</t>
  </si>
  <si>
    <t>17.77</t>
  </si>
  <si>
    <t>756</t>
  </si>
  <si>
    <t>2.29</t>
  </si>
  <si>
    <t>2.99</t>
  </si>
  <si>
    <t>96.05</t>
  </si>
  <si>
    <t>2411.03</t>
  </si>
  <si>
    <t>155938</t>
  </si>
  <si>
    <t>297057</t>
  </si>
  <si>
    <t>314.5</t>
  </si>
  <si>
    <t>6.46</t>
  </si>
  <si>
    <t>6.19</t>
  </si>
  <si>
    <t>608</t>
  </si>
  <si>
    <t>1.84</t>
  </si>
  <si>
    <t>8.97</t>
  </si>
  <si>
    <t>984.14</t>
  </si>
  <si>
    <t>102381</t>
  </si>
  <si>
    <t>226578</t>
  </si>
  <si>
    <t>3.05</t>
  </si>
  <si>
    <t>22.9</t>
  </si>
  <si>
    <t>1120</t>
  </si>
  <si>
    <t>10.06</t>
  </si>
  <si>
    <t>334.54</t>
  </si>
  <si>
    <t>17.51</t>
  </si>
  <si>
    <t>5.74</t>
  </si>
  <si>
    <t>317.03</t>
  </si>
  <si>
    <t>30.87</t>
  </si>
  <si>
    <t>7921.51</t>
  </si>
  <si>
    <t>117400</t>
  </si>
  <si>
    <t>341773</t>
  </si>
  <si>
    <t>248.2</t>
  </si>
  <si>
    <t>14.94</t>
  </si>
  <si>
    <t>258</t>
  </si>
  <si>
    <t>4.71</t>
  </si>
  <si>
    <t>12.11</t>
  </si>
  <si>
    <t>100.31</t>
  </si>
  <si>
    <t>7.36</t>
  </si>
  <si>
    <t>97</t>
  </si>
  <si>
    <t>37.85</t>
  </si>
  <si>
    <t>6546.13</t>
  </si>
  <si>
    <t>413861</t>
  </si>
  <si>
    <t>1472426</t>
  </si>
  <si>
    <t>6.34</t>
  </si>
  <si>
    <t>694</t>
  </si>
  <si>
    <t>2.81</t>
  </si>
  <si>
    <t>9.31</t>
  </si>
  <si>
    <t>209.14</t>
  </si>
  <si>
    <t>203.47</t>
  </si>
  <si>
    <t>40.81</t>
  </si>
  <si>
    <t>1912.47</t>
  </si>
  <si>
    <t>186829</t>
  </si>
  <si>
    <t>633940</t>
  </si>
  <si>
    <t>7921.55</t>
  </si>
  <si>
    <t>S30</t>
  </si>
  <si>
    <t>8.68</t>
  </si>
  <si>
    <t>9.22</t>
  </si>
  <si>
    <t>1167</t>
  </si>
  <si>
    <t>1.77</t>
  </si>
  <si>
    <t>12.56</t>
  </si>
  <si>
    <t>4.14</t>
  </si>
  <si>
    <t>20.42</t>
  </si>
  <si>
    <t>9156.16</t>
  </si>
  <si>
    <t>81135</t>
  </si>
  <si>
    <t>120388</t>
  </si>
  <si>
    <t>5.08</t>
  </si>
  <si>
    <t>13.78</t>
  </si>
  <si>
    <t>92.27</t>
  </si>
  <si>
    <t>5.41</t>
  </si>
  <si>
    <t>88.48</t>
  </si>
  <si>
    <t>20.21</t>
  </si>
  <si>
    <t>8819.03</t>
  </si>
  <si>
    <t>243.8</t>
  </si>
  <si>
    <t>22.11</t>
  </si>
  <si>
    <t>2.31</t>
  </si>
  <si>
    <t>21.91</t>
  </si>
  <si>
    <t>549.5</t>
  </si>
  <si>
    <t>45797</t>
  </si>
  <si>
    <t>92560</t>
  </si>
  <si>
    <t>54</t>
  </si>
  <si>
    <t>19.43</t>
  </si>
  <si>
    <t>822</t>
  </si>
  <si>
    <t>4</t>
  </si>
  <si>
    <t>116.87</t>
  </si>
  <si>
    <t>21.68</t>
  </si>
  <si>
    <t>2417.72</t>
  </si>
  <si>
    <t>156760</t>
  </si>
  <si>
    <t>298615</t>
  </si>
  <si>
    <t>315.5</t>
  </si>
  <si>
    <t>8.28</t>
  </si>
  <si>
    <t>1177</t>
  </si>
  <si>
    <t>2.24</t>
  </si>
  <si>
    <t>11.94</t>
  </si>
  <si>
    <t>220.5</t>
  </si>
  <si>
    <t>217.66</t>
  </si>
  <si>
    <t>21.84</t>
  </si>
  <si>
    <t>995.01</t>
  </si>
  <si>
    <t>103558</t>
  </si>
  <si>
    <t>229210</t>
  </si>
  <si>
    <t>104.8</t>
  </si>
  <si>
    <t>13.93</t>
  </si>
  <si>
    <t>747</t>
  </si>
  <si>
    <t>2.82</t>
  </si>
  <si>
    <t>233.75</t>
  </si>
  <si>
    <t>5.3</t>
  </si>
  <si>
    <t>227.12</t>
  </si>
  <si>
    <t>29.4</t>
  </si>
  <si>
    <t>7930.52</t>
  </si>
  <si>
    <t>118147</t>
  </si>
  <si>
    <t>343883</t>
  </si>
  <si>
    <t>248.9</t>
  </si>
  <si>
    <t>9.15</t>
  </si>
  <si>
    <t>10.38</t>
  </si>
  <si>
    <t>902</t>
  </si>
  <si>
    <t>4.45</t>
  </si>
  <si>
    <t>12.04</t>
  </si>
  <si>
    <t>333.59</t>
  </si>
  <si>
    <t>328.38</t>
  </si>
  <si>
    <t>40.04</t>
  </si>
  <si>
    <t>6555.28</t>
  </si>
  <si>
    <t>414763</t>
  </si>
  <si>
    <t>1476442</t>
  </si>
  <si>
    <t>48.2</t>
  </si>
  <si>
    <t>7.78</t>
  </si>
  <si>
    <t>18</t>
  </si>
  <si>
    <t>888</t>
  </si>
  <si>
    <t>2.97</t>
  </si>
  <si>
    <t>248.89</t>
  </si>
  <si>
    <t>39.02</t>
  </si>
  <si>
    <t>1920.25</t>
  </si>
  <si>
    <t>187717</t>
  </si>
  <si>
    <t>636574</t>
  </si>
  <si>
    <t>20.56</t>
  </si>
  <si>
    <t>1264</t>
  </si>
  <si>
    <t>14.72</t>
  </si>
  <si>
    <t>146.21</t>
  </si>
  <si>
    <t>9164.92</t>
  </si>
  <si>
    <t>82399</t>
  </si>
  <si>
    <t>122540</t>
  </si>
  <si>
    <t>288.1</t>
  </si>
  <si>
    <t>8.31</t>
  </si>
  <si>
    <t>11.43</t>
  </si>
  <si>
    <t>1093</t>
  </si>
  <si>
    <t>17.63</t>
  </si>
  <si>
    <t>133.44</t>
  </si>
  <si>
    <t>130.12</t>
  </si>
  <si>
    <t>17.68</t>
  </si>
  <si>
    <t>557.81</t>
  </si>
  <si>
    <t>46890</t>
  </si>
  <si>
    <t>94913</t>
  </si>
  <si>
    <t>54.3</t>
  </si>
  <si>
    <t>8.81</t>
  </si>
  <si>
    <t>19.3</t>
  </si>
  <si>
    <t>1067</t>
  </si>
  <si>
    <t>2.07</t>
  </si>
  <si>
    <t>13.72</t>
  </si>
  <si>
    <t>21.77</t>
  </si>
  <si>
    <t>2426.52</t>
  </si>
  <si>
    <t>157827</t>
  </si>
  <si>
    <t>300822</t>
  </si>
  <si>
    <t>315.7</t>
  </si>
  <si>
    <t>10.58</t>
  </si>
  <si>
    <t>1083</t>
  </si>
  <si>
    <t>13.66</t>
  </si>
  <si>
    <t>186.43</t>
  </si>
  <si>
    <t>181.23</t>
  </si>
  <si>
    <t>19.32</t>
  </si>
  <si>
    <t>1005.58</t>
  </si>
  <si>
    <t>104641</t>
  </si>
  <si>
    <t>231756</t>
  </si>
  <si>
    <t>107.7</t>
  </si>
  <si>
    <t>15.07</t>
  </si>
  <si>
    <t>1274</t>
  </si>
  <si>
    <t>376.18</t>
  </si>
  <si>
    <t>6.53</t>
  </si>
  <si>
    <t>362.45</t>
  </si>
  <si>
    <t>30.63</t>
  </si>
  <si>
    <t>7944.46</t>
  </si>
  <si>
    <t>119421</t>
  </si>
  <si>
    <t>348289</t>
  </si>
  <si>
    <t>249.4</t>
  </si>
  <si>
    <t>9.6</t>
  </si>
  <si>
    <t>8.86</t>
  </si>
  <si>
    <t>859</t>
  </si>
  <si>
    <t>4.27</t>
  </si>
  <si>
    <t>10.78</t>
  </si>
  <si>
    <t>340.21</t>
  </si>
  <si>
    <t>38.31</t>
  </si>
  <si>
    <t>6564.88</t>
  </si>
  <si>
    <t>415622</t>
  </si>
  <si>
    <t>1480111</t>
  </si>
  <si>
    <t>48.3</t>
  </si>
  <si>
    <t>13.84</t>
  </si>
  <si>
    <t>715</t>
  </si>
  <si>
    <t>2.03</t>
  </si>
  <si>
    <t>5.12</t>
  </si>
  <si>
    <t>35.76</t>
  </si>
  <si>
    <t>1929.28</t>
  </si>
  <si>
    <t>188446</t>
  </si>
  <si>
    <t>638046</t>
  </si>
  <si>
    <t>8.9</t>
  </si>
  <si>
    <t>10.68</t>
  </si>
  <si>
    <t>1098</t>
  </si>
  <si>
    <t>167.98</t>
  </si>
  <si>
    <t>20.66</t>
  </si>
  <si>
    <t>9173.81</t>
  </si>
  <si>
    <t>83497</t>
  </si>
  <si>
    <t>124334</t>
  </si>
  <si>
    <t>288.3</t>
  </si>
  <si>
    <t>2.02</t>
  </si>
  <si>
    <t>94.07</t>
  </si>
  <si>
    <t>15.81</t>
  </si>
  <si>
    <t>8821.37</t>
  </si>
  <si>
    <t>8.66</t>
  </si>
  <si>
    <t>1364</t>
  </si>
  <si>
    <t>1.94</t>
  </si>
  <si>
    <t>174.6</t>
  </si>
  <si>
    <t>22.08</t>
  </si>
  <si>
    <t>566.46</t>
  </si>
  <si>
    <t>48479</t>
  </si>
  <si>
    <t>98071</t>
  </si>
  <si>
    <t>55.5</t>
  </si>
  <si>
    <t>16.9</t>
  </si>
  <si>
    <t>2.33</t>
  </si>
  <si>
    <t>19.15</t>
  </si>
  <si>
    <t>159.93</t>
  </si>
  <si>
    <t>21.57</t>
  </si>
  <si>
    <t>2435.1</t>
  </si>
  <si>
    <t>159143</t>
  </si>
  <si>
    <t>303884</t>
  </si>
  <si>
    <t>316.6</t>
  </si>
  <si>
    <t>8.7</t>
  </si>
  <si>
    <t>9.2</t>
  </si>
  <si>
    <t>918</t>
  </si>
  <si>
    <t>2.51</t>
  </si>
  <si>
    <t>13.45</t>
  </si>
  <si>
    <t>171.29</t>
  </si>
  <si>
    <t>168.45</t>
  </si>
  <si>
    <t>21.33</t>
  </si>
  <si>
    <t>1014.28</t>
  </si>
  <si>
    <t>105677</t>
  </si>
  <si>
    <t>234361</t>
  </si>
  <si>
    <t>108.6</t>
  </si>
  <si>
    <t>1393</t>
  </si>
  <si>
    <t>11.83</t>
  </si>
  <si>
    <t>422.55</t>
  </si>
  <si>
    <t>408.35</t>
  </si>
  <si>
    <t>7959.98</t>
  </si>
  <si>
    <t>120814</t>
  </si>
  <si>
    <t>353286</t>
  </si>
  <si>
    <t>249.9</t>
  </si>
  <si>
    <t>9.51</t>
  </si>
  <si>
    <t>14.19</t>
  </si>
  <si>
    <t>767</t>
  </si>
  <si>
    <t>4.83</t>
  </si>
  <si>
    <t>11.64</t>
  </si>
  <si>
    <t>318.45</t>
  </si>
  <si>
    <t>5.61</t>
  </si>
  <si>
    <t>38.08</t>
  </si>
  <si>
    <t>6574.39</t>
  </si>
  <si>
    <t>416389</t>
  </si>
  <si>
    <t>1483819</t>
  </si>
  <si>
    <t>972</t>
  </si>
  <si>
    <t>2.43</t>
  </si>
  <si>
    <t>8.73</t>
  </si>
  <si>
    <t>270.66</t>
  </si>
  <si>
    <t>4.59</t>
  </si>
  <si>
    <t>263.09</t>
  </si>
  <si>
    <t>41.2</t>
  </si>
  <si>
    <t>1937.31</t>
  </si>
  <si>
    <t>189444</t>
  </si>
  <si>
    <t>640489</t>
  </si>
  <si>
    <t>12.03</t>
  </si>
  <si>
    <t>150.94</t>
  </si>
  <si>
    <t>9182.13</t>
  </si>
  <si>
    <t>84551</t>
  </si>
  <si>
    <t>125869</t>
  </si>
  <si>
    <t>288.4</t>
  </si>
  <si>
    <t>0.74</t>
  </si>
  <si>
    <t>94.56</t>
  </si>
  <si>
    <t>23.48</t>
  </si>
  <si>
    <t>8822.11</t>
  </si>
  <si>
    <t>10.19</t>
  </si>
  <si>
    <t>1303</t>
  </si>
  <si>
    <t>1.86</t>
  </si>
  <si>
    <t>174.13</t>
  </si>
  <si>
    <t>170.82</t>
  </si>
  <si>
    <t>575.29</t>
  </si>
  <si>
    <t>49782</t>
  </si>
  <si>
    <t>100499</t>
  </si>
  <si>
    <t>57</t>
  </si>
  <si>
    <t>15.75</t>
  </si>
  <si>
    <t>1221</t>
  </si>
  <si>
    <t>16.95</t>
  </si>
  <si>
    <t>21.64</t>
  </si>
  <si>
    <t>2443.36</t>
  </si>
  <si>
    <t>160364</t>
  </si>
  <si>
    <t>306523</t>
  </si>
  <si>
    <t>318.3</t>
  </si>
  <si>
    <t>7.25</t>
  </si>
  <si>
    <t>800</t>
  </si>
  <si>
    <t>15.66</t>
  </si>
  <si>
    <t>1022.56</t>
  </si>
  <si>
    <t>106477</t>
  </si>
  <si>
    <t>236606</t>
  </si>
  <si>
    <t>108.8</t>
  </si>
  <si>
    <t>13.48</t>
  </si>
  <si>
    <t>26.33</t>
  </si>
  <si>
    <t>803</t>
  </si>
  <si>
    <t>327.44</t>
  </si>
  <si>
    <t>19.4</t>
  </si>
  <si>
    <t>308.04</t>
  </si>
  <si>
    <t>31.01</t>
  </si>
  <si>
    <t>7973.46</t>
  </si>
  <si>
    <t>121617</t>
  </si>
  <si>
    <t>356167</t>
  </si>
  <si>
    <t>252.8</t>
  </si>
  <si>
    <t>8.47</t>
  </si>
  <si>
    <t>18.89</t>
  </si>
  <si>
    <t>815</t>
  </si>
  <si>
    <t>4.58</t>
  </si>
  <si>
    <t>268.76</t>
  </si>
  <si>
    <t>5.32</t>
  </si>
  <si>
    <t>37.89</t>
  </si>
  <si>
    <t>6582.86</t>
  </si>
  <si>
    <t>417204</t>
  </si>
  <si>
    <t>1487551</t>
  </si>
  <si>
    <t>48.4</t>
  </si>
  <si>
    <t>8.16</t>
  </si>
  <si>
    <t>15.31</t>
  </si>
  <si>
    <t>697</t>
  </si>
  <si>
    <t>6.07</t>
  </si>
  <si>
    <t>264.98</t>
  </si>
  <si>
    <t>259.77</t>
  </si>
  <si>
    <t>37.58</t>
  </si>
  <si>
    <t>1945.48</t>
  </si>
  <si>
    <t>190141</t>
  </si>
  <si>
    <t>642097</t>
  </si>
  <si>
    <t>8.89</t>
  </si>
  <si>
    <t>12.94</t>
  </si>
  <si>
    <t>1106</t>
  </si>
  <si>
    <t>1.49</t>
  </si>
  <si>
    <t>10.34</t>
  </si>
  <si>
    <t>4.53</t>
  </si>
  <si>
    <t>20</t>
  </si>
  <si>
    <t>9191.02</t>
  </si>
  <si>
    <t>85657</t>
  </si>
  <si>
    <t>127522</t>
  </si>
  <si>
    <t>289.2</t>
  </si>
  <si>
    <t>4.19</t>
  </si>
  <si>
    <t>53.47</t>
  </si>
  <si>
    <t>47.79</t>
  </si>
  <si>
    <t>8826.3</t>
  </si>
  <si>
    <t>7.6</t>
  </si>
  <si>
    <t>23.69</t>
  </si>
  <si>
    <t>846</t>
  </si>
  <si>
    <t>11.9</t>
  </si>
  <si>
    <t>20.16</t>
  </si>
  <si>
    <t>582.89</t>
  </si>
  <si>
    <t>50628</t>
  </si>
  <si>
    <t>101963</t>
  </si>
  <si>
    <t>57.9</t>
  </si>
  <si>
    <t>8.43</t>
  </si>
  <si>
    <t>19.57</t>
  </si>
  <si>
    <t>1256</t>
  </si>
  <si>
    <t>18.01</t>
  </si>
  <si>
    <t>148.58</t>
  </si>
  <si>
    <t>2451.79</t>
  </si>
  <si>
    <t>161620</t>
  </si>
  <si>
    <t>309301</t>
  </si>
  <si>
    <t>319.2</t>
  </si>
  <si>
    <t>18.3</t>
  </si>
  <si>
    <t>706</t>
  </si>
  <si>
    <t>2.48</t>
  </si>
  <si>
    <t>11.76</t>
  </si>
  <si>
    <t>149.05</t>
  </si>
  <si>
    <t>3.66</t>
  </si>
  <si>
    <t>20.72</t>
  </si>
  <si>
    <t>1031.03</t>
  </si>
  <si>
    <t>107219</t>
  </si>
  <si>
    <t>238452</t>
  </si>
  <si>
    <t>109.5</t>
  </si>
  <si>
    <t>10.39</t>
  </si>
  <si>
    <t>1465</t>
  </si>
  <si>
    <t>3.78</t>
  </si>
  <si>
    <t>12.84</t>
  </si>
  <si>
    <t>431.54</t>
  </si>
  <si>
    <t>6.21</t>
  </si>
  <si>
    <t>421.6</t>
  </si>
  <si>
    <t>30.56</t>
  </si>
  <si>
    <t>7988.86</t>
  </si>
  <si>
    <t>123082</t>
  </si>
  <si>
    <t>361706</t>
  </si>
  <si>
    <t>253.1</t>
  </si>
  <si>
    <t>8.74</t>
  </si>
  <si>
    <t>12.01</t>
  </si>
  <si>
    <t>882</t>
  </si>
  <si>
    <t>4.35</t>
  </si>
  <si>
    <t>12.89</t>
  </si>
  <si>
    <t>297.63</t>
  </si>
  <si>
    <t>291.48</t>
  </si>
  <si>
    <t>37.9</t>
  </si>
  <si>
    <t>6591.6</t>
  </si>
  <si>
    <t>418086</t>
  </si>
  <si>
    <t>1491386</t>
  </si>
  <si>
    <t>17.47</t>
  </si>
  <si>
    <t>820</t>
  </si>
  <si>
    <t>2.63</t>
  </si>
  <si>
    <t>243.21</t>
  </si>
  <si>
    <t>235.64</t>
  </si>
  <si>
    <t>33.26</t>
  </si>
  <si>
    <t>1954.06</t>
  </si>
  <si>
    <t>190961</t>
  </si>
  <si>
    <t>644253</t>
  </si>
  <si>
    <t>6.13</t>
  </si>
  <si>
    <t>15.5</t>
  </si>
  <si>
    <t>845</t>
  </si>
  <si>
    <t>1.67</t>
  </si>
  <si>
    <t>13.1</t>
  </si>
  <si>
    <t>20.1</t>
  </si>
  <si>
    <t>9197.15</t>
  </si>
  <si>
    <t>86502</t>
  </si>
  <si>
    <t>128935</t>
  </si>
  <si>
    <t>289.6</t>
  </si>
  <si>
    <t>33.75</t>
  </si>
  <si>
    <t>62.46</t>
  </si>
  <si>
    <t>3.47</t>
  </si>
  <si>
    <t>57.25</t>
  </si>
  <si>
    <t>19.44</t>
  </si>
  <si>
    <t>8830.75</t>
  </si>
  <si>
    <t>21.09</t>
  </si>
  <si>
    <t>1020</t>
  </si>
  <si>
    <t>16.34</t>
  </si>
  <si>
    <t>21.89</t>
  </si>
  <si>
    <t>589.77</t>
  </si>
  <si>
    <t>51657</t>
  </si>
  <si>
    <t>104005</t>
  </si>
  <si>
    <t>58.1</t>
  </si>
  <si>
    <t>4.89</t>
  </si>
  <si>
    <t>0.35</t>
  </si>
  <si>
    <t>7.15</t>
  </si>
  <si>
    <t>842</t>
  </si>
  <si>
    <t>97.47</t>
  </si>
  <si>
    <t>95.11</t>
  </si>
  <si>
    <t>2456.69</t>
  </si>
  <si>
    <t>162462</t>
  </si>
  <si>
    <t>311305</t>
  </si>
  <si>
    <t>319.3</t>
  </si>
  <si>
    <t>308</t>
  </si>
  <si>
    <t>2.6</t>
  </si>
  <si>
    <t>12.34</t>
  </si>
  <si>
    <t>11.08</t>
  </si>
  <si>
    <t>1037.17</t>
  </si>
  <si>
    <t>107527</t>
  </si>
  <si>
    <t>239252</t>
  </si>
  <si>
    <t>109.7</t>
  </si>
  <si>
    <t>7.98</t>
  </si>
  <si>
    <t>871</t>
  </si>
  <si>
    <t>4.03</t>
  </si>
  <si>
    <t>236.59</t>
  </si>
  <si>
    <t>232.8</t>
  </si>
  <si>
    <t>31.97</t>
  </si>
  <si>
    <t>7996.84</t>
  </si>
  <si>
    <t>123953</t>
  </si>
  <si>
    <t>365217</t>
  </si>
  <si>
    <t>253.2</t>
  </si>
  <si>
    <t>12.81</t>
  </si>
  <si>
    <t>530</t>
  </si>
  <si>
    <t>14.24</t>
  </si>
  <si>
    <t>6.55</t>
  </si>
  <si>
    <t>37.98</t>
  </si>
  <si>
    <t>6596.67</t>
  </si>
  <si>
    <t>418616</t>
  </si>
  <si>
    <t>1493839</t>
  </si>
  <si>
    <t>6.83</t>
  </si>
  <si>
    <t>13.18</t>
  </si>
  <si>
    <t>329</t>
  </si>
  <si>
    <t>182.65</t>
  </si>
  <si>
    <t>1960.89</t>
  </si>
  <si>
    <t>191393</t>
  </si>
  <si>
    <t>645287</t>
  </si>
  <si>
    <t>S31</t>
  </si>
  <si>
    <t>22.33</t>
  </si>
  <si>
    <t>810</t>
  </si>
  <si>
    <t>9.8</t>
  </si>
  <si>
    <t>9205.43</t>
  </si>
  <si>
    <t>87312</t>
  </si>
  <si>
    <t>130224</t>
  </si>
  <si>
    <t>289.7</t>
  </si>
  <si>
    <t>13.33</t>
  </si>
  <si>
    <t>1775</t>
  </si>
  <si>
    <t>244.63</t>
  </si>
  <si>
    <t>3.23</t>
  </si>
  <si>
    <t>21.35</t>
  </si>
  <si>
    <t>603.09</t>
  </si>
  <si>
    <t>53432</t>
  </si>
  <si>
    <t>107482</t>
  </si>
  <si>
    <t>58.3</t>
  </si>
  <si>
    <t>13.03</t>
  </si>
  <si>
    <t>885</t>
  </si>
  <si>
    <t>1.66</t>
  </si>
  <si>
    <t>21.48</t>
  </si>
  <si>
    <t>2464.36</t>
  </si>
  <si>
    <t>163347</t>
  </si>
  <si>
    <t>312774</t>
  </si>
  <si>
    <t>320.4</t>
  </si>
  <si>
    <t>8.13</t>
  </si>
  <si>
    <t>8.61</t>
  </si>
  <si>
    <t>864</t>
  </si>
  <si>
    <t>17.14</t>
  </si>
  <si>
    <t>1045.3</t>
  </si>
  <si>
    <t>108629</t>
  </si>
  <si>
    <t>242082</t>
  </si>
  <si>
    <t>7.74</t>
  </si>
  <si>
    <t>2.95</t>
  </si>
  <si>
    <t>38.12</t>
  </si>
  <si>
    <t>612</t>
  </si>
  <si>
    <t>15.06</t>
  </si>
  <si>
    <t>5.93</t>
  </si>
  <si>
    <t>145.26</t>
  </si>
  <si>
    <t>30.34</t>
  </si>
  <si>
    <t>8004.58</t>
  </si>
  <si>
    <t>124565</t>
  </si>
  <si>
    <t>367669</t>
  </si>
  <si>
    <t>2.25</t>
  </si>
  <si>
    <t>30.98</t>
  </si>
  <si>
    <t>483</t>
  </si>
  <si>
    <t>5.18</t>
  </si>
  <si>
    <t>12.68</t>
  </si>
  <si>
    <t>5.26</t>
  </si>
  <si>
    <t>37</t>
  </si>
  <si>
    <t>6603.93</t>
  </si>
  <si>
    <t>419099</t>
  </si>
  <si>
    <t>1496341</t>
  </si>
  <si>
    <t>48.6</t>
  </si>
  <si>
    <t>19.74</t>
  </si>
  <si>
    <t>965</t>
  </si>
  <si>
    <t>9.09</t>
  </si>
  <si>
    <t>266.4</t>
  </si>
  <si>
    <t>41.21</t>
  </si>
  <si>
    <t>1968.74</t>
  </si>
  <si>
    <t>192358</t>
  </si>
  <si>
    <t>647709</t>
  </si>
  <si>
    <t>27.97</t>
  </si>
  <si>
    <t>395</t>
  </si>
  <si>
    <t>1.39</t>
  </si>
  <si>
    <t>10.47</t>
  </si>
  <si>
    <t>52.52</t>
  </si>
  <si>
    <t>48.74</t>
  </si>
  <si>
    <t>19.92</t>
  </si>
  <si>
    <t>9208.83</t>
  </si>
  <si>
    <t>87707</t>
  </si>
  <si>
    <t>130774</t>
  </si>
  <si>
    <t>0.64</t>
  </si>
  <si>
    <t>100.82</t>
  </si>
  <si>
    <t>8831.55</t>
  </si>
  <si>
    <t>10.96</t>
  </si>
  <si>
    <t>13.68</t>
  </si>
  <si>
    <t>1514</t>
  </si>
  <si>
    <t>12.25</t>
  </si>
  <si>
    <t>198.73</t>
  </si>
  <si>
    <t>21</t>
  </si>
  <si>
    <t>614.06</t>
  </si>
  <si>
    <t>54946</t>
  </si>
  <si>
    <t>109974</t>
  </si>
  <si>
    <t>58.7</t>
  </si>
  <si>
    <t>7.16</t>
  </si>
  <si>
    <t>14.66</t>
  </si>
  <si>
    <t>1022</t>
  </si>
  <si>
    <t>2.23</t>
  </si>
  <si>
    <t>137.22</t>
  </si>
  <si>
    <t>3.61</t>
  </si>
  <si>
    <t>2471.52</t>
  </si>
  <si>
    <t>164369</t>
  </si>
  <si>
    <t>315055</t>
  </si>
  <si>
    <t>320.9</t>
  </si>
  <si>
    <t>12.38</t>
  </si>
  <si>
    <t>1198</t>
  </si>
  <si>
    <t>12.14</t>
  </si>
  <si>
    <t>20.76</t>
  </si>
  <si>
    <t>1057.68</t>
  </si>
  <si>
    <t>109991</t>
  </si>
  <si>
    <t>245284</t>
  </si>
  <si>
    <t>111.5</t>
  </si>
  <si>
    <t>44.45</t>
  </si>
  <si>
    <t>184</t>
  </si>
  <si>
    <t>55.83</t>
  </si>
  <si>
    <t>5.96</t>
  </si>
  <si>
    <t>28.33</t>
  </si>
  <si>
    <t>8007.61</t>
  </si>
  <si>
    <t>124749</t>
  </si>
  <si>
    <t>368389</t>
  </si>
  <si>
    <t>8.01</t>
  </si>
  <si>
    <t>24.98</t>
  </si>
  <si>
    <t>435</t>
  </si>
  <si>
    <t>4.74</t>
  </si>
  <si>
    <t>10.08</t>
  </si>
  <si>
    <t>204.41</t>
  </si>
  <si>
    <t>4.97</t>
  </si>
  <si>
    <t>194.48</t>
  </si>
  <si>
    <t>32.37</t>
  </si>
  <si>
    <t>6611.94</t>
  </si>
  <si>
    <t>419534</t>
  </si>
  <si>
    <t>1498401</t>
  </si>
  <si>
    <t>7.01</t>
  </si>
  <si>
    <t>11.41</t>
  </si>
  <si>
    <t>869</t>
  </si>
  <si>
    <t>2.13</t>
  </si>
  <si>
    <t>7.88</t>
  </si>
  <si>
    <t>230.91</t>
  </si>
  <si>
    <t>37.18</t>
  </si>
  <si>
    <t>1975.75</t>
  </si>
  <si>
    <t>193227</t>
  </si>
  <si>
    <t>649561</t>
  </si>
  <si>
    <t>5.4</t>
  </si>
  <si>
    <t>1164</t>
  </si>
  <si>
    <t>20.25</t>
  </si>
  <si>
    <t>9217.48</t>
  </si>
  <si>
    <t>88871</t>
  </si>
  <si>
    <t>132510</t>
  </si>
  <si>
    <t>289.9</t>
  </si>
  <si>
    <t>1.97</t>
  </si>
  <si>
    <t>71.24</t>
  </si>
  <si>
    <t>8833.51</t>
  </si>
  <si>
    <t>26.25</t>
  </si>
  <si>
    <t>1023</t>
  </si>
  <si>
    <t>1.61</t>
  </si>
  <si>
    <t>11.77</t>
  </si>
  <si>
    <t>3.29</t>
  </si>
  <si>
    <t>20.5</t>
  </si>
  <si>
    <t>622.82</t>
  </si>
  <si>
    <t>55969</t>
  </si>
  <si>
    <t>111622</t>
  </si>
  <si>
    <t>59.3</t>
  </si>
  <si>
    <t>8.46</t>
  </si>
  <si>
    <t>10.05</t>
  </si>
  <si>
    <t>1257</t>
  </si>
  <si>
    <t>2.28</t>
  </si>
  <si>
    <t>16.56</t>
  </si>
  <si>
    <t>172.71</t>
  </si>
  <si>
    <t>168.92</t>
  </si>
  <si>
    <t>22.21</t>
  </si>
  <si>
    <t>2479.98</t>
  </si>
  <si>
    <t>165626</t>
  </si>
  <si>
    <t>317915</t>
  </si>
  <si>
    <t>322.3</t>
  </si>
  <si>
    <t>11.15</t>
  </si>
  <si>
    <t>13</t>
  </si>
  <si>
    <t>1046</t>
  </si>
  <si>
    <t>11.24</t>
  </si>
  <si>
    <t>209.62</t>
  </si>
  <si>
    <t>203.94</t>
  </si>
  <si>
    <t>21.02</t>
  </si>
  <si>
    <t>1068.84</t>
  </si>
  <si>
    <t>111037</t>
  </si>
  <si>
    <t>247640</t>
  </si>
  <si>
    <t>112.8</t>
  </si>
  <si>
    <t>11.74</t>
  </si>
  <si>
    <t>21.29</t>
  </si>
  <si>
    <t>1122</t>
  </si>
  <si>
    <t>15.13</t>
  </si>
  <si>
    <t>295.26</t>
  </si>
  <si>
    <t>30.36</t>
  </si>
  <si>
    <t>8019.36</t>
  </si>
  <si>
    <t>125871</t>
  </si>
  <si>
    <t>372856</t>
  </si>
  <si>
    <t>7.39</t>
  </si>
  <si>
    <t>361</t>
  </si>
  <si>
    <t>5.55</t>
  </si>
  <si>
    <t>38.46</t>
  </si>
  <si>
    <t>6619.33</t>
  </si>
  <si>
    <t>419895</t>
  </si>
  <si>
    <t>1500312</t>
  </si>
  <si>
    <t>48.7</t>
  </si>
  <si>
    <t>8.11</t>
  </si>
  <si>
    <t>14.8</t>
  </si>
  <si>
    <t>802</t>
  </si>
  <si>
    <t>281.54</t>
  </si>
  <si>
    <t>275.86</t>
  </si>
  <si>
    <t>39.92</t>
  </si>
  <si>
    <t>1983.86</t>
  </si>
  <si>
    <t>194131</t>
  </si>
  <si>
    <t>651913</t>
  </si>
  <si>
    <t>11.44</t>
  </si>
  <si>
    <t>891</t>
  </si>
  <si>
    <t>1.64</t>
  </si>
  <si>
    <t>9.59</t>
  </si>
  <si>
    <t>9225.78</t>
  </si>
  <si>
    <t>89762</t>
  </si>
  <si>
    <t>133975</t>
  </si>
  <si>
    <t>290.3</t>
  </si>
  <si>
    <t>0.19</t>
  </si>
  <si>
    <t>0.14</t>
  </si>
  <si>
    <t>26.36</t>
  </si>
  <si>
    <t>18.93</t>
  </si>
  <si>
    <t>23.71</t>
  </si>
  <si>
    <t>8833.78</t>
  </si>
  <si>
    <t>8.5</t>
  </si>
  <si>
    <t>25.29</t>
  </si>
  <si>
    <t>1173</t>
  </si>
  <si>
    <t>2.01</t>
  </si>
  <si>
    <t>16.72</t>
  </si>
  <si>
    <t>141.01</t>
  </si>
  <si>
    <t>3.3</t>
  </si>
  <si>
    <t>21.08</t>
  </si>
  <si>
    <t>631.32</t>
  </si>
  <si>
    <t>57142</t>
  </si>
  <si>
    <t>113979</t>
  </si>
  <si>
    <t>59.4</t>
  </si>
  <si>
    <t>8.57</t>
  </si>
  <si>
    <t>18.67</t>
  </si>
  <si>
    <t>1137</t>
  </si>
  <si>
    <t>16.21</t>
  </si>
  <si>
    <t>152.36</t>
  </si>
  <si>
    <t>2488.55</t>
  </si>
  <si>
    <t>166763</t>
  </si>
  <si>
    <t>320484</t>
  </si>
  <si>
    <t>322.7</t>
  </si>
  <si>
    <t>8.51</t>
  </si>
  <si>
    <t>797</t>
  </si>
  <si>
    <t>12.33</t>
  </si>
  <si>
    <t>1077.34</t>
  </si>
  <si>
    <t>111834</t>
  </si>
  <si>
    <t>249583</t>
  </si>
  <si>
    <t>113.7</t>
  </si>
  <si>
    <t>15.49</t>
  </si>
  <si>
    <t>25.83</t>
  </si>
  <si>
    <t>1240</t>
  </si>
  <si>
    <t>14.02</t>
  </si>
  <si>
    <t>363.4</t>
  </si>
  <si>
    <t>5.44</t>
  </si>
  <si>
    <t>341.63</t>
  </si>
  <si>
    <t>29.74</t>
  </si>
  <si>
    <t>8034.84</t>
  </si>
  <si>
    <t>127111</t>
  </si>
  <si>
    <t>377950</t>
  </si>
  <si>
    <t>253.4</t>
  </si>
  <si>
    <t>7.62</t>
  </si>
  <si>
    <t>728</t>
  </si>
  <si>
    <t>5.23</t>
  </si>
  <si>
    <t>13.3</t>
  </si>
  <si>
    <t>286.27</t>
  </si>
  <si>
    <t>282.96</t>
  </si>
  <si>
    <t>38.91</t>
  </si>
  <si>
    <t>6627.21</t>
  </si>
  <si>
    <t>420623</t>
  </si>
  <si>
    <t>1504119</t>
  </si>
  <si>
    <t>48.9</t>
  </si>
  <si>
    <t>17.16</t>
  </si>
  <si>
    <t>971</t>
  </si>
  <si>
    <t>10.75</t>
  </si>
  <si>
    <t>284.38</t>
  </si>
  <si>
    <t>41.17</t>
  </si>
  <si>
    <t>1992.02</t>
  </si>
  <si>
    <t>195102</t>
  </si>
  <si>
    <t>654970</t>
  </si>
  <si>
    <t>8.38</t>
  </si>
  <si>
    <t>14.91</t>
  </si>
  <si>
    <t>1.51</t>
  </si>
  <si>
    <t>19.04</t>
  </si>
  <si>
    <t>9234.17</t>
  </si>
  <si>
    <t>90734</t>
  </si>
  <si>
    <t>135446</t>
  </si>
  <si>
    <t>290.5</t>
  </si>
  <si>
    <t>5.34</t>
  </si>
  <si>
    <t>16.85</t>
  </si>
  <si>
    <t>89.43</t>
  </si>
  <si>
    <t>20.13</t>
  </si>
  <si>
    <t>8839.12</t>
  </si>
  <si>
    <t>244.1</t>
  </si>
  <si>
    <t>1.33</t>
  </si>
  <si>
    <t>56.32</t>
  </si>
  <si>
    <t>15</t>
  </si>
  <si>
    <t>11.39</t>
  </si>
  <si>
    <t>632.65</t>
  </si>
  <si>
    <t>57157</t>
  </si>
  <si>
    <t>113982</t>
  </si>
  <si>
    <t>7.45</t>
  </si>
  <si>
    <t>8.05</t>
  </si>
  <si>
    <t>12.49</t>
  </si>
  <si>
    <t>131.07</t>
  </si>
  <si>
    <t>18.72</t>
  </si>
  <si>
    <t>2496</t>
  </si>
  <si>
    <t>167585</t>
  </si>
  <si>
    <t>322121</t>
  </si>
  <si>
    <t>324.4</t>
  </si>
  <si>
    <t>9.56</t>
  </si>
  <si>
    <t>16.22</t>
  </si>
  <si>
    <t>20.69</t>
  </si>
  <si>
    <t>1086.9</t>
  </si>
  <si>
    <t>112779</t>
  </si>
  <si>
    <t>251734</t>
  </si>
  <si>
    <t>117.3</t>
  </si>
  <si>
    <t>15.35</t>
  </si>
  <si>
    <t>3.65</t>
  </si>
  <si>
    <t>23.78</t>
  </si>
  <si>
    <t>1153</t>
  </si>
  <si>
    <t>3.35</t>
  </si>
  <si>
    <t>382.8</t>
  </si>
  <si>
    <t>20.82</t>
  </si>
  <si>
    <t>5.7</t>
  </si>
  <si>
    <t>361.98</t>
  </si>
  <si>
    <t>30.94</t>
  </si>
  <si>
    <t>8050.19</t>
  </si>
  <si>
    <t>128264</t>
  </si>
  <si>
    <t>381811</t>
  </si>
  <si>
    <t>253.6</t>
  </si>
  <si>
    <t>16.66</t>
  </si>
  <si>
    <t>710</t>
  </si>
  <si>
    <t>12.77</t>
  </si>
  <si>
    <t>281.07</t>
  </si>
  <si>
    <t>6635.91</t>
  </si>
  <si>
    <t>421333</t>
  </si>
  <si>
    <t>1507708</t>
  </si>
  <si>
    <t>49</t>
  </si>
  <si>
    <t>9.26</t>
  </si>
  <si>
    <t>17.28</t>
  </si>
  <si>
    <t>1090</t>
  </si>
  <si>
    <t>318.92</t>
  </si>
  <si>
    <t>5.03</t>
  </si>
  <si>
    <t>40.59</t>
  </si>
  <si>
    <t>2001.28</t>
  </si>
  <si>
    <t>196192</t>
  </si>
  <si>
    <t>658602</t>
  </si>
  <si>
    <t>6.87</t>
  </si>
  <si>
    <t>553</t>
  </si>
  <si>
    <t>6.44</t>
  </si>
  <si>
    <t>116.4</t>
  </si>
  <si>
    <t>19.67</t>
  </si>
  <si>
    <t>9241.03</t>
  </si>
  <si>
    <t>91287</t>
  </si>
  <si>
    <t>136220</t>
  </si>
  <si>
    <t>290.7</t>
  </si>
  <si>
    <t>83.75</t>
  </si>
  <si>
    <t>77.13</t>
  </si>
  <si>
    <t>20.29</t>
  </si>
  <si>
    <t>8844.62</t>
  </si>
  <si>
    <t>5.43</t>
  </si>
  <si>
    <t>23.93</t>
  </si>
  <si>
    <t>759</t>
  </si>
  <si>
    <t>1.13</t>
  </si>
  <si>
    <t>9.67</t>
  </si>
  <si>
    <t>3.28</t>
  </si>
  <si>
    <t>84.23</t>
  </si>
  <si>
    <t>20.38</t>
  </si>
  <si>
    <t>638.08</t>
  </si>
  <si>
    <t>57916</t>
  </si>
  <si>
    <t>114838</t>
  </si>
  <si>
    <t>59.9</t>
  </si>
  <si>
    <t>6.74</t>
  </si>
  <si>
    <t>17.8</t>
  </si>
  <si>
    <t>682</t>
  </si>
  <si>
    <t>118.29</t>
  </si>
  <si>
    <t>2502.74</t>
  </si>
  <si>
    <t>168267</t>
  </si>
  <si>
    <t>323417</t>
  </si>
  <si>
    <t>326.2</t>
  </si>
  <si>
    <t>7.66</t>
  </si>
  <si>
    <t>14.37</t>
  </si>
  <si>
    <t>734</t>
  </si>
  <si>
    <t>13.79</t>
  </si>
  <si>
    <t>19.7</t>
  </si>
  <si>
    <t>1094.56</t>
  </si>
  <si>
    <t>113513</t>
  </si>
  <si>
    <t>253567</t>
  </si>
  <si>
    <t>117.4</t>
  </si>
  <si>
    <t>25.14</t>
  </si>
  <si>
    <t>744</t>
  </si>
  <si>
    <t>12.1</t>
  </si>
  <si>
    <t>213.4</t>
  </si>
  <si>
    <t>201.1</t>
  </si>
  <si>
    <t>30.7</t>
  </si>
  <si>
    <t>8058.94</t>
  </si>
  <si>
    <t>129008</t>
  </si>
  <si>
    <t>384393</t>
  </si>
  <si>
    <t>10.07</t>
  </si>
  <si>
    <t>16.39</t>
  </si>
  <si>
    <t>1050</t>
  </si>
  <si>
    <t>334.06</t>
  </si>
  <si>
    <t>5.45</t>
  </si>
  <si>
    <t>325.07</t>
  </si>
  <si>
    <t>6645.98</t>
  </si>
  <si>
    <t>422383</t>
  </si>
  <si>
    <t>1513183</t>
  </si>
  <si>
    <t>49.1</t>
  </si>
  <si>
    <t>22.54</t>
  </si>
  <si>
    <t>874</t>
  </si>
  <si>
    <t>3.73</t>
  </si>
  <si>
    <t>10.89</t>
  </si>
  <si>
    <t>299.52</t>
  </si>
  <si>
    <t>289.11</t>
  </si>
  <si>
    <t>35.06</t>
  </si>
  <si>
    <t>2011.93</t>
  </si>
  <si>
    <t>197066</t>
  </si>
  <si>
    <t>661865</t>
  </si>
  <si>
    <t>1.07</t>
  </si>
  <si>
    <t>0.17</t>
  </si>
  <si>
    <t>83.81</t>
  </si>
  <si>
    <t>9242.11</t>
  </si>
  <si>
    <t>290.8</t>
  </si>
  <si>
    <t>16.16</t>
  </si>
  <si>
    <t>733</t>
  </si>
  <si>
    <t>19.6</t>
  </si>
  <si>
    <t>197.79</t>
  </si>
  <si>
    <t>38.13</t>
  </si>
  <si>
    <t>6652.17</t>
  </si>
  <si>
    <t>423116</t>
  </si>
  <si>
    <t>1517171</t>
  </si>
  <si>
    <t>S32</t>
  </si>
  <si>
    <t>17.83</t>
  </si>
  <si>
    <t>562</t>
  </si>
  <si>
    <t>1.48</t>
  </si>
  <si>
    <t>19.55</t>
  </si>
  <si>
    <t>9249.12</t>
  </si>
  <si>
    <t>91849</t>
  </si>
  <si>
    <t>137053</t>
  </si>
  <si>
    <t>5.85</t>
  </si>
  <si>
    <t>23.94</t>
  </si>
  <si>
    <t>88.01</t>
  </si>
  <si>
    <t>82.33</t>
  </si>
  <si>
    <t>18.51</t>
  </si>
  <si>
    <t>8850.49</t>
  </si>
  <si>
    <t>244.7</t>
  </si>
  <si>
    <t>1666</t>
  </si>
  <si>
    <t>176.97</t>
  </si>
  <si>
    <t>21.67</t>
  </si>
  <si>
    <t>647.54</t>
  </si>
  <si>
    <t>59582</t>
  </si>
  <si>
    <t>118683</t>
  </si>
  <si>
    <t>60.3</t>
  </si>
  <si>
    <t>12.86</t>
  </si>
  <si>
    <t>1168</t>
  </si>
  <si>
    <t>12.61</t>
  </si>
  <si>
    <t>21.88</t>
  </si>
  <si>
    <t>2510.9</t>
  </si>
  <si>
    <t>169435</t>
  </si>
  <si>
    <t>325433</t>
  </si>
  <si>
    <t>327.7</t>
  </si>
  <si>
    <t>19.72</t>
  </si>
  <si>
    <t>327</t>
  </si>
  <si>
    <t>11.65</t>
  </si>
  <si>
    <t>61.99</t>
  </si>
  <si>
    <t>1098.11</t>
  </si>
  <si>
    <t>113840</t>
  </si>
  <si>
    <t>254289</t>
  </si>
  <si>
    <t>19.66</t>
  </si>
  <si>
    <t>644</t>
  </si>
  <si>
    <t>3.39</t>
  </si>
  <si>
    <t>10.8</t>
  </si>
  <si>
    <t>5.8</t>
  </si>
  <si>
    <t>193.06</t>
  </si>
  <si>
    <t>30.49</t>
  </si>
  <si>
    <t>8066.83</t>
  </si>
  <si>
    <t>129652</t>
  </si>
  <si>
    <t>386575</t>
  </si>
  <si>
    <t>253.7</t>
  </si>
  <si>
    <t>7.99</t>
  </si>
  <si>
    <t>1143</t>
  </si>
  <si>
    <t>38.83</t>
  </si>
  <si>
    <t>6660.16</t>
  </si>
  <si>
    <t>424259</t>
  </si>
  <si>
    <t>1523026</t>
  </si>
  <si>
    <t>20.7</t>
  </si>
  <si>
    <t>1454</t>
  </si>
  <si>
    <t>3.72</t>
  </si>
  <si>
    <t>12.73</t>
  </si>
  <si>
    <t>424.91</t>
  </si>
  <si>
    <t>4.65</t>
  </si>
  <si>
    <t>412.14</t>
  </si>
  <si>
    <t>39.11</t>
  </si>
  <si>
    <t>2025.21</t>
  </si>
  <si>
    <t>198571</t>
  </si>
  <si>
    <t>667520</t>
  </si>
  <si>
    <t>8.88</t>
  </si>
  <si>
    <t>11.63</t>
  </si>
  <si>
    <t>144.32</t>
  </si>
  <si>
    <t>136.27</t>
  </si>
  <si>
    <t>19.38</t>
  </si>
  <si>
    <t>9258</t>
  </si>
  <si>
    <t>92737</t>
  </si>
  <si>
    <t>138732</t>
  </si>
  <si>
    <t>290.9</t>
  </si>
  <si>
    <t>26.83</t>
  </si>
  <si>
    <t>163.72</t>
  </si>
  <si>
    <t>19.36</t>
  </si>
  <si>
    <t>8862.12</t>
  </si>
  <si>
    <t>249.8</t>
  </si>
  <si>
    <t>14.76</t>
  </si>
  <si>
    <t>699</t>
  </si>
  <si>
    <t>0.96</t>
  </si>
  <si>
    <t>653.64</t>
  </si>
  <si>
    <t>60281</t>
  </si>
  <si>
    <t>119356</t>
  </si>
  <si>
    <t>61.2</t>
  </si>
  <si>
    <t>17.73</t>
  </si>
  <si>
    <t>1175</t>
  </si>
  <si>
    <t>2519.37</t>
  </si>
  <si>
    <t>170610</t>
  </si>
  <si>
    <t>327610</t>
  </si>
  <si>
    <t>328.4</t>
  </si>
  <si>
    <t>34.91</t>
  </si>
  <si>
    <t>10.15</t>
  </si>
  <si>
    <t>1098.54</t>
  </si>
  <si>
    <t>686</t>
  </si>
  <si>
    <t>9.45</t>
  </si>
  <si>
    <t>218.13</t>
  </si>
  <si>
    <t>8074.34</t>
  </si>
  <si>
    <t>130338</t>
  </si>
  <si>
    <t>388659</t>
  </si>
  <si>
    <t>253.9</t>
  </si>
  <si>
    <t>7.09</t>
  </si>
  <si>
    <t>1675</t>
  </si>
  <si>
    <t>5.15</t>
  </si>
  <si>
    <t>411.66</t>
  </si>
  <si>
    <t>5.91</t>
  </si>
  <si>
    <t>406.93</t>
  </si>
  <si>
    <t>38.84</t>
  </si>
  <si>
    <t>6671.43</t>
  </si>
  <si>
    <t>425934</t>
  </si>
  <si>
    <t>1531660</t>
  </si>
  <si>
    <t>1145</t>
  </si>
  <si>
    <t>12.88</t>
  </si>
  <si>
    <t>301.89</t>
  </si>
  <si>
    <t>34.73</t>
  </si>
  <si>
    <t>2035.22</t>
  </si>
  <si>
    <t>199716</t>
  </si>
  <si>
    <t>671409</t>
  </si>
  <si>
    <t>8.72</t>
  </si>
  <si>
    <t>9.18</t>
  </si>
  <si>
    <t>1276</t>
  </si>
  <si>
    <t>14.46</t>
  </si>
  <si>
    <t>9266.72</t>
  </si>
  <si>
    <t>94013</t>
  </si>
  <si>
    <t>141106</t>
  </si>
  <si>
    <t>291.2</t>
  </si>
  <si>
    <t>15.22</t>
  </si>
  <si>
    <t>273.5</t>
  </si>
  <si>
    <t>20.68</t>
  </si>
  <si>
    <t>8877.34</t>
  </si>
  <si>
    <t>251</t>
  </si>
  <si>
    <t>8.56</t>
  </si>
  <si>
    <t>16.94</t>
  </si>
  <si>
    <t>1428</t>
  </si>
  <si>
    <t>17.37</t>
  </si>
  <si>
    <t>156.15</t>
  </si>
  <si>
    <t>21.97</t>
  </si>
  <si>
    <t>662.19</t>
  </si>
  <si>
    <t>61709</t>
  </si>
  <si>
    <t>122159</t>
  </si>
  <si>
    <t>61.6</t>
  </si>
  <si>
    <t>8.24</t>
  </si>
  <si>
    <t>939</t>
  </si>
  <si>
    <t>13.77</t>
  </si>
  <si>
    <t>139.59</t>
  </si>
  <si>
    <t>21.04</t>
  </si>
  <si>
    <t>2527.6</t>
  </si>
  <si>
    <t>171549</t>
  </si>
  <si>
    <t>329611</t>
  </si>
  <si>
    <t>6.81</t>
  </si>
  <si>
    <t>14.68</t>
  </si>
  <si>
    <t>604</t>
  </si>
  <si>
    <t>10.81</t>
  </si>
  <si>
    <t>21.25</t>
  </si>
  <si>
    <t>1105.35</t>
  </si>
  <si>
    <t>114444</t>
  </si>
  <si>
    <t>255665</t>
  </si>
  <si>
    <t>118.8</t>
  </si>
  <si>
    <t>7.63</t>
  </si>
  <si>
    <t>506</t>
  </si>
  <si>
    <t>5.77</t>
  </si>
  <si>
    <t>208.67</t>
  </si>
  <si>
    <t>31.42</t>
  </si>
  <si>
    <t>8081.97</t>
  </si>
  <si>
    <t>130844</t>
  </si>
  <si>
    <t>389863</t>
  </si>
  <si>
    <t>254.2</t>
  </si>
  <si>
    <t>10.74</t>
  </si>
  <si>
    <t>9.78</t>
  </si>
  <si>
    <t>1467</t>
  </si>
  <si>
    <t>5.38</t>
  </si>
  <si>
    <t>6682.17</t>
  </si>
  <si>
    <t>427401</t>
  </si>
  <si>
    <t>1539553</t>
  </si>
  <si>
    <t>49.2</t>
  </si>
  <si>
    <t>17.29</t>
  </si>
  <si>
    <t>669</t>
  </si>
  <si>
    <t>5.01</t>
  </si>
  <si>
    <t>42</t>
  </si>
  <si>
    <t>2040.13</t>
  </si>
  <si>
    <t>200612</t>
  </si>
  <si>
    <t>673998</t>
  </si>
  <si>
    <t>13.46</t>
  </si>
  <si>
    <t>1588</t>
  </si>
  <si>
    <t>1.87</t>
  </si>
  <si>
    <t>13.97</t>
  </si>
  <si>
    <t>206.3</t>
  </si>
  <si>
    <t>20.06</t>
  </si>
  <si>
    <t>9278.6</t>
  </si>
  <si>
    <t>95601</t>
  </si>
  <si>
    <t>144075</t>
  </si>
  <si>
    <t>291.3</t>
  </si>
  <si>
    <t>10.66</t>
  </si>
  <si>
    <t>27.21</t>
  </si>
  <si>
    <t>145.74</t>
  </si>
  <si>
    <t>18.78</t>
  </si>
  <si>
    <t>8888</t>
  </si>
  <si>
    <t>261</t>
  </si>
  <si>
    <t>691</t>
  </si>
  <si>
    <t>11.26</t>
  </si>
  <si>
    <t>102.68</t>
  </si>
  <si>
    <t>15.16</t>
  </si>
  <si>
    <t>669.77</t>
  </si>
  <si>
    <t>62400</t>
  </si>
  <si>
    <t>123315</t>
  </si>
  <si>
    <t>63.1</t>
  </si>
  <si>
    <t>2.17</t>
  </si>
  <si>
    <t>15.97</t>
  </si>
  <si>
    <t>134.86</t>
  </si>
  <si>
    <t>2535.25</t>
  </si>
  <si>
    <t>172576</t>
  </si>
  <si>
    <t>331840</t>
  </si>
  <si>
    <t>329.3</t>
  </si>
  <si>
    <t>658</t>
  </si>
  <si>
    <t>13.92</t>
  </si>
  <si>
    <t>112.14</t>
  </si>
  <si>
    <t>107.41</t>
  </si>
  <si>
    <t>16.71</t>
  </si>
  <si>
    <t>1112.98</t>
  </si>
  <si>
    <t>115102</t>
  </si>
  <si>
    <t>257226</t>
  </si>
  <si>
    <t>119.1</t>
  </si>
  <si>
    <t>513</t>
  </si>
  <si>
    <t>2.04</t>
  </si>
  <si>
    <t>30.48</t>
  </si>
  <si>
    <t>8090.08</t>
  </si>
  <si>
    <t>131357</t>
  </si>
  <si>
    <t>390910</t>
  </si>
  <si>
    <t>254.4</t>
  </si>
  <si>
    <t>762</t>
  </si>
  <si>
    <t>5.17</t>
  </si>
  <si>
    <t>11.82</t>
  </si>
  <si>
    <t>329.33</t>
  </si>
  <si>
    <t>39.81</t>
  </si>
  <si>
    <t>6691.04</t>
  </si>
  <si>
    <t>428163</t>
  </si>
  <si>
    <t>1543495</t>
  </si>
  <si>
    <t>49.3</t>
  </si>
  <si>
    <t>5.76</t>
  </si>
  <si>
    <t>32.99</t>
  </si>
  <si>
    <t>450</t>
  </si>
  <si>
    <t>3.37</t>
  </si>
  <si>
    <t>161.83</t>
  </si>
  <si>
    <t>39.72</t>
  </si>
  <si>
    <t>2045.89</t>
  </si>
  <si>
    <t>201062</t>
  </si>
  <si>
    <t>675513</t>
  </si>
  <si>
    <t>1161</t>
  </si>
  <si>
    <t>96762</t>
  </si>
  <si>
    <t>146153</t>
  </si>
  <si>
    <t>263</t>
  </si>
  <si>
    <t>1095</t>
  </si>
  <si>
    <t>63723</t>
  </si>
  <si>
    <t>125612</t>
  </si>
  <si>
    <t>912</t>
  </si>
  <si>
    <t>173488</t>
  </si>
  <si>
    <t>333598</t>
  </si>
  <si>
    <t>115579</t>
  </si>
  <si>
    <t>258145</t>
  </si>
  <si>
    <t>560</t>
  </si>
  <si>
    <t>131917</t>
  </si>
  <si>
    <t>392064</t>
  </si>
  <si>
    <t>777</t>
  </si>
  <si>
    <t>428940</t>
  </si>
  <si>
    <t>1547512</t>
  </si>
  <si>
    <t>1561</t>
  </si>
  <si>
    <t>202623</t>
  </si>
  <si>
    <t>681642</t>
  </si>
  <si>
    <t>97734</t>
  </si>
  <si>
    <t>148058</t>
  </si>
  <si>
    <t>726</t>
  </si>
  <si>
    <t>64665</t>
  </si>
  <si>
    <t>127662</t>
  </si>
  <si>
    <t>801</t>
  </si>
  <si>
    <t>174289</t>
  </si>
  <si>
    <t>334891</t>
  </si>
  <si>
    <t>1309</t>
  </si>
  <si>
    <t>117004</t>
  </si>
  <si>
    <t>261327</t>
  </si>
  <si>
    <t>541</t>
  </si>
  <si>
    <t>132458</t>
  </si>
  <si>
    <t>393555</t>
  </si>
  <si>
    <t>1430</t>
  </si>
  <si>
    <t>441</t>
  </si>
  <si>
    <t>430370</t>
  </si>
  <si>
    <t>1555089</t>
  </si>
  <si>
    <t>792</t>
  </si>
  <si>
    <t>203415</t>
  </si>
  <si>
    <t>684681</t>
  </si>
  <si>
    <t>825</t>
  </si>
  <si>
    <t>431195</t>
  </si>
  <si>
    <t>1559739</t>
  </si>
  <si>
    <t>S33</t>
  </si>
  <si>
    <t>942</t>
  </si>
  <si>
    <t>98676</t>
  </si>
  <si>
    <t>149544</t>
  </si>
  <si>
    <t>1222</t>
  </si>
  <si>
    <t>65892</t>
  </si>
  <si>
    <t>130330</t>
  </si>
  <si>
    <t>794</t>
  </si>
  <si>
    <t>117812</t>
  </si>
  <si>
    <t>262668</t>
  </si>
  <si>
    <t>944</t>
  </si>
  <si>
    <t>133402</t>
  </si>
  <si>
    <t>396329</t>
  </si>
  <si>
    <t>432359</t>
  </si>
  <si>
    <t>1566104</t>
  </si>
  <si>
    <t>155</t>
  </si>
  <si>
    <t>203570</t>
  </si>
  <si>
    <t>685170</t>
  </si>
  <si>
    <t>99774</t>
  </si>
  <si>
    <t>151290</t>
  </si>
  <si>
    <t>Escavação</t>
  </si>
  <si>
    <t>1600</t>
  </si>
  <si>
    <t>67492</t>
  </si>
  <si>
    <t>134202</t>
  </si>
  <si>
    <t>702</t>
  </si>
  <si>
    <t>174991</t>
  </si>
  <si>
    <t>336394</t>
  </si>
  <si>
    <t>838</t>
  </si>
  <si>
    <t>118709</t>
  </si>
  <si>
    <t>264250</t>
  </si>
  <si>
    <t>662</t>
  </si>
  <si>
    <t>134064</t>
  </si>
  <si>
    <t>398166</t>
  </si>
  <si>
    <t>433160</t>
  </si>
  <si>
    <t>1570564</t>
  </si>
  <si>
    <t>25</t>
  </si>
  <si>
    <t>203595</t>
  </si>
  <si>
    <t>685229</t>
  </si>
  <si>
    <t>886</t>
  </si>
  <si>
    <t>100660</t>
  </si>
  <si>
    <t>152582</t>
  </si>
  <si>
    <t>2134</t>
  </si>
  <si>
    <t>69626</t>
  </si>
  <si>
    <t>139130</t>
  </si>
  <si>
    <t>514</t>
  </si>
  <si>
    <t>175505</t>
  </si>
  <si>
    <t>337244</t>
  </si>
  <si>
    <t>336</t>
  </si>
  <si>
    <t>679</t>
  </si>
  <si>
    <t>119561</t>
  </si>
  <si>
    <t>265499</t>
  </si>
  <si>
    <t>741</t>
  </si>
  <si>
    <t>134805</t>
  </si>
  <si>
    <t>400219</t>
  </si>
  <si>
    <t>434187</t>
  </si>
  <si>
    <t>1575090</t>
  </si>
  <si>
    <t>204678</t>
  </si>
  <si>
    <t>687820</t>
  </si>
  <si>
    <t>101604</t>
  </si>
  <si>
    <t>153865</t>
  </si>
  <si>
    <t>1784</t>
  </si>
  <si>
    <t>71410</t>
  </si>
  <si>
    <t>143178</t>
  </si>
  <si>
    <t>71</t>
  </si>
  <si>
    <t>703</t>
  </si>
  <si>
    <t>176208</t>
  </si>
  <si>
    <t>338803</t>
  </si>
  <si>
    <t>1118</t>
  </si>
  <si>
    <t>120679</t>
  </si>
  <si>
    <t>267427</t>
  </si>
  <si>
    <t>433</t>
  </si>
  <si>
    <t>135238</t>
  </si>
  <si>
    <t>401624</t>
  </si>
  <si>
    <t>1091</t>
  </si>
  <si>
    <t>435278</t>
  </si>
  <si>
    <t>1580128</t>
  </si>
  <si>
    <t>915</t>
  </si>
  <si>
    <t>205593</t>
  </si>
  <si>
    <t>691263</t>
  </si>
  <si>
    <t>102407</t>
  </si>
  <si>
    <t>155035</t>
  </si>
  <si>
    <t>1489</t>
  </si>
  <si>
    <t>72899</t>
  </si>
  <si>
    <t>146058</t>
  </si>
  <si>
    <t>148</t>
  </si>
  <si>
    <t>176356</t>
  </si>
  <si>
    <t>338953</t>
  </si>
  <si>
    <t>1039</t>
  </si>
  <si>
    <t>121718</t>
  </si>
  <si>
    <t>269368</t>
  </si>
  <si>
    <t>763</t>
  </si>
  <si>
    <t>136001</t>
  </si>
  <si>
    <t>404067</t>
  </si>
  <si>
    <t>436431</t>
  </si>
  <si>
    <t>1585119</t>
  </si>
  <si>
    <t>291</t>
  </si>
  <si>
    <t>206505</t>
  </si>
  <si>
    <t>694798</t>
  </si>
  <si>
    <t>102409</t>
  </si>
  <si>
    <t>633</t>
  </si>
  <si>
    <t>73532</t>
  </si>
  <si>
    <t>147456</t>
  </si>
  <si>
    <t>8</t>
  </si>
  <si>
    <t>1038</t>
  </si>
  <si>
    <t>177394</t>
  </si>
  <si>
    <t>340875</t>
  </si>
  <si>
    <t>301</t>
  </si>
  <si>
    <t>122019</t>
  </si>
  <si>
    <t>269907</t>
  </si>
  <si>
    <t>1293</t>
  </si>
  <si>
    <t>137294</t>
  </si>
  <si>
    <t>408182</t>
  </si>
  <si>
    <t>598</t>
  </si>
  <si>
    <t>437029</t>
  </si>
  <si>
    <t>1588095</t>
  </si>
  <si>
    <t>516</t>
  </si>
  <si>
    <t>207021</t>
  </si>
  <si>
    <t>696842</t>
  </si>
  <si>
    <t>177396</t>
  </si>
  <si>
    <t>340879</t>
  </si>
  <si>
    <t>S34</t>
  </si>
  <si>
    <t>798</t>
  </si>
  <si>
    <t>9348</t>
  </si>
  <si>
    <t>103207</t>
  </si>
  <si>
    <t>156001</t>
  </si>
  <si>
    <t>266</t>
  </si>
  <si>
    <t>1205</t>
  </si>
  <si>
    <t>74947</t>
  </si>
  <si>
    <t>150610</t>
  </si>
  <si>
    <t>178789</t>
  </si>
  <si>
    <t>343950</t>
  </si>
  <si>
    <t>1724</t>
  </si>
  <si>
    <t>123743</t>
  </si>
  <si>
    <t>273052</t>
  </si>
  <si>
    <t>138587</t>
  </si>
  <si>
    <t>411878</t>
  </si>
  <si>
    <t>438057</t>
  </si>
  <si>
    <t>1592724</t>
  </si>
  <si>
    <t>725</t>
  </si>
  <si>
    <t>207746</t>
  </si>
  <si>
    <t>699047</t>
  </si>
  <si>
    <t>104232</t>
  </si>
  <si>
    <t>157476</t>
  </si>
  <si>
    <t>7</t>
  </si>
  <si>
    <t>1010</t>
  </si>
  <si>
    <t>76237</t>
  </si>
  <si>
    <t>152785</t>
  </si>
  <si>
    <t>73</t>
  </si>
  <si>
    <t>1017</t>
  </si>
  <si>
    <t>179806</t>
  </si>
  <si>
    <t>346184</t>
  </si>
  <si>
    <t>1438</t>
  </si>
  <si>
    <t>125235</t>
  </si>
  <si>
    <t>276268</t>
  </si>
  <si>
    <t>1244</t>
  </si>
  <si>
    <t>139831</t>
  </si>
  <si>
    <t>415615</t>
  </si>
  <si>
    <t>2374</t>
  </si>
  <si>
    <t>438650</t>
  </si>
  <si>
    <t>1595098</t>
  </si>
  <si>
    <t>538</t>
  </si>
  <si>
    <t>104770</t>
  </si>
  <si>
    <t>158270</t>
  </si>
  <si>
    <t>755</t>
  </si>
  <si>
    <t>76992</t>
  </si>
  <si>
    <t>154069</t>
  </si>
  <si>
    <t>181011</t>
  </si>
  <si>
    <t>348775</t>
  </si>
  <si>
    <t>1475</t>
  </si>
  <si>
    <t>126710</t>
  </si>
  <si>
    <t>279150</t>
  </si>
  <si>
    <t>125</t>
  </si>
  <si>
    <t>987</t>
  </si>
  <si>
    <t>140818</t>
  </si>
  <si>
    <t>418772</t>
  </si>
  <si>
    <t>439405</t>
  </si>
  <si>
    <t>1598434</t>
  </si>
  <si>
    <t>958</t>
  </si>
  <si>
    <t>209306</t>
  </si>
  <si>
    <t>704570</t>
  </si>
  <si>
    <t>105071</t>
  </si>
  <si>
    <t>158758</t>
  </si>
  <si>
    <t>618</t>
  </si>
  <si>
    <t>77610</t>
  </si>
  <si>
    <t>154839</t>
  </si>
  <si>
    <t>895</t>
  </si>
  <si>
    <t>2617</t>
  </si>
  <si>
    <t>181906</t>
  </si>
  <si>
    <t>350391</t>
  </si>
  <si>
    <t>997</t>
  </si>
  <si>
    <t>127707</t>
  </si>
  <si>
    <t>281139</t>
  </si>
  <si>
    <t>903</t>
  </si>
  <si>
    <t>141721</t>
  </si>
  <si>
    <t>421060</t>
  </si>
  <si>
    <t>698</t>
  </si>
  <si>
    <t>210004</t>
  </si>
  <si>
    <t>706855</t>
  </si>
  <si>
    <t>807</t>
  </si>
  <si>
    <t>105878</t>
  </si>
  <si>
    <t>160069</t>
  </si>
  <si>
    <t>970</t>
  </si>
  <si>
    <t>78676</t>
  </si>
  <si>
    <t>156535</t>
  </si>
  <si>
    <t>1299</t>
  </si>
  <si>
    <t>183205</t>
  </si>
  <si>
    <t>353004</t>
  </si>
  <si>
    <t>565</t>
  </si>
  <si>
    <t>128272</t>
  </si>
  <si>
    <t>282320</t>
  </si>
  <si>
    <t>1515</t>
  </si>
  <si>
    <t>143236</t>
  </si>
  <si>
    <t>426465</t>
  </si>
  <si>
    <t>259</t>
  </si>
  <si>
    <t>185</t>
  </si>
  <si>
    <t>439590</t>
  </si>
  <si>
    <t>1599191</t>
  </si>
  <si>
    <t>210483</t>
  </si>
  <si>
    <t>708602</t>
  </si>
  <si>
    <t>106823</t>
  </si>
  <si>
    <t>161692</t>
  </si>
  <si>
    <t>293</t>
  </si>
  <si>
    <t>79288</t>
  </si>
  <si>
    <t>157501</t>
  </si>
  <si>
    <t>826</t>
  </si>
  <si>
    <t>184031</t>
  </si>
  <si>
    <t>354824</t>
  </si>
  <si>
    <t>615</t>
  </si>
  <si>
    <t>129060</t>
  </si>
  <si>
    <t>283696</t>
  </si>
  <si>
    <t>1328</t>
  </si>
  <si>
    <t>144564</t>
  </si>
  <si>
    <t>431591</t>
  </si>
  <si>
    <t>123</t>
  </si>
  <si>
    <t>29</t>
  </si>
  <si>
    <t>439713</t>
  </si>
  <si>
    <t>1599578</t>
  </si>
  <si>
    <t>211098</t>
  </si>
  <si>
    <t>710536</t>
  </si>
  <si>
    <t>S35</t>
  </si>
  <si>
    <t>217</t>
  </si>
  <si>
    <t>107040</t>
  </si>
  <si>
    <t>162029</t>
  </si>
  <si>
    <t>559</t>
  </si>
  <si>
    <t>79900</t>
  </si>
  <si>
    <t>158471</t>
  </si>
  <si>
    <t>752</t>
  </si>
  <si>
    <t>184783</t>
  </si>
  <si>
    <t>356218</t>
  </si>
  <si>
    <t>341</t>
  </si>
  <si>
    <t>1408</t>
  </si>
  <si>
    <t>130468</t>
  </si>
  <si>
    <t>286816</t>
  </si>
  <si>
    <t>22</t>
  </si>
  <si>
    <t>145634</t>
  </si>
  <si>
    <t>435390</t>
  </si>
  <si>
    <t>440454</t>
  </si>
  <si>
    <t>1602863</t>
  </si>
  <si>
    <t>580</t>
  </si>
  <si>
    <t>211680</t>
  </si>
  <si>
    <t>712726</t>
  </si>
  <si>
    <t>925</t>
  </si>
  <si>
    <t>80825</t>
  </si>
  <si>
    <t>160104</t>
  </si>
  <si>
    <t>1018</t>
  </si>
  <si>
    <t>185801</t>
  </si>
  <si>
    <t>358698</t>
  </si>
  <si>
    <t>428</t>
  </si>
  <si>
    <t>130896</t>
  </si>
  <si>
    <t>287853</t>
  </si>
  <si>
    <t>1452</t>
  </si>
  <si>
    <t>147086</t>
  </si>
  <si>
    <t>440936</t>
  </si>
  <si>
    <t>873</t>
  </si>
  <si>
    <t>441327</t>
  </si>
  <si>
    <t>1606153</t>
  </si>
  <si>
    <t>523</t>
  </si>
  <si>
    <t>212203</t>
  </si>
  <si>
    <t>714662</t>
  </si>
  <si>
    <t>453</t>
  </si>
  <si>
    <t>107493</t>
  </si>
  <si>
    <t>162592</t>
  </si>
  <si>
    <t>1194</t>
  </si>
  <si>
    <t>82293</t>
  </si>
  <si>
    <t>162738</t>
  </si>
  <si>
    <t>1224</t>
  </si>
  <si>
    <t>187025</t>
  </si>
  <si>
    <t>361537</t>
  </si>
  <si>
    <t>357</t>
  </si>
  <si>
    <t>131293</t>
  </si>
  <si>
    <t>288652</t>
  </si>
  <si>
    <t>1468</t>
  </si>
  <si>
    <t>148554</t>
  </si>
  <si>
    <t>446228</t>
  </si>
  <si>
    <t>1253</t>
  </si>
  <si>
    <t>442580</t>
  </si>
  <si>
    <t>1611557</t>
  </si>
  <si>
    <t>561</t>
  </si>
  <si>
    <t>212764</t>
  </si>
  <si>
    <t>716374</t>
  </si>
  <si>
    <t>1069</t>
  </si>
  <si>
    <t>108562</t>
  </si>
  <si>
    <t>164010</t>
  </si>
  <si>
    <t>732</t>
  </si>
  <si>
    <t>83025</t>
  </si>
  <si>
    <t>164321</t>
  </si>
  <si>
    <t>83</t>
  </si>
  <si>
    <t>1184</t>
  </si>
  <si>
    <t>188209</t>
  </si>
  <si>
    <t>364050</t>
  </si>
  <si>
    <t>548</t>
  </si>
  <si>
    <t>131894</t>
  </si>
  <si>
    <t>289953</t>
  </si>
  <si>
    <t>1519</t>
  </si>
  <si>
    <t>150073</t>
  </si>
  <si>
    <t>450948</t>
  </si>
  <si>
    <t>907</t>
  </si>
  <si>
    <t>443487</t>
  </si>
  <si>
    <t>1615397</t>
  </si>
  <si>
    <t>373</t>
  </si>
  <si>
    <t>213137</t>
  </si>
  <si>
    <t>717623</t>
  </si>
  <si>
    <t>1245</t>
  </si>
  <si>
    <t>109807</t>
  </si>
  <si>
    <t>165823</t>
  </si>
  <si>
    <t>83920</t>
  </si>
  <si>
    <t>166048</t>
  </si>
  <si>
    <t>340</t>
  </si>
  <si>
    <t>188549</t>
  </si>
  <si>
    <t>364684</t>
  </si>
  <si>
    <t>1521</t>
  </si>
  <si>
    <t>133575</t>
  </si>
  <si>
    <t>293581</t>
  </si>
  <si>
    <t>631</t>
  </si>
  <si>
    <t>150704</t>
  </si>
  <si>
    <t>453110</t>
  </si>
  <si>
    <t>444786</t>
  </si>
  <si>
    <t>1621348</t>
  </si>
  <si>
    <t>535</t>
  </si>
  <si>
    <t>213677</t>
  </si>
  <si>
    <t>719340</t>
  </si>
  <si>
    <t>774</t>
  </si>
  <si>
    <t>110581</t>
  </si>
  <si>
    <t>167147</t>
  </si>
  <si>
    <t>713</t>
  </si>
  <si>
    <t>84633</t>
  </si>
  <si>
    <t>167559</t>
  </si>
  <si>
    <t>1004</t>
  </si>
  <si>
    <t>189553</t>
  </si>
  <si>
    <t>366912</t>
  </si>
  <si>
    <t>1540</t>
  </si>
  <si>
    <t>135115</t>
  </si>
  <si>
    <t>297074</t>
  </si>
  <si>
    <t>150955</t>
  </si>
  <si>
    <t>454008</t>
  </si>
  <si>
    <t>829</t>
  </si>
  <si>
    <t>445615</t>
  </si>
  <si>
    <t>1625439</t>
  </si>
  <si>
    <t>386</t>
  </si>
  <si>
    <t>214064</t>
  </si>
  <si>
    <t>720405</t>
  </si>
  <si>
    <t>446017</t>
  </si>
  <si>
    <t>1627215</t>
  </si>
  <si>
    <t>S36</t>
  </si>
  <si>
    <t>570</t>
  </si>
  <si>
    <t>111151</t>
  </si>
  <si>
    <t>168133</t>
  </si>
  <si>
    <t>84974</t>
  </si>
  <si>
    <t>168184</t>
  </si>
  <si>
    <t>190728</t>
  </si>
  <si>
    <t>369311</t>
  </si>
  <si>
    <t>1568</t>
  </si>
  <si>
    <t>137161</t>
  </si>
  <si>
    <t>301522</t>
  </si>
  <si>
    <t>467</t>
  </si>
  <si>
    <t>151422</t>
  </si>
  <si>
    <t>455578</t>
  </si>
  <si>
    <t>447021</t>
  </si>
  <si>
    <t>1631888</t>
  </si>
  <si>
    <t>50</t>
  </si>
  <si>
    <t>245</t>
  </si>
  <si>
    <t>634</t>
  </si>
  <si>
    <t>214309</t>
  </si>
  <si>
    <t>721039</t>
  </si>
  <si>
    <t>676</t>
  </si>
  <si>
    <t>85815</t>
  </si>
  <si>
    <t>169571</t>
  </si>
  <si>
    <t>1503</t>
  </si>
  <si>
    <t>192231</t>
  </si>
  <si>
    <t>372263</t>
  </si>
  <si>
    <t>343</t>
  </si>
  <si>
    <t>1180</t>
  </si>
  <si>
    <t>138341</t>
  </si>
  <si>
    <t>303500</t>
  </si>
  <si>
    <t>754</t>
  </si>
  <si>
    <t>8332</t>
  </si>
  <si>
    <t>152176</t>
  </si>
  <si>
    <t>458435</t>
  </si>
  <si>
    <t>784</t>
  </si>
  <si>
    <t>447805</t>
  </si>
  <si>
    <t>1635424</t>
  </si>
  <si>
    <t>215249</t>
  </si>
  <si>
    <t>723534</t>
  </si>
  <si>
    <t>394</t>
  </si>
  <si>
    <t>111732</t>
  </si>
  <si>
    <t>168954</t>
  </si>
  <si>
    <t>86653</t>
  </si>
  <si>
    <t>170666</t>
  </si>
  <si>
    <t>1171</t>
  </si>
  <si>
    <t>193402</t>
  </si>
  <si>
    <t>374837</t>
  </si>
  <si>
    <t>1119</t>
  </si>
  <si>
    <t>139731</t>
  </si>
  <si>
    <t>305647</t>
  </si>
  <si>
    <t>152690</t>
  </si>
  <si>
    <t>460093</t>
  </si>
  <si>
    <t>1044</t>
  </si>
  <si>
    <t>448849</t>
  </si>
  <si>
    <t>1639913</t>
  </si>
  <si>
    <t>684</t>
  </si>
  <si>
    <t>215933</t>
  </si>
  <si>
    <t>725076</t>
  </si>
  <si>
    <t>112547</t>
  </si>
  <si>
    <t>170468</t>
  </si>
  <si>
    <t>269</t>
  </si>
  <si>
    <t>1920</t>
  </si>
  <si>
    <t>88573</t>
  </si>
  <si>
    <t>174204</t>
  </si>
  <si>
    <t>194877</t>
  </si>
  <si>
    <t>378096</t>
  </si>
  <si>
    <t>140987</t>
  </si>
  <si>
    <t>307988</t>
  </si>
  <si>
    <t>65</t>
  </si>
  <si>
    <t>152755</t>
  </si>
  <si>
    <t>460249</t>
  </si>
  <si>
    <t>260</t>
  </si>
  <si>
    <t>1283</t>
  </si>
  <si>
    <t>450132</t>
  </si>
  <si>
    <t>1645910</t>
  </si>
  <si>
    <t>62</t>
  </si>
  <si>
    <t>215995</t>
  </si>
  <si>
    <t>725242</t>
  </si>
  <si>
    <t>926</t>
  </si>
  <si>
    <t>113473</t>
  </si>
  <si>
    <t>171871</t>
  </si>
  <si>
    <t>89920</t>
  </si>
  <si>
    <t>176728</t>
  </si>
  <si>
    <t>1227</t>
  </si>
  <si>
    <t>196104</t>
  </si>
  <si>
    <t>380826</t>
  </si>
  <si>
    <t>1307</t>
  </si>
  <si>
    <t>142294</t>
  </si>
  <si>
    <t>310396</t>
  </si>
  <si>
    <t>896</t>
  </si>
  <si>
    <t>153651</t>
  </si>
  <si>
    <t>462560</t>
  </si>
  <si>
    <t>1492</t>
  </si>
  <si>
    <t>451624</t>
  </si>
  <si>
    <t>1653092</t>
  </si>
  <si>
    <t>638</t>
  </si>
  <si>
    <t>216633</t>
  </si>
  <si>
    <t>726773</t>
  </si>
  <si>
    <t>113474</t>
  </si>
  <si>
    <t>295</t>
  </si>
  <si>
    <t>448</t>
  </si>
  <si>
    <t>90368</t>
  </si>
  <si>
    <t>177532</t>
  </si>
  <si>
    <t>194</t>
  </si>
  <si>
    <t>142488</t>
  </si>
  <si>
    <t>310714</t>
  </si>
  <si>
    <t>247</t>
  </si>
  <si>
    <t>153898</t>
  </si>
  <si>
    <t>462787</t>
  </si>
  <si>
    <t>451884</t>
  </si>
  <si>
    <t>1654442</t>
  </si>
  <si>
    <t>215</t>
  </si>
  <si>
    <t>216848</t>
  </si>
  <si>
    <t>727349</t>
  </si>
  <si>
    <t>168</t>
  </si>
  <si>
    <t>90536</t>
  </si>
  <si>
    <t>177908</t>
  </si>
  <si>
    <t>990</t>
  </si>
  <si>
    <t>452874</t>
  </si>
  <si>
    <t>1659141</t>
  </si>
  <si>
    <t>Rótulos de Linha</t>
  </si>
  <si>
    <t>Soma de Carg Út Diár. (t)</t>
  </si>
  <si>
    <t>Soma de Meta Diária</t>
  </si>
  <si>
    <t>Soma de Cascalho Real</t>
  </si>
  <si>
    <t>Contagem de Prefixo</t>
  </si>
  <si>
    <t>Total Geral</t>
  </si>
  <si>
    <t>Soma de Viagens/Hora</t>
  </si>
  <si>
    <t>(vazio)</t>
  </si>
  <si>
    <t>PRODUÇÃO</t>
  </si>
  <si>
    <t>CASCALHO</t>
  </si>
  <si>
    <t>DRENAGEM</t>
  </si>
  <si>
    <t>LIMPEZA</t>
  </si>
  <si>
    <t>ACABAMENTO</t>
  </si>
  <si>
    <t>Dispositivo</t>
  </si>
  <si>
    <t>Nova 313</t>
  </si>
  <si>
    <t>Locada 313</t>
  </si>
  <si>
    <t>Estrutura de Pavimento</t>
  </si>
  <si>
    <t>Km Inicial</t>
  </si>
  <si>
    <t>Km Final</t>
  </si>
  <si>
    <t>Km</t>
  </si>
  <si>
    <t>Extensão</t>
  </si>
  <si>
    <t>Camada</t>
  </si>
  <si>
    <t>Executado</t>
  </si>
  <si>
    <t>À Executar</t>
  </si>
  <si>
    <t>SUB-BASE</t>
  </si>
  <si>
    <t>BASE</t>
  </si>
  <si>
    <t>REFORÇO DE SUBLEITO</t>
  </si>
  <si>
    <t>SUBLEITO</t>
  </si>
  <si>
    <t>Total</t>
  </si>
  <si>
    <t>TERRAPLENAGEM (Compactação)</t>
  </si>
  <si>
    <t>Segmento</t>
  </si>
  <si>
    <t>Aterro</t>
  </si>
  <si>
    <t>Fundação de Aterro</t>
  </si>
  <si>
    <t>Total
À Executar</t>
  </si>
  <si>
    <t>SEGMENTO 01</t>
  </si>
  <si>
    <t>SEGMENTO 03</t>
  </si>
  <si>
    <t>ACESSO 742</t>
  </si>
  <si>
    <t>ACESSO 743</t>
  </si>
  <si>
    <t>DISPOSITIVO PRIMAVERA</t>
  </si>
  <si>
    <t>MARGINAIS PRIMAVERA</t>
  </si>
  <si>
    <t>DISPOSITIVO SORRISO</t>
  </si>
  <si>
    <t>MARGINAIS SORRISO</t>
  </si>
  <si>
    <t>ACESSO 755</t>
  </si>
  <si>
    <t>Produção (Ton)</t>
  </si>
  <si>
    <t>Escavadeiras</t>
  </si>
  <si>
    <t>CBM Operacional</t>
  </si>
  <si>
    <t>CBM na Drenagem</t>
  </si>
  <si>
    <t>CBM na Produção</t>
  </si>
  <si>
    <t>Ton/CBM</t>
  </si>
  <si>
    <t>Viagens/Caminhão</t>
  </si>
  <si>
    <t>Viagens/Hora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</si>
</sst>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&quot;S&quot;\ 0"/>
  </numFmts>
  <fonts count="13" x14ac:knownFonts="1"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64" fontId="2" fillId="3" borderId="1" xfId="6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2" fillId="3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left"/>
    </xf>
    <xf numFmtId="43" fontId="0" fillId="0" borderId="0" xfId="0" applyNumberFormat="1"/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6" applyNumberFormat="1" applyFont="1"/>
    <xf numFmtId="164" fontId="0" fillId="0" borderId="0" xfId="6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6" applyNumberFormat="1" applyFont="1" applyFill="1" applyBorder="1" applyAlignment="1">
      <alignment horizontal="center" vertical="center"/>
    </xf>
    <xf numFmtId="0" fontId="5" fillId="0" borderId="0" xfId="0" applyFont="1"/>
    <xf numFmtId="164" fontId="0" fillId="0" borderId="0" xfId="0" applyNumberFormat="1" applyAlignment="1">
      <alignment horizontal="center" vertical="center"/>
    </xf>
    <xf numFmtId="0" fontId="7" fillId="0" borderId="0" xfId="0" applyFont="1"/>
    <xf numFmtId="1" fontId="0" fillId="0" borderId="0" xfId="0" applyNumberFormat="1"/>
    <xf numFmtId="16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164" fontId="0" fillId="0" borderId="2" xfId="6" applyNumberFormat="1" applyFont="1" applyBorder="1"/>
    <xf numFmtId="0" fontId="5" fillId="7" borderId="2" xfId="0" applyFont="1" applyFill="1" applyBorder="1" applyAlignment="1">
      <alignment horizontal="left" vertical="center"/>
    </xf>
    <xf numFmtId="164" fontId="5" fillId="7" borderId="2" xfId="6" applyNumberFormat="1" applyFont="1" applyFill="1" applyBorder="1"/>
    <xf numFmtId="0" fontId="0" fillId="0" borderId="2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164" fontId="2" fillId="4" borderId="1" xfId="6" applyNumberFormat="1" applyFont="1" applyFill="1" applyBorder="1" applyAlignment="1">
      <alignment horizontal="left"/>
    </xf>
    <xf numFmtId="0" fontId="2" fillId="4" borderId="0" xfId="0" applyFont="1" applyFill="1"/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2" fontId="0" fillId="0" borderId="0" xfId="0" applyNumberFormat="1"/>
    <xf numFmtId="14" fontId="2" fillId="0" borderId="0" xfId="0" applyNumberFormat="1" applyFont="1"/>
    <xf numFmtId="14" fontId="1" fillId="2" borderId="1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 indent="1"/>
    </xf>
    <xf numFmtId="0" fontId="2" fillId="8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14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1" fontId="0" fillId="0" borderId="0" xfId="7" applyNumberFormat="1" applyFont="1"/>
    <xf numFmtId="9" fontId="0" fillId="0" borderId="0" xfId="7" applyFont="1"/>
    <xf numFmtId="2" fontId="0" fillId="0" borderId="0" xfId="7" applyNumberFormat="1" applyFont="1"/>
    <xf numFmtId="2" fontId="2" fillId="0" borderId="1" xfId="0" applyNumberFormat="1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/>
    <xf numFmtId="164" fontId="2" fillId="3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164" fontId="2" fillId="8" borderId="1" xfId="6" applyNumberFormat="1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2" fontId="2" fillId="8" borderId="0" xfId="0" applyNumberFormat="1" applyFont="1" applyFill="1" applyAlignment="1">
      <alignment horizontal="center"/>
    </xf>
    <xf numFmtId="14" fontId="12" fillId="0" borderId="1" xfId="0" applyNumberFormat="1" applyFont="1" applyBorder="1" applyAlignment="1">
      <alignment horizontal="left"/>
    </xf>
    <xf numFmtId="164" fontId="12" fillId="3" borderId="1" xfId="6" applyNumberFormat="1" applyFont="1" applyFill="1" applyBorder="1" applyAlignment="1">
      <alignment horizontal="left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Porcentagem" xfId="7" builtinId="5"/>
    <cellStyle name="Vírgula" xfId="6" builtinId="3"/>
  </cellStyles>
  <dxfs count="7">
    <dxf>
      <numFmt numFmtId="35" formatCode="_-* #,##0.00_-;\-* #,##0.00_-;_-* &quot;-&quot;??_-;_-@_-"/>
    </dxf>
    <dxf>
      <numFmt numFmtId="19" formatCode="dd/mm/yyyy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66FF33"/>
      <color rgb="FF1F4E78"/>
      <color rgb="FFDD94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ESCAVADEIRA e CBM.xlsx]TabDin!Tabela dinâmica1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Produção</a:t>
            </a:r>
            <a:r>
              <a:rPr lang="pt-BR" b="1" baseline="0"/>
              <a:t> Escavadeiras Terraplenagem (ton)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7391012118609581E-2"/>
              <c:y val="9.2799205276099514E-2"/>
            </c:manualLayout>
          </c:layout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036662216449642E-3"/>
              <c:y val="-7.2455086404116839E-2"/>
            </c:manualLayout>
          </c:layout>
          <c:numFmt formatCode="#,##0" sourceLinked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rgbClr val="1F4E78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  <c:spPr>
          <a:solidFill>
            <a:srgbClr val="1F4E78"/>
          </a:solidFill>
          <a:ln>
            <a:solidFill>
              <a:srgbClr val="0070C0"/>
            </a:solidFill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4522821576763482E-2"/>
              <c:y val="-6.6666666666666693E-2"/>
            </c:manualLayout>
          </c:layout>
          <c:numFmt formatCode="_(* #,##0_);_(* \(#,##0\);_(* &quot;-&quot;_);_(@_)" sourceLinked="0"/>
          <c:spPr>
            <a:solidFill>
              <a:srgbClr val="1F4E78"/>
            </a:solidFill>
            <a:ln>
              <a:solidFill>
                <a:srgbClr val="1F4E78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6721991701244807E-2"/>
                  <c:h val="3.9176573516545722E-2"/>
                </c:manualLayout>
              </c15:layout>
            </c:ext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045643153526972E-2"/>
              <c:y val="-4.183006535947713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fld id="{C9BAB789-0592-4EE8-B90A-7B7D224A38A2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numFmt formatCode="#,##0" sourceLinked="0"/>
          <c:spPr>
            <a:solidFill>
              <a:srgbClr val="00B050"/>
            </a:solidFill>
            <a:ln w="25400" cap="flat" cmpd="sng" algn="ctr">
              <a:solidFill>
                <a:srgbClr val="00B05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7662517289073409E-2"/>
              <c:y val="-6.2745098039215699E-2"/>
            </c:manualLayout>
          </c:layout>
          <c:numFmt formatCode="General" sourceLinked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TabDin!$C$3</c:f>
              <c:strCache>
                <c:ptCount val="1"/>
                <c:pt idx="0">
                  <c:v>Soma de Carg Út Diár. (t)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9C2C-4394-AE3D-E21EBB7C16B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EE97-4EF7-B161-BD3AFA75EFCB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TabDin!$A$4:$A$12</c:f>
              <c:multiLvlStrCache>
                <c:ptCount val="6"/>
                <c:lvl>
                  <c:pt idx="0">
                    <c:v>05/09/2026</c:v>
                  </c:pt>
                  <c:pt idx="1">
                    <c:v>04/09/2026</c:v>
                  </c:pt>
                  <c:pt idx="2">
                    <c:v>03/09/2026</c:v>
                  </c:pt>
                  <c:pt idx="3">
                    <c:v>02/09/2026</c:v>
                  </c:pt>
                  <c:pt idx="4">
                    <c:v>01/09/2026</c:v>
                  </c:pt>
                  <c:pt idx="5">
                    <c:v>31/08/2026</c:v>
                  </c:pt>
                </c:lvl>
                <c:lvl>
                  <c:pt idx="0">
                    <c:v>Produção</c:v>
                  </c:pt>
                </c:lvl>
                <c:lvl>
                  <c:pt idx="0">
                    <c:v>S36</c:v>
                  </c:pt>
                </c:lvl>
              </c:multiLvlStrCache>
            </c:multiLvlStrRef>
          </c:cat>
          <c:val>
            <c:numRef>
              <c:f>TabDin!$C$4:$C$12</c:f>
              <c:numCache>
                <c:formatCode>_(* #,##0.00_);_(* \(#,##0.00\);_(* "-"??_);_(@_)</c:formatCode>
                <c:ptCount val="6"/>
                <c:pt idx="0">
                  <c:v>1925</c:v>
                </c:pt>
                <c:pt idx="1">
                  <c:v>12907</c:v>
                </c:pt>
                <c:pt idx="2">
                  <c:v>10974</c:v>
                </c:pt>
                <c:pt idx="3">
                  <c:v>9139</c:v>
                </c:pt>
                <c:pt idx="4">
                  <c:v>11391</c:v>
                </c:pt>
                <c:pt idx="5">
                  <c:v>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0-47C5-880F-3A7B8D543E98}"/>
            </c:ext>
          </c:extLst>
        </c:ser>
        <c:ser>
          <c:idx val="2"/>
          <c:order val="2"/>
          <c:tx>
            <c:strRef>
              <c:f>TabDin!$D$3</c:f>
              <c:strCache>
                <c:ptCount val="1"/>
                <c:pt idx="0">
                  <c:v>Contagem de Prefixo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TabDin!$A$4:$A$12</c:f>
              <c:multiLvlStrCache>
                <c:ptCount val="6"/>
                <c:lvl>
                  <c:pt idx="0">
                    <c:v>05/09/2026</c:v>
                  </c:pt>
                  <c:pt idx="1">
                    <c:v>04/09/2026</c:v>
                  </c:pt>
                  <c:pt idx="2">
                    <c:v>03/09/2026</c:v>
                  </c:pt>
                  <c:pt idx="3">
                    <c:v>02/09/2026</c:v>
                  </c:pt>
                  <c:pt idx="4">
                    <c:v>01/09/2026</c:v>
                  </c:pt>
                  <c:pt idx="5">
                    <c:v>31/08/2026</c:v>
                  </c:pt>
                </c:lvl>
                <c:lvl>
                  <c:pt idx="0">
                    <c:v>Produção</c:v>
                  </c:pt>
                </c:lvl>
                <c:lvl>
                  <c:pt idx="0">
                    <c:v>S36</c:v>
                  </c:pt>
                </c:lvl>
              </c:multiLvlStrCache>
            </c:multiLvlStrRef>
          </c:cat>
          <c:val>
            <c:numRef>
              <c:f>TabDin!$D$4:$D$12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0-47C5-880F-3A7B8D54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215680"/>
        <c:axId val="94216160"/>
      </c:barChart>
      <c:lineChart>
        <c:grouping val="stacked"/>
        <c:varyColors val="0"/>
        <c:ser>
          <c:idx val="0"/>
          <c:order val="0"/>
          <c:tx>
            <c:strRef>
              <c:f>TabDin!$B$3</c:f>
              <c:strCache>
                <c:ptCount val="1"/>
                <c:pt idx="0">
                  <c:v>Soma de Meta Diária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2304-451C-8119-5BD1CA49CA4F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304-451C-8119-5BD1CA49CA4F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9C2C-4394-AE3D-E21EBB7C16B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49E6-4F81-A507-37E7FBCD13DE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E2C0-47C5-880F-3A7B8D543E98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E2C0-47C5-880F-3A7B8D543E98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990F-40CC-BC6E-568A7ABD2871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990F-40CC-BC6E-568A7ABD2871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990F-40CC-BC6E-568A7ABD2871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990F-40CC-BC6E-568A7ABD2871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E2C0-47C5-880F-3A7B8D543E98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E2C0-47C5-880F-3A7B8D543E9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304-451C-8119-5BD1CA49CA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304-451C-8119-5BD1CA49CA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2C-4394-AE3D-E21EBB7C16B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E6-4F81-A507-37E7FBCD13DE}"/>
                </c:ext>
              </c:extLst>
            </c:dLbl>
            <c:dLbl>
              <c:idx val="4"/>
              <c:layout>
                <c:manualLayout>
                  <c:x val="-2.7662517289073409E-2"/>
                  <c:y val="-6.2745098039215699E-2"/>
                </c:manualLayout>
              </c:layout>
              <c:numFmt formatCode="General" sourceLinked="0"/>
              <c:spPr>
                <a:solidFill>
                  <a:srgbClr val="00B050"/>
                </a:solidFill>
                <a:ln>
                  <a:solidFill>
                    <a:srgbClr val="00B05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C0-47C5-880F-3A7B8D543E9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C0-47C5-880F-3A7B8D543E98}"/>
                </c:ext>
              </c:extLst>
            </c:dLbl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TabDin!$A$4:$A$12</c:f>
              <c:multiLvlStrCache>
                <c:ptCount val="6"/>
                <c:lvl>
                  <c:pt idx="0">
                    <c:v>05/09/2026</c:v>
                  </c:pt>
                  <c:pt idx="1">
                    <c:v>04/09/2026</c:v>
                  </c:pt>
                  <c:pt idx="2">
                    <c:v>03/09/2026</c:v>
                  </c:pt>
                  <c:pt idx="3">
                    <c:v>02/09/2026</c:v>
                  </c:pt>
                  <c:pt idx="4">
                    <c:v>01/09/2026</c:v>
                  </c:pt>
                  <c:pt idx="5">
                    <c:v>31/08/2026</c:v>
                  </c:pt>
                </c:lvl>
                <c:lvl>
                  <c:pt idx="0">
                    <c:v>Produção</c:v>
                  </c:pt>
                </c:lvl>
                <c:lvl>
                  <c:pt idx="0">
                    <c:v>S36</c:v>
                  </c:pt>
                </c:lvl>
              </c:multiLvlStrCache>
            </c:multiLvlStrRef>
          </c:cat>
          <c:val>
            <c:numRef>
              <c:f>TabDin!$B$4:$B$12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C0-47C5-880F-3A7B8D54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15680"/>
        <c:axId val="94216160"/>
      </c:lineChart>
      <c:catAx>
        <c:axId val="942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216160"/>
        <c:crosses val="autoZero"/>
        <c:auto val="1"/>
        <c:lblAlgn val="ctr"/>
        <c:lblOffset val="100"/>
        <c:noMultiLvlLbl val="0"/>
      </c:catAx>
      <c:valAx>
        <c:axId val="9421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2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ESCAVADEIRA e CBM.xlsx]TabDin!Tabela dinâmica4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Produção de Escavadeira no Cascalho (Ton)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7.89779326364692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E16A569-D2B0-4746-8C8C-4ABA09874825}" type="VALUE">
                  <a:rPr lang="en-US" b="1">
                    <a:solidFill>
                      <a:schemeClr val="bg1"/>
                    </a:solidFill>
                  </a:rPr>
                  <a:pPr>
                    <a:defRPr lang="en-US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7.89779326364692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E16A569-D2B0-4746-8C8C-4ABA09874825}" type="VALUE">
                  <a:rPr lang="en-US" b="1">
                    <a:solidFill>
                      <a:schemeClr val="bg1"/>
                    </a:solidFill>
                  </a:rPr>
                  <a:pPr>
                    <a:defRPr lang="en-US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088161121688106E-2"/>
              <c:y val="-9.6523596569950312E-2"/>
            </c:manualLayout>
          </c:layout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2442551176961523E-2"/>
                  <c:h val="5.2882350455622458E-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1192724728926096E-2"/>
              <c:y val="-8.5653104925053528E-2"/>
            </c:manualLayout>
          </c:layout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6789087093389193E-2"/>
              <c:y val="-7.4232690935046391E-2"/>
            </c:manualLayout>
          </c:layout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8.3945435466946487E-3"/>
              <c:y val="-7.7087794432548179E-2"/>
            </c:manualLayout>
          </c:layout>
          <c:spPr>
            <a:solidFill>
              <a:sysClr val="window" lastClr="FFFFFF"/>
            </a:solidFill>
            <a:ln>
              <a:solidFill>
                <a:srgbClr val="FFC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2546344875830818E-2"/>
              <c:y val="-0.13418986438258387"/>
            </c:manualLayout>
          </c:layout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DD9411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TabDin!$R$1</c:f>
              <c:strCache>
                <c:ptCount val="1"/>
                <c:pt idx="0">
                  <c:v>Soma de Carg Út Diár. (t)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TabDin!$Q$2:$Q$6</c:f>
              <c:strCache>
                <c:ptCount val="4"/>
                <c:pt idx="0">
                  <c:v>S33</c:v>
                </c:pt>
                <c:pt idx="1">
                  <c:v>S34</c:v>
                </c:pt>
                <c:pt idx="2">
                  <c:v>S35</c:v>
                </c:pt>
                <c:pt idx="3">
                  <c:v>S36</c:v>
                </c:pt>
              </c:strCache>
            </c:strRef>
          </c:cat>
          <c:val>
            <c:numRef>
              <c:f>TabDin!$R$2:$R$6</c:f>
              <c:numCache>
                <c:formatCode>_-* #,##0_-;\-* #,##0_-;_-* "-"??_-;_-@_-</c:formatCode>
                <c:ptCount val="4"/>
                <c:pt idx="0">
                  <c:v>28356</c:v>
                </c:pt>
                <c:pt idx="1">
                  <c:v>7965</c:v>
                </c:pt>
                <c:pt idx="2">
                  <c:v>24352</c:v>
                </c:pt>
                <c:pt idx="3">
                  <c:v>31926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2-41C0-A5AE-E39A77C1C707}"/>
            </c:ext>
          </c:extLst>
        </c:ser>
        <c:ser>
          <c:idx val="2"/>
          <c:order val="2"/>
          <c:tx>
            <c:strRef>
              <c:f>TabDin!$T$1</c:f>
              <c:strCache>
                <c:ptCount val="1"/>
                <c:pt idx="0">
                  <c:v>Soma de Cascalho Real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TabDin!$Q$2:$Q$6</c:f>
              <c:strCache>
                <c:ptCount val="4"/>
                <c:pt idx="0">
                  <c:v>S33</c:v>
                </c:pt>
                <c:pt idx="1">
                  <c:v>S34</c:v>
                </c:pt>
                <c:pt idx="2">
                  <c:v>S35</c:v>
                </c:pt>
                <c:pt idx="3">
                  <c:v>S36</c:v>
                </c:pt>
              </c:strCache>
            </c:strRef>
          </c:cat>
          <c:val>
            <c:numRef>
              <c:f>TabDin!$T$2:$T$6</c:f>
              <c:numCache>
                <c:formatCode>_-* #,##0_-;\-* #,##0_-;_-* "-"??_-;_-@_-</c:formatCode>
                <c:ptCount val="4"/>
                <c:pt idx="0">
                  <c:v>24262</c:v>
                </c:pt>
                <c:pt idx="1">
                  <c:v>7087</c:v>
                </c:pt>
                <c:pt idx="2">
                  <c:v>18061</c:v>
                </c:pt>
                <c:pt idx="3">
                  <c:v>27090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2-41C0-A5AE-E39A77C1C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96857407"/>
        <c:axId val="1996847807"/>
      </c:barChart>
      <c:lineChart>
        <c:grouping val="standard"/>
        <c:varyColors val="0"/>
        <c:ser>
          <c:idx val="1"/>
          <c:order val="1"/>
          <c:tx>
            <c:strRef>
              <c:f>TabDin!$S$1</c:f>
              <c:strCache>
                <c:ptCount val="1"/>
                <c:pt idx="0">
                  <c:v>Soma de Meta Diária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E2-41C0-A5AE-E39A77C1C70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E2-41C0-A5AE-E39A77C1C70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E2-41C0-A5AE-E39A77C1C70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184C-48DD-9D15-1F84058F6836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E7D7-44D3-9672-839832657EC7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97E2-41C0-A5AE-E39A77C1C707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E7D7-44D3-9672-839832657EC7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E7D7-44D3-9672-839832657EC7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E7D7-44D3-9672-839832657EC7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E7D7-44D3-9672-839832657EC7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E7D7-44D3-9672-839832657EC7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E7D7-44D3-9672-839832657EC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E2-41C0-A5AE-E39A77C1C707}"/>
                </c:ext>
              </c:extLst>
            </c:dLbl>
            <c:dLbl>
              <c:idx val="1"/>
              <c:layout>
                <c:manualLayout>
                  <c:x val="-8.2546344875830818E-2"/>
                  <c:y val="-0.13418986438258387"/>
                </c:manualLayout>
              </c:layout>
              <c:spPr>
                <a:solidFill>
                  <a:srgbClr val="DD9411"/>
                </a:solidFill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E2-41C0-A5AE-E39A77C1C7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E2-41C0-A5AE-E39A77C1C7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4C-48DD-9D15-1F84058F6836}"/>
                </c:ext>
              </c:extLst>
            </c:dLbl>
            <c:spPr>
              <a:solidFill>
                <a:srgbClr val="DD9411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TabDin!$Q$2:$Q$6</c:f>
              <c:strCache>
                <c:ptCount val="4"/>
                <c:pt idx="0">
                  <c:v>S33</c:v>
                </c:pt>
                <c:pt idx="1">
                  <c:v>S34</c:v>
                </c:pt>
                <c:pt idx="2">
                  <c:v>S35</c:v>
                </c:pt>
                <c:pt idx="3">
                  <c:v>S36</c:v>
                </c:pt>
              </c:strCache>
            </c:strRef>
          </c:cat>
          <c:val>
            <c:numRef>
              <c:f>TabDin!$S$2:$S$6</c:f>
              <c:numCache>
                <c:formatCode>_-* #,##0_-;\-* #,##0_-;_-* "-"??_-;_-@_-</c:formatCode>
                <c:ptCount val="4"/>
                <c:pt idx="0">
                  <c:v>24000</c:v>
                </c:pt>
                <c:pt idx="1">
                  <c:v>24000</c:v>
                </c:pt>
                <c:pt idx="2">
                  <c:v>24000</c:v>
                </c:pt>
                <c:pt idx="3">
                  <c:v>23999.999999999996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E2-41C0-A5AE-E39A77C1C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857407"/>
        <c:axId val="1996847807"/>
      </c:lineChart>
      <c:catAx>
        <c:axId val="19968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6847807"/>
        <c:crosses val="autoZero"/>
        <c:auto val="1"/>
        <c:lblAlgn val="ctr"/>
        <c:lblOffset val="100"/>
        <c:noMultiLvlLbl val="0"/>
      </c:catAx>
      <c:valAx>
        <c:axId val="199684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68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ESCAVADEIRA e CBM.xlsx]TabDin CBM!Tabela dinâmica17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PRODUTIVIDADE DA</a:t>
            </a:r>
            <a:r>
              <a:rPr lang="pt-BR" b="1" baseline="0"/>
              <a:t> SEMANA </a:t>
            </a:r>
            <a:r>
              <a:rPr lang="pt-BR" b="1"/>
              <a:t>DOS CBM'S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layout>
            <c:manualLayout>
              <c:x val="3.1007751937984402E-2"/>
              <c:y val="-6.0790273556231005E-2"/>
            </c:manualLayout>
          </c:layout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layout>
            <c:manualLayout>
              <c:x val="4.5121263395373418E-3"/>
              <c:y val="-5.8769496317651444E-2"/>
            </c:manualLayout>
          </c:layout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'TabDin CBM'!$C$3</c:f>
              <c:strCache>
                <c:ptCount val="1"/>
                <c:pt idx="0">
                  <c:v>Soma de Viagens/Hora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'TabDin CBM'!$A$4:$A$11</c:f>
              <c:multiLvlStrCache>
                <c:ptCount val="6"/>
                <c:lvl>
                  <c:pt idx="0">
                    <c:v>25/05/2026</c:v>
                  </c:pt>
                  <c:pt idx="1">
                    <c:v>26/05/2026</c:v>
                  </c:pt>
                  <c:pt idx="2">
                    <c:v>27/05/2026</c:v>
                  </c:pt>
                  <c:pt idx="3">
                    <c:v>28/05/2026</c:v>
                  </c:pt>
                  <c:pt idx="4">
                    <c:v>29/05/2026</c:v>
                  </c:pt>
                  <c:pt idx="5">
                    <c:v>30/05/2026</c:v>
                  </c:pt>
                </c:lvl>
                <c:lvl>
                  <c:pt idx="0">
                    <c:v>S22</c:v>
                  </c:pt>
                </c:lvl>
              </c:multiLvlStrCache>
            </c:multiLvlStrRef>
          </c:cat>
          <c:val>
            <c:numRef>
              <c:f>'TabDin CBM'!$C$4:$C$11</c:f>
              <c:numCache>
                <c:formatCode>0.00</c:formatCode>
                <c:ptCount val="6"/>
                <c:pt idx="0">
                  <c:v>3.2472222222222222</c:v>
                </c:pt>
                <c:pt idx="1">
                  <c:v>2.375</c:v>
                </c:pt>
                <c:pt idx="2">
                  <c:v>1.83125</c:v>
                </c:pt>
                <c:pt idx="3">
                  <c:v>2.2142500000000003</c:v>
                </c:pt>
                <c:pt idx="4">
                  <c:v>2.0195454545454545</c:v>
                </c:pt>
                <c:pt idx="5">
                  <c:v>1.7595238095238097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A-448B-9487-58F7D2CB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241408"/>
        <c:axId val="1668249568"/>
      </c:barChart>
      <c:lineChart>
        <c:grouping val="stacked"/>
        <c:varyColors val="0"/>
        <c:ser>
          <c:idx val="0"/>
          <c:order val="0"/>
          <c:tx>
            <c:strRef>
              <c:f>'TabDin CBM'!$B$3</c:f>
              <c:strCache>
                <c:ptCount val="1"/>
                <c:pt idx="0">
                  <c:v>Soma de Meta Diária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4DA-448B-9487-58F7D2CBEC2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863-449D-802A-749BB694CE1E}"/>
              </c:ext>
            </c:extLst>
          </c:dPt>
          <c:dLbls>
            <c:dLbl>
              <c:idx val="4"/>
              <c:layout>
                <c:manualLayout>
                  <c:x val="4.5121263395373418E-3"/>
                  <c:y val="-5.8769496317651444E-2"/>
                </c:manualLayout>
              </c:layout>
              <c:spPr>
                <a:solidFill>
                  <a:srgbClr val="00B050"/>
                </a:solidFill>
                <a:ln>
                  <a:solidFill>
                    <a:srgbClr val="00B05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63-449D-802A-749BB694C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'TabDin CBM'!$A$4:$A$11</c:f>
              <c:multiLvlStrCache>
                <c:ptCount val="6"/>
                <c:lvl>
                  <c:pt idx="0">
                    <c:v>25/05/2026</c:v>
                  </c:pt>
                  <c:pt idx="1">
                    <c:v>26/05/2026</c:v>
                  </c:pt>
                  <c:pt idx="2">
                    <c:v>27/05/2026</c:v>
                  </c:pt>
                  <c:pt idx="3">
                    <c:v>28/05/2026</c:v>
                  </c:pt>
                  <c:pt idx="4">
                    <c:v>29/05/2026</c:v>
                  </c:pt>
                  <c:pt idx="5">
                    <c:v>30/05/2026</c:v>
                  </c:pt>
                </c:lvl>
                <c:lvl>
                  <c:pt idx="0">
                    <c:v>S22</c:v>
                  </c:pt>
                </c:lvl>
              </c:multiLvlStrCache>
            </c:multiLvlStrRef>
          </c:cat>
          <c:val>
            <c:numRef>
              <c:f>'TabDin CBM'!$B$4:$B$11</c:f>
              <c:numCache>
                <c:formatCode>0.00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A-448B-9487-58F7D2CB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241408"/>
        <c:axId val="1668249568"/>
      </c:lineChart>
      <c:catAx>
        <c:axId val="16682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8249568"/>
        <c:crosses val="autoZero"/>
        <c:auto val="1"/>
        <c:lblAlgn val="ctr"/>
        <c:lblOffset val="100"/>
        <c:noMultiLvlLbl val="0"/>
      </c:catAx>
      <c:valAx>
        <c:axId val="16682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N° de</a:t>
                </a:r>
                <a:r>
                  <a:rPr lang="pt-BR" b="1" baseline="0"/>
                  <a:t> Viagens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824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[RELATÓRIO ESCAVADEIRA e CBM.xlsx]TabDin CBM!Tabela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PRODUTIVIDADE DOS</a:t>
            </a:r>
            <a:r>
              <a:rPr lang="pt-BR" b="1" baseline="0"/>
              <a:t> CBM'S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5000000000000001E-2"/>
              <c:y val="-6.4814814814814839E-2"/>
            </c:manualLayout>
          </c:layout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'TabDin CBM'!$Q$3</c:f>
              <c:strCache>
                <c:ptCount val="1"/>
                <c:pt idx="0">
                  <c:v>Soma de Viagens/Hora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'TabDin CBM'!$O$4:$O$9</c:f>
              <c:strCache>
                <c:ptCount val="5"/>
                <c:pt idx="0">
                  <c:v>S19</c:v>
                </c:pt>
                <c:pt idx="1">
                  <c:v>S20</c:v>
                </c:pt>
                <c:pt idx="2">
                  <c:v>S21</c:v>
                </c:pt>
                <c:pt idx="3">
                  <c:v>S22</c:v>
                </c:pt>
                <c:pt idx="4">
                  <c:v>(vazio)</c:v>
                </c:pt>
              </c:strCache>
            </c:strRef>
          </c:cat>
          <c:val>
            <c:numRef>
              <c:f>'TabDin CBM'!$Q$4:$Q$9</c:f>
              <c:numCache>
                <c:formatCode>General</c:formatCode>
                <c:ptCount val="5"/>
                <c:pt idx="0">
                  <c:v>8.4977777777777774</c:v>
                </c:pt>
                <c:pt idx="1">
                  <c:v>6.1769166666666671</c:v>
                </c:pt>
                <c:pt idx="2">
                  <c:v>7.8098349673202616</c:v>
                </c:pt>
                <c:pt idx="3">
                  <c:v>13.446791486291486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43-42C8-BD6E-FFFAF7068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9475840"/>
        <c:axId val="549485920"/>
      </c:barChart>
      <c:lineChart>
        <c:grouping val="standard"/>
        <c:varyColors val="0"/>
        <c:ser>
          <c:idx val="0"/>
          <c:order val="0"/>
          <c:tx>
            <c:strRef>
              <c:f>'TabDin CBM'!$P$3</c:f>
              <c:strCache>
                <c:ptCount val="1"/>
                <c:pt idx="0">
                  <c:v>Soma de Meta Diária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0743-42C8-BD6E-FFFAF7068A38}"/>
              </c:ext>
            </c:extLst>
          </c:dPt>
          <c:dLbls>
            <c:dLbl>
              <c:idx val="1"/>
              <c:layout>
                <c:manualLayout>
                  <c:x val="2.5000000000000001E-2"/>
                  <c:y val="-6.4814814814814839E-2"/>
                </c:manualLayout>
              </c:layout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43-42C8-BD6E-FFFAF7068A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'TabDin CBM'!$O$4:$O$9</c:f>
              <c:strCache>
                <c:ptCount val="5"/>
                <c:pt idx="0">
                  <c:v>S19</c:v>
                </c:pt>
                <c:pt idx="1">
                  <c:v>S20</c:v>
                </c:pt>
                <c:pt idx="2">
                  <c:v>S21</c:v>
                </c:pt>
                <c:pt idx="3">
                  <c:v>S22</c:v>
                </c:pt>
                <c:pt idx="4">
                  <c:v>(vazio)</c:v>
                </c:pt>
              </c:strCache>
            </c:strRef>
          </c:cat>
          <c:val>
            <c:numRef>
              <c:f>'TabDin CBM'!$P$4:$P$9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3-42C8-BD6E-FFFAF7068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899280"/>
        <c:axId val="489902160"/>
      </c:lineChart>
      <c:catAx>
        <c:axId val="5494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485920"/>
        <c:crosses val="autoZero"/>
        <c:auto val="1"/>
        <c:lblAlgn val="ctr"/>
        <c:lblOffset val="100"/>
        <c:noMultiLvlLbl val="0"/>
      </c:catAx>
      <c:valAx>
        <c:axId val="5494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N° de Viagens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475840"/>
        <c:crosses val="autoZero"/>
        <c:crossBetween val="between"/>
      </c:valAx>
      <c:valAx>
        <c:axId val="489902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899280"/>
        <c:crosses val="max"/>
        <c:crossBetween val="between"/>
      </c:valAx>
      <c:catAx>
        <c:axId val="48989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9902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Produçã</a:t>
            </a:r>
            <a:r>
              <a:rPr lang="pt-BR" baseline="0"/>
              <a:t>o Estrutura de Pavimento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'Liberações de Camadas'!$P$3</c:f>
              <c:strCache>
                <c:ptCount val="1"/>
                <c:pt idx="0">
                  <c:v>Extensão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'Liberações de Camadas'!$O$4:$O$20</c:f>
              <c:numCache>
                <c:formatCode>d\-mmm</c:formatCode>
                <c:ptCount val="17"/>
                <c:pt idx="0">
                  <c:v>46137</c:v>
                </c:pt>
                <c:pt idx="1">
                  <c:v>46138</c:v>
                </c:pt>
                <c:pt idx="2">
                  <c:v>46139</c:v>
                </c:pt>
                <c:pt idx="3">
                  <c:v>46140</c:v>
                </c:pt>
                <c:pt idx="4">
                  <c:v>46141</c:v>
                </c:pt>
                <c:pt idx="5">
                  <c:v>46142</c:v>
                </c:pt>
                <c:pt idx="6">
                  <c:v>46143</c:v>
                </c:pt>
                <c:pt idx="7">
                  <c:v>46144</c:v>
                </c:pt>
                <c:pt idx="8">
                  <c:v>46145</c:v>
                </c:pt>
                <c:pt idx="9">
                  <c:v>46146</c:v>
                </c:pt>
                <c:pt idx="10">
                  <c:v>46147</c:v>
                </c:pt>
                <c:pt idx="11">
                  <c:v>46148</c:v>
                </c:pt>
                <c:pt idx="12">
                  <c:v>46149</c:v>
                </c:pt>
                <c:pt idx="13">
                  <c:v>46150</c:v>
                </c:pt>
                <c:pt idx="14">
                  <c:v>46151</c:v>
                </c:pt>
                <c:pt idx="15">
                  <c:v>46152</c:v>
                </c:pt>
                <c:pt idx="16">
                  <c:v>46153</c:v>
                </c:pt>
              </c:numCache>
            </c:numRef>
          </c:cat>
          <c:val>
            <c:numRef>
              <c:f>'Liberações de Camadas'!$P$4:$P$20</c:f>
              <c:numCache>
                <c:formatCode>General</c:formatCode>
                <c:ptCount val="17"/>
                <c:pt idx="0">
                  <c:v>220</c:v>
                </c:pt>
                <c:pt idx="1">
                  <c:v>0</c:v>
                </c:pt>
                <c:pt idx="2">
                  <c:v>580</c:v>
                </c:pt>
                <c:pt idx="3">
                  <c:v>0</c:v>
                </c:pt>
                <c:pt idx="4">
                  <c:v>300</c:v>
                </c:pt>
                <c:pt idx="5">
                  <c:v>520</c:v>
                </c:pt>
                <c:pt idx="6">
                  <c:v>0</c:v>
                </c:pt>
                <c:pt idx="7">
                  <c:v>240</c:v>
                </c:pt>
                <c:pt idx="8">
                  <c:v>0</c:v>
                </c:pt>
                <c:pt idx="9">
                  <c:v>0</c:v>
                </c:pt>
                <c:pt idx="10">
                  <c:v>1060</c:v>
                </c:pt>
                <c:pt idx="11">
                  <c:v>500</c:v>
                </c:pt>
                <c:pt idx="12">
                  <c:v>440</c:v>
                </c:pt>
                <c:pt idx="13">
                  <c:v>400</c:v>
                </c:pt>
                <c:pt idx="14">
                  <c:v>400</c:v>
                </c:pt>
                <c:pt idx="15">
                  <c:v>0</c:v>
                </c:pt>
                <c:pt idx="16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9-4AE9-A058-4CD73566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79824"/>
        <c:axId val="61086544"/>
      </c:barChart>
      <c:lineChart>
        <c:grouping val="standard"/>
        <c:varyColors val="0"/>
        <c:ser>
          <c:idx val="1"/>
          <c:order val="1"/>
          <c:tx>
            <c:strRef>
              <c:f>'Liberações de Camadas'!$Q$3</c:f>
              <c:strCache>
                <c:ptCount val="1"/>
                <c:pt idx="0">
                  <c:v>Meta Diária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-3.5005834305717617E-2"/>
                  <c:y val="-5.952380952380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79-4AE9-A058-4CD73566A84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'Liberações de Camadas'!$O$4:$O$20</c:f>
              <c:numCache>
                <c:formatCode>d\-mmm</c:formatCode>
                <c:ptCount val="17"/>
                <c:pt idx="0">
                  <c:v>46137</c:v>
                </c:pt>
                <c:pt idx="1">
                  <c:v>46138</c:v>
                </c:pt>
                <c:pt idx="2">
                  <c:v>46139</c:v>
                </c:pt>
                <c:pt idx="3">
                  <c:v>46140</c:v>
                </c:pt>
                <c:pt idx="4">
                  <c:v>46141</c:v>
                </c:pt>
                <c:pt idx="5">
                  <c:v>46142</c:v>
                </c:pt>
                <c:pt idx="6">
                  <c:v>46143</c:v>
                </c:pt>
                <c:pt idx="7">
                  <c:v>46144</c:v>
                </c:pt>
                <c:pt idx="8">
                  <c:v>46145</c:v>
                </c:pt>
                <c:pt idx="9">
                  <c:v>46146</c:v>
                </c:pt>
                <c:pt idx="10">
                  <c:v>46147</c:v>
                </c:pt>
                <c:pt idx="11">
                  <c:v>46148</c:v>
                </c:pt>
                <c:pt idx="12">
                  <c:v>46149</c:v>
                </c:pt>
                <c:pt idx="13">
                  <c:v>46150</c:v>
                </c:pt>
                <c:pt idx="14">
                  <c:v>46151</c:v>
                </c:pt>
                <c:pt idx="15">
                  <c:v>46152</c:v>
                </c:pt>
                <c:pt idx="16">
                  <c:v>46153</c:v>
                </c:pt>
              </c:numCache>
            </c:numRef>
          </c:cat>
          <c:val>
            <c:numRef>
              <c:f>'Liberações de Camadas'!$Q$4:$Q$20</c:f>
              <c:numCache>
                <c:formatCode>0</c:formatCode>
                <c:ptCount val="17"/>
                <c:pt idx="0">
                  <c:v>833.33333333333337</c:v>
                </c:pt>
                <c:pt idx="1">
                  <c:v>833.33333333333337</c:v>
                </c:pt>
                <c:pt idx="2">
                  <c:v>833.33333333333337</c:v>
                </c:pt>
                <c:pt idx="3">
                  <c:v>833.33333333333337</c:v>
                </c:pt>
                <c:pt idx="4">
                  <c:v>833.33333333333337</c:v>
                </c:pt>
                <c:pt idx="5">
                  <c:v>833.33333333333337</c:v>
                </c:pt>
                <c:pt idx="6">
                  <c:v>833.33333333333337</c:v>
                </c:pt>
                <c:pt idx="7">
                  <c:v>833.33333333333337</c:v>
                </c:pt>
                <c:pt idx="8">
                  <c:v>833.33333333333337</c:v>
                </c:pt>
                <c:pt idx="9">
                  <c:v>833.33333333333337</c:v>
                </c:pt>
                <c:pt idx="10">
                  <c:v>833.33333333333337</c:v>
                </c:pt>
                <c:pt idx="11">
                  <c:v>833.33333333333337</c:v>
                </c:pt>
                <c:pt idx="12">
                  <c:v>833.33333333333337</c:v>
                </c:pt>
                <c:pt idx="13">
                  <c:v>833.33333333333337</c:v>
                </c:pt>
                <c:pt idx="14">
                  <c:v>833.33333333333337</c:v>
                </c:pt>
                <c:pt idx="15">
                  <c:v>833.33333333333337</c:v>
                </c:pt>
                <c:pt idx="16">
                  <c:v>833.33333333333337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9-4AE9-A058-4CD73566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79824"/>
        <c:axId val="61086544"/>
      </c:lineChart>
      <c:dateAx>
        <c:axId val="6107982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086544"/>
        <c:crosses val="autoZero"/>
        <c:auto val="1"/>
        <c:lblOffset val="100"/>
        <c:baseTimeUnit val="days"/>
      </c:dateAx>
      <c:valAx>
        <c:axId val="610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07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933450</xdr:colOff>
      <xdr:row>0</xdr:row>
      <xdr:rowOff>552450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D184C4F-EEE9-4A25-A6D7-48E8E68292AC}"/>
            </a:ext>
            <a:ext uri="{147F2762-F138-4A5C-976F-8EAC2B608ADB}">
              <a16:predDERef xmlns:a16="http://schemas.microsoft.com/office/drawing/2014/main" pred="{FEE938D5-64CB-4601-A0FB-92EDC13A9F5B}"/>
            </a:ext>
          </a:extLst>
        </xdr:cNvPr>
        <xdr:cNvSpPr txBox="1"/>
      </xdr:nvSpPr>
      <xdr:spPr>
        <a:xfrm>
          <a:off x="200025" y="0"/>
          <a:ext cx="9172575" cy="552450"/>
        </a:xfrm>
        <a:prstGeom prst="rect">
          <a:avLst/>
        </a:prstGeom>
        <a:solidFill>
          <a:srgbClr val="1D2F7B"/>
        </a:solidFill>
        <a:ln w="9525" cmpd="sng">
          <a:solidFill>
            <a:schemeClr val="bg1">
              <a:lumMod val="8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bg1"/>
              </a:solidFill>
              <a:latin typeface="Calibri (Corpo)"/>
            </a:rPr>
            <a:t>INDICADORES </a:t>
          </a:r>
          <a:r>
            <a:rPr lang="en-US" sz="2000" b="1" i="0" u="none" strike="noStrike">
              <a:solidFill>
                <a:schemeClr val="bg1"/>
              </a:solidFill>
              <a:latin typeface="Calibri (Corpo)"/>
            </a:rPr>
            <a:t>PRODUÇÃO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0</xdr:rowOff>
    </xdr:from>
    <xdr:to>
      <xdr:col>3</xdr:col>
      <xdr:colOff>190814</xdr:colOff>
      <xdr:row>0</xdr:row>
      <xdr:rowOff>485775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EF33577D-E353-4B76-B748-4B910551E935}"/>
            </a:ext>
            <a:ext uri="{147F2762-F138-4A5C-976F-8EAC2B608ADB}">
              <a16:predDERef xmlns:a16="http://schemas.microsoft.com/office/drawing/2014/main" pred="{6F636E71-EACC-48B8-B271-61422A97F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0"/>
          <a:ext cx="1314764" cy="485775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2</xdr:row>
      <xdr:rowOff>95250</xdr:rowOff>
    </xdr:from>
    <xdr:to>
      <xdr:col>15</xdr:col>
      <xdr:colOff>914400</xdr:colOff>
      <xdr:row>23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E774B1-5AA8-4DF8-92B6-D6DB27AF6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0.88806</cdr:x>
      <cdr:y>0.06484</cdr:y>
    </cdr:from>
    <cdr:to>
      <cdr:x>0.92424</cdr:x>
      <cdr:y>0.11794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3BC02F46-C72A-B637-A009-C232736A144C}"/>
            </a:ext>
          </a:extLst>
        </cdr:cNvPr>
        <cdr:cNvSpPr/>
      </cdr:nvSpPr>
      <cdr:spPr>
        <a:xfrm xmlns:a="http://schemas.openxmlformats.org/drawingml/2006/main" flipV="1">
          <a:off x="7949566" y="220980"/>
          <a:ext cx="323850" cy="180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0.88083</cdr:x>
      <cdr:y>0.05925</cdr:y>
    </cdr:from>
    <cdr:to>
      <cdr:x>0.98298</cdr:x>
      <cdr:y>0.13471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D62FFCF7-08CC-7FEA-BFEC-CA4B6311D14C}"/>
            </a:ext>
          </a:extLst>
        </cdr:cNvPr>
        <cdr:cNvSpPr txBox="1"/>
      </cdr:nvSpPr>
      <cdr:spPr>
        <a:xfrm xmlns:a="http://schemas.openxmlformats.org/drawingml/2006/main">
          <a:off x="7884795" y="201930"/>
          <a:ext cx="9144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900" b="1" kern="1200">
              <a:solidFill>
                <a:schemeClr val="tx1">
                  <a:lumMod val="75000"/>
                  <a:lumOff val="25000"/>
                </a:schemeClr>
              </a:solidFill>
            </a:rPr>
            <a:t>06 Escavadeiras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933450</xdr:colOff>
      <xdr:row>0</xdr:row>
      <xdr:rowOff>552450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6A619FE-E564-4A54-A838-5270C9E3F926}"/>
            </a:ext>
            <a:ext uri="{147F2762-F138-4A5C-976F-8EAC2B608ADB}">
              <a16:predDERef xmlns:a16="http://schemas.microsoft.com/office/drawing/2014/main" pred="{FEE938D5-64CB-4601-A0FB-92EDC13A9F5B}"/>
            </a:ext>
          </a:extLst>
        </xdr:cNvPr>
        <xdr:cNvSpPr txBox="1"/>
      </xdr:nvSpPr>
      <xdr:spPr>
        <a:xfrm>
          <a:off x="200025" y="0"/>
          <a:ext cx="9172575" cy="533400"/>
        </a:xfrm>
        <a:prstGeom prst="rect">
          <a:avLst/>
        </a:prstGeom>
        <a:solidFill>
          <a:srgbClr val="1D2F7B"/>
        </a:solidFill>
        <a:ln w="9525" cmpd="sng">
          <a:solidFill>
            <a:schemeClr val="bg1">
              <a:lumMod val="8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bg1"/>
              </a:solidFill>
              <a:latin typeface="Calibri (Corpo)"/>
            </a:rPr>
            <a:t>INDICADORES </a:t>
          </a:r>
          <a:r>
            <a:rPr lang="en-US" sz="2000" b="1" i="0" u="none" strike="noStrike">
              <a:solidFill>
                <a:schemeClr val="bg1"/>
              </a:solidFill>
              <a:latin typeface="Calibri (Corpo)"/>
            </a:rPr>
            <a:t>PRODUÇÃO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0</xdr:rowOff>
    </xdr:from>
    <xdr:to>
      <xdr:col>3</xdr:col>
      <xdr:colOff>190814</xdr:colOff>
      <xdr:row>0</xdr:row>
      <xdr:rowOff>485775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579924C6-1984-4A41-9AD8-6CED93A09DCE}"/>
            </a:ext>
            <a:ext uri="{147F2762-F138-4A5C-976F-8EAC2B608ADB}">
              <a16:predDERef xmlns:a16="http://schemas.microsoft.com/office/drawing/2014/main" pred="{6F636E71-EACC-48B8-B271-61422A97F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0"/>
          <a:ext cx="1314764" cy="485775"/>
        </a:xfrm>
        <a:prstGeom prst="rect">
          <a:avLst/>
        </a:prstGeom>
      </xdr:spPr>
    </xdr:pic>
    <xdr:clientData/>
  </xdr:twoCellAnchor>
  <xdr:twoCellAnchor>
    <xdr:from>
      <xdr:col>0</xdr:col>
      <xdr:colOff>200024</xdr:colOff>
      <xdr:row>4</xdr:row>
      <xdr:rowOff>0</xdr:rowOff>
    </xdr:from>
    <xdr:to>
      <xdr:col>15</xdr:col>
      <xdr:colOff>838199</xdr:colOff>
      <xdr:row>23</xdr:row>
      <xdr:rowOff>0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0100E929-DF24-4B3B-B19B-B2C5250C0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480060</xdr:colOff>
      <xdr:row>2</xdr:row>
      <xdr:rowOff>83820</xdr:rowOff>
    </xdr:from>
    <xdr:to>
      <xdr:col>10</xdr:col>
      <xdr:colOff>480059</xdr:colOff>
      <xdr:row>17</xdr:row>
      <xdr:rowOff>1232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>
              <a:extLst>
                <a:ext uri="{FF2B5EF4-FFF2-40B4-BE49-F238E27FC236}">
                  <a16:creationId xmlns:a16="http://schemas.microsoft.com/office/drawing/2014/main" id="{B1B4EE67-871D-94D0-732D-BD57DE01D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20" y="434340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220980</xdr:colOff>
      <xdr:row>2</xdr:row>
      <xdr:rowOff>91440</xdr:rowOff>
    </xdr:from>
    <xdr:to>
      <xdr:col>6</xdr:col>
      <xdr:colOff>182882</xdr:colOff>
      <xdr:row>17</xdr:row>
      <xdr:rowOff>3810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Local de Atuação">
              <a:extLst>
                <a:ext uri="{FF2B5EF4-FFF2-40B4-BE49-F238E27FC236}">
                  <a16:creationId xmlns:a16="http://schemas.microsoft.com/office/drawing/2014/main" id="{C99C8E00-1E15-6021-E78F-754B3DA38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 de Atu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9740" y="441960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209550</xdr:colOff>
      <xdr:row>14</xdr:row>
      <xdr:rowOff>142875</xdr:rowOff>
    </xdr:from>
    <xdr:to>
      <xdr:col>23</xdr:col>
      <xdr:colOff>209550</xdr:colOff>
      <xdr:row>28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1">
              <a:extLst>
                <a:ext uri="{FF2B5EF4-FFF2-40B4-BE49-F238E27FC236}">
                  <a16:creationId xmlns:a16="http://schemas.microsoft.com/office/drawing/2014/main" id="{EEF7AB63-56E3-683C-ADB0-A8FA9BC99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2432" y="2339228"/>
              <a:ext cx="1815353" cy="2167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228600</xdr:colOff>
      <xdr:row>0</xdr:row>
      <xdr:rowOff>0</xdr:rowOff>
    </xdr:from>
    <xdr:to>
      <xdr:col>23</xdr:col>
      <xdr:colOff>228600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Local de Atuação 1">
              <a:extLst>
                <a:ext uri="{FF2B5EF4-FFF2-40B4-BE49-F238E27FC236}">
                  <a16:creationId xmlns:a16="http://schemas.microsoft.com/office/drawing/2014/main" id="{91952CE2-C078-16E8-1C8B-F02E8F2E37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 de Atuaçã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11482" y="0"/>
              <a:ext cx="1815353" cy="2172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1</xdr:row>
      <xdr:rowOff>85724</xdr:rowOff>
    </xdr:from>
    <xdr:to>
      <xdr:col>13</xdr:col>
      <xdr:colOff>9524</xdr:colOff>
      <xdr:row>22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7BDEAB-707B-DDC6-8FDE-BD09F4145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10</xdr:row>
      <xdr:rowOff>9525</xdr:rowOff>
    </xdr:from>
    <xdr:to>
      <xdr:col>18</xdr:col>
      <xdr:colOff>438150</xdr:colOff>
      <xdr:row>27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237549-0C85-0D5F-2167-706A273C3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1</xdr:row>
      <xdr:rowOff>160020</xdr:rowOff>
    </xdr:from>
    <xdr:to>
      <xdr:col>28</xdr:col>
      <xdr:colOff>129540</xdr:colOff>
      <xdr:row>17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D410F6-C3EF-7492-6542-FF7F46142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Fernando Araujo Sousa" refreshedDate="46273.326337384256" createdVersion="8" refreshedVersion="8" minRefreshableVersion="3" recordCount="1831" xr:uid="{8D9D6DB7-C64F-4C80-9A78-61C3071D7139}">
  <cacheSource type="worksheet">
    <worksheetSource ref="A4:AB2550" sheet="BD"/>
  </cacheSource>
  <cacheFields count="28">
    <cacheField name="Data" numFmtId="0">
      <sharedItems containsNonDate="0" containsDate="1" containsString="0" containsBlank="1" minDate="2026-05-04T00:00:00" maxDate="2026-09-07T00:00:00" count="127"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m/>
      </sharedItems>
    </cacheField>
    <cacheField name="Semana" numFmtId="0">
      <sharedItems containsBlank="1" count="21">
        <s v="S19"/>
        <s v="Dia Não Operacional"/>
        <s v="S20"/>
        <s v="S21"/>
        <s v="S22"/>
        <s v="S23"/>
        <s v="S24"/>
        <s v="S25"/>
        <s v="S26"/>
        <s v="S27"/>
        <s v="S28"/>
        <s v="S29"/>
        <s v="S30"/>
        <s v="S31"/>
        <s v="S32"/>
        <s v="S33"/>
        <s v="S34"/>
        <s v="S35"/>
        <s v="S36"/>
        <m/>
        <s v="S18" u="1"/>
      </sharedItems>
    </cacheField>
    <cacheField name="Status" numFmtId="0">
      <sharedItems containsBlank="1"/>
    </cacheField>
    <cacheField name="Prefixo" numFmtId="0">
      <sharedItems containsBlank="1"/>
    </cacheField>
    <cacheField name="Local de Atuação" numFmtId="0">
      <sharedItems containsBlank="1" count="8">
        <s v="Jazida de Cascalho"/>
        <s v="Drenagem"/>
        <s v="Produção"/>
        <s v="Produção/Rebaixo"/>
        <s v="Apoio"/>
        <m/>
        <s v="Limpeza"/>
        <s v="Escavação"/>
      </sharedItems>
    </cacheField>
    <cacheField name="Cascalho Real" numFmtId="0">
      <sharedItems containsBlank="1" containsMixedTypes="1" containsNumber="1" minValue="0" maxValue="6365"/>
    </cacheField>
    <cacheField name="Observação" numFmtId="0">
      <sharedItems containsBlank="1"/>
    </cacheField>
    <cacheField name="Meta Diária" numFmtId="0">
      <sharedItems containsBlank="1" containsMixedTypes="1" containsNumber="1" minValue="0" maxValue="12000"/>
    </cacheField>
    <cacheField name="Produção (t/h)" numFmtId="0">
      <sharedItems containsString="0" containsBlank="1" containsNumber="1" minValue="0" maxValue="823.85496183206101"/>
    </cacheField>
    <cacheField name="Hr Tempo Exec" numFmtId="0">
      <sharedItems containsBlank="1" containsMixedTypes="1" containsNumber="1" minValue="0" maxValue="17.100000000000001"/>
    </cacheField>
    <cacheField name="Horas Trabal." numFmtId="0">
      <sharedItems containsBlank="1" containsMixedTypes="1" containsNumber="1" minValue="0" maxValue="15.41"/>
    </cacheField>
    <cacheField name="Hr Ociosas" numFmtId="0">
      <sharedItems containsBlank="1" containsMixedTypes="1" containsNumber="1" minValue="0" maxValue="6.2"/>
    </cacheField>
    <cacheField name="Percentual Mch Lenta" numFmtId="0">
      <sharedItems containsBlank="1" containsMixedTypes="1" containsNumber="1" minValue="0" maxValue="94.67"/>
    </cacheField>
    <cacheField name="Ciclos Diár." numFmtId="0">
      <sharedItems containsBlank="1" containsMixedTypes="1" containsNumber="1" containsInteger="1" minValue="0" maxValue="2047"/>
    </cacheField>
    <cacheField name="Carg Út Diár. (t)" numFmtId="0">
      <sharedItems containsBlank="1" containsMixedTypes="1" containsNumber="1" containsInteger="1" minValue="0" maxValue="8634"/>
    </cacheField>
    <cacheField name="Carga Útil/Ciclo (t)" numFmtId="0">
      <sharedItems containsBlank="1" containsMixedTypes="1" containsNumber="1" minValue="0" maxValue="3472631.41"/>
    </cacheField>
    <cacheField name="Carg Út/Comb (t/L)" numFmtId="0">
      <sharedItems containsBlank="1" containsMixedTypes="1" containsNumber="1" minValue="0" maxValue="13122113.380000001"/>
    </cacheField>
    <cacheField name="Comb Diár (l)" numFmtId="0">
      <sharedItems containsBlank="1" containsMixedTypes="1" containsNumber="1" minValue="0" maxValue="550.78"/>
    </cacheField>
    <cacheField name="Comb Mch Lenta (l)" numFmtId="0">
      <sharedItems containsBlank="1" containsMixedTypes="1" containsNumber="1" minValue="0" maxValue="29.34"/>
    </cacheField>
    <cacheField name="Tx Comb Mrch Lenta (L/h)" numFmtId="0">
      <sharedItems containsBlank="1" containsMixedTypes="1" containsNumber="1" minValue="0" maxValue="18.93"/>
    </cacheField>
    <cacheField name="Comb em Oper (l)" numFmtId="0">
      <sharedItems containsBlank="1" containsMixedTypes="1" containsNumber="1" minValue="0" maxValue="541.79"/>
    </cacheField>
    <cacheField name="Tx Comb em Oper (L/h)" numFmtId="0">
      <sharedItems containsBlank="1" containsMixedTypes="1" containsNumber="1" minValue="0" maxValue="46.46"/>
    </cacheField>
    <cacheField name="Horômetro Vida Út" numFmtId="0">
      <sharedItems containsBlank="1" containsMixedTypes="1" containsNumber="1" minValue="0" maxValue="9452.43"/>
    </cacheField>
    <cacheField name="Licznik wszyst cykli" numFmtId="0">
      <sharedItems containsBlank="1" containsMixedTypes="1" containsNumber="1" containsInteger="1" minValue="0" maxValue="412033"/>
    </cacheField>
    <cacheField name="Med Carg Út Vid Útil (t)" numFmtId="0">
      <sharedItems containsBlank="1" containsMixedTypes="1" containsNumber="1" containsInteger="1" minValue="0" maxValue="1559476544"/>
    </cacheField>
    <cacheField name="Dist. Diária (km)" numFmtId="0">
      <sharedItems containsBlank="1" containsMixedTypes="1" containsNumber="1" minValue="0" maxValue="7.9"/>
    </cacheField>
    <cacheField name="Distância/Ciclo (km)" numFmtId="0">
      <sharedItems containsBlank="1" containsMixedTypes="1" containsNumber="1" minValue="0" maxValue="0.2"/>
    </cacheField>
    <cacheField name="Distância Vida Út (km)" numFmtId="0">
      <sharedItems containsBlank="1" containsMixedTypes="1" containsNumber="1" minValue="0" maxValue="345.1"/>
    </cacheField>
  </cacheFields>
  <extLst>
    <ext xmlns:x14="http://schemas.microsoft.com/office/spreadsheetml/2009/9/main" uri="{725AE2AE-9491-48be-B2B4-4EB974FC3084}">
      <x14:pivotCacheDefinition pivotCacheId="102192871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Fernando Araujo Sousa" refreshedDate="46273.326338310188" createdVersion="8" refreshedVersion="8" minRefreshableVersion="3" recordCount="1831" xr:uid="{9D45AC4C-13ED-4258-A051-E1A0E0BEF410}">
  <cacheSource type="worksheet">
    <worksheetSource ref="A4:AB7116" sheet="BD"/>
  </cacheSource>
  <cacheFields count="28">
    <cacheField name="Data" numFmtId="0">
      <sharedItems containsNonDate="0" containsDate="1" containsString="0" containsBlank="1" minDate="2026-05-04T00:00:00" maxDate="2026-09-07T00:00:00" count="127"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m/>
      </sharedItems>
    </cacheField>
    <cacheField name="Semana" numFmtId="0">
      <sharedItems containsBlank="1" count="20">
        <s v="S19"/>
        <s v="Dia Não Operacional"/>
        <s v="S20"/>
        <s v="S21"/>
        <s v="S22"/>
        <s v="S23"/>
        <s v="S24"/>
        <s v="S25"/>
        <s v="S26"/>
        <s v="S27"/>
        <s v="S28"/>
        <s v="S29"/>
        <s v="S30"/>
        <s v="S31"/>
        <s v="S32"/>
        <s v="S33"/>
        <s v="S34"/>
        <s v="S35"/>
        <s v="S36"/>
        <m/>
      </sharedItems>
    </cacheField>
    <cacheField name="Status" numFmtId="0">
      <sharedItems containsBlank="1"/>
    </cacheField>
    <cacheField name="Prefixo" numFmtId="0">
      <sharedItems containsBlank="1"/>
    </cacheField>
    <cacheField name="Local de Atuação" numFmtId="0">
      <sharedItems containsBlank="1" count="8">
        <s v="Jazida de Cascalho"/>
        <s v="Drenagem"/>
        <s v="Produção"/>
        <s v="Produção/Rebaixo"/>
        <s v="Apoio"/>
        <m/>
        <s v="Limpeza"/>
        <s v="Escavação"/>
      </sharedItems>
    </cacheField>
    <cacheField name="Cascalho Real" numFmtId="0">
      <sharedItems containsBlank="1" containsMixedTypes="1" containsNumber="1" minValue="0" maxValue="6365"/>
    </cacheField>
    <cacheField name="Observação" numFmtId="0">
      <sharedItems containsBlank="1"/>
    </cacheField>
    <cacheField name="Meta Diária" numFmtId="0">
      <sharedItems containsBlank="1" containsMixedTypes="1" containsNumber="1" minValue="0" maxValue="12000"/>
    </cacheField>
    <cacheField name="Produção (t/h)" numFmtId="0">
      <sharedItems containsString="0" containsBlank="1" containsNumber="1" minValue="0" maxValue="823.85496183206101"/>
    </cacheField>
    <cacheField name="Hr Tempo Exec" numFmtId="0">
      <sharedItems containsBlank="1" containsMixedTypes="1" containsNumber="1" minValue="0" maxValue="17.100000000000001"/>
    </cacheField>
    <cacheField name="Horas Trabal." numFmtId="0">
      <sharedItems containsBlank="1" containsMixedTypes="1" containsNumber="1" minValue="0" maxValue="15.41"/>
    </cacheField>
    <cacheField name="Hr Ociosas" numFmtId="0">
      <sharedItems containsBlank="1" containsMixedTypes="1" containsNumber="1" minValue="0" maxValue="6.2"/>
    </cacheField>
    <cacheField name="Percentual Mch Lenta" numFmtId="0">
      <sharedItems containsBlank="1" containsMixedTypes="1" containsNumber="1" minValue="0" maxValue="94.67"/>
    </cacheField>
    <cacheField name="Ciclos Diár." numFmtId="0">
      <sharedItems containsBlank="1" containsMixedTypes="1" containsNumber="1" containsInteger="1" minValue="0" maxValue="2047"/>
    </cacheField>
    <cacheField name="Carg Út Diár. (t)" numFmtId="0">
      <sharedItems containsBlank="1" containsMixedTypes="1" containsNumber="1" containsInteger="1" minValue="0" maxValue="8634"/>
    </cacheField>
    <cacheField name="Carga Útil/Ciclo (t)" numFmtId="0">
      <sharedItems containsBlank="1" containsMixedTypes="1" containsNumber="1" minValue="0" maxValue="3472631.41"/>
    </cacheField>
    <cacheField name="Carg Út/Comb (t/L)" numFmtId="0">
      <sharedItems containsBlank="1" containsMixedTypes="1" containsNumber="1" minValue="0" maxValue="13122113.380000001"/>
    </cacheField>
    <cacheField name="Comb Diár (l)" numFmtId="0">
      <sharedItems containsBlank="1" containsMixedTypes="1" containsNumber="1" minValue="0" maxValue="550.78"/>
    </cacheField>
    <cacheField name="Comb Mch Lenta (l)" numFmtId="0">
      <sharedItems containsBlank="1" containsMixedTypes="1" containsNumber="1" minValue="0" maxValue="29.34"/>
    </cacheField>
    <cacheField name="Tx Comb Mrch Lenta (L/h)" numFmtId="0">
      <sharedItems containsBlank="1" containsMixedTypes="1" containsNumber="1" minValue="0" maxValue="18.93"/>
    </cacheField>
    <cacheField name="Comb em Oper (l)" numFmtId="0">
      <sharedItems containsBlank="1" containsMixedTypes="1" containsNumber="1" minValue="0" maxValue="541.79"/>
    </cacheField>
    <cacheField name="Tx Comb em Oper (L/h)" numFmtId="0">
      <sharedItems containsBlank="1" containsMixedTypes="1" containsNumber="1" minValue="0" maxValue="46.46"/>
    </cacheField>
    <cacheField name="Horômetro Vida Út" numFmtId="0">
      <sharedItems containsBlank="1" containsMixedTypes="1" containsNumber="1" minValue="0" maxValue="9452.43"/>
    </cacheField>
    <cacheField name="Licznik wszyst cykli" numFmtId="0">
      <sharedItems containsBlank="1" containsMixedTypes="1" containsNumber="1" containsInteger="1" minValue="0" maxValue="412033"/>
    </cacheField>
    <cacheField name="Med Carg Út Vid Útil (t)" numFmtId="0">
      <sharedItems containsBlank="1" containsMixedTypes="1" containsNumber="1" containsInteger="1" minValue="0" maxValue="1559476544"/>
    </cacheField>
    <cacheField name="Dist. Diária (km)" numFmtId="0">
      <sharedItems containsBlank="1" containsMixedTypes="1" containsNumber="1" minValue="0" maxValue="7.9"/>
    </cacheField>
    <cacheField name="Distância/Ciclo (km)" numFmtId="0">
      <sharedItems containsBlank="1" containsMixedTypes="1" containsNumber="1" minValue="0" maxValue="0.2"/>
    </cacheField>
    <cacheField name="Distância Vida Út (km)" numFmtId="0">
      <sharedItems containsBlank="1" containsMixedTypes="1" containsNumber="1" minValue="0" maxValue="345.1"/>
    </cacheField>
  </cacheFields>
  <extLst>
    <ext xmlns:x14="http://schemas.microsoft.com/office/spreadsheetml/2009/9/main" uri="{725AE2AE-9491-48be-B2B4-4EB974FC3084}">
      <x14:pivotCacheDefinition pivotCacheId="104878148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Fernando Araujo Sousa" refreshedDate="46273.326338425926" createdVersion="8" refreshedVersion="8" minRefreshableVersion="3" recordCount="70" xr:uid="{4DEA13A4-43AA-4FA0-B89F-E1277E4834C8}">
  <cacheSource type="worksheet">
    <worksheetSource ref="B2:L197" sheet="CBM"/>
  </cacheSource>
  <cacheFields count="11">
    <cacheField name="Data" numFmtId="0">
      <sharedItems containsNonDate="0" containsDate="1" containsString="0" containsBlank="1" minDate="2026-05-04T00:00:00" maxDate="2026-05-31T00:00:00" count="24">
        <d v="2026-05-18T00:00:00"/>
        <d v="2026-05-19T00:00:00"/>
        <d v="2026-05-20T00:00:00"/>
        <d v="2026-05-21T00:00:00"/>
        <d v="2026-05-22T00:00:00"/>
        <d v="2026-05-23T00:00:00"/>
        <d v="2026-05-11T00:00:00"/>
        <d v="2026-05-12T00:00:00"/>
        <d v="2026-05-14T00:00:00"/>
        <d v="2026-05-15T00:00:00"/>
        <d v="2026-05-16T00:00:00"/>
        <d v="2026-05-04T00:00:00"/>
        <d v="2026-05-05T00:00:00"/>
        <d v="2026-05-06T00:00:00"/>
        <d v="2026-05-07T00:00:00"/>
        <d v="2026-05-08T00:00:00"/>
        <d v="2026-05-09T00:00:00"/>
        <d v="2026-05-25T00:00:00"/>
        <d v="2026-05-26T00:00:00"/>
        <d v="2026-05-27T00:00:00"/>
        <d v="2026-05-28T00:00:00"/>
        <d v="2026-05-29T00:00:00"/>
        <d v="2026-05-30T00:00:00"/>
        <m/>
      </sharedItems>
    </cacheField>
    <cacheField name="Semana" numFmtId="0">
      <sharedItems containsBlank="1" count="5">
        <s v="S21"/>
        <s v="S20"/>
        <s v="S19"/>
        <s v="S22"/>
        <m/>
      </sharedItems>
    </cacheField>
    <cacheField name="Produção (Ton)" numFmtId="1">
      <sharedItems containsString="0" containsBlank="1" containsNumber="1" containsInteger="1" minValue="2378" maxValue="11690"/>
    </cacheField>
    <cacheField name="Escavadeiras" numFmtId="1">
      <sharedItems containsString="0" containsBlank="1" containsNumber="1" containsInteger="1" minValue="2" maxValue="5"/>
    </cacheField>
    <cacheField name="CBM Operacional" numFmtId="1">
      <sharedItems containsString="0" containsBlank="1" containsNumber="1" containsInteger="1" minValue="19" maxValue="24"/>
    </cacheField>
    <cacheField name="CBM na Drenagem" numFmtId="1">
      <sharedItems containsString="0" containsBlank="1" containsNumber="1" containsInteger="1" minValue="2" maxValue="2"/>
    </cacheField>
    <cacheField name="CBM na Produção" numFmtId="1">
      <sharedItems containsString="0" containsBlank="1" containsNumber="1" containsInteger="1" minValue="17" maxValue="22"/>
    </cacheField>
    <cacheField name="Ton/CBM" numFmtId="1">
      <sharedItems containsString="0" containsBlank="1" containsNumber="1" minValue="118.9" maxValue="649.44444444444446"/>
    </cacheField>
    <cacheField name="Viagens/Caminhão" numFmtId="1">
      <sharedItems containsString="0" containsBlank="1" containsNumber="1" minValue="4.7560000000000002" maxValue="25.977777777777778"/>
    </cacheField>
    <cacheField name="Viagens/Hora" numFmtId="0">
      <sharedItems containsString="0" containsBlank="1" containsNumber="1" minValue="0.59450000000000003" maxValue="3.2472222222222222"/>
    </cacheField>
    <cacheField name="Meta Diária" numFmtId="0">
      <sharedItems containsString="0" containsBlank="1" containsNumber="1" containsInteger="1" minValue="2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Fernando Araujo Sousa" refreshedDate="46273.326338541665" createdVersion="8" refreshedVersion="8" minRefreshableVersion="3" recordCount="70" xr:uid="{B35179E6-47E7-4110-B2A5-522002F627D3}">
  <cacheSource type="worksheet">
    <worksheetSource ref="B2:L1048576" sheet="CBM"/>
  </cacheSource>
  <cacheFields count="11">
    <cacheField name="Data" numFmtId="0">
      <sharedItems containsNonDate="0" containsDate="1" containsString="0" containsBlank="1" minDate="2026-05-04T00:00:00" maxDate="2026-05-31T00:00:00"/>
    </cacheField>
    <cacheField name="Semana" numFmtId="0">
      <sharedItems containsBlank="1" count="5">
        <s v="S21"/>
        <s v="S20"/>
        <s v="S19"/>
        <s v="S22"/>
        <m/>
      </sharedItems>
    </cacheField>
    <cacheField name="Produção (Ton)" numFmtId="1">
      <sharedItems containsString="0" containsBlank="1" containsNumber="1" containsInteger="1" minValue="2378" maxValue="11690"/>
    </cacheField>
    <cacheField name="Escavadeiras" numFmtId="1">
      <sharedItems containsString="0" containsBlank="1" containsNumber="1" containsInteger="1" minValue="2" maxValue="5"/>
    </cacheField>
    <cacheField name="CBM Operacional" numFmtId="1">
      <sharedItems containsString="0" containsBlank="1" containsNumber="1" containsInteger="1" minValue="19" maxValue="24"/>
    </cacheField>
    <cacheField name="CBM na Drenagem" numFmtId="1">
      <sharedItems containsString="0" containsBlank="1" containsNumber="1" containsInteger="1" minValue="2" maxValue="2"/>
    </cacheField>
    <cacheField name="CBM na Produção" numFmtId="1">
      <sharedItems containsString="0" containsBlank="1" containsNumber="1" containsInteger="1" minValue="17" maxValue="22"/>
    </cacheField>
    <cacheField name="Ton/CBM" numFmtId="1">
      <sharedItems containsString="0" containsBlank="1" containsNumber="1" minValue="118.9" maxValue="649.44444444444446"/>
    </cacheField>
    <cacheField name="Viagens/Caminhão" numFmtId="1">
      <sharedItems containsString="0" containsBlank="1" containsNumber="1" minValue="4.7560000000000002" maxValue="25.977777777777778"/>
    </cacheField>
    <cacheField name="Viagens/Hora" numFmtId="0">
      <sharedItems containsString="0" containsBlank="1" containsNumber="1" minValue="0.59450000000000003" maxValue="3.2472222222222222"/>
    </cacheField>
    <cacheField name="Meta Diária" numFmtId="0">
      <sharedItems containsString="0" containsBlank="1" containsNumber="1" containsInteger="1" minValue="2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1">
  <r>
    <x v="0"/>
    <x v="0"/>
    <s v="Em operação"/>
    <s v="ES 0075"/>
    <x v="0"/>
    <n v="4279.07"/>
    <m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Em operação"/>
    <s v="ES 0096"/>
    <x v="1"/>
    <n v="0"/>
    <s v="Pesagem distorcida"/>
    <s v="-"/>
    <m/>
    <n v="7.94"/>
    <n v="5.19"/>
    <n v="2.75"/>
    <n v="34.65"/>
    <n v="627"/>
    <m/>
    <n v="2247941.5"/>
    <n v="13122113.380000001"/>
    <n v="107.41"/>
    <n v="10.41"/>
    <n v="3.79"/>
    <n v="97"/>
    <n v="18.71"/>
    <n v="8845.2199999999993"/>
    <n v="51513"/>
    <n v="1409530176"/>
    <n v="0.2"/>
    <n v="0"/>
    <n v="254.5"/>
  </r>
  <r>
    <x v="0"/>
    <x v="0"/>
    <s v="Em operação"/>
    <s v="ES 0097"/>
    <x v="1"/>
    <n v="0"/>
    <s v="Não está emitindo pesagem"/>
    <s v="-"/>
    <n v="0"/>
    <n v="6.42"/>
    <n v="5.57"/>
    <n v="0.85"/>
    <n v="13.24"/>
    <n v="0"/>
    <n v="0"/>
    <s v=""/>
    <n v="0"/>
    <n v="111.2"/>
    <n v="2.84"/>
    <n v="3.34"/>
    <n v="108.36"/>
    <n v="19.45"/>
    <n v="8451.2999999999993"/>
    <n v="58208"/>
    <n v="95660"/>
    <n v="0.2"/>
    <s v=""/>
    <n v="196.7"/>
  </r>
  <r>
    <x v="0"/>
    <x v="0"/>
    <s v="Em operação"/>
    <s v="ES 0099"/>
    <x v="2"/>
    <n v="0"/>
    <m/>
    <n v="3000"/>
    <n v="307.5"/>
    <n v="8.9499999999999993"/>
    <n v="6"/>
    <n v="2.95"/>
    <n v="32.979999999999997"/>
    <n v="564"/>
    <n v="1845"/>
    <n v="3.27"/>
    <n v="8.7799999999999994"/>
    <n v="210.09"/>
    <n v="23.66"/>
    <n v="8.02"/>
    <n v="186.43"/>
    <n v="31.09"/>
    <n v="7422.78"/>
    <n v="83730"/>
    <n v="243518"/>
    <n v="0.2"/>
    <n v="0"/>
    <n v="230"/>
  </r>
  <r>
    <x v="0"/>
    <x v="0"/>
    <s v="Em operação"/>
    <s v="ES 0101"/>
    <x v="2"/>
    <n v="0"/>
    <m/>
    <n v="3000"/>
    <n v="451.39240506329111"/>
    <n v="4.7"/>
    <n v="3.95"/>
    <n v="0.75"/>
    <n v="15.96"/>
    <n v="396"/>
    <n v="1783"/>
    <n v="4.5"/>
    <n v="11.92"/>
    <n v="149.52000000000001"/>
    <n v="4.7300000000000004"/>
    <n v="6.31"/>
    <n v="144.79"/>
    <n v="36.67"/>
    <n v="6045.88"/>
    <n v="368312"/>
    <n v="1277307"/>
    <n v="0"/>
    <n v="0"/>
    <n v="42.5"/>
  </r>
  <r>
    <x v="0"/>
    <x v="0"/>
    <s v="Em operação"/>
    <s v="ES 0116"/>
    <x v="2"/>
    <n v="0"/>
    <m/>
    <n v="3000"/>
    <n v="547.02602230483274"/>
    <n v="7.38"/>
    <n v="5.38"/>
    <n v="2"/>
    <n v="27.11"/>
    <n v="866"/>
    <n v="2943"/>
    <n v="3.4"/>
    <n v="13.01"/>
    <n v="226.18"/>
    <n v="9.4600000000000009"/>
    <n v="4.7300000000000004"/>
    <n v="216.71"/>
    <n v="40.31"/>
    <n v="1467.81"/>
    <n v="138212"/>
    <n v="470759"/>
    <n v="0"/>
    <n v="0"/>
    <n v="4.2"/>
  </r>
  <r>
    <x v="0"/>
    <x v="0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0"/>
    <x v="0"/>
    <s v="Em operação"/>
    <s v="ES 0110"/>
    <x v="3"/>
    <n v="0"/>
    <m/>
    <n v="3000"/>
    <n v="291.91489361702128"/>
    <n v="8.65"/>
    <n v="7.05"/>
    <n v="1.6"/>
    <n v="18.489999999999998"/>
    <n v="1019"/>
    <n v="2058"/>
    <n v="2.02"/>
    <n v="13.47"/>
    <n v="152.84"/>
    <n v="6.15"/>
    <n v="3.84"/>
    <n v="146.68"/>
    <n v="20.8"/>
    <n v="1963.99"/>
    <n v="115865"/>
    <n v="215238"/>
    <n v="0.3"/>
    <n v="0"/>
    <n v="269.2"/>
  </r>
  <r>
    <x v="0"/>
    <x v="0"/>
    <s v="Em operação"/>
    <s v="ES 0126"/>
    <x v="3"/>
    <n v="0"/>
    <m/>
    <n v="3000"/>
    <n v="149.25373134328356"/>
    <n v="9.23"/>
    <n v="6.03"/>
    <n v="3.2"/>
    <n v="34.659999999999997"/>
    <n v="486"/>
    <n v="900"/>
    <n v="1.85"/>
    <n v="6.65"/>
    <n v="135.33000000000001"/>
    <n v="12.3"/>
    <n v="3.84"/>
    <n v="123.03"/>
    <n v="20.39"/>
    <n v="406.05"/>
    <n v="37555"/>
    <n v="75598"/>
    <n v="0.1"/>
    <n v="0"/>
    <n v="20.9"/>
  </r>
  <r>
    <x v="1"/>
    <x v="0"/>
    <s v="Em operação"/>
    <s v="ES 0096"/>
    <x v="1"/>
    <n v="0"/>
    <m/>
    <s v="-"/>
    <n v="0"/>
    <n v="8.0500000000000007"/>
    <n v="5.3"/>
    <n v="2.75"/>
    <n v="34.17"/>
    <n v="504"/>
    <n v="0"/>
    <n v="0"/>
    <n v="0"/>
    <n v="107.88"/>
    <n v="9.94"/>
    <n v="3.61"/>
    <n v="97.95"/>
    <n v="18.489999999999998"/>
    <n v="8853.26"/>
    <n v="52017"/>
    <n v="72506"/>
    <n v="0.2"/>
    <n v="0"/>
    <n v="254.7"/>
  </r>
  <r>
    <x v="1"/>
    <x v="0"/>
    <s v="Em operação"/>
    <s v="ES 0097"/>
    <x v="1"/>
    <n v="0"/>
    <s v="Não está emitindo pesagem"/>
    <s v="-"/>
    <n v="0"/>
    <n v="7.54"/>
    <n v="6.49"/>
    <n v="1.05"/>
    <n v="13.92"/>
    <n v="0"/>
    <n v="0"/>
    <s v=""/>
    <n v="0"/>
    <n v="144.79"/>
    <n v="4.7300000000000004"/>
    <n v="4.51"/>
    <n v="140.06"/>
    <n v="21.57"/>
    <n v="8458.84"/>
    <n v="58208"/>
    <n v="95660"/>
    <n v="0.6"/>
    <s v=""/>
    <n v="197.3"/>
  </r>
  <r>
    <x v="1"/>
    <x v="0"/>
    <s v="Em operação"/>
    <s v="ES 0099"/>
    <x v="2"/>
    <n v="0"/>
    <m/>
    <n v="3000"/>
    <n v="444.34931506849318"/>
    <n v="8.5399999999999991"/>
    <n v="5.84"/>
    <n v="2.7"/>
    <n v="31.6"/>
    <n v="679"/>
    <n v="2595"/>
    <n v="3.82"/>
    <n v="12.9"/>
    <n v="201.1"/>
    <n v="20.350000000000001"/>
    <n v="7.54"/>
    <n v="180.75"/>
    <n v="30.93"/>
    <n v="7431.33"/>
    <n v="84409"/>
    <n v="246113"/>
    <n v="0.5"/>
    <n v="0"/>
    <n v="230.5"/>
  </r>
  <r>
    <x v="1"/>
    <x v="0"/>
    <s v="Em operação"/>
    <s v="ES 0116"/>
    <x v="2"/>
    <n v="0"/>
    <m/>
    <n v="3000"/>
    <n v="516.380655226209"/>
    <n v="8.91"/>
    <n v="6.41"/>
    <n v="2.5"/>
    <n v="28.06"/>
    <n v="1033"/>
    <n v="3310"/>
    <n v="3.2"/>
    <n v="12.21"/>
    <n v="271.13"/>
    <n v="10.41"/>
    <n v="4.16"/>
    <n v="260.72000000000003"/>
    <n v="40.67"/>
    <n v="1476.72"/>
    <n v="139245"/>
    <n v="474069"/>
    <n v="0.1"/>
    <n v="0"/>
    <n v="4.3"/>
  </r>
  <r>
    <x v="1"/>
    <x v="0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1"/>
    <x v="0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1"/>
    <x v="0"/>
    <s v="Em operação"/>
    <s v="ES 0101"/>
    <x v="0"/>
    <n v="3690.24"/>
    <m/>
    <n v="4000"/>
    <n v="695.25065963060683"/>
    <n v="8.8800000000000008"/>
    <n v="7.58"/>
    <n v="1.3"/>
    <n v="14.64"/>
    <n v="1085"/>
    <n v="5270"/>
    <n v="4.8600000000000003"/>
    <n v="17.46"/>
    <n v="301.89"/>
    <n v="6.62"/>
    <n v="5.0999999999999996"/>
    <n v="295.26"/>
    <n v="38.96"/>
    <n v="6054.76"/>
    <n v="369397"/>
    <n v="1282577"/>
    <n v="0.1"/>
    <n v="0"/>
    <n v="42.6"/>
  </r>
  <r>
    <x v="1"/>
    <x v="0"/>
    <s v="Em operação"/>
    <s v="ES 0110"/>
    <x v="3"/>
    <n v="0"/>
    <m/>
    <n v="3000"/>
    <n v="168.12030075187968"/>
    <n v="8.3000000000000007"/>
    <n v="6.65"/>
    <n v="1.65"/>
    <n v="19.88"/>
    <n v="559"/>
    <n v="1118"/>
    <n v="2"/>
    <n v="7.62"/>
    <n v="146.68"/>
    <n v="6.15"/>
    <n v="3.73"/>
    <n v="140.53"/>
    <n v="21.14"/>
    <n v="1972.29"/>
    <n v="116424"/>
    <n v="216356"/>
    <n v="3"/>
    <n v="0.01"/>
    <n v="272.2"/>
  </r>
  <r>
    <x v="1"/>
    <x v="0"/>
    <s v="Em operação"/>
    <s v="ES 0126"/>
    <x v="3"/>
    <n v="0"/>
    <m/>
    <n v="3000"/>
    <n v="44.283121597096191"/>
    <n v="9.01"/>
    <n v="5.51"/>
    <n v="3.5"/>
    <n v="38.86"/>
    <n v="193"/>
    <n v="244"/>
    <n v="1.26"/>
    <n v="2.2799999999999998"/>
    <n v="106.94"/>
    <n v="13.72"/>
    <n v="3.92"/>
    <n v="93.22"/>
    <n v="16.93"/>
    <n v="415.05"/>
    <n v="37748"/>
    <n v="75842"/>
    <n v="0.6"/>
    <n v="0"/>
    <n v="21.5"/>
  </r>
  <r>
    <x v="2"/>
    <x v="0"/>
    <s v="Em operação"/>
    <s v="ES 0096"/>
    <x v="1"/>
    <n v="0"/>
    <m/>
    <s v="-"/>
    <n v="174.66666666666666"/>
    <n v="9.35"/>
    <n v="7.5"/>
    <n v="1.85"/>
    <n v="19.79"/>
    <n v="799"/>
    <n v="1310"/>
    <n v="1.64"/>
    <n v="8.93"/>
    <n v="146.68"/>
    <n v="7.57"/>
    <n v="4.09"/>
    <n v="139.11000000000001"/>
    <n v="18.559999999999999"/>
    <n v="8862.61"/>
    <n v="52816"/>
    <n v="73816"/>
    <n v="0.8"/>
    <n v="0"/>
    <n v="255.5"/>
  </r>
  <r>
    <x v="2"/>
    <x v="0"/>
    <s v="Em operação"/>
    <s v="ES 0097"/>
    <x v="1"/>
    <n v="0"/>
    <s v="Não está emitindo pesagem"/>
    <s v="-"/>
    <n v="100.44843049327355"/>
    <n v="5.38"/>
    <n v="2.23"/>
    <n v="3.15"/>
    <n v="58.57"/>
    <n v="133"/>
    <n v="224"/>
    <n v="1.68"/>
    <n v="4.42"/>
    <n v="50.63"/>
    <n v="12.3"/>
    <n v="3.91"/>
    <n v="38.33"/>
    <n v="17.2"/>
    <n v="4745.57"/>
    <n v="219836"/>
    <n v="411187"/>
    <n v="0.4"/>
    <n v="0"/>
    <n v="242.6"/>
  </r>
  <r>
    <x v="2"/>
    <x v="0"/>
    <s v="Em operação"/>
    <s v="ES 0099"/>
    <x v="2"/>
    <n v="0"/>
    <m/>
    <n v="3000"/>
    <n v="394.15670650730408"/>
    <n v="8.83"/>
    <n v="7.53"/>
    <n v="1.3"/>
    <n v="14.72"/>
    <n v="887"/>
    <n v="2968"/>
    <n v="3.35"/>
    <n v="11.77"/>
    <n v="252.2"/>
    <n v="9.4600000000000009"/>
    <n v="7.28"/>
    <n v="242.74"/>
    <n v="32.229999999999997"/>
    <n v="7440.16"/>
    <n v="85296"/>
    <n v="249081"/>
    <n v="0.1"/>
    <n v="0"/>
    <n v="230.6"/>
  </r>
  <r>
    <x v="2"/>
    <x v="0"/>
    <s v="Em operação"/>
    <s v="ES 0116"/>
    <x v="2"/>
    <n v="0"/>
    <m/>
    <n v="3000"/>
    <n v="220.86167800453515"/>
    <n v="5.0599999999999996"/>
    <n v="4.41"/>
    <n v="0.65"/>
    <n v="12.84"/>
    <n v="325"/>
    <n v="974"/>
    <n v="3"/>
    <n v="5.66"/>
    <n v="172.24"/>
    <n v="3.31"/>
    <n v="5.0999999999999996"/>
    <n v="168.92"/>
    <n v="38.270000000000003"/>
    <n v="1481.78"/>
    <n v="139570"/>
    <n v="475043"/>
    <n v="0"/>
    <n v="0"/>
    <n v="4.3"/>
  </r>
  <r>
    <x v="2"/>
    <x v="0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2"/>
    <x v="0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2"/>
    <x v="0"/>
    <s v="Em operação"/>
    <s v="ES 0101"/>
    <x v="0"/>
    <n v="3706.69"/>
    <m/>
    <n v="4000"/>
    <n v="590.51819184123485"/>
    <n v="11.27"/>
    <n v="9.07"/>
    <n v="2.2000000000000002"/>
    <n v="19.52"/>
    <n v="1072"/>
    <n v="5356"/>
    <n v="5"/>
    <n v="14.95"/>
    <n v="358.19"/>
    <n v="11.36"/>
    <n v="5.16"/>
    <n v="346.84"/>
    <n v="38.229999999999997"/>
    <n v="6066.03"/>
    <n v="370469"/>
    <n v="1287933"/>
    <n v="0.1"/>
    <n v="0"/>
    <n v="42.7"/>
  </r>
  <r>
    <x v="2"/>
    <x v="0"/>
    <s v="Em operação"/>
    <s v="ES 0110"/>
    <x v="3"/>
    <n v="0"/>
    <m/>
    <n v="3000"/>
    <n v="215.73948439620082"/>
    <n v="8.92"/>
    <n v="7.37"/>
    <n v="1.55"/>
    <n v="17.37"/>
    <n v="831"/>
    <n v="1590"/>
    <n v="1.91"/>
    <n v="9.8800000000000008"/>
    <n v="160.88"/>
    <n v="6.62"/>
    <n v="4.2699999999999996"/>
    <n v="154.26"/>
    <n v="20.93"/>
    <n v="1981.21"/>
    <n v="117255"/>
    <n v="217946"/>
    <n v="3.5"/>
    <n v="0"/>
    <n v="275.7"/>
  </r>
  <r>
    <x v="2"/>
    <x v="0"/>
    <s v="Em operação"/>
    <s v="ES 0126"/>
    <x v="3"/>
    <n v="0"/>
    <m/>
    <n v="3000"/>
    <n v="70.135746606334848"/>
    <n v="7.02"/>
    <n v="4.42"/>
    <n v="2.6"/>
    <n v="37.04"/>
    <n v="204"/>
    <n v="310"/>
    <n v="1.52"/>
    <n v="3.52"/>
    <n v="88.01"/>
    <n v="9.94"/>
    <n v="3.82"/>
    <n v="78.069999999999993"/>
    <n v="17.670000000000002"/>
    <n v="422.07"/>
    <n v="37952"/>
    <n v="76152"/>
    <n v="0.2"/>
    <n v="0"/>
    <n v="21.7"/>
  </r>
  <r>
    <x v="3"/>
    <x v="0"/>
    <s v="Em operação"/>
    <s v="ES 0096"/>
    <x v="1"/>
    <n v="0"/>
    <m/>
    <s v="-"/>
    <n v="160.53811659192826"/>
    <n v="6.56"/>
    <n v="4.46"/>
    <n v="2.1"/>
    <n v="32.01"/>
    <n v="463"/>
    <n v="716"/>
    <n v="1.55"/>
    <n v="7.84"/>
    <n v="91.32"/>
    <n v="8.0399999999999991"/>
    <n v="3.83"/>
    <n v="83.28"/>
    <n v="18.670000000000002"/>
    <n v="8869.17"/>
    <n v="53279"/>
    <n v="74532"/>
    <n v="0"/>
    <n v="0"/>
    <n v="255.5"/>
  </r>
  <r>
    <x v="3"/>
    <x v="0"/>
    <s v="Em operação"/>
    <s v="ES 0097"/>
    <x v="1"/>
    <n v="0"/>
    <s v="Não está emitindo pesagem"/>
    <s v="-"/>
    <n v="106.640625"/>
    <n v="9.2200000000000006"/>
    <n v="5.12"/>
    <n v="4.0999999999999996"/>
    <n v="44.48"/>
    <n v="386"/>
    <n v="546"/>
    <n v="1.41"/>
    <n v="5.55"/>
    <n v="98.42"/>
    <n v="16.09"/>
    <n v="3.92"/>
    <n v="82.33"/>
    <n v="16.09"/>
    <n v="4754.78"/>
    <n v="220222"/>
    <n v="411733"/>
    <n v="0.9"/>
    <n v="0"/>
    <n v="243.5"/>
  </r>
  <r>
    <x v="3"/>
    <x v="0"/>
    <s v="Em operação"/>
    <s v="ES 0099"/>
    <x v="2"/>
    <n v="0"/>
    <m/>
    <n v="3000"/>
    <n v="316.87631027253673"/>
    <n v="10.99"/>
    <n v="9.5399999999999991"/>
    <n v="1.45"/>
    <n v="13.19"/>
    <n v="1046"/>
    <n v="3023"/>
    <n v="2.89"/>
    <n v="9.86"/>
    <n v="306.62"/>
    <n v="9.94"/>
    <n v="6.85"/>
    <n v="296.68"/>
    <n v="31.1"/>
    <n v="7451.15"/>
    <n v="86342"/>
    <n v="252104"/>
    <n v="0.1"/>
    <n v="0"/>
    <n v="230.7"/>
  </r>
  <r>
    <x v="3"/>
    <x v="0"/>
    <s v="Em operação"/>
    <s v="ES 0116"/>
    <x v="2"/>
    <n v="0"/>
    <m/>
    <n v="3000"/>
    <n v="285.44194107452341"/>
    <n v="6.92"/>
    <n v="5.77"/>
    <n v="1.1499999999999999"/>
    <n v="16.61"/>
    <n v="550"/>
    <n v="1647"/>
    <n v="2.99"/>
    <n v="7.36"/>
    <n v="223.81"/>
    <n v="4.7300000000000004"/>
    <n v="4.1100000000000003"/>
    <n v="219.08"/>
    <n v="37.94"/>
    <n v="1488.71"/>
    <n v="140120"/>
    <n v="476690"/>
    <n v="0"/>
    <n v="0"/>
    <n v="4.3"/>
  </r>
  <r>
    <x v="3"/>
    <x v="0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3"/>
    <x v="0"/>
    <s v="Em operação"/>
    <s v="ES 0101"/>
    <x v="0"/>
    <n v="3158.1"/>
    <m/>
    <n v="4000"/>
    <n v="426.33228840125389"/>
    <n v="10.97"/>
    <n v="9.57"/>
    <n v="1.4"/>
    <n v="12.76"/>
    <n v="875"/>
    <n v="4080"/>
    <n v="4.66"/>
    <n v="10.58"/>
    <n v="385.64"/>
    <n v="7.57"/>
    <n v="5.41"/>
    <n v="378.07"/>
    <n v="39.49"/>
    <n v="6077.01"/>
    <n v="371344"/>
    <n v="1292013"/>
    <n v="0.1"/>
    <n v="0"/>
    <n v="42.8"/>
  </r>
  <r>
    <x v="3"/>
    <x v="0"/>
    <s v="Em operação"/>
    <s v="ES 0110"/>
    <x v="3"/>
    <n v="0"/>
    <m/>
    <n v="3000"/>
    <n v="347.29344729344729"/>
    <n v="8.1199999999999992"/>
    <n v="7.02"/>
    <n v="1.1000000000000001"/>
    <n v="13.55"/>
    <n v="943"/>
    <n v="2438"/>
    <n v="2.59"/>
    <n v="16.100000000000001"/>
    <n v="151.41999999999999"/>
    <n v="4.7300000000000004"/>
    <n v="4.3"/>
    <n v="146.68"/>
    <n v="20.91"/>
    <n v="1989.32"/>
    <n v="118198"/>
    <n v="220384"/>
    <n v="0.2"/>
    <n v="0"/>
    <n v="275.89999999999998"/>
  </r>
  <r>
    <x v="3"/>
    <x v="0"/>
    <s v="Em operação"/>
    <s v="ES 0126"/>
    <x v="3"/>
    <n v="0"/>
    <m/>
    <n v="3000"/>
    <n v="101.26353790613719"/>
    <n v="8.24"/>
    <n v="5.54"/>
    <n v="2.7"/>
    <n v="32.76"/>
    <n v="334"/>
    <n v="561"/>
    <n v="1.68"/>
    <n v="4.9000000000000004"/>
    <n v="114.51"/>
    <n v="10.41"/>
    <n v="3.86"/>
    <n v="104.1"/>
    <n v="18.79"/>
    <n v="430.31"/>
    <n v="38286"/>
    <n v="76713"/>
    <n v="1.1000000000000001"/>
    <n v="0"/>
    <n v="22.8"/>
  </r>
  <r>
    <x v="4"/>
    <x v="0"/>
    <s v="Em operação"/>
    <s v="ES 0096"/>
    <x v="1"/>
    <n v="0"/>
    <m/>
    <s v="-"/>
    <n v="221.21212121212122"/>
    <n v="9.3699999999999992"/>
    <n v="7.92"/>
    <n v="1.45"/>
    <n v="15.47"/>
    <n v="954"/>
    <n v="1752"/>
    <n v="1.84"/>
    <n v="10.99"/>
    <n v="159.46"/>
    <n v="6.15"/>
    <n v="4.24"/>
    <n v="153.31"/>
    <n v="19.350000000000001"/>
    <n v="8878.5400000000009"/>
    <n v="54233"/>
    <n v="76284"/>
    <n v="0.4"/>
    <n v="0"/>
    <n v="255.9"/>
  </r>
  <r>
    <x v="4"/>
    <x v="0"/>
    <s v="Em operação"/>
    <s v="ES 0097"/>
    <x v="1"/>
    <n v="0"/>
    <s v="Não está emitindo pesagem"/>
    <s v="-"/>
    <n v="122.66462480857579"/>
    <n v="8.43"/>
    <n v="6.53"/>
    <n v="1.9"/>
    <n v="22.54"/>
    <n v="533"/>
    <n v="801"/>
    <n v="1.5"/>
    <n v="6.16"/>
    <n v="130.12"/>
    <n v="7.57"/>
    <n v="3.98"/>
    <n v="122.55"/>
    <n v="18.77"/>
    <n v="4763.21"/>
    <n v="220755"/>
    <n v="412534"/>
    <n v="1.5"/>
    <n v="0"/>
    <n v="245"/>
  </r>
  <r>
    <x v="4"/>
    <x v="0"/>
    <s v="Em operação"/>
    <s v="ES 0099"/>
    <x v="2"/>
    <n v="0"/>
    <m/>
    <n v="3000"/>
    <n v="295.05300353356887"/>
    <n v="7.21"/>
    <n v="5.66"/>
    <n v="1.55"/>
    <n v="21.5"/>
    <n v="676"/>
    <n v="1670"/>
    <n v="2.4700000000000002"/>
    <n v="9.4600000000000009"/>
    <n v="176.49"/>
    <n v="9.4600000000000009"/>
    <n v="6.11"/>
    <n v="167.03"/>
    <n v="29.52"/>
    <n v="7458.36"/>
    <n v="87018"/>
    <n v="253774"/>
    <n v="0.1"/>
    <n v="0"/>
    <n v="230.8"/>
  </r>
  <r>
    <x v="4"/>
    <x v="0"/>
    <s v="Em operação"/>
    <s v="ES 0116"/>
    <x v="2"/>
    <n v="0"/>
    <m/>
    <n v="3000"/>
    <n v="462.68320180383319"/>
    <n v="9.82"/>
    <n v="8.8699999999999992"/>
    <n v="0.95"/>
    <n v="9.67"/>
    <n v="1220"/>
    <n v="4104"/>
    <n v="3.36"/>
    <n v="10.71"/>
    <n v="383.27"/>
    <n v="5.68"/>
    <n v="5.98"/>
    <n v="377.59"/>
    <n v="42.57"/>
    <n v="1498.53"/>
    <n v="141340"/>
    <n v="480794"/>
    <n v="0"/>
    <n v="0"/>
    <n v="4.3"/>
  </r>
  <r>
    <x v="4"/>
    <x v="0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4"/>
    <x v="0"/>
    <s v="Em operação"/>
    <s v="ES 0101"/>
    <x v="0"/>
    <n v="2483.33"/>
    <m/>
    <n v="4000"/>
    <n v="315.74724172517551"/>
    <n v="11.37"/>
    <n v="9.9700000000000006"/>
    <n v="1.4"/>
    <n v="12.31"/>
    <n v="656"/>
    <n v="3148"/>
    <n v="4.8"/>
    <n v="7.9"/>
    <n v="398.41"/>
    <n v="7.57"/>
    <n v="5.41"/>
    <n v="390.84"/>
    <n v="39.200000000000003"/>
    <n v="6088.38"/>
    <n v="372000"/>
    <n v="1295161"/>
    <n v="0.2"/>
    <n v="0"/>
    <n v="43"/>
  </r>
  <r>
    <x v="4"/>
    <x v="0"/>
    <s v="Em Manutenção"/>
    <s v="ES 0110"/>
    <x v="3"/>
    <n v="0"/>
    <m/>
    <n v="3000"/>
    <n v="0"/>
    <n v="1.18"/>
    <n v="0.48"/>
    <n v="0.7"/>
    <n v="59.45"/>
    <n v="9"/>
    <n v="0"/>
    <n v="0"/>
    <n v="0"/>
    <n v="7.57"/>
    <n v="2.84"/>
    <n v="4.0599999999999996"/>
    <n v="4.7300000000000004"/>
    <n v="9.91"/>
    <n v="1990.5"/>
    <n v="118207"/>
    <n v="220384"/>
    <n v="0"/>
    <n v="0"/>
    <n v="275.89999999999998"/>
  </r>
  <r>
    <x v="4"/>
    <x v="0"/>
    <s v="Em operação"/>
    <s v="ES 0126"/>
    <x v="3"/>
    <n v="0"/>
    <m/>
    <n v="3000"/>
    <n v="155.95238095238096"/>
    <n v="8.7799999999999994"/>
    <n v="5.88"/>
    <n v="2.9"/>
    <n v="33.03"/>
    <n v="462"/>
    <n v="917"/>
    <n v="1.98"/>
    <n v="7.34"/>
    <n v="124.92"/>
    <n v="11.36"/>
    <n v="3.92"/>
    <n v="113.56"/>
    <n v="19.32"/>
    <n v="439.09"/>
    <n v="38748"/>
    <n v="77630"/>
    <n v="1.6"/>
    <n v="0"/>
    <n v="24.4"/>
  </r>
  <r>
    <x v="5"/>
    <x v="0"/>
    <s v="Em operação"/>
    <s v="ES 0096"/>
    <x v="1"/>
    <n v="0"/>
    <m/>
    <s v="-"/>
    <n v="172.03703703703704"/>
    <n v="7.6"/>
    <n v="5.4"/>
    <n v="2.2000000000000002"/>
    <n v="28.97"/>
    <n v="586"/>
    <n v="929"/>
    <n v="1.59"/>
    <n v="8.35"/>
    <n v="111.2"/>
    <n v="8.0399999999999991"/>
    <n v="3.66"/>
    <n v="103.15"/>
    <n v="19.12"/>
    <n v="8886.14"/>
    <n v="54819"/>
    <n v="77213"/>
    <n v="0.5"/>
    <n v="0"/>
    <n v="256.39999999999998"/>
  </r>
  <r>
    <x v="5"/>
    <x v="0"/>
    <s v="Em operação"/>
    <s v="ES 0097"/>
    <x v="1"/>
    <n v="0"/>
    <s v="Não está emitindo pesagem"/>
    <s v="-"/>
    <n v="68.403908794788279"/>
    <n v="4.7699999999999996"/>
    <n v="3.07"/>
    <n v="1.7"/>
    <n v="35.67"/>
    <n v="140"/>
    <n v="210"/>
    <n v="1.5"/>
    <n v="3.41"/>
    <n v="61.51"/>
    <n v="7.57"/>
    <n v="4.45"/>
    <n v="53.94"/>
    <n v="17.59"/>
    <n v="4767.9799999999996"/>
    <n v="220895"/>
    <n v="412744"/>
    <n v="1.1000000000000001"/>
    <n v="0.01"/>
    <n v="246.1"/>
  </r>
  <r>
    <x v="5"/>
    <x v="0"/>
    <s v="Em operação"/>
    <s v="ES 0099"/>
    <x v="2"/>
    <n v="0"/>
    <m/>
    <n v="3000"/>
    <n v="199.46308724832215"/>
    <n v="8.75"/>
    <n v="7.45"/>
    <n v="1.3"/>
    <n v="14.86"/>
    <n v="882"/>
    <n v="1486"/>
    <n v="1.68"/>
    <n v="6.38"/>
    <n v="232.8"/>
    <n v="8.52"/>
    <n v="6.55"/>
    <n v="224.29"/>
    <n v="30.1"/>
    <n v="7467.11"/>
    <n v="87900"/>
    <n v="255260"/>
    <n v="0.3"/>
    <n v="0"/>
    <n v="231.1"/>
  </r>
  <r>
    <x v="5"/>
    <x v="0"/>
    <s v="Em operação"/>
    <s v="ES 0116"/>
    <x v="2"/>
    <n v="0"/>
    <m/>
    <n v="3000"/>
    <n v="358.4664536741214"/>
    <n v="7.11"/>
    <n v="6.26"/>
    <n v="0.85"/>
    <n v="11.96"/>
    <n v="742"/>
    <n v="2244"/>
    <n v="3.02"/>
    <n v="9.0500000000000007"/>
    <n v="247.94"/>
    <n v="3.31"/>
    <n v="3.9"/>
    <n v="244.63"/>
    <n v="39.090000000000003"/>
    <n v="1505.64"/>
    <n v="142082"/>
    <n v="483038"/>
    <n v="0"/>
    <n v="0"/>
    <n v="4.3"/>
  </r>
  <r>
    <x v="5"/>
    <x v="0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5"/>
    <x v="0"/>
    <s v="Em operação"/>
    <s v="ES 0101"/>
    <x v="0"/>
    <n v="2746.58"/>
    <m/>
    <n v="4000"/>
    <n v="401.6519823788546"/>
    <n v="11.03"/>
    <n v="9.08"/>
    <n v="1.95"/>
    <n v="17.68"/>
    <n v="835"/>
    <n v="3647"/>
    <n v="4.37"/>
    <n v="9.9700000000000006"/>
    <n v="365.77"/>
    <n v="9.94"/>
    <n v="5.0999999999999996"/>
    <n v="355.83"/>
    <n v="39.200000000000003"/>
    <n v="6099.4"/>
    <n v="372835"/>
    <n v="1298808"/>
    <n v="0.2"/>
    <n v="0"/>
    <n v="43.2"/>
  </r>
  <r>
    <x v="5"/>
    <x v="0"/>
    <s v="Em operação"/>
    <s v="ES 0110"/>
    <x v="4"/>
    <n v="0"/>
    <m/>
    <s v="-"/>
    <n v="139.55773955773955"/>
    <n v="4.87"/>
    <n v="4.07"/>
    <n v="0.8"/>
    <n v="16.440000000000001"/>
    <n v="305"/>
    <n v="568"/>
    <n v="1.86"/>
    <n v="7.28"/>
    <n v="78.069999999999993"/>
    <n v="2.84"/>
    <n v="3.55"/>
    <n v="75.239999999999995"/>
    <n v="18.5"/>
    <n v="1995.37"/>
    <n v="118512"/>
    <n v="220952"/>
    <n v="0.3"/>
    <n v="0"/>
    <n v="276.2"/>
  </r>
  <r>
    <x v="5"/>
    <x v="0"/>
    <s v="Em operação"/>
    <s v="ES 0126"/>
    <x v="3"/>
    <n v="0"/>
    <m/>
    <n v="3000"/>
    <n v="264.61988304093569"/>
    <n v="8.74"/>
    <n v="6.84"/>
    <n v="1.9"/>
    <n v="21.74"/>
    <n v="924"/>
    <n v="1810"/>
    <n v="1.96"/>
    <n v="12.34"/>
    <n v="146.68"/>
    <n v="7.1"/>
    <n v="3.74"/>
    <n v="139.59"/>
    <n v="20.399999999999999"/>
    <n v="447.83"/>
    <n v="39672"/>
    <n v="79440"/>
    <n v="1.3"/>
    <n v="0"/>
    <n v="25.7"/>
  </r>
  <r>
    <x v="6"/>
    <x v="1"/>
    <s v="Não operacional"/>
    <s v="ES 0096"/>
    <x v="1"/>
    <n v="0"/>
    <m/>
    <m/>
    <n v="0"/>
    <n v="0"/>
    <n v="0"/>
    <n v="0"/>
    <s v=""/>
    <n v="0"/>
    <n v="0"/>
    <s v=""/>
    <s v=""/>
    <n v="0"/>
    <n v="0"/>
    <s v=""/>
    <n v="0"/>
    <s v=""/>
    <n v="8886.14"/>
    <n v="54819"/>
    <n v="77213"/>
    <n v="0"/>
    <s v=""/>
    <n v="256.39999999999998"/>
  </r>
  <r>
    <x v="6"/>
    <x v="1"/>
    <s v="Não operacional"/>
    <s v="ES 0097"/>
    <x v="1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1"/>
    <s v="Não operacional"/>
    <s v="ES 0099"/>
    <x v="2"/>
    <n v="0"/>
    <m/>
    <m/>
    <n v="0"/>
    <n v="0"/>
    <n v="0"/>
    <n v="0"/>
    <s v=""/>
    <n v="0"/>
    <n v="0"/>
    <s v=""/>
    <s v=""/>
    <n v="0"/>
    <n v="0"/>
    <s v=""/>
    <n v="0"/>
    <s v=""/>
    <n v="7467.11"/>
    <n v="87900"/>
    <n v="255260"/>
    <n v="0"/>
    <s v=""/>
    <n v="231.1"/>
  </r>
  <r>
    <x v="6"/>
    <x v="2"/>
    <s v="Em operação"/>
    <s v="ES 0101"/>
    <x v="0"/>
    <n v="2961.82"/>
    <m/>
    <n v="3428.5714285714284"/>
    <n v="531.11455108359132"/>
    <n v="7.66"/>
    <n v="6.46"/>
    <n v="1.2"/>
    <n v="15.67"/>
    <n v="722"/>
    <n v="3431"/>
    <n v="4.75"/>
    <n v="13.73"/>
    <n v="249.84"/>
    <n v="6.62"/>
    <n v="5.52"/>
    <n v="243.21"/>
    <n v="37.659999999999997"/>
    <n v="6107.06"/>
    <n v="373557"/>
    <n v="1302239"/>
    <n v="0"/>
    <n v="0"/>
    <n v="43.2"/>
  </r>
  <r>
    <x v="6"/>
    <x v="1"/>
    <s v="Não operacional"/>
    <s v="ES 0110"/>
    <x v="5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1"/>
    <s v="Não operacional"/>
    <s v="ES 0116"/>
    <x v="5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1"/>
    <s v="Não operacional"/>
    <s v="ES 0126"/>
    <x v="5"/>
    <n v="0"/>
    <m/>
    <m/>
    <n v="0"/>
    <n v="0"/>
    <n v="0"/>
    <n v="0"/>
    <s v=""/>
    <n v="0"/>
    <n v="0"/>
    <s v=""/>
    <s v=""/>
    <n v="0"/>
    <n v="0"/>
    <s v=""/>
    <n v="0"/>
    <s v=""/>
    <n v="447.83"/>
    <n v="39672"/>
    <n v="79440"/>
    <n v="0"/>
    <s v=""/>
    <n v="25.7"/>
  </r>
  <r>
    <x v="7"/>
    <x v="2"/>
    <s v="Em operação"/>
    <s v="ES 0096"/>
    <x v="1"/>
    <n v="0"/>
    <m/>
    <s v="-"/>
    <n v="155.41601255886971"/>
    <n v="9.02"/>
    <n v="6.37"/>
    <n v="2.65"/>
    <n v="29.37"/>
    <n v="663"/>
    <n v="990"/>
    <n v="1.49"/>
    <n v="7.69"/>
    <n v="128.69999999999999"/>
    <n v="9.94"/>
    <n v="3.75"/>
    <n v="118.77"/>
    <n v="18.64"/>
    <n v="8895.16"/>
    <n v="55482"/>
    <n v="78203"/>
    <n v="0.2"/>
    <n v="0"/>
    <n v="256.60000000000002"/>
  </r>
  <r>
    <x v="7"/>
    <x v="2"/>
    <s v="Em operação"/>
    <s v="ES 0097"/>
    <x v="1"/>
    <n v="0"/>
    <s v="Não está emitindo pesagem"/>
    <s v="-"/>
    <n v="77.634961439588693"/>
    <n v="6.44"/>
    <n v="3.89"/>
    <n v="2.5499999999999998"/>
    <n v="39.590000000000003"/>
    <n v="198"/>
    <n v="302"/>
    <n v="1.53"/>
    <n v="4.07"/>
    <n v="74.290000000000006"/>
    <n v="8.99"/>
    <n v="3.53"/>
    <n v="65.3"/>
    <n v="16.78"/>
    <n v="4774.42"/>
    <n v="221093"/>
    <n v="413046"/>
    <n v="0.9"/>
    <n v="0"/>
    <n v="247"/>
  </r>
  <r>
    <x v="7"/>
    <x v="2"/>
    <s v="Em operação"/>
    <s v="ES 0099"/>
    <x v="2"/>
    <n v="0"/>
    <m/>
    <n v="3000"/>
    <n v="266.66666666666669"/>
    <n v="9.64"/>
    <n v="8.49"/>
    <n v="1.1499999999999999"/>
    <n v="11.93"/>
    <n v="930"/>
    <n v="2264"/>
    <n v="2.4300000000000002"/>
    <n v="8.15"/>
    <n v="277.75"/>
    <n v="8.52"/>
    <n v="7.41"/>
    <n v="269.24"/>
    <n v="31.71"/>
    <n v="7476.75"/>
    <n v="88830"/>
    <n v="257524"/>
    <n v="0.3"/>
    <n v="0"/>
    <n v="231.4"/>
  </r>
  <r>
    <x v="7"/>
    <x v="2"/>
    <s v="Em operação"/>
    <s v="ES 0116"/>
    <x v="2"/>
    <n v="0"/>
    <m/>
    <n v="3000"/>
    <n v="349.0956072351421"/>
    <n v="4.72"/>
    <n v="3.87"/>
    <n v="0.85"/>
    <n v="17.989999999999998"/>
    <n v="421"/>
    <n v="1351"/>
    <n v="3.21"/>
    <n v="9.49"/>
    <n v="142.43"/>
    <n v="4.26"/>
    <n v="5.01"/>
    <n v="138.16999999999999"/>
    <n v="35.659999999999997"/>
    <n v="1510.36"/>
    <n v="142503"/>
    <n v="484389"/>
    <n v="0.1"/>
    <n v="0"/>
    <n v="4.4000000000000004"/>
  </r>
  <r>
    <x v="7"/>
    <x v="2"/>
    <s v="Em operação"/>
    <s v="ES 0101"/>
    <x v="0"/>
    <n v="3839.92"/>
    <m/>
    <n v="3428.5714285714284"/>
    <n v="514.36651583710409"/>
    <n v="10.54"/>
    <n v="8.84"/>
    <n v="1.7"/>
    <n v="16.12"/>
    <n v="958"/>
    <n v="4547"/>
    <n v="4.75"/>
    <n v="13.27"/>
    <n v="342.58"/>
    <n v="8.52"/>
    <n v="5.01"/>
    <n v="334.06"/>
    <n v="37.770000000000003"/>
    <n v="6117.61"/>
    <n v="374515"/>
    <n v="1306786"/>
    <n v="0.1"/>
    <n v="0"/>
    <n v="43.3"/>
  </r>
  <r>
    <x v="7"/>
    <x v="2"/>
    <s v="Em operação"/>
    <s v="ES 0110"/>
    <x v="4"/>
    <n v="0"/>
    <m/>
    <s v="-"/>
    <n v="89.247311827956992"/>
    <n v="8.11"/>
    <n v="6.51"/>
    <n v="1.6"/>
    <n v="19.73"/>
    <n v="308"/>
    <n v="581"/>
    <n v="1.89"/>
    <n v="4.43"/>
    <n v="131.07"/>
    <n v="7.1"/>
    <n v="4.4400000000000004"/>
    <n v="123.97"/>
    <n v="19.04"/>
    <n v="2003.48"/>
    <n v="118820"/>
    <n v="221533"/>
    <n v="0.9"/>
    <n v="0"/>
    <n v="277.10000000000002"/>
  </r>
  <r>
    <x v="7"/>
    <x v="2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7"/>
    <x v="2"/>
    <s v="Em operação"/>
    <s v="ES 0126"/>
    <x v="3"/>
    <n v="0"/>
    <m/>
    <n v="3000"/>
    <n v="211.77117711771177"/>
    <n v="10.94"/>
    <n v="9.09"/>
    <n v="1.85"/>
    <n v="16.91"/>
    <n v="1004"/>
    <n v="1925"/>
    <n v="1.92"/>
    <n v="10.050000000000001"/>
    <n v="191.64"/>
    <n v="7.1"/>
    <n v="3.84"/>
    <n v="184.54"/>
    <n v="20.3"/>
    <n v="458.77"/>
    <n v="40676"/>
    <n v="81365"/>
    <n v="1.4"/>
    <n v="0"/>
    <n v="27.1"/>
  </r>
  <r>
    <x v="8"/>
    <x v="2"/>
    <s v="Em operação"/>
    <s v="ES 0096"/>
    <x v="1"/>
    <n v="0"/>
    <m/>
    <s v="-"/>
    <n v="239.8852223816356"/>
    <n v="8.9700000000000006"/>
    <n v="6.97"/>
    <n v="2"/>
    <n v="22.3"/>
    <n v="1005"/>
    <n v="1672"/>
    <n v="1.66"/>
    <n v="11.55"/>
    <n v="144.79"/>
    <n v="7.57"/>
    <n v="3.79"/>
    <n v="137.22"/>
    <n v="19.690000000000001"/>
    <n v="8904.1299999999992"/>
    <n v="56487"/>
    <n v="79875"/>
    <n v="0.8"/>
    <n v="0"/>
    <n v="257.39999999999998"/>
  </r>
  <r>
    <x v="8"/>
    <x v="2"/>
    <s v="Em operação"/>
    <s v="ES 0097"/>
    <x v="1"/>
    <n v="0"/>
    <s v="Não está emitindo pesagem"/>
    <s v="-"/>
    <n v="0"/>
    <n v="4.43"/>
    <n v="3.78"/>
    <n v="0.65"/>
    <n v="14.66"/>
    <n v="0"/>
    <n v="0"/>
    <s v=""/>
    <n v="0"/>
    <n v="83.28"/>
    <n v="1.89"/>
    <n v="2.91"/>
    <n v="81.39"/>
    <n v="21.51"/>
    <n v="8503.33"/>
    <n v="58208"/>
    <n v="95660"/>
    <n v="1.1000000000000001"/>
    <s v=""/>
    <n v="208.5"/>
  </r>
  <r>
    <x v="8"/>
    <x v="2"/>
    <s v="Em operação"/>
    <s v="ES 0101"/>
    <x v="0"/>
    <n v="3257.79"/>
    <m/>
    <n v="3428.5714285714284"/>
    <n v="515.8730158730159"/>
    <n v="10.45"/>
    <n v="9.4499999999999993"/>
    <n v="1"/>
    <n v="9.57"/>
    <n v="1029"/>
    <n v="4875"/>
    <n v="4.74"/>
    <n v="13.66"/>
    <n v="356.77"/>
    <n v="6.62"/>
    <n v="6.62"/>
    <n v="350.15"/>
    <n v="37.04"/>
    <n v="6128.06"/>
    <n v="375544"/>
    <n v="1311661"/>
    <n v="0.1"/>
    <n v="0"/>
    <n v="43.4"/>
  </r>
  <r>
    <x v="8"/>
    <x v="2"/>
    <s v="Em operação"/>
    <s v="ES 0110"/>
    <x v="4"/>
    <n v="0"/>
    <m/>
    <s v="-"/>
    <n v="133.76623376623377"/>
    <n v="8.41"/>
    <n v="6.16"/>
    <n v="2.25"/>
    <n v="26.74"/>
    <n v="428"/>
    <n v="824"/>
    <n v="1.93"/>
    <n v="6.43"/>
    <n v="128.22999999999999"/>
    <n v="8.99"/>
    <n v="4"/>
    <n v="119.24"/>
    <n v="19.350000000000001"/>
    <n v="2011.89"/>
    <n v="119248"/>
    <n v="222357"/>
    <n v="0.3"/>
    <n v="0"/>
    <n v="277.39999999999998"/>
  </r>
  <r>
    <x v="8"/>
    <x v="2"/>
    <s v="Em operação"/>
    <s v="ES 0099"/>
    <x v="2"/>
    <n v="0"/>
    <m/>
    <n v="3000"/>
    <n v="295.17241379310349"/>
    <n v="7.15"/>
    <n v="4.3499999999999996"/>
    <n v="2.8"/>
    <n v="39.159999999999997"/>
    <n v="399"/>
    <n v="1284"/>
    <n v="3.22"/>
    <n v="9.02"/>
    <n v="142.43"/>
    <n v="15.61"/>
    <n v="5.58"/>
    <n v="126.81"/>
    <n v="29.15"/>
    <n v="7483.9"/>
    <n v="89229"/>
    <n v="258808"/>
    <n v="0.1"/>
    <n v="0"/>
    <n v="231.5"/>
  </r>
  <r>
    <x v="8"/>
    <x v="2"/>
    <s v="Em operação"/>
    <s v="ES 0116"/>
    <x v="2"/>
    <n v="0"/>
    <m/>
    <n v="3000"/>
    <n v="538.38028169014092"/>
    <n v="6.98"/>
    <n v="5.68"/>
    <n v="1.3"/>
    <n v="18.62"/>
    <n v="740"/>
    <n v="3058"/>
    <n v="4.13"/>
    <n v="13.33"/>
    <n v="229.49"/>
    <n v="5.68"/>
    <n v="4.37"/>
    <n v="223.81"/>
    <n v="39.39"/>
    <n v="1517.34"/>
    <n v="143243"/>
    <n v="487447"/>
    <n v="0"/>
    <n v="0"/>
    <n v="4.4000000000000004"/>
  </r>
  <r>
    <x v="8"/>
    <x v="2"/>
    <s v="Em operação"/>
    <s v="ES 0126"/>
    <x v="2"/>
    <n v="0"/>
    <m/>
    <n v="3000"/>
    <n v="234.94152046783626"/>
    <n v="8.49"/>
    <n v="6.84"/>
    <n v="1.65"/>
    <n v="19.440000000000001"/>
    <n v="757"/>
    <n v="1607"/>
    <n v="2.12"/>
    <n v="11.25"/>
    <n v="142.9"/>
    <n v="7.1"/>
    <n v="4.3"/>
    <n v="135.80000000000001"/>
    <n v="19.86"/>
    <n v="467.26"/>
    <n v="41433"/>
    <n v="82972"/>
    <n v="1.4"/>
    <n v="0"/>
    <n v="28.5"/>
  </r>
  <r>
    <x v="8"/>
    <x v="2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9"/>
    <x v="1"/>
    <s v="Não operacional"/>
    <s v="ES 0096"/>
    <x v="1"/>
    <n v="0"/>
    <m/>
    <s v="-"/>
    <n v="0"/>
    <n v="0"/>
    <n v="0"/>
    <n v="0"/>
    <s v=""/>
    <n v="0"/>
    <n v="0"/>
    <s v=""/>
    <s v=""/>
    <n v="0"/>
    <n v="0"/>
    <s v=""/>
    <n v="0"/>
    <s v=""/>
    <n v="8904.1299999999992"/>
    <n v="56487"/>
    <n v="79875"/>
    <n v="0"/>
    <s v=""/>
    <n v="257.39999999999998"/>
  </r>
  <r>
    <x v="9"/>
    <x v="1"/>
    <s v="Não operacional"/>
    <s v="ES 0097"/>
    <x v="1"/>
    <n v="0"/>
    <s v="Em Manutenção"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2"/>
    <s v="Em operação"/>
    <s v="ES 0101"/>
    <x v="0"/>
    <n v="3337.78"/>
    <m/>
    <n v="3428.5714285714284"/>
    <n v="519.4723618090452"/>
    <n v="9.4600000000000009"/>
    <n v="7.96"/>
    <n v="1.5"/>
    <n v="15.85"/>
    <n v="927"/>
    <n v="4135"/>
    <n v="4.46"/>
    <n v="13.78"/>
    <n v="299.99"/>
    <n v="8.0399999999999991"/>
    <n v="5.36"/>
    <n v="291.95"/>
    <n v="36.659999999999997"/>
    <n v="6137.53"/>
    <n v="376471"/>
    <n v="1315796"/>
    <n v="0.1"/>
    <n v="0"/>
    <n v="43.5"/>
  </r>
  <r>
    <x v="9"/>
    <x v="1"/>
    <s v="Não operacional"/>
    <s v="ES 0110"/>
    <x v="1"/>
    <n v="0"/>
    <m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1"/>
    <s v="Não operacional"/>
    <s v="ES 0099"/>
    <x v="2"/>
    <n v="0"/>
    <m/>
    <n v="3000"/>
    <n v="0"/>
    <n v="0"/>
    <n v="0"/>
    <n v="0"/>
    <s v=""/>
    <n v="0"/>
    <n v="0"/>
    <s v=""/>
    <s v=""/>
    <n v="0"/>
    <n v="0"/>
    <s v=""/>
    <n v="0"/>
    <s v=""/>
    <n v="7483.9"/>
    <n v="89229"/>
    <n v="258808"/>
    <n v="0"/>
    <s v=""/>
    <n v="231.5"/>
  </r>
  <r>
    <x v="9"/>
    <x v="1"/>
    <s v="Não operacional"/>
    <s v="ES 0116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1"/>
    <s v="Não operacional"/>
    <s v="ES 0126"/>
    <x v="2"/>
    <n v="0"/>
    <m/>
    <n v="3000"/>
    <n v="0"/>
    <n v="0"/>
    <n v="0"/>
    <n v="0"/>
    <s v=""/>
    <n v="0"/>
    <n v="0"/>
    <s v=""/>
    <s v=""/>
    <n v="0"/>
    <n v="0"/>
    <s v=""/>
    <n v="0"/>
    <s v=""/>
    <n v="467.26"/>
    <n v="41433"/>
    <n v="82972"/>
    <n v="0"/>
    <s v=""/>
    <n v="28.5"/>
  </r>
  <r>
    <x v="10"/>
    <x v="2"/>
    <s v="Em operação"/>
    <s v="ES 0096"/>
    <x v="1"/>
    <n v="0"/>
    <m/>
    <s v="-"/>
    <n v="144.71153846153845"/>
    <n v="7.34"/>
    <n v="6.24"/>
    <n v="1.1000000000000001"/>
    <n v="14.98"/>
    <n v="783"/>
    <n v="903"/>
    <n v="1.1499999999999999"/>
    <n v="7.31"/>
    <n v="123.5"/>
    <n v="4.26"/>
    <n v="3.87"/>
    <n v="119.24"/>
    <n v="19.100000000000001"/>
    <n v="8911.4699999999993"/>
    <n v="57270"/>
    <n v="80778"/>
    <n v="0.2"/>
    <n v="0"/>
    <n v="257.60000000000002"/>
  </r>
  <r>
    <x v="10"/>
    <x v="1"/>
    <s v="Não operacional"/>
    <s v="ES 0097"/>
    <x v="1"/>
    <n v="0"/>
    <s v="Em Manutenção"/>
    <s v="-"/>
    <n v="0"/>
    <n v="0.28000000000000003"/>
    <n v="0.08"/>
    <n v="0.2"/>
    <n v="71.150000000000006"/>
    <n v="0"/>
    <n v="0"/>
    <s v=""/>
    <n v="0"/>
    <n v="1.42"/>
    <n v="1.89"/>
    <n v="9.4600000000000009"/>
    <s v=""/>
    <s v=""/>
    <n v="8503.61"/>
    <n v="58208"/>
    <n v="95660"/>
    <n v="0"/>
    <s v=""/>
    <n v="208.5"/>
  </r>
  <r>
    <x v="10"/>
    <x v="2"/>
    <s v="Em operação"/>
    <s v="ES 0101"/>
    <x v="0"/>
    <n v="2566.6"/>
    <m/>
    <n v="3428.5714285714284"/>
    <n v="475.83979328165373"/>
    <n v="9.94"/>
    <n v="7.74"/>
    <n v="2.2000000000000002"/>
    <n v="22.12"/>
    <n v="843"/>
    <n v="3683"/>
    <n v="4.37"/>
    <n v="12.64"/>
    <n v="291.48"/>
    <n v="11.36"/>
    <n v="5.16"/>
    <n v="280.12"/>
    <n v="36.17"/>
    <n v="6147.47"/>
    <n v="377314"/>
    <n v="1319479"/>
    <n v="0"/>
    <n v="0"/>
    <n v="43.5"/>
  </r>
  <r>
    <x v="10"/>
    <x v="2"/>
    <s v="Em operação"/>
    <s v="ES 0110"/>
    <x v="1"/>
    <n v="0"/>
    <m/>
    <s v="-"/>
    <n v="120.60491493383743"/>
    <n v="7.69"/>
    <n v="5.29"/>
    <n v="2.4"/>
    <n v="31.21"/>
    <n v="354"/>
    <n v="638"/>
    <n v="1.8"/>
    <n v="5.89"/>
    <n v="108.36"/>
    <n v="9.4600000000000009"/>
    <n v="3.94"/>
    <n v="98.89"/>
    <n v="18.7"/>
    <n v="2019.58"/>
    <n v="119602"/>
    <n v="222995"/>
    <n v="0.5"/>
    <n v="0"/>
    <n v="277.89999999999998"/>
  </r>
  <r>
    <x v="10"/>
    <x v="2"/>
    <s v="Em operação"/>
    <s v="ES 0099"/>
    <x v="2"/>
    <n v="0"/>
    <m/>
    <n v="3000"/>
    <n v="377.37226277372258"/>
    <n v="8.1300000000000008"/>
    <n v="5.48"/>
    <n v="2.65"/>
    <n v="32.590000000000003"/>
    <n v="621"/>
    <n v="2068"/>
    <n v="3.33"/>
    <n v="11.09"/>
    <n v="186.43"/>
    <n v="15.14"/>
    <n v="5.71"/>
    <n v="171.29"/>
    <n v="31.25"/>
    <n v="7492.03"/>
    <n v="89850"/>
    <n v="260876"/>
    <n v="0.5"/>
    <n v="0"/>
    <n v="232"/>
  </r>
  <r>
    <x v="10"/>
    <x v="2"/>
    <s v="Em operação"/>
    <s v="ES 0116"/>
    <x v="2"/>
    <n v="0"/>
    <m/>
    <n v="3000"/>
    <n v="458.88888888888886"/>
    <n v="6.9"/>
    <n v="5.4"/>
    <n v="1.5"/>
    <n v="21.74"/>
    <n v="599"/>
    <n v="2478"/>
    <n v="4.1399999999999997"/>
    <n v="11.9"/>
    <n v="208.2"/>
    <n v="7.1"/>
    <n v="4.7300000000000004"/>
    <n v="201.1"/>
    <n v="37.25"/>
    <n v="1524.24"/>
    <n v="143842"/>
    <n v="489925"/>
    <n v="0"/>
    <n v="0"/>
    <n v="4.4000000000000004"/>
  </r>
  <r>
    <x v="10"/>
    <x v="2"/>
    <s v="Em operação"/>
    <s v="ES 0126"/>
    <x v="2"/>
    <n v="0"/>
    <m/>
    <n v="3000"/>
    <n v="318.02656546489567"/>
    <n v="7.97"/>
    <n v="5.27"/>
    <n v="2.7"/>
    <n v="33.89"/>
    <n v="675"/>
    <n v="1676"/>
    <n v="2.48"/>
    <n v="15.07"/>
    <n v="111.2"/>
    <n v="9.94"/>
    <n v="3.68"/>
    <n v="101.26"/>
    <n v="19.22"/>
    <n v="475.23"/>
    <n v="42108"/>
    <n v="84648"/>
    <n v="0.4"/>
    <n v="0"/>
    <n v="28.9"/>
  </r>
  <r>
    <x v="10"/>
    <x v="2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1"/>
    <x v="2"/>
    <s v="Em operação"/>
    <s v="ES 0096"/>
    <x v="1"/>
    <n v="0"/>
    <m/>
    <s v="-"/>
    <n v="145.18072289156626"/>
    <n v="7.13"/>
    <n v="4.9800000000000004"/>
    <n v="2.15"/>
    <n v="30.17"/>
    <n v="427"/>
    <n v="723"/>
    <n v="1.69"/>
    <n v="7.24"/>
    <n v="99.84"/>
    <n v="8.52"/>
    <n v="3.96"/>
    <n v="91.32"/>
    <n v="18.350000000000001"/>
    <n v="8918.6"/>
    <n v="57697"/>
    <n v="81501"/>
    <n v="0"/>
    <n v="0"/>
    <n v="257.60000000000002"/>
  </r>
  <r>
    <x v="11"/>
    <x v="1"/>
    <s v="Não operacional"/>
    <s v="ES 0097"/>
    <x v="1"/>
    <n v="0"/>
    <s v="Em Manutenção"/>
    <s v="-"/>
    <n v="0"/>
    <n v="1.48"/>
    <n v="0.38"/>
    <n v="1.1000000000000001"/>
    <n v="74.510000000000005"/>
    <n v="0"/>
    <n v="0"/>
    <s v=""/>
    <n v="0"/>
    <n v="10.88"/>
    <n v="5.68"/>
    <n v="5.16"/>
    <n v="5.2"/>
    <n v="13.83"/>
    <n v="8505.08"/>
    <n v="58208"/>
    <n v="95660"/>
    <n v="0"/>
    <s v=""/>
    <n v="208.5"/>
  </r>
  <r>
    <x v="11"/>
    <x v="2"/>
    <s v="Em operação"/>
    <s v="ES 0101"/>
    <x v="0"/>
    <n v="1856.48"/>
    <m/>
    <n v="3428.5714285714284"/>
    <n v="452.63157894736844"/>
    <n v="5.5"/>
    <n v="4.75"/>
    <n v="0.75"/>
    <n v="13.64"/>
    <n v="526"/>
    <n v="2150"/>
    <n v="4.09"/>
    <n v="12.15"/>
    <n v="176.97"/>
    <n v="4.26"/>
    <n v="5.68"/>
    <n v="172.71"/>
    <n v="36.36"/>
    <n v="6152.97"/>
    <n v="377840"/>
    <n v="1321629"/>
    <n v="0.1"/>
    <n v="0"/>
    <n v="43.6"/>
  </r>
  <r>
    <x v="11"/>
    <x v="2"/>
    <s v="Em operação"/>
    <s v="ES 0110"/>
    <x v="1"/>
    <n v="0"/>
    <m/>
    <s v="-"/>
    <n v="60.294117647058819"/>
    <n v="0.83"/>
    <n v="0.68"/>
    <n v="0.15"/>
    <n v="18.02"/>
    <n v="26"/>
    <n v="41"/>
    <n v="1.58"/>
    <n v="3.33"/>
    <n v="12.3"/>
    <n v="0.95"/>
    <n v="6.31"/>
    <n v="11.36"/>
    <n v="16.64"/>
    <n v="2020.42"/>
    <n v="119628"/>
    <n v="223036"/>
    <n v="0.1"/>
    <n v="0"/>
    <n v="278"/>
  </r>
  <r>
    <x v="11"/>
    <x v="2"/>
    <s v="Em operação"/>
    <s v="ES 0099"/>
    <x v="2"/>
    <n v="0"/>
    <m/>
    <n v="3000"/>
    <n v="390.33112582781456"/>
    <n v="7.9"/>
    <n v="7.55"/>
    <n v="0.35"/>
    <n v="4.43"/>
    <n v="903"/>
    <n v="2947"/>
    <n v="3.26"/>
    <n v="12.16"/>
    <n v="242.27"/>
    <n v="3.79"/>
    <n v="10.82"/>
    <n v="238.48"/>
    <n v="31.61"/>
    <n v="7499.93"/>
    <n v="90753"/>
    <n v="263823"/>
    <n v="0.4"/>
    <n v="0"/>
    <n v="232.4"/>
  </r>
  <r>
    <x v="11"/>
    <x v="2"/>
    <s v="Em operação"/>
    <s v="ES 0116"/>
    <x v="2"/>
    <n v="0"/>
    <m/>
    <n v="3000"/>
    <n v="449.29078014184398"/>
    <n v="7.29"/>
    <n v="5.64"/>
    <n v="1.65"/>
    <n v="22.62"/>
    <n v="636"/>
    <n v="2534"/>
    <n v="3.98"/>
    <n v="11.44"/>
    <n v="221.45"/>
    <n v="7.57"/>
    <n v="4.59"/>
    <n v="213.88"/>
    <n v="37.9"/>
    <n v="1531.54"/>
    <n v="144478"/>
    <n v="492459"/>
    <n v="0"/>
    <n v="0"/>
    <n v="4.4000000000000004"/>
  </r>
  <r>
    <x v="11"/>
    <x v="2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11"/>
    <x v="2"/>
    <s v="Em operação"/>
    <s v="ES 0126"/>
    <x v="1"/>
    <n v="0"/>
    <m/>
    <s v="-"/>
    <n v="164.77541371158389"/>
    <n v="5.78"/>
    <n v="4.2300000000000004"/>
    <n v="1.55"/>
    <n v="26.82"/>
    <n v="384"/>
    <n v="697"/>
    <n v="1.82"/>
    <n v="7.63"/>
    <n v="91.32"/>
    <n v="5.68"/>
    <n v="3.66"/>
    <n v="85.64"/>
    <n v="20.260000000000002"/>
    <n v="481.01"/>
    <n v="42492"/>
    <n v="85345"/>
    <n v="1.5"/>
    <n v="0"/>
    <n v="30.4"/>
  </r>
  <r>
    <x v="12"/>
    <x v="2"/>
    <s v="Em operação"/>
    <s v="ES 0096"/>
    <x v="1"/>
    <n v="0"/>
    <m/>
    <s v="-"/>
    <n v="79.039301310043669"/>
    <n v="2.89"/>
    <n v="2.29"/>
    <n v="0.6"/>
    <n v="20.78"/>
    <n v="154"/>
    <n v="181"/>
    <n v="1.18"/>
    <n v="3.94"/>
    <n v="45.9"/>
    <n v="1.89"/>
    <n v="3.15"/>
    <n v="44.01"/>
    <n v="19.239999999999998"/>
    <n v="8921.49"/>
    <n v="57851"/>
    <n v="81682"/>
    <n v="0.9"/>
    <n v="0.01"/>
    <n v="258.5"/>
  </r>
  <r>
    <x v="12"/>
    <x v="1"/>
    <s v="Não operacional"/>
    <s v="ES 0097"/>
    <x v="1"/>
    <n v="0"/>
    <s v="Em Manutenção"/>
    <s v="-"/>
    <n v="0"/>
    <n v="0"/>
    <n v="0"/>
    <n v="0"/>
    <s v=""/>
    <n v="0"/>
    <n v="0"/>
    <s v=""/>
    <s v=""/>
    <n v="0"/>
    <n v="0"/>
    <s v=""/>
    <n v="0"/>
    <s v=""/>
    <n v="8505.08"/>
    <n v="58208"/>
    <n v="95660"/>
    <n v="0"/>
    <s v=""/>
    <n v="208.5"/>
  </r>
  <r>
    <x v="12"/>
    <x v="2"/>
    <s v="Em operação"/>
    <s v="ES 0101"/>
    <x v="0"/>
    <n v="2286.91"/>
    <m/>
    <n v="3428.5714285714284"/>
    <n v="543.29896907216494"/>
    <n v="4.83"/>
    <n v="3.88"/>
    <n v="0.95"/>
    <n v="19.68"/>
    <n v="529"/>
    <n v="2108"/>
    <n v="3.98"/>
    <n v="14.05"/>
    <n v="150"/>
    <n v="5.2"/>
    <n v="5.48"/>
    <n v="144.79"/>
    <n v="37.340000000000003"/>
    <n v="6157.8"/>
    <n v="378369"/>
    <n v="1323737"/>
    <n v="0"/>
    <n v="0"/>
    <n v="43.6"/>
  </r>
  <r>
    <x v="12"/>
    <x v="2"/>
    <s v="Em operação"/>
    <s v="ES 0110"/>
    <x v="4"/>
    <n v="0"/>
    <m/>
    <s v="-"/>
    <n v="33.950617283950614"/>
    <n v="2.72"/>
    <n v="1.62"/>
    <n v="1.1000000000000001"/>
    <n v="40.51"/>
    <n v="49"/>
    <n v="55"/>
    <n v="1.1200000000000001"/>
    <n v="2.08"/>
    <n v="26.5"/>
    <n v="4.26"/>
    <n v="3.87"/>
    <n v="22.24"/>
    <n v="13.77"/>
    <n v="2023.13"/>
    <n v="119677"/>
    <n v="223091"/>
    <n v="0.4"/>
    <n v="0.01"/>
    <n v="278.39999999999998"/>
  </r>
  <r>
    <x v="12"/>
    <x v="2"/>
    <s v="Em operação"/>
    <s v="ES 0099"/>
    <x v="2"/>
    <n v="0"/>
    <m/>
    <n v="3000"/>
    <n v="454.1044776119403"/>
    <n v="3.78"/>
    <n v="2.68"/>
    <n v="1.1000000000000001"/>
    <n v="29.08"/>
    <n v="363"/>
    <n v="1217"/>
    <n v="3.35"/>
    <n v="13.61"/>
    <n v="89.43"/>
    <n v="7.57"/>
    <n v="6.88"/>
    <n v="81.86"/>
    <n v="30.52"/>
    <n v="7503.71"/>
    <n v="91116"/>
    <n v="265040"/>
    <n v="0.3"/>
    <n v="0"/>
    <n v="232.7"/>
  </r>
  <r>
    <x v="12"/>
    <x v="2"/>
    <s v="Em operação"/>
    <s v="ES 0116"/>
    <x v="2"/>
    <n v="0"/>
    <m/>
    <n v="3000"/>
    <n v="522.97297297297291"/>
    <n v="2.77"/>
    <n v="2.2200000000000002"/>
    <n v="0.55000000000000004"/>
    <n v="19.86"/>
    <n v="248"/>
    <n v="1161"/>
    <n v="4.68"/>
    <n v="13.26"/>
    <n v="87.54"/>
    <n v="1.89"/>
    <n v="3.44"/>
    <n v="85.64"/>
    <n v="38.590000000000003"/>
    <n v="1534.31"/>
    <n v="144726"/>
    <n v="493620"/>
    <n v="0"/>
    <n v="0"/>
    <n v="4.4000000000000004"/>
  </r>
  <r>
    <x v="12"/>
    <x v="2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12"/>
    <x v="2"/>
    <s v="Em operação"/>
    <s v="ES 0126"/>
    <x v="1"/>
    <n v="0"/>
    <m/>
    <s v="-"/>
    <n v="104.76190476190476"/>
    <n v="4.1100000000000003"/>
    <n v="2.31"/>
    <n v="1.8"/>
    <n v="43.8"/>
    <n v="182"/>
    <n v="242"/>
    <n v="1.33"/>
    <n v="4.87"/>
    <n v="49.68"/>
    <n v="7.57"/>
    <n v="4.21"/>
    <n v="42.11"/>
    <n v="18.23"/>
    <n v="485.12"/>
    <n v="42674"/>
    <n v="85587"/>
    <n v="0.8"/>
    <n v="0"/>
    <n v="31.2"/>
  </r>
  <r>
    <x v="13"/>
    <x v="1"/>
    <s v="Não operacional"/>
    <s v="ES 0096"/>
    <x v="1"/>
    <n v="0"/>
    <m/>
    <s v="-"/>
    <n v="0"/>
    <n v="0"/>
    <n v="0"/>
    <n v="0"/>
    <s v=""/>
    <n v="0"/>
    <n v="0"/>
    <s v=""/>
    <s v=""/>
    <n v="0"/>
    <n v="0"/>
    <s v=""/>
    <n v="0"/>
    <s v=""/>
    <n v="8921.49"/>
    <n v="57851"/>
    <n v="81682"/>
    <n v="0"/>
    <s v=""/>
    <n v="258.5"/>
  </r>
  <r>
    <x v="13"/>
    <x v="1"/>
    <s v="Não operacional"/>
    <s v="ES 0097"/>
    <x v="1"/>
    <n v="0"/>
    <s v="Em Manutenção"/>
    <s v="-"/>
    <n v="0"/>
    <n v="0"/>
    <n v="0"/>
    <n v="0"/>
    <s v=""/>
    <n v="0"/>
    <n v="0"/>
    <s v=""/>
    <s v=""/>
    <n v="0"/>
    <n v="0"/>
    <s v=""/>
    <n v="0"/>
    <s v=""/>
    <n v="8505.08"/>
    <n v="58208"/>
    <n v="95660"/>
    <n v="0"/>
    <s v=""/>
    <n v="208.5"/>
  </r>
  <r>
    <x v="13"/>
    <x v="3"/>
    <s v="Em operação"/>
    <s v="ES 0101"/>
    <x v="0"/>
    <n v="3030.59"/>
    <m/>
    <n v="3000"/>
    <n v="447.05014749262534"/>
    <n v="8.08"/>
    <n v="6.78"/>
    <n v="1.3"/>
    <n v="16.079999999999998"/>
    <n v="761"/>
    <n v="3031"/>
    <n v="3.98"/>
    <n v="11.4"/>
    <n v="265.93"/>
    <n v="7.1"/>
    <n v="5.46"/>
    <n v="258.83"/>
    <n v="38.15"/>
    <n v="6165.88"/>
    <n v="379130"/>
    <n v="1326768"/>
    <n v="0.1"/>
    <n v="0"/>
    <n v="43.7"/>
  </r>
  <r>
    <x v="13"/>
    <x v="1"/>
    <s v="Não operacional"/>
    <s v="ES 0110"/>
    <x v="1"/>
    <n v="0"/>
    <m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1"/>
    <s v="Não operacional"/>
    <s v="ES 0099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1"/>
    <s v="Não operacional"/>
    <s v="ES 0116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1"/>
    <s v="Não operacional"/>
    <s v="ES 0126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"/>
    <x v="3"/>
    <s v="Em operação"/>
    <s v="ES 0096"/>
    <x v="1"/>
    <n v="0"/>
    <m/>
    <s v="-"/>
    <n v="182.03389830508473"/>
    <n v="7.15"/>
    <n v="5.9"/>
    <n v="1.25"/>
    <n v="17.489999999999998"/>
    <n v="694"/>
    <n v="1074"/>
    <n v="1.55"/>
    <n v="8.73"/>
    <n v="123.03"/>
    <n v="5.2"/>
    <n v="4.16"/>
    <n v="117.82"/>
    <n v="19.98"/>
    <n v="8928.6299999999992"/>
    <n v="58545"/>
    <n v="82756"/>
    <n v="0.3"/>
    <n v="0"/>
    <n v="258.8"/>
  </r>
  <r>
    <x v="14"/>
    <x v="1"/>
    <s v="Não operacional"/>
    <s v="ES 0097"/>
    <x v="1"/>
    <n v="0"/>
    <s v="Em Manutenção"/>
    <s v="-"/>
    <n v="0"/>
    <n v="0"/>
    <n v="0"/>
    <n v="0"/>
    <s v=""/>
    <n v="0"/>
    <n v="0"/>
    <s v=""/>
    <s v=""/>
    <n v="0"/>
    <n v="0"/>
    <s v=""/>
    <n v="0"/>
    <s v=""/>
    <n v="8505.08"/>
    <n v="58208"/>
    <n v="95660"/>
    <n v="0"/>
    <s v=""/>
    <n v="208.5"/>
  </r>
  <r>
    <x v="14"/>
    <x v="3"/>
    <s v="Em operação"/>
    <s v="ES 0101"/>
    <x v="0"/>
    <n v="1215.1400000000001"/>
    <m/>
    <n v="3000"/>
    <n v="287.6521739130435"/>
    <n v="7"/>
    <n v="5.75"/>
    <n v="1.25"/>
    <n v="17.850000000000001"/>
    <n v="440"/>
    <n v="1654"/>
    <n v="3.76"/>
    <n v="7.33"/>
    <n v="225.7"/>
    <n v="7.1"/>
    <n v="5.68"/>
    <n v="218.61"/>
    <n v="38"/>
    <n v="6172.89"/>
    <n v="379570"/>
    <n v="1328422"/>
    <n v="0.1"/>
    <n v="0"/>
    <n v="43.8"/>
  </r>
  <r>
    <x v="14"/>
    <x v="3"/>
    <s v="Em operação"/>
    <s v="ES 0110"/>
    <x v="1"/>
    <n v="0"/>
    <m/>
    <s v="-"/>
    <n v="82.173913043478265"/>
    <n v="6.7"/>
    <n v="4.5999999999999996"/>
    <n v="2.1"/>
    <n v="31.32"/>
    <n v="267"/>
    <n v="378"/>
    <n v="1.42"/>
    <n v="4.0599999999999996"/>
    <n v="93.22"/>
    <n v="8.52"/>
    <n v="4.0599999999999996"/>
    <n v="84.7"/>
    <n v="18.39"/>
    <n v="2029.84"/>
    <n v="119944"/>
    <n v="223469"/>
    <n v="1.1000000000000001"/>
    <n v="0"/>
    <n v="279.5"/>
  </r>
  <r>
    <x v="14"/>
    <x v="3"/>
    <s v="Em operação"/>
    <s v="ES 0099"/>
    <x v="2"/>
    <n v="0"/>
    <s v="Emitiu pesagem incorreta"/>
    <n v="3000"/>
    <n v="0"/>
    <n v="6.89"/>
    <n v="5.24"/>
    <n v="1.65"/>
    <n v="23.93"/>
    <n v="449"/>
    <n v="0"/>
    <n v="3472631.41"/>
    <n v="8930089.5999999996"/>
    <n v="174.6"/>
    <n v="14.2"/>
    <n v="8.6"/>
    <n v="160.41"/>
    <n v="30.59"/>
    <n v="7510.6"/>
    <n v="91565"/>
    <n v="1559476544"/>
    <n v="0.3"/>
    <n v="0"/>
    <n v="233"/>
  </r>
  <r>
    <x v="14"/>
    <x v="3"/>
    <s v="Em operação"/>
    <s v="ES 0116"/>
    <x v="2"/>
    <n v="0"/>
    <m/>
    <n v="3000"/>
    <n v="459.56632653061223"/>
    <n v="8.94"/>
    <n v="7.84"/>
    <n v="1.1000000000000001"/>
    <n v="12.3"/>
    <n v="1125"/>
    <n v="3603"/>
    <n v="3.2"/>
    <n v="11.45"/>
    <n v="314.66000000000003"/>
    <n v="5.68"/>
    <n v="5.16"/>
    <n v="308.98"/>
    <n v="39.409999999999997"/>
    <n v="1543.25"/>
    <n v="145851"/>
    <n v="497223"/>
    <n v="0"/>
    <n v="0"/>
    <n v="4.4000000000000004"/>
  </r>
  <r>
    <x v="14"/>
    <x v="3"/>
    <s v="Em operação"/>
    <s v="ES 0126"/>
    <x v="2"/>
    <n v="0"/>
    <m/>
    <n v="3000"/>
    <n v="167.05685618729095"/>
    <n v="7.78"/>
    <n v="5.98"/>
    <n v="1.8"/>
    <n v="23.14"/>
    <n v="659"/>
    <n v="999"/>
    <n v="1.52"/>
    <n v="7.51"/>
    <n v="132.96"/>
    <n v="7.1"/>
    <n v="3.94"/>
    <n v="125.86"/>
    <n v="21.05"/>
    <n v="492.9"/>
    <n v="43333"/>
    <n v="86586"/>
    <n v="0.6"/>
    <n v="0"/>
    <n v="31.8"/>
  </r>
  <r>
    <x v="14"/>
    <x v="3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5"/>
    <x v="3"/>
    <s v="Em operação"/>
    <s v="ES 0096"/>
    <x v="1"/>
    <n v="0"/>
    <m/>
    <s v="-"/>
    <n v="117.30769230769231"/>
    <n v="2.58"/>
    <n v="2.08"/>
    <n v="0.5"/>
    <n v="19.420000000000002"/>
    <n v="152"/>
    <n v="244"/>
    <n v="1.61"/>
    <n v="5.93"/>
    <n v="41.17"/>
    <n v="1.89"/>
    <n v="3.79"/>
    <n v="39.270000000000003"/>
    <n v="18.93"/>
    <n v="8931.2099999999991"/>
    <n v="58697"/>
    <n v="83000"/>
    <n v="0.1"/>
    <n v="0"/>
    <n v="258.89999999999998"/>
  </r>
  <r>
    <x v="15"/>
    <x v="1"/>
    <s v="Não operacional"/>
    <s v="ES 0097"/>
    <x v="1"/>
    <n v="0"/>
    <s v="Em Manutenção"/>
    <s v="-"/>
    <n v="0"/>
    <n v="1.52"/>
    <n v="0.67"/>
    <n v="0.85"/>
    <n v="55.94"/>
    <n v="0"/>
    <n v="0"/>
    <s v=""/>
    <n v="0"/>
    <n v="12.78"/>
    <n v="4.26"/>
    <n v="5.01"/>
    <n v="8.52"/>
    <n v="12.72"/>
    <n v="8506.6"/>
    <n v="58208"/>
    <n v="95660"/>
    <n v="0"/>
    <s v=""/>
    <n v="208.5"/>
  </r>
  <r>
    <x v="15"/>
    <x v="3"/>
    <s v="Em operação"/>
    <s v="ES 0101"/>
    <x v="0"/>
    <n v="2851.57"/>
    <m/>
    <n v="3000"/>
    <n v="421.7021276595745"/>
    <n v="8"/>
    <n v="7.05"/>
    <n v="0.95"/>
    <n v="11.88"/>
    <n v="731"/>
    <n v="2973"/>
    <n v="4.07"/>
    <n v="11"/>
    <n v="270.18"/>
    <n v="5.68"/>
    <n v="5.98"/>
    <n v="264.51"/>
    <n v="37.53"/>
    <n v="6180.88"/>
    <n v="380301"/>
    <n v="1331395"/>
    <n v="0.1"/>
    <n v="0"/>
    <n v="43.9"/>
  </r>
  <r>
    <x v="15"/>
    <x v="3"/>
    <s v="Em operação"/>
    <s v="ES 0110"/>
    <x v="1"/>
    <n v="0"/>
    <m/>
    <s v="-"/>
    <n v="108.41584158415841"/>
    <n v="6.29"/>
    <n v="4.04"/>
    <n v="2.25"/>
    <n v="35.78"/>
    <n v="295"/>
    <n v="438"/>
    <n v="1.48"/>
    <n v="5.0599999999999996"/>
    <n v="86.59"/>
    <n v="8.52"/>
    <n v="3.79"/>
    <n v="78.069999999999993"/>
    <n v="19.329999999999998"/>
    <n v="2036.12"/>
    <n v="120239"/>
    <n v="223907"/>
    <n v="0.8"/>
    <n v="0"/>
    <n v="280.3"/>
  </r>
  <r>
    <x v="15"/>
    <x v="3"/>
    <s v="Em operação"/>
    <s v="ES 0099"/>
    <x v="2"/>
    <n v="0"/>
    <s v="Não emitiu pesagem"/>
    <n v="3000"/>
    <n v="0"/>
    <n v="7.6"/>
    <n v="5.95"/>
    <n v="1.65"/>
    <n v="21.71"/>
    <n v="656"/>
    <n v="0"/>
    <n v="0"/>
    <n v="0"/>
    <n v="197.31"/>
    <n v="12.3"/>
    <n v="7.46"/>
    <n v="185.01"/>
    <n v="31.09"/>
    <n v="7518.2"/>
    <n v="92221"/>
    <n v="267075"/>
    <n v="0.4"/>
    <n v="0"/>
    <n v="233.4"/>
  </r>
  <r>
    <x v="15"/>
    <x v="3"/>
    <s v="Em operação"/>
    <s v="ES 0116"/>
    <x v="2"/>
    <n v="0"/>
    <m/>
    <n v="3000"/>
    <n v="451.54185022026434"/>
    <n v="7.71"/>
    <n v="6.81"/>
    <n v="0.9"/>
    <n v="11.67"/>
    <n v="1053"/>
    <n v="3075"/>
    <n v="2.92"/>
    <n v="11.15"/>
    <n v="275.86"/>
    <n v="3.79"/>
    <n v="4.21"/>
    <n v="272.08"/>
    <n v="39.93"/>
    <n v="1550.96"/>
    <n v="146904"/>
    <n v="500298"/>
    <n v="0.1"/>
    <n v="0"/>
    <n v="4.5"/>
  </r>
  <r>
    <x v="15"/>
    <x v="3"/>
    <s v="Em operação"/>
    <s v="ES 0126"/>
    <x v="2"/>
    <n v="0"/>
    <m/>
    <n v="3000"/>
    <n v="261.74957118353342"/>
    <n v="7.93"/>
    <n v="5.83"/>
    <n v="2.1"/>
    <n v="26.5"/>
    <n v="853"/>
    <n v="1526"/>
    <n v="1.79"/>
    <n v="11.24"/>
    <n v="135.80000000000001"/>
    <n v="7.57"/>
    <n v="3.61"/>
    <n v="128.22999999999999"/>
    <n v="22.01"/>
    <n v="500.82"/>
    <n v="44186"/>
    <n v="88112"/>
    <n v="0.9"/>
    <n v="0"/>
    <n v="32.700000000000003"/>
  </r>
  <r>
    <x v="15"/>
    <x v="3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6"/>
    <x v="3"/>
    <s v="Em operação"/>
    <s v="ES 0096"/>
    <x v="1"/>
    <n v="0"/>
    <m/>
    <s v="-"/>
    <n v="152.47524752475249"/>
    <n v="3.28"/>
    <n v="3.03"/>
    <n v="0.25"/>
    <n v="7.63"/>
    <n v="342"/>
    <n v="462"/>
    <n v="1.35"/>
    <n v="7.57"/>
    <n v="61.04"/>
    <n v="0.95"/>
    <n v="3.79"/>
    <n v="60.09"/>
    <n v="19.86"/>
    <n v="8934.48"/>
    <n v="59039"/>
    <n v="83462"/>
    <n v="0.2"/>
    <n v="0"/>
    <n v="259.10000000000002"/>
  </r>
  <r>
    <x v="16"/>
    <x v="1"/>
    <s v="Não operacional"/>
    <s v="ES 0097"/>
    <x v="1"/>
    <n v="0"/>
    <s v="Em Manutenção"/>
    <s v="-"/>
    <n v="0"/>
    <n v="5.36"/>
    <n v="4.3600000000000003"/>
    <n v="1"/>
    <n v="18.649999999999999"/>
    <n v="0"/>
    <n v="0"/>
    <s v=""/>
    <n v="0"/>
    <n v="91.8"/>
    <n v="3.79"/>
    <n v="3.79"/>
    <n v="88.01"/>
    <n v="20.18"/>
    <n v="8511.9599999999991"/>
    <n v="58208"/>
    <n v="95660"/>
    <n v="0.5"/>
    <s v=""/>
    <n v="209"/>
  </r>
  <r>
    <x v="16"/>
    <x v="3"/>
    <s v="Em operação"/>
    <s v="ES 0101"/>
    <x v="0"/>
    <n v="3210"/>
    <m/>
    <n v="3000"/>
    <n v="492.71523178807945"/>
    <n v="10.16"/>
    <n v="9.06"/>
    <n v="1.1000000000000001"/>
    <n v="10.83"/>
    <n v="1167"/>
    <n v="4464"/>
    <n v="3.83"/>
    <n v="12.89"/>
    <n v="346.36"/>
    <n v="6.15"/>
    <n v="5.59"/>
    <n v="340.21"/>
    <n v="37.56"/>
    <n v="6191.04"/>
    <n v="381468"/>
    <n v="1335859"/>
    <n v="0"/>
    <n v="0"/>
    <n v="43.9"/>
  </r>
  <r>
    <x v="16"/>
    <x v="3"/>
    <s v="Em operação"/>
    <s v="ES 0110"/>
    <x v="1"/>
    <n v="0"/>
    <m/>
    <s v="-"/>
    <n v="104.56852791878173"/>
    <n v="3.87"/>
    <n v="1.97"/>
    <n v="1.9"/>
    <n v="49.09"/>
    <n v="154"/>
    <n v="206"/>
    <n v="1.34"/>
    <n v="5"/>
    <n v="41.17"/>
    <n v="6.62"/>
    <n v="3.49"/>
    <n v="34.54"/>
    <n v="17.53"/>
    <n v="2040"/>
    <n v="120393"/>
    <n v="224113"/>
    <n v="0.2"/>
    <n v="0"/>
    <n v="280.5"/>
  </r>
  <r>
    <x v="16"/>
    <x v="3"/>
    <s v="Em operação"/>
    <s v="ES 0099"/>
    <x v="2"/>
    <n v="0"/>
    <m/>
    <n v="3000"/>
    <n v="199.07918968692451"/>
    <n v="6.98"/>
    <n v="5.43"/>
    <n v="1.55"/>
    <n v="22.22"/>
    <n v="645"/>
    <n v="1081"/>
    <n v="1.68"/>
    <n v="6.04"/>
    <n v="178.86"/>
    <n v="9.4600000000000009"/>
    <n v="6.11"/>
    <n v="169.4"/>
    <n v="31.22"/>
    <n v="7525.18"/>
    <n v="92866"/>
    <n v="268156"/>
    <n v="0.2"/>
    <n v="0"/>
    <n v="233.6"/>
  </r>
  <r>
    <x v="16"/>
    <x v="3"/>
    <s v="Em operação"/>
    <s v="ES 0116"/>
    <x v="2"/>
    <n v="0"/>
    <m/>
    <n v="3000"/>
    <n v="292.13114754098365"/>
    <n v="7"/>
    <n v="6.1"/>
    <n v="0.9"/>
    <n v="12.86"/>
    <n v="533"/>
    <n v="1782"/>
    <n v="3.34"/>
    <n v="10.1"/>
    <n v="176.49"/>
    <n v="4.26"/>
    <n v="4.7300000000000004"/>
    <n v="172.24"/>
    <n v="28.24"/>
    <n v="1557.96"/>
    <n v="147437"/>
    <n v="502080"/>
    <n v="0"/>
    <n v="0"/>
    <n v="4.5"/>
  </r>
  <r>
    <x v="16"/>
    <x v="3"/>
    <s v="Em operação"/>
    <s v="ES 0126"/>
    <x v="2"/>
    <n v="0"/>
    <m/>
    <n v="3000"/>
    <n v="255.8303886925795"/>
    <n v="4.63"/>
    <n v="2.83"/>
    <n v="1.8"/>
    <n v="38.909999999999997"/>
    <n v="368"/>
    <n v="724"/>
    <n v="1.97"/>
    <n v="11.33"/>
    <n v="63.88"/>
    <n v="6.62"/>
    <n v="3.68"/>
    <n v="57.25"/>
    <n v="20.260000000000002"/>
    <n v="505.45"/>
    <n v="44554"/>
    <n v="88836"/>
    <n v="0.9"/>
    <n v="0"/>
    <n v="33.6"/>
  </r>
  <r>
    <x v="16"/>
    <x v="3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7"/>
    <x v="3"/>
    <s v="Em operação"/>
    <s v="ES 0096"/>
    <x v="6"/>
    <n v="0"/>
    <m/>
    <n v="3000"/>
    <n v="155.49295774647888"/>
    <n v="8.35"/>
    <n v="7.1"/>
    <n v="1.25"/>
    <n v="14.98"/>
    <n v="794"/>
    <n v="1104"/>
    <n v="1.39"/>
    <n v="7.55"/>
    <n v="146.21"/>
    <n v="5.2"/>
    <n v="4.16"/>
    <n v="141.01"/>
    <n v="19.87"/>
    <n v="8942.83"/>
    <n v="59833"/>
    <n v="84566"/>
    <n v="7.9"/>
    <n v="0.01"/>
    <n v="267"/>
  </r>
  <r>
    <x v="17"/>
    <x v="3"/>
    <s v="Em operação"/>
    <s v="ES 0101"/>
    <x v="0"/>
    <n v="129.52000000000001"/>
    <m/>
    <n v="3000"/>
    <n v="298"/>
    <n v="1.85"/>
    <n v="1.5"/>
    <n v="0.35"/>
    <n v="18.940000000000001"/>
    <n v="155"/>
    <n v="447"/>
    <n v="2.88"/>
    <n v="7.94"/>
    <n v="56.31"/>
    <n v="2.84"/>
    <n v="8.11"/>
    <n v="53.47"/>
    <n v="35.700000000000003"/>
    <n v="6192.89"/>
    <n v="381623"/>
    <n v="1336306"/>
    <n v="0.1"/>
    <n v="0"/>
    <n v="44"/>
  </r>
  <r>
    <x v="17"/>
    <x v="3"/>
    <s v="Em operação"/>
    <s v="ES 0110"/>
    <x v="1"/>
    <n v="0"/>
    <m/>
    <s v="-"/>
    <n v="130.05464480874318"/>
    <n v="6.44"/>
    <n v="5.49"/>
    <n v="0.95"/>
    <n v="14.74"/>
    <n v="428"/>
    <n v="714"/>
    <n v="1.67"/>
    <n v="6.5"/>
    <n v="109.78"/>
    <n v="4.26"/>
    <n v="4.4800000000000004"/>
    <n v="105.52"/>
    <n v="19.2"/>
    <n v="2046.44"/>
    <n v="120821"/>
    <n v="224827"/>
    <n v="0.9"/>
    <n v="0"/>
    <n v="281.39999999999998"/>
  </r>
  <r>
    <x v="17"/>
    <x v="3"/>
    <s v="Em operação"/>
    <s v="ES 0097"/>
    <x v="2"/>
    <n v="0"/>
    <s v="Não emitiu pesagem"/>
    <n v="3000"/>
    <n v="0"/>
    <n v="7.85"/>
    <n v="6.2"/>
    <n v="1.65"/>
    <n v="21.03"/>
    <n v="0"/>
    <n v="0"/>
    <s v=""/>
    <n v="0"/>
    <n v="137.22"/>
    <n v="6.15"/>
    <n v="3.73"/>
    <n v="131.07"/>
    <n v="21.15"/>
    <n v="8519.81"/>
    <n v="58208"/>
    <n v="95660"/>
    <n v="0.9"/>
    <s v=""/>
    <n v="209.9"/>
  </r>
  <r>
    <x v="17"/>
    <x v="1"/>
    <s v="Não operacional"/>
    <s v="ES 0099"/>
    <x v="2"/>
    <n v="0"/>
    <m/>
    <s v="-"/>
    <n v="170.87033747779751"/>
    <n v="7.88"/>
    <n v="5.63"/>
    <n v="2.25"/>
    <n v="28.57"/>
    <n v="419"/>
    <n v="962"/>
    <n v="2.2999999999999998"/>
    <n v="5.04"/>
    <n v="190.69"/>
    <n v="16.559999999999999"/>
    <n v="7.36"/>
    <n v="174.13"/>
    <n v="30.95"/>
    <n v="7533.06"/>
    <n v="93285"/>
    <n v="269118"/>
    <n v="0.2"/>
    <n v="0"/>
    <n v="233.8"/>
  </r>
  <r>
    <x v="17"/>
    <x v="1"/>
    <s v="Não operacional"/>
    <s v="ES 0116"/>
    <x v="2"/>
    <n v="0"/>
    <m/>
    <s v="-"/>
    <n v="374.48186528497411"/>
    <n v="8.82"/>
    <n v="7.72"/>
    <n v="1.1000000000000001"/>
    <n v="12.48"/>
    <n v="903"/>
    <n v="2891"/>
    <n v="3.2"/>
    <n v="9.1199999999999992"/>
    <n v="317.02999999999997"/>
    <n v="4.7300000000000004"/>
    <n v="4.3"/>
    <n v="312.3"/>
    <n v="40.47"/>
    <n v="1566.78"/>
    <n v="148480"/>
    <n v="505407"/>
    <n v="0"/>
    <n v="0"/>
    <n v="4.5"/>
  </r>
  <r>
    <x v="17"/>
    <x v="1"/>
    <s v="Não operacional"/>
    <s v="ES 0126"/>
    <x v="2"/>
    <n v="0"/>
    <s v="Em Manutenção"/>
    <s v="-"/>
    <n v="0"/>
    <n v="0.28999999999999998"/>
    <n v="0.09"/>
    <n v="0.2"/>
    <n v="69.040000000000006"/>
    <n v="0"/>
    <n v="0"/>
    <s v=""/>
    <n v="0"/>
    <n v="1.42"/>
    <n v="0.95"/>
    <n v="4.7300000000000004"/>
    <n v="0.47"/>
    <n v="5.28"/>
    <n v="505.74"/>
    <n v="44554"/>
    <n v="88836"/>
    <n v="0"/>
    <s v=""/>
    <n v="33.6"/>
  </r>
  <r>
    <x v="17"/>
    <x v="3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18"/>
    <x v="3"/>
    <s v="Em operação"/>
    <s v="ES 0096"/>
    <x v="6"/>
    <n v="0"/>
    <m/>
    <n v="2500"/>
    <n v="85.641025641025649"/>
    <n v="9.65"/>
    <n v="7.8"/>
    <n v="1.85"/>
    <n v="19.16"/>
    <n v="640"/>
    <n v="668"/>
    <n v="1.04"/>
    <n v="4.1500000000000004"/>
    <n v="160.88"/>
    <n v="6.62"/>
    <n v="3.58"/>
    <n v="154.26"/>
    <n v="19.77"/>
    <n v="8952.48"/>
    <n v="60473"/>
    <n v="85234"/>
    <n v="1"/>
    <n v="0"/>
    <n v="268"/>
  </r>
  <r>
    <x v="18"/>
    <x v="3"/>
    <s v="Em operação"/>
    <s v="ES 0101"/>
    <x v="0"/>
    <n v="1484"/>
    <m/>
    <n v="3000"/>
    <n v="406.17469879518075"/>
    <n v="7.74"/>
    <n v="6.64"/>
    <n v="1.1000000000000001"/>
    <n v="14.21"/>
    <n v="717"/>
    <n v="2697"/>
    <n v="3.76"/>
    <n v="10.75"/>
    <n v="250.78"/>
    <n v="6.15"/>
    <n v="5.59"/>
    <n v="244.63"/>
    <n v="36.840000000000003"/>
    <n v="6200.63"/>
    <n v="382340"/>
    <n v="1339003"/>
    <n v="0.1"/>
    <n v="0"/>
    <n v="44.1"/>
  </r>
  <r>
    <x v="18"/>
    <x v="3"/>
    <s v="Em operação"/>
    <s v="ES 0097"/>
    <x v="2"/>
    <n v="0"/>
    <s v="Não emitiu pesagem"/>
    <n v="3000"/>
    <n v="265.15151515151518"/>
    <n v="8.35"/>
    <n v="6.6"/>
    <n v="1.75"/>
    <n v="20.96"/>
    <m/>
    <n v="1750"/>
    <s v=""/>
    <n v="0"/>
    <n v="148.58000000000001"/>
    <n v="6.62"/>
    <n v="3.79"/>
    <n v="141.94999999999999"/>
    <n v="21.51"/>
    <n v="8528.16"/>
    <n v="58208"/>
    <n v="95660"/>
    <n v="1.5"/>
    <s v=""/>
    <n v="211.4"/>
  </r>
  <r>
    <x v="18"/>
    <x v="3"/>
    <s v="Em operação"/>
    <s v="ES 0099"/>
    <x v="2"/>
    <n v="0"/>
    <m/>
    <n v="3000"/>
    <n v="138.04347826086956"/>
    <n v="1.52"/>
    <n v="0.92"/>
    <n v="0.6"/>
    <n v="39.36"/>
    <n v="62"/>
    <n v="127"/>
    <n v="2.0499999999999998"/>
    <n v="3.95"/>
    <n v="32.18"/>
    <n v="3.79"/>
    <n v="6.31"/>
    <n v="28.39"/>
    <n v="30.72"/>
    <n v="7534.58"/>
    <n v="93347"/>
    <n v="269245"/>
    <n v="0.2"/>
    <n v="0"/>
    <n v="234"/>
  </r>
  <r>
    <x v="18"/>
    <x v="3"/>
    <s v="Em operação"/>
    <s v="ES 0110"/>
    <x v="2"/>
    <n v="0"/>
    <m/>
    <n v="3000"/>
    <n v="225.0351617440225"/>
    <n v="8.26"/>
    <n v="7.11"/>
    <n v="1.1499999999999999"/>
    <n v="13.93"/>
    <n v="783"/>
    <n v="1600"/>
    <n v="2.04"/>
    <n v="10.37"/>
    <n v="154.26"/>
    <n v="4.26"/>
    <n v="3.7"/>
    <n v="150"/>
    <n v="21.11"/>
    <n v="2054.6999999999998"/>
    <n v="121604"/>
    <n v="226427"/>
    <n v="1.7"/>
    <n v="0"/>
    <n v="283.10000000000002"/>
  </r>
  <r>
    <x v="18"/>
    <x v="3"/>
    <s v="Em operação"/>
    <s v="ES 0116"/>
    <x v="2"/>
    <n v="0"/>
    <m/>
    <n v="3000"/>
    <n v="391.1764705882353"/>
    <n v="8.35"/>
    <n v="6.8"/>
    <n v="1.55"/>
    <n v="18.559999999999999"/>
    <n v="807"/>
    <n v="2660"/>
    <n v="3.3"/>
    <n v="9.69"/>
    <n v="274.44"/>
    <n v="6.15"/>
    <n v="3.97"/>
    <n v="268.29000000000002"/>
    <n v="39.450000000000003"/>
    <n v="1575.13"/>
    <n v="149287"/>
    <n v="508067"/>
    <n v="0"/>
    <n v="0"/>
    <n v="4.5"/>
  </r>
  <r>
    <x v="18"/>
    <x v="3"/>
    <s v="Em operação"/>
    <s v="ES 0126"/>
    <x v="2"/>
    <n v="0"/>
    <m/>
    <n v="3000"/>
    <n v="83.932853717026376"/>
    <n v="5.07"/>
    <n v="4.17"/>
    <n v="0.9"/>
    <n v="17.77"/>
    <n v="320"/>
    <n v="350"/>
    <n v="1.0900000000000001"/>
    <n v="3.85"/>
    <n v="90.85"/>
    <n v="3.31"/>
    <n v="3.68"/>
    <n v="87.54"/>
    <n v="21.02"/>
    <n v="510.8"/>
    <n v="44874"/>
    <n v="89186"/>
    <n v="0.5"/>
    <n v="0"/>
    <n v="34.1"/>
  </r>
  <r>
    <x v="18"/>
    <x v="3"/>
    <m/>
    <m/>
    <x v="2"/>
    <n v="0"/>
    <m/>
    <n v="0"/>
    <m/>
    <m/>
    <m/>
    <m/>
    <m/>
    <m/>
    <m/>
    <m/>
    <m/>
    <m/>
    <m/>
    <m/>
    <m/>
    <m/>
    <m/>
    <m/>
    <m/>
    <m/>
    <m/>
    <m/>
  </r>
  <r>
    <x v="19"/>
    <x v="3"/>
    <s v="Em operação"/>
    <s v="ES 0096"/>
    <x v="6"/>
    <n v="0"/>
    <m/>
    <n v="2500"/>
    <n v="179.10112359550561"/>
    <n v="6.1"/>
    <n v="4.45"/>
    <n v="1.65"/>
    <n v="27.06"/>
    <n v="413"/>
    <n v="797"/>
    <n v="1.93"/>
    <n v="8.3800000000000008"/>
    <n v="95.11"/>
    <n v="6.15"/>
    <n v="3.73"/>
    <n v="88.96"/>
    <n v="20"/>
    <n v="8958.58"/>
    <n v="60886"/>
    <n v="86031"/>
    <n v="2"/>
    <n v="0"/>
    <n v="270"/>
  </r>
  <r>
    <x v="19"/>
    <x v="3"/>
    <s v="Em operação"/>
    <s v="ES 0099"/>
    <x v="2"/>
    <n v="0"/>
    <m/>
    <n v="3000"/>
    <n v="207.98969072164948"/>
    <n v="5.83"/>
    <n v="3.88"/>
    <n v="1.95"/>
    <n v="33.42"/>
    <n v="318"/>
    <n v="807"/>
    <n v="2.54"/>
    <n v="6.16"/>
    <n v="131.07"/>
    <n v="13.25"/>
    <n v="6.79"/>
    <n v="117.82"/>
    <n v="30.33"/>
    <n v="7540.42"/>
    <n v="93665"/>
    <n v="270052"/>
    <n v="0.3"/>
    <n v="0"/>
    <n v="234.3"/>
  </r>
  <r>
    <x v="19"/>
    <x v="3"/>
    <s v="Em operação"/>
    <s v="ES 0101"/>
    <x v="0"/>
    <n v="1811"/>
    <m/>
    <n v="3000"/>
    <n v="393.55638166047089"/>
    <n v="9.32"/>
    <n v="8.07"/>
    <n v="1.25"/>
    <n v="13.41"/>
    <n v="805"/>
    <n v="3176"/>
    <n v="3.95"/>
    <n v="10.41"/>
    <n v="305.2"/>
    <n v="6.62"/>
    <n v="5.3"/>
    <n v="298.57"/>
    <n v="36.99"/>
    <n v="6209.95"/>
    <n v="383145"/>
    <n v="1342179"/>
    <n v="0.2"/>
    <n v="0"/>
    <n v="44.3"/>
  </r>
  <r>
    <x v="19"/>
    <x v="3"/>
    <s v="Em operação"/>
    <s v="ES 0097"/>
    <x v="2"/>
    <n v="0"/>
    <s v="Não emitiu pesagem"/>
    <n v="3000"/>
    <n v="336.70033670033666"/>
    <n v="7.09"/>
    <n v="5.94"/>
    <n v="1.1499999999999999"/>
    <n v="16.21"/>
    <m/>
    <n v="2000"/>
    <s v=""/>
    <n v="0"/>
    <n v="132.02000000000001"/>
    <n v="4.26"/>
    <n v="3.7"/>
    <n v="127.76"/>
    <n v="21.5"/>
    <n v="8535.25"/>
    <n v="58208"/>
    <n v="95660"/>
    <n v="0.9"/>
    <s v=""/>
    <n v="212.3"/>
  </r>
  <r>
    <x v="19"/>
    <x v="3"/>
    <s v="Em operação"/>
    <s v="ES 0110"/>
    <x v="2"/>
    <n v="0"/>
    <m/>
    <n v="3000"/>
    <n v="266.39004149377593"/>
    <n v="6.22"/>
    <n v="4.82"/>
    <n v="1.4"/>
    <n v="22.51"/>
    <n v="587"/>
    <n v="1284"/>
    <n v="2.19"/>
    <n v="12.39"/>
    <n v="103.63"/>
    <n v="6.15"/>
    <n v="4.3899999999999997"/>
    <n v="97.47"/>
    <n v="20.23"/>
    <n v="2060.92"/>
    <n v="122191"/>
    <n v="227711"/>
    <n v="0.4"/>
    <n v="0"/>
    <n v="283.5"/>
  </r>
  <r>
    <x v="19"/>
    <x v="3"/>
    <s v="Em operação"/>
    <s v="ES 0116"/>
    <x v="2"/>
    <n v="0"/>
    <m/>
    <n v="3000"/>
    <n v="450.75757575757575"/>
    <n v="6.28"/>
    <n v="5.28"/>
    <n v="1"/>
    <n v="15.92"/>
    <n v="632"/>
    <n v="2380"/>
    <n v="3.77"/>
    <n v="13.06"/>
    <n v="182.17"/>
    <n v="5.2"/>
    <n v="5.2"/>
    <n v="176.97"/>
    <n v="33.51"/>
    <n v="1581.41"/>
    <n v="149919"/>
    <n v="510447"/>
    <n v="0"/>
    <n v="0"/>
    <n v="4.5"/>
  </r>
  <r>
    <x v="19"/>
    <x v="3"/>
    <s v="Em operação"/>
    <s v="ES 0126"/>
    <x v="2"/>
    <n v="0"/>
    <m/>
    <n v="3000"/>
    <n v="273.65853658536588"/>
    <n v="6.1"/>
    <n v="4.0999999999999996"/>
    <n v="2"/>
    <n v="32.81"/>
    <n v="563"/>
    <n v="1122"/>
    <n v="1.99"/>
    <n v="11.86"/>
    <n v="94.64"/>
    <n v="7.57"/>
    <n v="3.79"/>
    <n v="87.06"/>
    <n v="21.25"/>
    <n v="516.9"/>
    <n v="45437"/>
    <n v="90308"/>
    <n v="0.5"/>
    <n v="0"/>
    <n v="34.6"/>
  </r>
  <r>
    <x v="19"/>
    <x v="3"/>
    <m/>
    <m/>
    <x v="2"/>
    <n v="0"/>
    <m/>
    <m/>
    <m/>
    <m/>
    <m/>
    <m/>
    <m/>
    <m/>
    <m/>
    <m/>
    <m/>
    <m/>
    <m/>
    <m/>
    <m/>
    <m/>
    <m/>
    <m/>
    <m/>
    <m/>
    <m/>
    <m/>
  </r>
  <r>
    <x v="20"/>
    <x v="1"/>
    <s v="Não operacional"/>
    <s v="ES 0096"/>
    <x v="6"/>
    <n v="0"/>
    <m/>
    <s v="-"/>
    <n v="0"/>
    <n v="0"/>
    <n v="0"/>
    <n v="0"/>
    <s v=""/>
    <n v="0"/>
    <n v="0"/>
    <s v=""/>
    <s v=""/>
    <n v="0"/>
    <n v="0"/>
    <s v=""/>
    <n v="0"/>
    <s v=""/>
    <n v="8958.58"/>
    <n v="60886"/>
    <n v="86031"/>
    <n v="0"/>
    <s v=""/>
    <n v="270"/>
  </r>
  <r>
    <x v="20"/>
    <x v="1"/>
    <s v="Não operacional"/>
    <s v="ES 0099"/>
    <x v="2"/>
    <n v="0"/>
    <m/>
    <s v="-"/>
    <n v="0"/>
    <n v="0"/>
    <n v="0"/>
    <n v="0"/>
    <s v=""/>
    <n v="0"/>
    <n v="0"/>
    <s v=""/>
    <s v=""/>
    <n v="0"/>
    <n v="0"/>
    <s v=""/>
    <n v="0"/>
    <s v=""/>
    <n v="7540.42"/>
    <n v="93665"/>
    <n v="270052"/>
    <n v="0"/>
    <s v=""/>
    <n v="234.3"/>
  </r>
  <r>
    <x v="20"/>
    <x v="3"/>
    <s v="Em operação"/>
    <s v="ES 0101"/>
    <x v="0"/>
    <n v="2329"/>
    <m/>
    <n v="3000"/>
    <n v="430.33707865168537"/>
    <n v="8.6199999999999992"/>
    <n v="7.12"/>
    <n v="1.5"/>
    <n v="17.399999999999999"/>
    <n v="779"/>
    <n v="3064"/>
    <n v="3.93"/>
    <n v="11.28"/>
    <n v="271.60000000000002"/>
    <n v="8.52"/>
    <n v="5.68"/>
    <n v="263.08999999999997"/>
    <n v="36.93"/>
    <n v="6218.57"/>
    <n v="383924"/>
    <n v="1345243"/>
    <n v="0.1"/>
    <n v="0"/>
    <n v="44.4"/>
  </r>
  <r>
    <x v="20"/>
    <x v="1"/>
    <s v="Não operacional"/>
    <s v="ES 0097"/>
    <x v="2"/>
    <n v="0"/>
    <s v="Não emitiu pesagem"/>
    <s v="-"/>
    <n v="0"/>
    <n v="0"/>
    <n v="0"/>
    <n v="0"/>
    <s v=""/>
    <n v="0"/>
    <n v="0"/>
    <s v=""/>
    <s v=""/>
    <n v="0"/>
    <n v="0"/>
    <s v=""/>
    <n v="0"/>
    <s v=""/>
    <n v="8535.25"/>
    <n v="58208"/>
    <n v="95660"/>
    <n v="0"/>
    <s v=""/>
    <n v="212.3"/>
  </r>
  <r>
    <x v="20"/>
    <x v="1"/>
    <s v="Não operacional"/>
    <s v="ES 0110"/>
    <x v="2"/>
    <n v="0"/>
    <m/>
    <s v="-"/>
    <n v="0"/>
    <n v="0.42"/>
    <n v="0.37"/>
    <n v="0.05"/>
    <n v="12.03"/>
    <n v="35"/>
    <n v="0"/>
    <n v="1.83"/>
    <n v="7.12"/>
    <n v="8.99"/>
    <n v="0"/>
    <n v="0"/>
    <n v="8.99"/>
    <n v="24.58"/>
    <n v="2061.33"/>
    <n v="122226"/>
    <n v="227775"/>
    <n v="0"/>
    <n v="0"/>
    <n v="283.5"/>
  </r>
  <r>
    <x v="20"/>
    <x v="1"/>
    <s v="Não operacional"/>
    <s v="ES 0116"/>
    <x v="2"/>
    <n v="0"/>
    <m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"/>
    <x v="1"/>
    <s v="Não operacional"/>
    <s v="ES 0126"/>
    <x v="2"/>
    <n v="0"/>
    <m/>
    <s v="-"/>
    <n v="0"/>
    <n v="0"/>
    <n v="0"/>
    <n v="0"/>
    <s v=""/>
    <n v="0"/>
    <n v="0"/>
    <s v=""/>
    <s v=""/>
    <n v="0"/>
    <n v="0"/>
    <s v=""/>
    <n v="0"/>
    <s v=""/>
    <n v="516.9"/>
    <n v="45437"/>
    <n v="90308"/>
    <n v="0"/>
    <s v=""/>
    <n v="34.6"/>
  </r>
  <r>
    <x v="21"/>
    <x v="4"/>
    <s v="Em operação"/>
    <s v="ES 0096"/>
    <x v="2"/>
    <n v="0"/>
    <m/>
    <n v="3000"/>
    <n v="285.2480417754569"/>
    <n v="8.16"/>
    <n v="7.66"/>
    <n v="0.5"/>
    <n v="6.13"/>
    <n v="1138"/>
    <n v="2185"/>
    <n v="1.92"/>
    <n v="13.16"/>
    <n v="166.08"/>
    <n v="1.89"/>
    <n v="3.79"/>
    <n v="164.19"/>
    <n v="21.43"/>
    <n v="8966.75"/>
    <n v="62024"/>
    <n v="88216"/>
    <n v="1"/>
    <n v="0"/>
    <n v="271"/>
  </r>
  <r>
    <x v="21"/>
    <x v="4"/>
    <s v="Em operação"/>
    <s v="ES 0097"/>
    <x v="2"/>
    <n v="0"/>
    <m/>
    <n v="3000"/>
    <n v="417.6610978520286"/>
    <n v="4.99"/>
    <n v="4.1900000000000004"/>
    <n v="0.8"/>
    <m/>
    <m/>
    <n v="1750"/>
    <m/>
    <m/>
    <m/>
    <m/>
    <m/>
    <m/>
    <m/>
    <n v="8540.25"/>
    <m/>
    <m/>
    <n v="1.6"/>
    <s v=""/>
    <n v="213.9"/>
  </r>
  <r>
    <x v="21"/>
    <x v="4"/>
    <s v="Em operação"/>
    <s v="ES 0099"/>
    <x v="6"/>
    <n v="0"/>
    <m/>
    <m/>
    <n v="144.38502673796791"/>
    <n v="8.07"/>
    <n v="1.87"/>
    <n v="6.2"/>
    <n v="76.86"/>
    <n v="139"/>
    <n v="270"/>
    <n v="1.94"/>
    <n v="3.14"/>
    <n v="86.12"/>
    <n v="29.34"/>
    <n v="4.7300000000000004"/>
    <n v="56.78"/>
    <n v="30.42"/>
    <n v="7548.48"/>
    <n v="93804"/>
    <n v="270322"/>
    <n v="0.1"/>
    <n v="0"/>
    <n v="234.4"/>
  </r>
  <r>
    <x v="21"/>
    <x v="4"/>
    <s v="Em operação"/>
    <s v="ES 0101"/>
    <x v="0"/>
    <n v="2810"/>
    <m/>
    <n v="3428.5714285714284"/>
    <n v="461.09510086455327"/>
    <n v="8.49"/>
    <n v="6.94"/>
    <n v="1.55"/>
    <n v="18.25"/>
    <n v="727"/>
    <n v="3200"/>
    <n v="4.4000000000000004"/>
    <n v="11.99"/>
    <n v="266.87"/>
    <n v="8.52"/>
    <n v="5.49"/>
    <n v="258.35000000000002"/>
    <n v="37.21"/>
    <n v="6227.07"/>
    <n v="384651"/>
    <n v="1348443"/>
    <n v="0.1"/>
    <n v="0"/>
    <n v="44.5"/>
  </r>
  <r>
    <x v="21"/>
    <x v="4"/>
    <s v="Em operação"/>
    <s v="ES 0110"/>
    <x v="2"/>
    <n v="0"/>
    <m/>
    <n v="3000"/>
    <n v="262.40310077519376"/>
    <n v="8.99"/>
    <n v="7.74"/>
    <n v="1.25"/>
    <n v="13.9"/>
    <n v="1005"/>
    <n v="2031"/>
    <n v="2.02"/>
    <n v="12.09"/>
    <n v="167.98"/>
    <n v="4.7300000000000004"/>
    <n v="3.79"/>
    <n v="163.25"/>
    <n v="21.08"/>
    <n v="2070.33"/>
    <n v="123231"/>
    <n v="229806"/>
    <n v="1.8"/>
    <n v="0"/>
    <n v="285.3"/>
  </r>
  <r>
    <x v="21"/>
    <x v="4"/>
    <s v="Em operação"/>
    <s v="ES 0116"/>
    <x v="2"/>
    <n v="0"/>
    <m/>
    <n v="3000"/>
    <n v="621.2311557788945"/>
    <n v="9.26"/>
    <n v="7.96"/>
    <n v="1.3"/>
    <n v="14.03"/>
    <n v="1152"/>
    <n v="4945"/>
    <n v="4.29"/>
    <n v="14.76"/>
    <n v="335.01"/>
    <n v="6.15"/>
    <n v="4.7300000000000004"/>
    <n v="328.86"/>
    <n v="41.29"/>
    <n v="1590.67"/>
    <n v="151140"/>
    <n v="515618"/>
    <n v="0.1"/>
    <n v="0"/>
    <n v="4.5999999999999996"/>
  </r>
  <r>
    <x v="21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1"/>
    <x v="4"/>
    <s v="Em operação"/>
    <s v="ES 0116"/>
    <x v="2"/>
    <n v="0"/>
    <m/>
    <n v="3000"/>
    <n v="185.47619047619048"/>
    <n v="5.7"/>
    <n v="4.2"/>
    <n v="1.5"/>
    <n v="26.32"/>
    <n v="466"/>
    <n v="779"/>
    <n v="1.67"/>
    <n v="8.6199999999999992"/>
    <n v="90.38"/>
    <n v="5.68"/>
    <n v="3.79"/>
    <n v="84.7"/>
    <n v="20.18"/>
    <n v="522.6"/>
    <n v="45903"/>
    <n v="91087"/>
    <n v="0.7"/>
    <n v="0"/>
    <n v="35.299999999999997"/>
  </r>
  <r>
    <x v="22"/>
    <x v="4"/>
    <s v="Em operação"/>
    <s v="ES 0096"/>
    <x v="2"/>
    <n v="0"/>
    <m/>
    <n v="3000"/>
    <n v="268.65869853917661"/>
    <n v="8.08"/>
    <n v="7.53"/>
    <n v="0.55000000000000004"/>
    <n v="6.81"/>
    <n v="996"/>
    <n v="2023"/>
    <n v="2.0299999999999998"/>
    <n v="12.39"/>
    <n v="163.25"/>
    <n v="2.37"/>
    <n v="4.3"/>
    <n v="160.88"/>
    <n v="21.37"/>
    <n v="8974.82"/>
    <n v="63020"/>
    <n v="90239"/>
    <n v="2.5"/>
    <n v="0"/>
    <n v="273.5"/>
  </r>
  <r>
    <x v="22"/>
    <x v="4"/>
    <s v="Em operação"/>
    <s v="ES 0099"/>
    <x v="6"/>
    <n v="0"/>
    <m/>
    <m/>
    <n v="136.69724770642202"/>
    <n v="2.29"/>
    <n v="1.0900000000000001"/>
    <n v="1.2"/>
    <n v="52.42"/>
    <n v="77"/>
    <n v="149"/>
    <n v="1.94"/>
    <n v="3.7"/>
    <n v="40.22"/>
    <n v="6.62"/>
    <n v="5.52"/>
    <n v="33.6"/>
    <n v="30.84"/>
    <n v="7550.77"/>
    <n v="93881"/>
    <n v="270471"/>
    <n v="0.1"/>
    <n v="0"/>
    <n v="234.5"/>
  </r>
  <r>
    <x v="22"/>
    <x v="4"/>
    <s v="Em operação"/>
    <s v="ES 0101"/>
    <x v="0"/>
    <n v="2994"/>
    <m/>
    <n v="3428.5714285714284"/>
    <n v="537.53213367609249"/>
    <n v="9.18"/>
    <n v="7.78"/>
    <n v="1.4"/>
    <n v="15.24"/>
    <n v="966"/>
    <n v="4182"/>
    <n v="4.33"/>
    <n v="13.53"/>
    <n v="308.98"/>
    <n v="7.57"/>
    <n v="5.41"/>
    <n v="301.41000000000003"/>
    <n v="38.72"/>
    <n v="6236.25"/>
    <n v="385617"/>
    <n v="1352625"/>
    <n v="0.1"/>
    <n v="0"/>
    <n v="44.6"/>
  </r>
  <r>
    <x v="22"/>
    <x v="4"/>
    <s v="Em operação"/>
    <s v="ES 0097"/>
    <x v="2"/>
    <n v="0"/>
    <m/>
    <n v="3000"/>
    <n v="234.58445040214477"/>
    <n v="8.06"/>
    <n v="7.46"/>
    <n v="0.6"/>
    <m/>
    <m/>
    <n v="1750"/>
    <m/>
    <m/>
    <m/>
    <m/>
    <m/>
    <m/>
    <m/>
    <n v="8548.2999999999993"/>
    <m/>
    <m/>
    <n v="1.7"/>
    <s v=""/>
    <n v="215.6"/>
  </r>
  <r>
    <x v="22"/>
    <x v="4"/>
    <s v="Em operação"/>
    <s v="ES 0110"/>
    <x v="2"/>
    <n v="0"/>
    <m/>
    <n v="3000"/>
    <n v="100.00000000000001"/>
    <n v="5.4"/>
    <n v="4.0999999999999996"/>
    <n v="1.3"/>
    <n v="24.08"/>
    <n v="179"/>
    <n v="410"/>
    <n v="2.29"/>
    <n v="4.58"/>
    <n v="89.43"/>
    <n v="5.2"/>
    <n v="4"/>
    <n v="84.23"/>
    <n v="20.55"/>
    <n v="2075.73"/>
    <n v="123410"/>
    <n v="230216"/>
    <n v="0.8"/>
    <n v="0"/>
    <n v="286.10000000000002"/>
  </r>
  <r>
    <x v="22"/>
    <x v="4"/>
    <s v="Em operação"/>
    <s v="ES 0116"/>
    <x v="2"/>
    <n v="0"/>
    <m/>
    <n v="3000"/>
    <n v="632.66563944530049"/>
    <n v="7.84"/>
    <n v="6.49"/>
    <n v="1.35"/>
    <n v="17.22"/>
    <n v="895"/>
    <n v="4106"/>
    <n v="4.59"/>
    <n v="15.07"/>
    <n v="272.55"/>
    <n v="6.15"/>
    <n v="4.5599999999999996"/>
    <n v="266.39999999999998"/>
    <n v="41.06"/>
    <n v="1598.51"/>
    <n v="152035"/>
    <n v="519724"/>
    <n v="0"/>
    <n v="0"/>
    <n v="4.5999999999999996"/>
  </r>
  <r>
    <x v="22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2"/>
    <x v="4"/>
    <s v="Em operação"/>
    <s v="ES 0116"/>
    <x v="2"/>
    <n v="0"/>
    <m/>
    <n v="3000"/>
    <n v="227.63157894736841"/>
    <n v="6.72"/>
    <n v="5.32"/>
    <n v="1.4"/>
    <n v="20.84"/>
    <n v="648"/>
    <n v="1211"/>
    <n v="1.87"/>
    <n v="9.69"/>
    <n v="124.92"/>
    <n v="5.68"/>
    <n v="4.0599999999999996"/>
    <n v="119.24"/>
    <n v="22.42"/>
    <n v="529.32000000000005"/>
    <n v="46551"/>
    <n v="92298"/>
    <n v="0.9"/>
    <n v="0"/>
    <n v="36.200000000000003"/>
  </r>
  <r>
    <x v="23"/>
    <x v="4"/>
    <s v="Em operação"/>
    <s v="ES 0097"/>
    <x v="6"/>
    <n v="0"/>
    <m/>
    <m/>
    <n v="0"/>
    <n v="6.24"/>
    <n v="4.79"/>
    <n v="1.45"/>
    <m/>
    <m/>
    <n v="0"/>
    <m/>
    <m/>
    <m/>
    <m/>
    <m/>
    <m/>
    <m/>
    <n v="8554.5400000000009"/>
    <m/>
    <m/>
    <n v="1.1000000000000001"/>
    <s v=""/>
    <n v="216.7"/>
  </r>
  <r>
    <x v="23"/>
    <x v="4"/>
    <s v="Em operação"/>
    <s v="ES 0099"/>
    <x v="4"/>
    <n v="0"/>
    <m/>
    <m/>
    <n v="0.83333333333333337"/>
    <n v="3.05"/>
    <n v="1.2"/>
    <n v="1.85"/>
    <n v="60.59"/>
    <n v="5"/>
    <n v="1"/>
    <n v="0.2"/>
    <n v="0.02"/>
    <n v="44.48"/>
    <n v="8.99"/>
    <n v="4.8600000000000003"/>
    <n v="35.49"/>
    <n v="29.5"/>
    <n v="7553.82"/>
    <n v="93886"/>
    <n v="270472"/>
    <n v="0.2"/>
    <n v="0.04"/>
    <n v="234.7"/>
  </r>
  <r>
    <x v="23"/>
    <x v="4"/>
    <s v="Em operação"/>
    <s v="ES 0101"/>
    <x v="0"/>
    <n v="3615"/>
    <m/>
    <n v="3428.5714285714284"/>
    <n v="523.83679312813172"/>
    <n v="15.52"/>
    <n v="13.97"/>
    <n v="1.55"/>
    <n v="9.99"/>
    <n v="1858"/>
    <n v="7318"/>
    <n v="3.94"/>
    <n v="13.29"/>
    <n v="550.78"/>
    <n v="8.99"/>
    <n v="5.8"/>
    <n v="541.79"/>
    <n v="38.78"/>
    <n v="6251.77"/>
    <n v="387475"/>
    <n v="1359943"/>
    <n v="0.1"/>
    <n v="0"/>
    <n v="44.7"/>
  </r>
  <r>
    <x v="23"/>
    <x v="4"/>
    <s v="Em operação"/>
    <s v="ES 0096"/>
    <x v="2"/>
    <n v="0"/>
    <m/>
    <n v="3000"/>
    <n v="285.83617747440269"/>
    <n v="6.76"/>
    <n v="5.86"/>
    <n v="0.9"/>
    <n v="13.31"/>
    <n v="939"/>
    <n v="1675"/>
    <n v="1.78"/>
    <n v="13.06"/>
    <n v="128.22999999999999"/>
    <n v="4.26"/>
    <n v="4.7300000000000004"/>
    <n v="123.97"/>
    <n v="21.15"/>
    <n v="8981.59"/>
    <n v="63959"/>
    <n v="91914"/>
    <n v="0"/>
    <n v="0"/>
    <n v="273.5"/>
  </r>
  <r>
    <x v="23"/>
    <x v="4"/>
    <s v="Em operação"/>
    <s v="ES 0110"/>
    <x v="2"/>
    <n v="0"/>
    <m/>
    <n v="3000"/>
    <n v="300.36363636363637"/>
    <n v="7.8"/>
    <n v="5.5"/>
    <n v="2.2999999999999998"/>
    <n v="29.49"/>
    <n v="762"/>
    <n v="1652"/>
    <n v="2.17"/>
    <n v="12.93"/>
    <n v="127.76"/>
    <n v="8.52"/>
    <n v="3.7"/>
    <n v="119.24"/>
    <n v="21.68"/>
    <n v="2083.5300000000002"/>
    <n v="124172"/>
    <n v="231868"/>
    <n v="1.3"/>
    <n v="0"/>
    <n v="287.39999999999998"/>
  </r>
  <r>
    <x v="23"/>
    <x v="4"/>
    <s v="Em operação"/>
    <s v="ES 0116"/>
    <x v="2"/>
    <n v="0"/>
    <m/>
    <n v="3000"/>
    <n v="496.56019656019652"/>
    <n v="5.57"/>
    <n v="4.07"/>
    <n v="1.5"/>
    <n v="26.95"/>
    <n v="534"/>
    <n v="2021"/>
    <n v="3.78"/>
    <n v="11.93"/>
    <n v="169.4"/>
    <n v="7.57"/>
    <n v="5.05"/>
    <n v="161.83000000000001"/>
    <n v="39.81"/>
    <n v="1604.08"/>
    <n v="152569"/>
    <n v="521745"/>
    <n v="0"/>
    <n v="0"/>
    <n v="4.5999999999999996"/>
  </r>
  <r>
    <x v="23"/>
    <x v="4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23"/>
    <x v="4"/>
    <s v="Em operação"/>
    <s v="ES 0116"/>
    <x v="2"/>
    <n v="0"/>
    <m/>
    <n v="3000"/>
    <n v="292.02363367799114"/>
    <n v="8.32"/>
    <n v="6.77"/>
    <n v="1.55"/>
    <n v="18.63"/>
    <n v="912"/>
    <n v="1977"/>
    <n v="2.17"/>
    <n v="12.82"/>
    <n v="154.26"/>
    <n v="6.15"/>
    <n v="3.97"/>
    <n v="148.1"/>
    <n v="21.88"/>
    <n v="537.64"/>
    <n v="47463"/>
    <n v="94275"/>
    <n v="1.8"/>
    <n v="0"/>
    <n v="38"/>
  </r>
  <r>
    <x v="24"/>
    <x v="4"/>
    <s v="Em operação"/>
    <s v="ES 0097"/>
    <x v="4"/>
    <n v="0"/>
    <m/>
    <m/>
    <n v="0"/>
    <n v="6.49"/>
    <n v="5.69"/>
    <n v="0.8"/>
    <m/>
    <m/>
    <n v="0"/>
    <m/>
    <m/>
    <m/>
    <m/>
    <m/>
    <m/>
    <m/>
    <n v="8561.0300000000007"/>
    <m/>
    <m/>
    <n v="0.4"/>
    <s v=""/>
    <n v="217.1"/>
  </r>
  <r>
    <x v="24"/>
    <x v="4"/>
    <s v="Em operação"/>
    <s v="ES 0099"/>
    <x v="1"/>
    <n v="0"/>
    <m/>
    <m/>
    <n v="1.2987012987012987"/>
    <n v="1.97"/>
    <n v="0.77"/>
    <n v="1.2"/>
    <n v="60.92"/>
    <n v="5"/>
    <n v="1"/>
    <n v="0.2"/>
    <n v="0.03"/>
    <n v="30.28"/>
    <n v="5.2"/>
    <n v="4.34"/>
    <n v="25.08"/>
    <n v="32.58"/>
    <n v="7555.79"/>
    <n v="93891"/>
    <n v="270473"/>
    <n v="0"/>
    <n v="0"/>
    <n v="234.7"/>
  </r>
  <r>
    <x v="24"/>
    <x v="4"/>
    <s v="Em operação"/>
    <s v="ES 0101"/>
    <x v="0"/>
    <n v="3359"/>
    <m/>
    <n v="3428.5714285714284"/>
    <n v="544.27570093457939"/>
    <n v="9.81"/>
    <n v="8.56"/>
    <n v="1.25"/>
    <n v="12.74"/>
    <n v="1052"/>
    <n v="4659"/>
    <n v="4.43"/>
    <n v="13.6"/>
    <n v="342.58"/>
    <n v="6.62"/>
    <n v="5.3"/>
    <n v="335.96"/>
    <n v="39.25"/>
    <n v="6261.58"/>
    <n v="388527"/>
    <n v="1364602"/>
    <n v="0.1"/>
    <n v="0"/>
    <n v="44.8"/>
  </r>
  <r>
    <x v="24"/>
    <x v="4"/>
    <s v="Em operação"/>
    <s v="ES 0096"/>
    <x v="2"/>
    <n v="0"/>
    <m/>
    <n v="3000"/>
    <n v="409.19689119170988"/>
    <n v="8.7200000000000006"/>
    <n v="7.72"/>
    <n v="1"/>
    <n v="11.47"/>
    <n v="1536"/>
    <n v="3159"/>
    <n v="2.06"/>
    <n v="17.899999999999999"/>
    <n v="176.49"/>
    <n v="3.79"/>
    <n v="3.79"/>
    <n v="172.71"/>
    <n v="22.37"/>
    <n v="8990.31"/>
    <n v="65495"/>
    <n v="95073"/>
    <n v="0.2"/>
    <n v="0"/>
    <n v="273.7"/>
  </r>
  <r>
    <x v="24"/>
    <x v="4"/>
    <s v="Em operação"/>
    <s v="ES 0110"/>
    <x v="2"/>
    <n v="0"/>
    <m/>
    <n v="3000"/>
    <n v="302.83842794759823"/>
    <n v="7.88"/>
    <n v="4.58"/>
    <n v="3.3"/>
    <n v="41.87"/>
    <n v="590"/>
    <n v="1387"/>
    <n v="2.35"/>
    <n v="12.58"/>
    <n v="110.25"/>
    <n v="11.83"/>
    <n v="3.58"/>
    <n v="98.42"/>
    <n v="21.49"/>
    <n v="2091.41"/>
    <n v="124762"/>
    <n v="233255"/>
    <n v="1.2"/>
    <n v="0"/>
    <n v="288.60000000000002"/>
  </r>
  <r>
    <x v="24"/>
    <x v="4"/>
    <s v="Em operação"/>
    <s v="ES 0116"/>
    <x v="2"/>
    <n v="0"/>
    <m/>
    <n v="3000"/>
    <n v="397.53954305799647"/>
    <n v="7.94"/>
    <n v="5.69"/>
    <n v="2.25"/>
    <n v="28.35"/>
    <n v="788"/>
    <n v="2262"/>
    <n v="2.87"/>
    <n v="9.7799999999999994"/>
    <n v="231.38"/>
    <n v="9.4600000000000009"/>
    <n v="4.21"/>
    <n v="221.92"/>
    <n v="39.03"/>
    <n v="1612.01"/>
    <n v="153357"/>
    <n v="524007"/>
    <n v="0"/>
    <n v="0"/>
    <n v="4.5999999999999996"/>
  </r>
  <r>
    <x v="24"/>
    <x v="4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24"/>
    <x v="4"/>
    <s v="Em operação"/>
    <s v="ES 0116"/>
    <x v="2"/>
    <n v="0"/>
    <m/>
    <n v="3000"/>
    <n v="300.88105726872249"/>
    <n v="8.91"/>
    <n v="6.81"/>
    <n v="2.1"/>
    <n v="23.56"/>
    <n v="1028"/>
    <n v="2049"/>
    <n v="1.99"/>
    <n v="13.16"/>
    <n v="155.68"/>
    <n v="8.52"/>
    <n v="4.0599999999999996"/>
    <n v="147.16"/>
    <n v="21.6"/>
    <n v="546.54999999999995"/>
    <n v="48491"/>
    <n v="96324"/>
    <n v="2.2999999999999998"/>
    <n v="0"/>
    <n v="40.299999999999997"/>
  </r>
  <r>
    <x v="25"/>
    <x v="4"/>
    <s v="Em operação"/>
    <s v="ES 0097"/>
    <x v="4"/>
    <n v="0"/>
    <m/>
    <m/>
    <n v="0"/>
    <n v="6.68"/>
    <n v="5.88"/>
    <n v="0.8"/>
    <m/>
    <m/>
    <s v=""/>
    <m/>
    <m/>
    <m/>
    <m/>
    <m/>
    <m/>
    <m/>
    <n v="8567.7099999999991"/>
    <m/>
    <m/>
    <n v="1.7"/>
    <s v=""/>
    <n v="218.8"/>
  </r>
  <r>
    <x v="25"/>
    <x v="4"/>
    <s v="Em operação"/>
    <s v="ES 0101"/>
    <x v="0"/>
    <n v="4007"/>
    <m/>
    <n v="3428.5714285714284"/>
    <n v="563.20093457943926"/>
    <n v="9.56"/>
    <n v="8.56"/>
    <n v="1"/>
    <n v="10.46"/>
    <n v="1136"/>
    <n v="4821"/>
    <n v="4.24"/>
    <n v="14.07"/>
    <n v="342.58"/>
    <n v="6.15"/>
    <n v="6.15"/>
    <n v="336.43"/>
    <n v="39.31"/>
    <n v="6271.14"/>
    <n v="389663"/>
    <n v="1369423"/>
    <n v="0.1"/>
    <n v="0"/>
    <n v="44.9"/>
  </r>
  <r>
    <x v="25"/>
    <x v="4"/>
    <s v="Em operação"/>
    <s v="ES 0096"/>
    <x v="2"/>
    <n v="0"/>
    <m/>
    <n v="3000"/>
    <n v="257.74473358116478"/>
    <n v="8.57"/>
    <n v="8.07"/>
    <n v="0.5"/>
    <n v="5.84"/>
    <n v="1154"/>
    <n v="2080"/>
    <n v="1.8"/>
    <n v="11.98"/>
    <n v="173.66"/>
    <n v="2.37"/>
    <n v="4.7300000000000004"/>
    <n v="171.29"/>
    <n v="21.23"/>
    <n v="8998.8700000000008"/>
    <n v="66649"/>
    <n v="97153"/>
    <n v="0.4"/>
    <n v="0"/>
    <n v="274.10000000000002"/>
  </r>
  <r>
    <x v="25"/>
    <x v="4"/>
    <s v="Em operação"/>
    <s v="ES 0099"/>
    <x v="2"/>
    <n v="0"/>
    <m/>
    <n v="3000"/>
    <n v="264.87294469357249"/>
    <n v="9.44"/>
    <n v="6.69"/>
    <n v="2.75"/>
    <n v="29.13"/>
    <n v="700"/>
    <n v="1772"/>
    <n v="2.5299999999999998"/>
    <n v="8.1199999999999992"/>
    <n v="218.13"/>
    <n v="17.03"/>
    <n v="6.19"/>
    <n v="201.1"/>
    <n v="30.05"/>
    <n v="7565.24"/>
    <n v="94591"/>
    <n v="272245"/>
    <n v="0.2"/>
    <n v="0"/>
    <n v="234.9"/>
  </r>
  <r>
    <x v="25"/>
    <x v="4"/>
    <s v="Em operação"/>
    <s v="ES 0110"/>
    <x v="2"/>
    <n v="0"/>
    <m/>
    <n v="3000"/>
    <n v="113.03370786516854"/>
    <n v="5.5"/>
    <n v="4.45"/>
    <n v="1.05"/>
    <n v="19.09"/>
    <n v="249"/>
    <n v="503"/>
    <n v="2.02"/>
    <n v="5.59"/>
    <n v="89.9"/>
    <n v="4.7300000000000004"/>
    <n v="4.51"/>
    <n v="85.17"/>
    <n v="19.14"/>
    <n v="2096.91"/>
    <n v="125011"/>
    <n v="233758"/>
    <n v="1.7"/>
    <n v="0.01"/>
    <n v="290.3"/>
  </r>
  <r>
    <x v="25"/>
    <x v="4"/>
    <s v="Em operação"/>
    <s v="ES 0116"/>
    <x v="2"/>
    <n v="0"/>
    <m/>
    <n v="3000"/>
    <n v="458.57418111753367"/>
    <n v="7.69"/>
    <n v="5.19"/>
    <n v="2.5"/>
    <n v="32.49"/>
    <n v="759"/>
    <n v="2380"/>
    <n v="3.14"/>
    <n v="10.86"/>
    <n v="219.08"/>
    <n v="9.94"/>
    <n v="3.97"/>
    <n v="209.14"/>
    <n v="40.270000000000003"/>
    <n v="1619.71"/>
    <n v="154116"/>
    <n v="526387"/>
    <n v="0"/>
    <n v="0"/>
    <n v="4.5999999999999996"/>
  </r>
  <r>
    <x v="25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5"/>
    <x v="4"/>
    <s v="Em operação"/>
    <s v="ES 0116"/>
    <x v="2"/>
    <n v="0"/>
    <m/>
    <n v="3000"/>
    <n v="353.20197044334975"/>
    <n v="8.19"/>
    <n v="6.09"/>
    <n v="2.1"/>
    <n v="25.66"/>
    <n v="981"/>
    <n v="2151"/>
    <n v="2.19"/>
    <n v="15.57"/>
    <n v="138.16999999999999"/>
    <n v="8.0399999999999991"/>
    <n v="3.83"/>
    <n v="130.12"/>
    <n v="21.38"/>
    <n v="554.73"/>
    <n v="49472"/>
    <n v="98475"/>
    <n v="0.9"/>
    <n v="0"/>
    <n v="41.2"/>
  </r>
  <r>
    <x v="26"/>
    <x v="4"/>
    <s v="Em operação"/>
    <s v="ES 0097"/>
    <x v="1"/>
    <n v="0"/>
    <m/>
    <m/>
    <n v="0"/>
    <n v="3.79"/>
    <n v="3.14"/>
    <n v="0.65"/>
    <m/>
    <m/>
    <s v=""/>
    <m/>
    <m/>
    <m/>
    <m/>
    <m/>
    <m/>
    <m/>
    <n v="8571.5"/>
    <m/>
    <m/>
    <n v="1.3"/>
    <s v=""/>
    <n v="220.1"/>
  </r>
  <r>
    <x v="26"/>
    <x v="4"/>
    <s v="Em operação"/>
    <s v="ES 0101"/>
    <x v="0"/>
    <n v="3824"/>
    <m/>
    <n v="3428.5714285714284"/>
    <n v="513.16685584562993"/>
    <n v="9.61"/>
    <n v="8.81"/>
    <n v="0.8"/>
    <n v="8.32"/>
    <n v="1030"/>
    <n v="4521"/>
    <n v="4.3899999999999997"/>
    <n v="12.84"/>
    <n v="352.04"/>
    <n v="4.7300000000000004"/>
    <n v="5.91"/>
    <n v="347.31"/>
    <n v="39.409999999999997"/>
    <n v="6280.75"/>
    <n v="390693"/>
    <n v="1373944"/>
    <n v="0.1"/>
    <n v="0"/>
    <n v="45"/>
  </r>
  <r>
    <x v="26"/>
    <x v="4"/>
    <s v="Em operação"/>
    <s v="ES 0096"/>
    <x v="2"/>
    <n v="0"/>
    <m/>
    <n v="3000"/>
    <n v="197.26027397260273"/>
    <n v="5.96"/>
    <n v="5.1100000000000003"/>
    <n v="0.85"/>
    <n v="14.26"/>
    <n v="770"/>
    <n v="1008"/>
    <n v="1.31"/>
    <n v="9.07"/>
    <n v="111.2"/>
    <n v="2.84"/>
    <n v="3.34"/>
    <n v="108.36"/>
    <n v="21.2"/>
    <n v="9004.83"/>
    <n v="67419"/>
    <n v="98161"/>
    <n v="0.3"/>
    <n v="0"/>
    <n v="274.39999999999998"/>
  </r>
  <r>
    <x v="26"/>
    <x v="4"/>
    <s v="Em operação"/>
    <s v="ES 0099"/>
    <x v="2"/>
    <n v="0"/>
    <m/>
    <n v="3000"/>
    <n v="369.11447084233259"/>
    <n v="6.38"/>
    <n v="4.63"/>
    <n v="1.75"/>
    <n v="27.41"/>
    <n v="669"/>
    <n v="1709"/>
    <n v="2.5499999999999998"/>
    <n v="10.75"/>
    <n v="158.99"/>
    <n v="14.67"/>
    <n v="8.3800000000000008"/>
    <n v="144.32"/>
    <n v="31.14"/>
    <n v="7571.62"/>
    <n v="95260"/>
    <n v="273954"/>
    <n v="0.2"/>
    <n v="0"/>
    <n v="235.1"/>
  </r>
  <r>
    <x v="26"/>
    <x v="4"/>
    <s v="Em operação"/>
    <s v="ES 0110"/>
    <x v="2"/>
    <n v="0"/>
    <m/>
    <n v="3000"/>
    <n v="287.94567062818339"/>
    <n v="7.04"/>
    <n v="5.89"/>
    <n v="1.1499999999999999"/>
    <n v="16.34"/>
    <n v="799"/>
    <n v="1696"/>
    <n v="2.12"/>
    <n v="14.57"/>
    <n v="116.4"/>
    <n v="4.26"/>
    <n v="3.7"/>
    <n v="112.14"/>
    <n v="19.04"/>
    <n v="2103.9499999999998"/>
    <n v="125810"/>
    <n v="235454"/>
    <n v="0.5"/>
    <n v="0"/>
    <n v="290.8"/>
  </r>
  <r>
    <x v="26"/>
    <x v="4"/>
    <s v="Em operação"/>
    <s v="ES 0116"/>
    <x v="2"/>
    <n v="0"/>
    <m/>
    <n v="3000"/>
    <n v="391.12426035502961"/>
    <n v="4.99"/>
    <n v="3.38"/>
    <n v="1.6"/>
    <n v="32.1"/>
    <n v="411"/>
    <n v="1322"/>
    <n v="3.22"/>
    <n v="9.5"/>
    <n v="139.11000000000001"/>
    <n v="7.57"/>
    <n v="4.7300000000000004"/>
    <n v="131.54"/>
    <n v="38.86"/>
    <n v="1624.69"/>
    <n v="154527"/>
    <n v="527709"/>
    <n v="0"/>
    <n v="0"/>
    <n v="4.5999999999999996"/>
  </r>
  <r>
    <x v="26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6"/>
    <x v="4"/>
    <s v="Em operação"/>
    <s v="ES 0116"/>
    <x v="2"/>
    <n v="0"/>
    <m/>
    <n v="3000"/>
    <n v="341.23711340206188"/>
    <n v="6.2"/>
    <n v="4.8499999999999996"/>
    <n v="1.35"/>
    <n v="21.79"/>
    <n v="724"/>
    <n v="1655"/>
    <n v="2.29"/>
    <n v="16.739999999999998"/>
    <n v="98.89"/>
    <n v="5.68"/>
    <n v="4.21"/>
    <n v="93.22"/>
    <n v="19.23"/>
    <n v="560.92999999999995"/>
    <n v="50196"/>
    <n v="100130"/>
    <n v="1.1000000000000001"/>
    <n v="0"/>
    <n v="42.3"/>
  </r>
  <r>
    <x v="27"/>
    <x v="1"/>
    <s v="Não operacional"/>
    <s v="ES 0097"/>
    <x v="1"/>
    <n v="0"/>
    <m/>
    <m/>
    <n v="0"/>
    <n v="0"/>
    <n v="0"/>
    <n v="0"/>
    <m/>
    <m/>
    <s v=""/>
    <m/>
    <m/>
    <m/>
    <m/>
    <m/>
    <m/>
    <m/>
    <n v="8571.5"/>
    <m/>
    <m/>
    <n v="0"/>
    <s v=""/>
    <n v="220.1"/>
  </r>
  <r>
    <x v="27"/>
    <x v="4"/>
    <s v="Em operação"/>
    <s v="ES 0101"/>
    <x v="0"/>
    <n v="4305"/>
    <m/>
    <n v="3428.5714285714284"/>
    <n v="122.69326683291771"/>
    <n v="4.16"/>
    <n v="4.01"/>
    <n v="0.15"/>
    <n v="3.61"/>
    <n v="201"/>
    <n v="492"/>
    <n v="2.4500000000000002"/>
    <n v="3.16"/>
    <n v="155.68"/>
    <n v="1.42"/>
    <n v="9.4600000000000009"/>
    <n v="154.26"/>
    <n v="38.51"/>
    <n v="6284.91"/>
    <n v="390894"/>
    <n v="1374436"/>
    <n v="0"/>
    <n v="0"/>
    <n v="45"/>
  </r>
  <r>
    <x v="27"/>
    <x v="1"/>
    <s v="Não operacional"/>
    <s v="ES 0096"/>
    <x v="2"/>
    <n v="0"/>
    <m/>
    <n v="0"/>
    <n v="0"/>
    <n v="0"/>
    <n v="0"/>
    <n v="0"/>
    <s v=""/>
    <n v="0"/>
    <n v="0"/>
    <s v=""/>
    <s v=""/>
    <n v="0"/>
    <n v="0"/>
    <s v=""/>
    <n v="0"/>
    <s v=""/>
    <n v="9004.83"/>
    <n v="67419"/>
    <n v="98161"/>
    <n v="0"/>
    <s v=""/>
    <n v="274.39999999999998"/>
  </r>
  <r>
    <x v="27"/>
    <x v="1"/>
    <s v="Não operacional"/>
    <s v="ES 0099"/>
    <x v="2"/>
    <n v="0"/>
    <m/>
    <m/>
    <n v="0"/>
    <n v="0"/>
    <n v="0"/>
    <n v="0"/>
    <s v=""/>
    <n v="0"/>
    <n v="0"/>
    <s v=""/>
    <s v=""/>
    <n v="0"/>
    <n v="0"/>
    <s v=""/>
    <n v="0"/>
    <s v=""/>
    <n v="7571.62"/>
    <n v="95260"/>
    <n v="273954"/>
    <n v="0"/>
    <s v=""/>
    <n v="235.1"/>
  </r>
  <r>
    <x v="27"/>
    <x v="1"/>
    <s v="Não operacional"/>
    <s v="ES 0110"/>
    <x v="2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16"/>
    <x v="2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16"/>
    <x v="2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096"/>
    <x v="1"/>
    <n v="0"/>
    <m/>
    <m/>
    <n v="0"/>
    <n v="0"/>
    <n v="0"/>
    <n v="0"/>
    <s v=""/>
    <n v="0"/>
    <n v="0"/>
    <s v=""/>
    <s v=""/>
    <n v="0"/>
    <n v="0"/>
    <s v=""/>
    <n v="0"/>
    <s v=""/>
    <n v="9004.83"/>
    <n v="67419"/>
    <n v="98161"/>
    <n v="0"/>
    <s v=""/>
    <n v="274.39999999999998"/>
  </r>
  <r>
    <x v="27"/>
    <x v="1"/>
    <s v="Não operacional"/>
    <s v="ES 0097"/>
    <x v="1"/>
    <m/>
    <m/>
    <m/>
    <n v="0"/>
    <n v="0"/>
    <n v="0"/>
    <n v="0"/>
    <s v=""/>
    <s v=""/>
    <s v=""/>
    <s v=""/>
    <s v=""/>
    <n v="0"/>
    <n v="0"/>
    <s v=""/>
    <n v="0"/>
    <s v=""/>
    <n v="8571.5"/>
    <s v=""/>
    <s v=""/>
    <n v="0"/>
    <s v=""/>
    <n v="220.1"/>
  </r>
  <r>
    <x v="27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571.62"/>
    <n v="95260"/>
    <n v="273954"/>
    <n v="0"/>
    <s v=""/>
    <n v="235.1"/>
  </r>
  <r>
    <x v="27"/>
    <x v="1"/>
    <s v="Não operacional"/>
    <s v="ES 0101"/>
    <x v="0"/>
    <m/>
    <s v="Arrumou a praça"/>
    <n v="3000"/>
    <n v="122.69326683291771"/>
    <n v="4.16"/>
    <n v="4.01"/>
    <n v="0.15"/>
    <n v="3.61"/>
    <n v="201"/>
    <n v="492"/>
    <n v="2.4500000000000002"/>
    <n v="3.16"/>
    <n v="155.68"/>
    <n v="1.42"/>
    <n v="9.4600000000000009"/>
    <n v="154.26"/>
    <n v="38.51"/>
    <n v="6284.91"/>
    <n v="390894"/>
    <n v="1374436"/>
    <n v="0"/>
    <n v="0"/>
    <n v="45"/>
  </r>
  <r>
    <x v="27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"/>
    <x v="5"/>
    <s v="Em operação"/>
    <s v="ES 0096"/>
    <x v="1"/>
    <n v="0"/>
    <m/>
    <m/>
    <n v="82.899628252788105"/>
    <n v="2.99"/>
    <n v="2.69"/>
    <n v="0.3"/>
    <n v="10.02"/>
    <n v="337"/>
    <n v="223"/>
    <n v="0.66"/>
    <n v="3.68"/>
    <n v="60.57"/>
    <n v="1.89"/>
    <n v="6.31"/>
    <n v="58.67"/>
    <n v="21.78"/>
    <n v="9007.83"/>
    <n v="67756"/>
    <n v="98384"/>
    <n v="0.5"/>
    <n v="0"/>
    <n v="274.89999999999998"/>
  </r>
  <r>
    <x v="28"/>
    <x v="5"/>
    <s v="Em operação"/>
    <s v="ES 0097"/>
    <x v="1"/>
    <m/>
    <m/>
    <m/>
    <n v="0"/>
    <n v="4.18"/>
    <n v="3.28"/>
    <n v="0.9"/>
    <n v="21.53"/>
    <s v=""/>
    <s v=""/>
    <s v=""/>
    <s v=""/>
    <n v="66.239999999999995"/>
    <n v="3.31"/>
    <n v="3.68"/>
    <n v="62.93"/>
    <n v="19.18"/>
    <n v="8575.68"/>
    <s v=""/>
    <s v=""/>
    <n v="1"/>
    <s v=""/>
    <n v="221.1"/>
  </r>
  <r>
    <x v="28"/>
    <x v="5"/>
    <s v="Em operação"/>
    <s v="ES 0099"/>
    <x v="2"/>
    <m/>
    <m/>
    <n v="3000"/>
    <n v="432.00589970501471"/>
    <n v="7.98"/>
    <n v="6.78"/>
    <n v="1.2"/>
    <n v="15.03"/>
    <n v="1062"/>
    <n v="2929"/>
    <n v="2.76"/>
    <n v="13.11"/>
    <n v="223.34"/>
    <n v="10.88"/>
    <n v="9.07"/>
    <n v="212.46"/>
    <n v="31.32"/>
    <n v="7579.6"/>
    <n v="96322"/>
    <n v="276883"/>
    <n v="0"/>
    <n v="0"/>
    <n v="235.1"/>
  </r>
  <r>
    <x v="28"/>
    <x v="5"/>
    <s v="Em operação"/>
    <s v="ES 0101"/>
    <x v="0"/>
    <n v="4305"/>
    <m/>
    <n v="3428.5714285714284"/>
    <n v="523.76514445479961"/>
    <n v="12.03"/>
    <n v="10.73"/>
    <n v="1.3"/>
    <n v="10.81"/>
    <n v="1250"/>
    <n v="5620"/>
    <n v="4.5"/>
    <n v="13.59"/>
    <n v="413.56"/>
    <n v="7.1"/>
    <n v="5.46"/>
    <n v="406.46"/>
    <n v="37.880000000000003"/>
    <n v="6296.94"/>
    <n v="392144"/>
    <n v="1380056"/>
    <n v="0.1"/>
    <n v="0"/>
    <n v="45.1"/>
  </r>
  <r>
    <x v="28"/>
    <x v="5"/>
    <s v="Em operação"/>
    <s v="ES 0110"/>
    <x v="2"/>
    <m/>
    <m/>
    <n v="3000"/>
    <n v="283.84279475982532"/>
    <n v="8.48"/>
    <n v="4.58"/>
    <n v="3.9"/>
    <n v="46.01"/>
    <n v="598"/>
    <n v="1300"/>
    <n v="2.17"/>
    <n v="12.72"/>
    <n v="102.21"/>
    <n v="15.14"/>
    <n v="3.88"/>
    <n v="87.06"/>
    <n v="19.03"/>
    <n v="2112.42"/>
    <n v="126408"/>
    <n v="236754"/>
    <n v="0.1"/>
    <n v="0"/>
    <n v="290.89999999999998"/>
  </r>
  <r>
    <x v="28"/>
    <x v="5"/>
    <s v="Em operação"/>
    <s v="ES 0116"/>
    <x v="2"/>
    <m/>
    <m/>
    <n v="3000"/>
    <n v="426.06557377049182"/>
    <n v="8.5500000000000007"/>
    <n v="6.1"/>
    <n v="2.4500000000000002"/>
    <n v="28.65"/>
    <n v="864"/>
    <n v="2599"/>
    <n v="3.01"/>
    <n v="10.4"/>
    <n v="249.84"/>
    <n v="10.41"/>
    <n v="4.25"/>
    <n v="239.43"/>
    <n v="39.24"/>
    <n v="1633.24"/>
    <n v="155391"/>
    <n v="530308"/>
    <n v="0.1"/>
    <n v="0"/>
    <n v="4.7"/>
  </r>
  <r>
    <x v="28"/>
    <x v="5"/>
    <s v="Em operação"/>
    <s v="ES 0126"/>
    <x v="2"/>
    <m/>
    <m/>
    <n v="3000"/>
    <n v="312.73792093704247"/>
    <n v="8.48"/>
    <n v="6.83"/>
    <n v="1.65"/>
    <n v="19.46"/>
    <n v="1059"/>
    <n v="2136"/>
    <n v="2.02"/>
    <n v="14.2"/>
    <n v="150.47"/>
    <n v="6.62"/>
    <n v="4.01"/>
    <n v="143.85"/>
    <n v="21.06"/>
    <n v="569.41"/>
    <n v="51255"/>
    <n v="102266"/>
    <n v="1.8"/>
    <n v="0"/>
    <n v="44.1"/>
  </r>
  <r>
    <x v="28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29"/>
    <x v="5"/>
    <s v="Em operação"/>
    <s v="ES 0096"/>
    <x v="1"/>
    <n v="0"/>
    <m/>
    <m/>
    <n v="34.050179211469533"/>
    <n v="3.19"/>
    <n v="2.79"/>
    <n v="0.4"/>
    <n v="12.53"/>
    <n v="105"/>
    <n v="95"/>
    <n v="0.9"/>
    <n v="1.81"/>
    <n v="52.52"/>
    <n v="1.42"/>
    <n v="3.55"/>
    <n v="51.1"/>
    <n v="18.309999999999999"/>
    <n v="9011.02"/>
    <n v="67861"/>
    <n v="98479"/>
    <n v="0"/>
    <n v="0"/>
    <n v="274.89999999999998"/>
  </r>
  <r>
    <x v="29"/>
    <x v="5"/>
    <s v="Em operação"/>
    <s v="ES 0097"/>
    <x v="1"/>
    <m/>
    <m/>
    <m/>
    <n v="0"/>
    <n v="5.55"/>
    <n v="4.8"/>
    <n v="0.75"/>
    <n v="13.5"/>
    <s v=""/>
    <s v=""/>
    <s v=""/>
    <s v=""/>
    <n v="103.63"/>
    <n v="2.84"/>
    <n v="3.79"/>
    <n v="100.79"/>
    <n v="20.98"/>
    <n v="8581.24"/>
    <s v=""/>
    <s v=""/>
    <n v="1.1000000000000001"/>
    <s v=""/>
    <n v="222.2"/>
  </r>
  <r>
    <x v="29"/>
    <x v="5"/>
    <s v="Em operação"/>
    <s v="ES 0099"/>
    <x v="2"/>
    <m/>
    <m/>
    <n v="3000"/>
    <n v="434.23295454545456"/>
    <n v="8.09"/>
    <n v="7.04"/>
    <n v="1.05"/>
    <n v="12.98"/>
    <n v="1110"/>
    <n v="3057"/>
    <n v="2.75"/>
    <n v="13.49"/>
    <n v="226.65"/>
    <n v="6.15"/>
    <n v="5.86"/>
    <n v="220.5"/>
    <n v="31.33"/>
    <n v="7587.69"/>
    <n v="97432"/>
    <n v="279940"/>
    <n v="0.1"/>
    <n v="0"/>
    <n v="235.2"/>
  </r>
  <r>
    <x v="29"/>
    <x v="5"/>
    <s v="Em operação"/>
    <s v="ES 0101"/>
    <x v="0"/>
    <n v="3307"/>
    <m/>
    <n v="3428.5714285714284"/>
    <n v="468.06282722513083"/>
    <n v="12.66"/>
    <n v="11.46"/>
    <n v="1.2"/>
    <n v="9.48"/>
    <n v="1385"/>
    <n v="5364"/>
    <n v="3.87"/>
    <n v="12.57"/>
    <n v="426.8"/>
    <n v="6.62"/>
    <n v="5.52"/>
    <n v="420.18"/>
    <n v="36.68"/>
    <n v="6309.59"/>
    <n v="393529"/>
    <n v="1385420"/>
    <n v="0.1"/>
    <n v="0"/>
    <n v="45.2"/>
  </r>
  <r>
    <x v="29"/>
    <x v="5"/>
    <s v="Em operação"/>
    <s v="ES 0110"/>
    <x v="2"/>
    <m/>
    <m/>
    <n v="3000"/>
    <n v="229.42206654991244"/>
    <n v="8.61"/>
    <n v="5.71"/>
    <n v="2.9"/>
    <n v="33.67"/>
    <n v="754"/>
    <n v="1310"/>
    <n v="1.74"/>
    <n v="10.37"/>
    <n v="126.34"/>
    <n v="9.94"/>
    <n v="3.43"/>
    <n v="116.4"/>
    <n v="20.37"/>
    <n v="2121.04"/>
    <n v="127162"/>
    <n v="238064"/>
    <n v="0.4"/>
    <n v="0"/>
    <n v="291.3"/>
  </r>
  <r>
    <x v="29"/>
    <x v="5"/>
    <s v="Em operação"/>
    <s v="ES 0116"/>
    <x v="2"/>
    <m/>
    <m/>
    <n v="3000"/>
    <n v="533.98692810457521"/>
    <n v="7.29"/>
    <n v="4.59"/>
    <n v="2.7"/>
    <n v="37.04"/>
    <n v="682"/>
    <n v="2451"/>
    <n v="3.59"/>
    <n v="12.82"/>
    <n v="191.16"/>
    <n v="11.83"/>
    <n v="4.38"/>
    <n v="179.33"/>
    <n v="39.08"/>
    <n v="1640.53"/>
    <n v="156073"/>
    <n v="532759"/>
    <n v="0"/>
    <n v="0"/>
    <n v="4.7"/>
  </r>
  <r>
    <x v="29"/>
    <x v="5"/>
    <s v="Em operação"/>
    <s v="ES 0126"/>
    <x v="2"/>
    <m/>
    <m/>
    <n v="3000"/>
    <n v="429.55882352941177"/>
    <n v="8.4499999999999993"/>
    <n v="6.8"/>
    <n v="1.65"/>
    <n v="19.53"/>
    <n v="1221"/>
    <n v="2921"/>
    <n v="2.39"/>
    <n v="19.05"/>
    <n v="153.31"/>
    <n v="7.1"/>
    <n v="4.3"/>
    <n v="146.21"/>
    <n v="21.51"/>
    <n v="577.86"/>
    <n v="52476"/>
    <n v="105187"/>
    <n v="1.2"/>
    <n v="0"/>
    <n v="45.3"/>
  </r>
  <r>
    <x v="29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0"/>
    <x v="5"/>
    <s v="Em operação"/>
    <s v="ES 0096"/>
    <x v="1"/>
    <n v="0"/>
    <m/>
    <m/>
    <n v="160.09852216748769"/>
    <n v="6.94"/>
    <n v="6.09"/>
    <n v="0.85"/>
    <n v="12.25"/>
    <n v="565"/>
    <n v="975"/>
    <n v="1.73"/>
    <n v="8.73"/>
    <n v="111.67"/>
    <n v="3.79"/>
    <n v="4.45"/>
    <n v="107.88"/>
    <n v="17.71"/>
    <n v="9017.9599999999991"/>
    <n v="68426"/>
    <n v="99454"/>
    <n v="2.4"/>
    <n v="0"/>
    <n v="277.3"/>
  </r>
  <r>
    <x v="30"/>
    <x v="5"/>
    <s v="Em operação"/>
    <s v="ES 0097"/>
    <x v="1"/>
    <m/>
    <m/>
    <m/>
    <n v="0"/>
    <n v="3.07"/>
    <n v="2.12"/>
    <n v="0.95"/>
    <n v="30.94"/>
    <s v=""/>
    <s v=""/>
    <s v=""/>
    <s v=""/>
    <n v="42.11"/>
    <n v="4.7300000000000004"/>
    <n v="4.9800000000000004"/>
    <n v="37.380000000000003"/>
    <n v="17.63"/>
    <n v="8584.31"/>
    <s v=""/>
    <s v=""/>
    <n v="0.1"/>
    <s v=""/>
    <n v="222.3"/>
  </r>
  <r>
    <x v="30"/>
    <x v="5"/>
    <s v="Em operação"/>
    <s v="ES 0099"/>
    <x v="2"/>
    <m/>
    <m/>
    <n v="3000"/>
    <n v="284.44444444444446"/>
    <n v="6.1"/>
    <n v="3.15"/>
    <n v="2.95"/>
    <n v="48.33"/>
    <n v="387"/>
    <n v="896"/>
    <n v="2.3199999999999998"/>
    <n v="8.09"/>
    <n v="110.72"/>
    <n v="14.67"/>
    <n v="4.97"/>
    <n v="96.05"/>
    <n v="30.46"/>
    <n v="7593.8"/>
    <n v="97819"/>
    <n v="280836"/>
    <n v="0"/>
    <n v="0"/>
    <n v="235.2"/>
  </r>
  <r>
    <x v="30"/>
    <x v="5"/>
    <s v="Em operação"/>
    <s v="ES 0101"/>
    <x v="0"/>
    <n v="1244"/>
    <m/>
    <n v="3428.5714285714284"/>
    <n v="361.29753914988817"/>
    <n v="5.12"/>
    <n v="4.47"/>
    <n v="0.65"/>
    <n v="12.68"/>
    <n v="360"/>
    <n v="1615"/>
    <n v="4.49"/>
    <n v="9.56"/>
    <n v="168.92"/>
    <n v="4.7300000000000004"/>
    <n v="7.28"/>
    <n v="164.19"/>
    <n v="36.69"/>
    <n v="6314.72"/>
    <n v="393889"/>
    <n v="1387035"/>
    <n v="0"/>
    <n v="0"/>
    <n v="45.2"/>
  </r>
  <r>
    <x v="30"/>
    <x v="5"/>
    <s v="Em operação"/>
    <s v="ES 0110"/>
    <x v="2"/>
    <m/>
    <m/>
    <n v="3000"/>
    <n v="153.08641975308643"/>
    <n v="5.55"/>
    <n v="4.05"/>
    <n v="1.5"/>
    <n v="27.04"/>
    <n v="313"/>
    <n v="620"/>
    <n v="1.98"/>
    <n v="6.86"/>
    <n v="90.38"/>
    <n v="6.15"/>
    <n v="4.0999999999999996"/>
    <n v="84.23"/>
    <n v="20.81"/>
    <n v="2126.58"/>
    <n v="127475"/>
    <n v="238684"/>
    <n v="3.1"/>
    <n v="0.01"/>
    <n v="294.39999999999998"/>
  </r>
  <r>
    <x v="30"/>
    <x v="5"/>
    <s v="Em operação"/>
    <s v="ES 0116"/>
    <x v="2"/>
    <m/>
    <m/>
    <n v="3000"/>
    <n v="497.97421731123393"/>
    <n v="7.48"/>
    <n v="5.43"/>
    <n v="2.0499999999999998"/>
    <n v="27.42"/>
    <n v="744"/>
    <n v="2704"/>
    <n v="3.63"/>
    <n v="12.06"/>
    <n v="224.29"/>
    <n v="8.99"/>
    <n v="4.3899999999999997"/>
    <n v="215.3"/>
    <n v="39.68"/>
    <n v="1648.01"/>
    <n v="156817"/>
    <n v="535463"/>
    <n v="0"/>
    <n v="0"/>
    <n v="4.7"/>
  </r>
  <r>
    <x v="30"/>
    <x v="5"/>
    <s v="Em operação"/>
    <s v="ES 0126"/>
    <x v="2"/>
    <m/>
    <m/>
    <n v="3000"/>
    <n v="403.58255451713399"/>
    <n v="8.3699999999999992"/>
    <n v="6.42"/>
    <n v="1.95"/>
    <n v="23.29"/>
    <n v="1123"/>
    <n v="2591"/>
    <n v="2.31"/>
    <n v="17.329999999999998"/>
    <n v="149.52000000000001"/>
    <n v="8.0399999999999991"/>
    <n v="4.13"/>
    <n v="141.47999999999999"/>
    <n v="22.03"/>
    <n v="586.23"/>
    <n v="53599"/>
    <n v="107778"/>
    <n v="1.4"/>
    <n v="0"/>
    <n v="46.7"/>
  </r>
  <r>
    <x v="30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1"/>
    <x v="5"/>
    <s v="Em operação"/>
    <s v="ES 0096"/>
    <x v="2"/>
    <n v="0"/>
    <m/>
    <n v="3000"/>
    <n v="315.64537157757496"/>
    <n v="8.82"/>
    <n v="7.67"/>
    <n v="1.1499999999999999"/>
    <n v="13.04"/>
    <n v="1241"/>
    <n v="2421"/>
    <n v="1.95"/>
    <n v="14.21"/>
    <n v="170.34"/>
    <n v="4.7300000000000004"/>
    <n v="4.1100000000000003"/>
    <n v="165.61"/>
    <n v="21.59"/>
    <n v="9026.7800000000007"/>
    <n v="69667"/>
    <n v="101875"/>
    <n v="2.2000000000000002"/>
    <n v="0"/>
    <n v="279.5"/>
  </r>
  <r>
    <x v="31"/>
    <x v="5"/>
    <s v="Em operação"/>
    <s v="ES 0097"/>
    <x v="1"/>
    <m/>
    <m/>
    <m/>
    <n v="0"/>
    <n v="4.5999999999999996"/>
    <n v="3.55"/>
    <n v="1.05"/>
    <n v="22.81"/>
    <s v=""/>
    <s v=""/>
    <s v=""/>
    <s v=""/>
    <n v="69.56"/>
    <n v="4.26"/>
    <n v="4.0599999999999996"/>
    <n v="65.3"/>
    <n v="18.38"/>
    <n v="8588.91"/>
    <s v=""/>
    <s v=""/>
    <n v="1.8"/>
    <s v=""/>
    <n v="224.1"/>
  </r>
  <r>
    <x v="31"/>
    <x v="5"/>
    <s v="Em operação"/>
    <s v="ES 0099"/>
    <x v="0"/>
    <n v="2867"/>
    <m/>
    <n v="3428.5714285714284"/>
    <n v="428.86363636363632"/>
    <n v="10.35"/>
    <n v="8.8000000000000007"/>
    <n v="1.55"/>
    <n v="14.98"/>
    <n v="987"/>
    <n v="3774"/>
    <n v="3.82"/>
    <n v="14.17"/>
    <n v="266.39999999999998"/>
    <n v="9.4600000000000009"/>
    <n v="6.11"/>
    <n v="256.93"/>
    <n v="29.2"/>
    <n v="7604.14"/>
    <n v="98806"/>
    <n v="284610"/>
    <n v="0.2"/>
    <n v="0"/>
    <n v="235.4"/>
  </r>
  <r>
    <x v="31"/>
    <x v="1"/>
    <s v="Não operacional"/>
    <s v="ES 0101"/>
    <x v="0"/>
    <s v="Em manutenção"/>
    <m/>
    <m/>
    <n v="15.384615384615383"/>
    <n v="0.85"/>
    <n v="0.65"/>
    <n v="0.2"/>
    <n v="23.66"/>
    <n v="7"/>
    <n v="10"/>
    <n v="1.43"/>
    <n v="0.56000000000000005"/>
    <n v="17.98"/>
    <n v="1.42"/>
    <n v="7.1"/>
    <n v="16.559999999999999"/>
    <n v="25.66"/>
    <n v="6315.56"/>
    <n v="393896"/>
    <n v="1387045"/>
    <n v="0.1"/>
    <n v="0.01"/>
    <n v="45.3"/>
  </r>
  <r>
    <x v="31"/>
    <x v="5"/>
    <s v="Em operação"/>
    <s v="ES 0110"/>
    <x v="6"/>
    <m/>
    <m/>
    <m/>
    <n v="2.7065527065527069"/>
    <n v="8.02"/>
    <n v="7.02"/>
    <n v="1"/>
    <n v="12.47"/>
    <n v="34"/>
    <n v="19"/>
    <n v="0.56000000000000005"/>
    <n v="0.12"/>
    <n v="153.31"/>
    <n v="3.31"/>
    <n v="3.31"/>
    <n v="150"/>
    <n v="21.36"/>
    <n v="2134.6"/>
    <n v="127509"/>
    <n v="238703"/>
    <n v="0.9"/>
    <n v="0.03"/>
    <n v="295.3"/>
  </r>
  <r>
    <x v="31"/>
    <x v="5"/>
    <s v="Em operação"/>
    <s v="ES 0116"/>
    <x v="2"/>
    <m/>
    <m/>
    <n v="3000"/>
    <n v="482.6309067688378"/>
    <n v="9.2799999999999994"/>
    <n v="7.83"/>
    <n v="1.45"/>
    <n v="15.63"/>
    <n v="895"/>
    <n v="3779"/>
    <n v="4.22"/>
    <n v="11.74"/>
    <n v="321.76"/>
    <n v="6.15"/>
    <n v="4.24"/>
    <n v="315.61"/>
    <n v="40.32"/>
    <n v="1657.29"/>
    <n v="157712"/>
    <n v="539242"/>
    <n v="0"/>
    <n v="0"/>
    <n v="4.7"/>
  </r>
  <r>
    <x v="31"/>
    <x v="5"/>
    <s v="Em operação"/>
    <s v="ES 0126"/>
    <x v="2"/>
    <m/>
    <m/>
    <n v="3000"/>
    <n v="379.91513437057989"/>
    <n v="8.52"/>
    <n v="7.07"/>
    <n v="1.45"/>
    <n v="17.010000000000002"/>
    <n v="1100"/>
    <n v="2686"/>
    <n v="2.44"/>
    <n v="16.940000000000001"/>
    <n v="158.51"/>
    <n v="5.68"/>
    <n v="3.92"/>
    <n v="152.84"/>
    <n v="21.61"/>
    <n v="594.75"/>
    <n v="54699"/>
    <n v="110464"/>
    <n v="2.4"/>
    <n v="0"/>
    <n v="49.1"/>
  </r>
  <r>
    <x v="31"/>
    <x v="5"/>
    <s v="Em operação"/>
    <m/>
    <x v="2"/>
    <m/>
    <m/>
    <n v="6000"/>
    <m/>
    <m/>
    <m/>
    <m/>
    <m/>
    <m/>
    <m/>
    <m/>
    <m/>
    <m/>
    <m/>
    <m/>
    <m/>
    <m/>
    <m/>
    <m/>
    <m/>
    <m/>
    <m/>
    <m/>
  </r>
  <r>
    <x v="32"/>
    <x v="5"/>
    <s v="Em operação"/>
    <s v="ES 0096"/>
    <x v="2"/>
    <n v="0"/>
    <m/>
    <n v="3000"/>
    <n v="300.84507042253523"/>
    <n v="8.3000000000000007"/>
    <n v="7.1"/>
    <n v="1.2"/>
    <n v="14.46"/>
    <n v="1155"/>
    <n v="2136"/>
    <n v="1.85"/>
    <n v="13.68"/>
    <n v="156.15"/>
    <n v="5.2"/>
    <n v="4.34"/>
    <n v="150.94"/>
    <n v="21.26"/>
    <n v="9035.08"/>
    <n v="70822"/>
    <n v="104011"/>
    <n v="1.4"/>
    <n v="0"/>
    <n v="280.89999999999998"/>
  </r>
  <r>
    <x v="32"/>
    <x v="5"/>
    <s v="Em operação"/>
    <s v="ES 0097"/>
    <x v="1"/>
    <m/>
    <m/>
    <m/>
    <n v="0"/>
    <n v="3.62"/>
    <n v="2.92"/>
    <n v="0.7"/>
    <n v="19.309999999999999"/>
    <s v=""/>
    <s v=""/>
    <s v=""/>
    <s v=""/>
    <n v="57.25"/>
    <n v="3.79"/>
    <n v="5.41"/>
    <n v="53.47"/>
    <n v="18.28"/>
    <n v="8592.5300000000007"/>
    <s v=""/>
    <s v=""/>
    <n v="0.5"/>
    <s v=""/>
    <n v="224.6"/>
  </r>
  <r>
    <x v="32"/>
    <x v="5"/>
    <s v="Em operação"/>
    <s v="ES 0099"/>
    <x v="0"/>
    <n v="2807"/>
    <m/>
    <n v="3428.5714285714284"/>
    <n v="336.83148335015136"/>
    <n v="10.86"/>
    <n v="9.91"/>
    <n v="0.95"/>
    <n v="8.75"/>
    <n v="1062"/>
    <n v="3338"/>
    <n v="3.14"/>
    <n v="11.53"/>
    <n v="289.58"/>
    <n v="6.15"/>
    <n v="6.48"/>
    <n v="283.43"/>
    <n v="28.61"/>
    <n v="7615"/>
    <n v="99868"/>
    <n v="287948"/>
    <n v="0.3"/>
    <n v="0"/>
    <n v="235.7"/>
  </r>
  <r>
    <x v="32"/>
    <x v="1"/>
    <s v="Não operacional"/>
    <s v="ES 0101"/>
    <x v="0"/>
    <s v="Em manutenção"/>
    <m/>
    <m/>
    <n v="0"/>
    <n v="1.79"/>
    <n v="0.69"/>
    <n v="1.1000000000000001"/>
    <n v="61.59"/>
    <n v="5"/>
    <n v="0"/>
    <n v="0"/>
    <n v="0"/>
    <n v="18.45"/>
    <n v="5.2"/>
    <n v="4.7300000000000004"/>
    <n v="13.25"/>
    <n v="19.309999999999999"/>
    <n v="6317.35"/>
    <n v="393901"/>
    <n v="1387045"/>
    <n v="0"/>
    <n v="0"/>
    <n v="45.3"/>
  </r>
  <r>
    <x v="32"/>
    <x v="5"/>
    <s v="Em operação"/>
    <s v="ES 0110"/>
    <x v="6"/>
    <m/>
    <m/>
    <m/>
    <n v="27.311522048364154"/>
    <n v="7.48"/>
    <n v="7.03"/>
    <n v="0.45"/>
    <n v="6.02"/>
    <n v="109"/>
    <n v="192"/>
    <n v="1.76"/>
    <n v="3.79"/>
    <n v="50.63"/>
    <n v="2.84"/>
    <n v="6.31"/>
    <n v="47.79"/>
    <n v="6.8"/>
    <n v="2142.08"/>
    <n v="127618"/>
    <n v="238895"/>
    <n v="2.1"/>
    <n v="0.02"/>
    <n v="297.39999999999998"/>
  </r>
  <r>
    <x v="32"/>
    <x v="5"/>
    <s v="Em operação"/>
    <s v="ES 0116"/>
    <x v="2"/>
    <m/>
    <m/>
    <n v="3000"/>
    <n v="562.63345195729539"/>
    <n v="10.029999999999999"/>
    <n v="8.43"/>
    <n v="1.6"/>
    <n v="15.95"/>
    <n v="1068"/>
    <n v="4743"/>
    <n v="4.4400000000000004"/>
    <n v="13.84"/>
    <n v="342.58"/>
    <n v="8.0399999999999991"/>
    <n v="5.03"/>
    <n v="334.54"/>
    <n v="39.69"/>
    <n v="1667.32"/>
    <n v="158780"/>
    <n v="543985"/>
    <n v="0"/>
    <n v="0"/>
    <n v="4.7"/>
  </r>
  <r>
    <x v="32"/>
    <x v="5"/>
    <s v="Em operação"/>
    <s v="ES 0126"/>
    <x v="2"/>
    <m/>
    <m/>
    <n v="3000"/>
    <n v="411.74825174825173"/>
    <n v="8.4499999999999993"/>
    <n v="7.15"/>
    <n v="1.3"/>
    <n v="15.39"/>
    <n v="1227"/>
    <n v="2944"/>
    <n v="2.4"/>
    <n v="17.98"/>
    <n v="163.72"/>
    <n v="5.2"/>
    <n v="4"/>
    <n v="158.51"/>
    <n v="22.18"/>
    <n v="603.20000000000005"/>
    <n v="55926"/>
    <n v="113408"/>
    <n v="1.5"/>
    <n v="0"/>
    <n v="50.6"/>
  </r>
  <r>
    <x v="32"/>
    <x v="5"/>
    <s v="Em operação"/>
    <m/>
    <x v="2"/>
    <m/>
    <m/>
    <n v="6000"/>
    <m/>
    <m/>
    <m/>
    <m/>
    <m/>
    <m/>
    <m/>
    <m/>
    <m/>
    <m/>
    <m/>
    <m/>
    <m/>
    <m/>
    <m/>
    <m/>
    <m/>
    <m/>
    <m/>
    <m/>
  </r>
  <r>
    <x v="33"/>
    <x v="5"/>
    <s v="Em operação"/>
    <s v="ES 0096"/>
    <x v="2"/>
    <n v="0"/>
    <m/>
    <n v="3000"/>
    <n v="318.63117870722436"/>
    <n v="5.71"/>
    <n v="5.26"/>
    <n v="0.45"/>
    <n v="7.88"/>
    <n v="875"/>
    <n v="1676"/>
    <n v="1.92"/>
    <n v="14.46"/>
    <n v="115.93"/>
    <n v="1.89"/>
    <n v="4.21"/>
    <n v="114.04"/>
    <n v="21.68"/>
    <n v="9040.7900000000009"/>
    <n v="71697"/>
    <n v="105687"/>
    <n v="0.2"/>
    <n v="0"/>
    <n v="281.10000000000002"/>
  </r>
  <r>
    <x v="33"/>
    <x v="5"/>
    <s v="Em operação"/>
    <s v="ES 0097"/>
    <x v="1"/>
    <m/>
    <m/>
    <m/>
    <n v="0"/>
    <n v="6.19"/>
    <n v="5.04"/>
    <n v="1.1499999999999999"/>
    <n v="18.57"/>
    <s v=""/>
    <s v=""/>
    <s v=""/>
    <s v=""/>
    <n v="102.68"/>
    <n v="5.2"/>
    <n v="4.53"/>
    <n v="97.47"/>
    <n v="19.32"/>
    <n v="8598.73"/>
    <s v=""/>
    <s v=""/>
    <n v="0.3"/>
    <s v=""/>
    <n v="224.9"/>
  </r>
  <r>
    <x v="33"/>
    <x v="1"/>
    <s v="Não operacional"/>
    <s v="ES 0099"/>
    <x v="2"/>
    <s v="Em manutenção"/>
    <m/>
    <m/>
    <n v="0"/>
    <n v="0.76"/>
    <n v="0.46"/>
    <n v="0.3"/>
    <n v="39.49"/>
    <n v="1"/>
    <n v="0"/>
    <n v="0"/>
    <n v="0"/>
    <n v="13.72"/>
    <n v="1.89"/>
    <n v="6.31"/>
    <n v="11.83"/>
    <n v="25.73"/>
    <n v="7615.76"/>
    <n v="99869"/>
    <n v="287948"/>
    <n v="0.2"/>
    <n v="0.2"/>
    <n v="235.9"/>
  </r>
  <r>
    <x v="33"/>
    <x v="5"/>
    <s v="Em operação"/>
    <s v="ES 0101"/>
    <x v="0"/>
    <n v="1294"/>
    <m/>
    <n v="3428.5714285714284"/>
    <n v="479.0322580645161"/>
    <n v="3.6"/>
    <n v="3.1"/>
    <n v="0.5"/>
    <n v="13.88"/>
    <n v="327"/>
    <n v="1485"/>
    <n v="4.54"/>
    <n v="12.36"/>
    <n v="120.19"/>
    <n v="2.84"/>
    <n v="5.68"/>
    <n v="117.35"/>
    <n v="37.83"/>
    <n v="6320.95"/>
    <n v="394228"/>
    <n v="1388530"/>
    <n v="0.1"/>
    <n v="0"/>
    <n v="45.4"/>
  </r>
  <r>
    <x v="33"/>
    <x v="5"/>
    <s v="Em operação"/>
    <s v="ES 0110"/>
    <x v="2"/>
    <m/>
    <m/>
    <n v="3000"/>
    <n v="329.38144329896903"/>
    <n v="5.82"/>
    <n v="5.82"/>
    <n v="0"/>
    <n v="0"/>
    <n v="0"/>
    <n v="1917"/>
    <s v=""/>
    <s v=""/>
    <n v="0"/>
    <n v="0"/>
    <s v=""/>
    <n v="0"/>
    <n v="0"/>
    <n v="2147.91"/>
    <n v="127618"/>
    <n v="238895"/>
    <n v="1.2"/>
    <s v=""/>
    <n v="298.60000000000002"/>
  </r>
  <r>
    <x v="33"/>
    <x v="5"/>
    <s v="Em operação"/>
    <s v="ES 0116"/>
    <x v="2"/>
    <m/>
    <m/>
    <n v="3000"/>
    <n v="520.12987012987014"/>
    <n v="7.21"/>
    <n v="6.16"/>
    <n v="1.05"/>
    <n v="14.55"/>
    <n v="741"/>
    <n v="3204"/>
    <n v="4.32"/>
    <n v="13.02"/>
    <n v="246.05"/>
    <n v="5.68"/>
    <n v="5.41"/>
    <n v="240.37"/>
    <n v="39"/>
    <n v="1674.53"/>
    <n v="159521"/>
    <n v="547189"/>
    <n v="0"/>
    <n v="0"/>
    <n v="4.7"/>
  </r>
  <r>
    <x v="33"/>
    <x v="5"/>
    <s v="Em operação"/>
    <s v="ES 0126"/>
    <x v="2"/>
    <m/>
    <m/>
    <n v="3000"/>
    <n v="388.00738007380073"/>
    <n v="6.22"/>
    <n v="5.42"/>
    <n v="0.8"/>
    <n v="12.85"/>
    <n v="945"/>
    <n v="2103"/>
    <n v="2.23"/>
    <n v="17.16"/>
    <n v="122.55"/>
    <n v="3.79"/>
    <n v="4.7300000000000004"/>
    <n v="118.77"/>
    <n v="21.9"/>
    <n v="609.42999999999995"/>
    <n v="56871"/>
    <n v="115511"/>
    <n v="1.7"/>
    <n v="0"/>
    <n v="52.3"/>
  </r>
  <r>
    <x v="33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4"/>
    <x v="1"/>
    <s v="Não operacional"/>
    <s v="ES 0096"/>
    <x v="2"/>
    <n v="0"/>
    <m/>
    <m/>
    <m/>
    <m/>
    <m/>
    <m/>
    <m/>
    <m/>
    <m/>
    <m/>
    <m/>
    <m/>
    <m/>
    <m/>
    <m/>
    <m/>
    <n v="9042.49"/>
    <n v="71719"/>
    <n v="105692"/>
    <n v="1.2"/>
    <n v="0.05"/>
    <n v="282.3"/>
  </r>
  <r>
    <x v="34"/>
    <x v="1"/>
    <s v="Não operacional"/>
    <s v="ES 0097"/>
    <x v="1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615.76"/>
    <n v="99869"/>
    <n v="287948"/>
    <n v="0"/>
    <s v=""/>
    <n v="235.9"/>
  </r>
  <r>
    <x v="34"/>
    <x v="5"/>
    <s v="Em operação"/>
    <s v="ES 0101"/>
    <x v="0"/>
    <n v="1152"/>
    <m/>
    <n v="3428.5714285714284"/>
    <n v="309.7713097713098"/>
    <n v="5.96"/>
    <n v="4.8099999999999996"/>
    <n v="1.1499999999999999"/>
    <n v="19.29"/>
    <n v="381"/>
    <n v="1490"/>
    <n v="3.91"/>
    <n v="8.16"/>
    <n v="182.65"/>
    <n v="6.62"/>
    <n v="5.76"/>
    <n v="176.02"/>
    <n v="36.58"/>
    <n v="6326.91"/>
    <n v="394609"/>
    <n v="1390020"/>
    <n v="0.1"/>
    <n v="0"/>
    <n v="45.5"/>
  </r>
  <r>
    <x v="34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s v="Não operacional"/>
    <s v="ES 0126"/>
    <x v="2"/>
    <m/>
    <m/>
    <m/>
    <n v="0"/>
    <n v="0"/>
    <n v="0"/>
    <n v="0"/>
    <s v=""/>
    <n v="0"/>
    <n v="0"/>
    <s v=""/>
    <s v=""/>
    <n v="0"/>
    <n v="0"/>
    <s v=""/>
    <n v="0"/>
    <s v=""/>
    <n v="609.42999999999995"/>
    <n v="56871"/>
    <n v="115511"/>
    <n v="0"/>
    <s v=""/>
    <n v="52.3"/>
  </r>
  <r>
    <x v="35"/>
    <x v="1"/>
    <s v="Não operacional"/>
    <s v="ES 0097"/>
    <x v="2"/>
    <m/>
    <s v="Em Manutenção"/>
    <m/>
    <n v="0"/>
    <n v="7.16"/>
    <n v="5.66"/>
    <n v="1.5"/>
    <n v="20.96"/>
    <s v=""/>
    <s v="-"/>
    <s v=""/>
    <s v=""/>
    <n v="115.93"/>
    <n v="6.62"/>
    <n v="4.42"/>
    <n v="109.3"/>
    <n v="19.32"/>
    <n v="8605.89"/>
    <s v=""/>
    <s v=""/>
    <n v="0.6"/>
    <s v=""/>
    <n v="225.5"/>
  </r>
  <r>
    <x v="35"/>
    <x v="6"/>
    <s v="Em operação"/>
    <s v="ES 0096"/>
    <x v="1"/>
    <m/>
    <m/>
    <m/>
    <n v="87.914230019493175"/>
    <n v="6.03"/>
    <n v="5.13"/>
    <n v="0.9"/>
    <n v="14.93"/>
    <n v="242"/>
    <n v="451"/>
    <n v="1.86"/>
    <n v="4.84"/>
    <n v="93.22"/>
    <n v="3.79"/>
    <n v="4.21"/>
    <n v="89.43"/>
    <n v="17.440000000000001"/>
    <n v="9048.52"/>
    <n v="71961"/>
    <n v="106143"/>
    <n v="1"/>
    <n v="0"/>
    <n v="283.3"/>
  </r>
  <r>
    <x v="35"/>
    <x v="6"/>
    <s v="Em operação"/>
    <s v="ES 0110"/>
    <x v="2"/>
    <m/>
    <m/>
    <n v="3000"/>
    <n v="170.82728592162556"/>
    <n v="8.64"/>
    <n v="6.89"/>
    <n v="1.75"/>
    <n v="20.260000000000002"/>
    <n v="697"/>
    <n v="1177"/>
    <n v="1.69"/>
    <n v="8"/>
    <n v="147.16"/>
    <n v="6.62"/>
    <n v="3.79"/>
    <n v="140.53"/>
    <n v="20.41"/>
    <n v="2156.54"/>
    <n v="129624"/>
    <n v="243036"/>
    <n v="0.2"/>
    <n v="0"/>
    <n v="298.89999999999998"/>
  </r>
  <r>
    <x v="35"/>
    <x v="6"/>
    <s v="Em operação"/>
    <s v="ES 0126"/>
    <x v="2"/>
    <m/>
    <m/>
    <n v="3000"/>
    <n v="419.9728260869565"/>
    <n v="8.41"/>
    <n v="7.36"/>
    <n v="1.05"/>
    <n v="12.48"/>
    <n v="1259"/>
    <n v="3091"/>
    <n v="2.46"/>
    <n v="18.350000000000001"/>
    <n v="168.45"/>
    <n v="4.7300000000000004"/>
    <n v="4.51"/>
    <n v="163.72"/>
    <n v="22.24"/>
    <n v="617.84"/>
    <n v="58130"/>
    <n v="118602"/>
    <n v="2"/>
    <n v="0"/>
    <n v="54.3"/>
  </r>
  <r>
    <x v="35"/>
    <x v="6"/>
    <s v="Em operação"/>
    <s v="ES 0099"/>
    <x v="2"/>
    <m/>
    <m/>
    <n v="3000"/>
    <n v="0"/>
    <n v="0.24"/>
    <n v="0.19"/>
    <n v="0.05"/>
    <n v="20.43"/>
    <n v="2"/>
    <n v="0"/>
    <n v="0"/>
    <n v="0"/>
    <n v="3.31"/>
    <n v="0.95"/>
    <n v="18.93"/>
    <n v="2.37"/>
    <n v="12.15"/>
    <n v="7616.01"/>
    <n v="99871"/>
    <n v="287948"/>
    <n v="0"/>
    <n v="0"/>
    <n v="235.9"/>
  </r>
  <r>
    <x v="35"/>
    <x v="6"/>
    <s v="Em operação"/>
    <s v="ES 0101"/>
    <x v="0"/>
    <n v="1875"/>
    <m/>
    <n v="4000"/>
    <n v="320.59496567505721"/>
    <n v="10.54"/>
    <n v="8.74"/>
    <n v="1.8"/>
    <n v="17.079999999999998"/>
    <n v="744"/>
    <n v="2802"/>
    <n v="3.77"/>
    <n v="8.57"/>
    <n v="326.95999999999998"/>
    <n v="9.4600000000000009"/>
    <n v="5.26"/>
    <n v="317.5"/>
    <n v="36.33"/>
    <n v="6337.45"/>
    <n v="395353"/>
    <n v="1392822"/>
    <n v="0.1"/>
    <n v="0"/>
    <n v="45.6"/>
  </r>
  <r>
    <x v="35"/>
    <x v="6"/>
    <s v="Em operação"/>
    <s v="ES 0116"/>
    <x v="2"/>
    <m/>
    <m/>
    <n v="3000"/>
    <n v="432.6283987915408"/>
    <n v="8.4700000000000006"/>
    <n v="6.62"/>
    <n v="1.85"/>
    <n v="21.84"/>
    <n v="882"/>
    <n v="2864"/>
    <n v="3.25"/>
    <n v="10.53"/>
    <n v="272.08"/>
    <n v="8.52"/>
    <n v="4.5999999999999996"/>
    <n v="263.56"/>
    <n v="39.81"/>
    <n v="1683"/>
    <n v="160403"/>
    <n v="550053"/>
    <n v="0.1"/>
    <n v="0"/>
    <n v="4.8"/>
  </r>
  <r>
    <x v="35"/>
    <x v="6"/>
    <s v="Em operação"/>
    <m/>
    <x v="2"/>
    <m/>
    <m/>
    <m/>
    <m/>
    <m/>
    <m/>
    <m/>
    <m/>
    <m/>
    <m/>
    <m/>
    <m/>
    <m/>
    <m/>
    <m/>
    <m/>
    <m/>
    <m/>
    <m/>
    <m/>
    <m/>
    <m/>
    <m/>
  </r>
  <r>
    <x v="36"/>
    <x v="6"/>
    <s v="Em operação"/>
    <s v="ES 0097"/>
    <x v="2"/>
    <m/>
    <m/>
    <n v="3000"/>
    <n v="189.4736842105263"/>
    <n v="6.45"/>
    <n v="5.7"/>
    <n v="0.75"/>
    <n v="11.64"/>
    <s v=""/>
    <n v="1080"/>
    <s v=""/>
    <s v=""/>
    <n v="122.08"/>
    <n v="3.79"/>
    <n v="5.05"/>
    <n v="118.29"/>
    <n v="20.77"/>
    <n v="8612.33"/>
    <s v=""/>
    <s v=""/>
    <n v="1.3"/>
    <s v=""/>
    <n v="226.8"/>
  </r>
  <r>
    <x v="36"/>
    <x v="6"/>
    <s v="Em operação"/>
    <s v="ES 0096"/>
    <x v="1"/>
    <m/>
    <m/>
    <m/>
    <n v="120.78313253012048"/>
    <n v="4.37"/>
    <n v="3.32"/>
    <n v="1.05"/>
    <n v="24.05"/>
    <n v="330"/>
    <n v="401"/>
    <n v="1.22"/>
    <n v="5.84"/>
    <n v="68.61"/>
    <n v="4.26"/>
    <n v="4.0599999999999996"/>
    <n v="64.349999999999994"/>
    <n v="19.399999999999999"/>
    <n v="9052.8799999999992"/>
    <n v="72291"/>
    <n v="106544"/>
    <n v="0"/>
    <n v="0"/>
    <n v="283.3"/>
  </r>
  <r>
    <x v="36"/>
    <x v="6"/>
    <s v="Em operação"/>
    <s v="ES 0110"/>
    <x v="2"/>
    <m/>
    <m/>
    <n v="3000"/>
    <n v="182.75862068965517"/>
    <n v="1.1299999999999999"/>
    <n v="0.57999999999999996"/>
    <n v="0.55000000000000004"/>
    <n v="48.79"/>
    <n v="60"/>
    <n v="106"/>
    <n v="1.77"/>
    <n v="7.47"/>
    <n v="14.2"/>
    <n v="2.37"/>
    <n v="4.3"/>
    <n v="11.83"/>
    <n v="20.49"/>
    <n v="2157.67"/>
    <n v="129684"/>
    <n v="243142"/>
    <n v="0.2"/>
    <n v="0"/>
    <n v="299.10000000000002"/>
  </r>
  <r>
    <x v="36"/>
    <x v="6"/>
    <s v="Em operação"/>
    <s v="ES 0126"/>
    <x v="2"/>
    <m/>
    <m/>
    <n v="3000"/>
    <n v="421.94805194805195"/>
    <n v="8.8000000000000007"/>
    <n v="7.7"/>
    <n v="1.1000000000000001"/>
    <n v="12.5"/>
    <n v="1369"/>
    <n v="3249"/>
    <n v="2.37"/>
    <n v="18.760000000000002"/>
    <n v="173.18"/>
    <n v="4.7300000000000004"/>
    <n v="4.3"/>
    <n v="168.45"/>
    <n v="21.88"/>
    <n v="626.64"/>
    <n v="59499"/>
    <n v="121851"/>
    <n v="0.8"/>
    <n v="0"/>
    <n v="55.1"/>
  </r>
  <r>
    <x v="36"/>
    <x v="6"/>
    <s v="Em operação"/>
    <s v="ES 0099"/>
    <x v="2"/>
    <m/>
    <m/>
    <n v="3000"/>
    <n v="101.12781954887218"/>
    <n v="3.66"/>
    <n v="2.66"/>
    <n v="1"/>
    <n v="27.33"/>
    <n v="172"/>
    <n v="269"/>
    <n v="1.56"/>
    <n v="3.14"/>
    <n v="85.64"/>
    <n v="4.7300000000000004"/>
    <n v="4.7300000000000004"/>
    <n v="80.91"/>
    <n v="30.43"/>
    <n v="7619.67"/>
    <n v="100043"/>
    <n v="288217"/>
    <n v="0.1"/>
    <n v="0"/>
    <n v="236"/>
  </r>
  <r>
    <x v="36"/>
    <x v="6"/>
    <s v="Em operação"/>
    <s v="ES 0101"/>
    <x v="0"/>
    <n v="2021"/>
    <m/>
    <n v="4000"/>
    <n v="348.21428571428572"/>
    <n v="8.32"/>
    <n v="6.72"/>
    <n v="1.6"/>
    <n v="19.23"/>
    <n v="573"/>
    <n v="2340"/>
    <n v="4.08"/>
    <n v="9.1199999999999992"/>
    <n v="256.45999999999998"/>
    <n v="8.52"/>
    <n v="5.32"/>
    <n v="247.94"/>
    <n v="36.9"/>
    <n v="6345.77"/>
    <n v="395926"/>
    <n v="1395162"/>
    <n v="0.2"/>
    <n v="0"/>
    <n v="45.8"/>
  </r>
  <r>
    <x v="36"/>
    <x v="6"/>
    <s v="Em operação"/>
    <s v="ES 0116"/>
    <x v="2"/>
    <m/>
    <m/>
    <n v="3000"/>
    <n v="485.84905660377359"/>
    <n v="6.9"/>
    <n v="5.3"/>
    <n v="1.6"/>
    <n v="23.18"/>
    <n v="764"/>
    <n v="2575"/>
    <n v="3.37"/>
    <n v="11.83"/>
    <n v="217.66"/>
    <n v="7.57"/>
    <n v="4.7300000000000004"/>
    <n v="210.09"/>
    <n v="39.61"/>
    <n v="1689.9"/>
    <n v="161167"/>
    <n v="552628"/>
    <n v="0"/>
    <n v="0"/>
    <n v="4.8"/>
  </r>
  <r>
    <x v="37"/>
    <x v="1"/>
    <s v="Não operacional"/>
    <s v="ES 0097"/>
    <x v="2"/>
    <m/>
    <s v="Em Manutenção"/>
    <m/>
    <n v="0"/>
    <n v="0.93"/>
    <n v="0.18"/>
    <n v="0.75"/>
    <n v="80.790000000000006"/>
    <s v=""/>
    <n v="0"/>
    <s v=""/>
    <s v=""/>
    <n v="5.68"/>
    <n v="3.31"/>
    <n v="4.42"/>
    <n v="2.37"/>
    <n v="13.27"/>
    <n v="8613.26"/>
    <s v=""/>
    <s v=""/>
    <n v="0"/>
    <s v=""/>
    <n v="226.8"/>
  </r>
  <r>
    <x v="37"/>
    <x v="1"/>
    <s v="Não operacional"/>
    <s v="ES 0096"/>
    <x v="1"/>
    <m/>
    <s v="Em Manutenção"/>
    <m/>
    <n v="0"/>
    <n v="2.68"/>
    <n v="0.57999999999999996"/>
    <n v="2.1"/>
    <n v="78.45"/>
    <n v="19"/>
    <n v="0"/>
    <n v="0"/>
    <n v="0"/>
    <n v="14.67"/>
    <n v="8.0399999999999991"/>
    <n v="3.83"/>
    <n v="6.62"/>
    <n v="11.49"/>
    <n v="9055.56"/>
    <n v="72310"/>
    <n v="106544"/>
    <n v="0"/>
    <n v="0"/>
    <n v="283.3"/>
  </r>
  <r>
    <x v="37"/>
    <x v="6"/>
    <s v="Em operação"/>
    <s v="ES 0110"/>
    <x v="2"/>
    <m/>
    <m/>
    <n v="3000"/>
    <n v="38.84297520661157"/>
    <n v="7.6"/>
    <n v="6.05"/>
    <n v="1.55"/>
    <n v="20.399999999999999"/>
    <n v="133"/>
    <n v="235"/>
    <n v="1.77"/>
    <n v="1.77"/>
    <n v="132.96"/>
    <n v="6.15"/>
    <n v="3.97"/>
    <n v="126.81"/>
    <n v="20.97"/>
    <n v="2165.27"/>
    <n v="129817"/>
    <n v="243377"/>
    <n v="1.4"/>
    <n v="0.01"/>
    <n v="300.5"/>
  </r>
  <r>
    <x v="37"/>
    <x v="6"/>
    <s v="Em operação"/>
    <s v="ES 0126"/>
    <x v="2"/>
    <m/>
    <m/>
    <n v="3000"/>
    <n v="375.58139534883719"/>
    <n v="7.68"/>
    <n v="6.88"/>
    <n v="0.8"/>
    <n v="10.41"/>
    <n v="1054"/>
    <n v="2584"/>
    <n v="2.4500000000000002"/>
    <n v="16.55"/>
    <n v="156.15"/>
    <n v="3.79"/>
    <n v="4.7300000000000004"/>
    <n v="152.36000000000001"/>
    <n v="22.14"/>
    <n v="634.32000000000005"/>
    <n v="60553"/>
    <n v="124435"/>
    <n v="0.5"/>
    <n v="0"/>
    <n v="55.6"/>
  </r>
  <r>
    <x v="37"/>
    <x v="6"/>
    <s v="Em operação"/>
    <s v="ES 0099"/>
    <x v="2"/>
    <m/>
    <m/>
    <n v="3000"/>
    <n v="277.61732851985556"/>
    <n v="9.01"/>
    <n v="8.31"/>
    <n v="0.7"/>
    <n v="7.77"/>
    <n v="894"/>
    <n v="2307"/>
    <n v="2.58"/>
    <n v="8.74"/>
    <n v="264.02999999999997"/>
    <n v="4.7300000000000004"/>
    <n v="6.76"/>
    <n v="259.3"/>
    <n v="31.19"/>
    <n v="7628.68"/>
    <n v="100937"/>
    <n v="290524"/>
    <n v="1.9"/>
    <n v="0"/>
    <n v="237.9"/>
  </r>
  <r>
    <x v="37"/>
    <x v="6"/>
    <s v="Em operação"/>
    <s v="ES 0101"/>
    <x v="0"/>
    <n v="2400"/>
    <m/>
    <n v="4000"/>
    <n v="493.5946462715105"/>
    <n v="11.56"/>
    <n v="10.46"/>
    <n v="1.1000000000000001"/>
    <n v="9.51"/>
    <n v="1339"/>
    <n v="5163"/>
    <n v="3.86"/>
    <n v="12.34"/>
    <n v="418.29"/>
    <n v="6.15"/>
    <n v="5.59"/>
    <n v="412.14"/>
    <n v="39.39"/>
    <n v="6357.33"/>
    <n v="397265"/>
    <n v="1400325"/>
    <n v="0.2"/>
    <n v="0"/>
    <n v="46"/>
  </r>
  <r>
    <x v="37"/>
    <x v="6"/>
    <s v="Em operação"/>
    <s v="ES 0116"/>
    <x v="2"/>
    <m/>
    <m/>
    <n v="3000"/>
    <n v="555.76208178438662"/>
    <n v="9.17"/>
    <n v="8.07"/>
    <n v="1.1000000000000001"/>
    <n v="12"/>
    <n v="1406"/>
    <n v="4485"/>
    <n v="3.19"/>
    <n v="13.28"/>
    <n v="337.85"/>
    <n v="4.26"/>
    <n v="3.87"/>
    <n v="333.59"/>
    <n v="41.35"/>
    <n v="1699.07"/>
    <n v="162573"/>
    <n v="557113"/>
    <n v="0"/>
    <n v="0"/>
    <n v="4.8"/>
  </r>
  <r>
    <x v="37"/>
    <x v="6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8"/>
    <x v="6"/>
    <s v="Em operação"/>
    <s v="ES 0097"/>
    <x v="2"/>
    <m/>
    <m/>
    <n v="3000"/>
    <n v="288.08172531214529"/>
    <n v="9.4600000000000009"/>
    <n v="8.81"/>
    <n v="0.65"/>
    <n v="6.87"/>
    <s v=""/>
    <n v="2538"/>
    <s v=""/>
    <s v=""/>
    <n v="194"/>
    <n v="2.84"/>
    <n v="4.37"/>
    <n v="191.16"/>
    <n v="21.7"/>
    <n v="8622.7199999999993"/>
    <s v=""/>
    <s v=""/>
    <n v="0.1"/>
    <s v=""/>
    <n v="226.9"/>
  </r>
  <r>
    <x v="38"/>
    <x v="1"/>
    <s v="Não operacional"/>
    <s v="ES 0096"/>
    <x v="1"/>
    <m/>
    <s v="Em Manutenção"/>
    <m/>
    <n v="0"/>
    <n v="0.24"/>
    <n v="0.04"/>
    <n v="0.2"/>
    <n v="84.42"/>
    <n v="0"/>
    <n v="0"/>
    <s v=""/>
    <n v="0"/>
    <n v="0.95"/>
    <n v="0.95"/>
    <n v="4.7300000000000004"/>
    <n v="0"/>
    <n v="0"/>
    <n v="9055.7999999999993"/>
    <n v="72310"/>
    <n v="106544"/>
    <n v="0"/>
    <s v=""/>
    <n v="283.3"/>
  </r>
  <r>
    <x v="38"/>
    <x v="6"/>
    <s v="Em operação"/>
    <s v="ES 0110"/>
    <x v="2"/>
    <m/>
    <m/>
    <n v="3000"/>
    <n v="380.96723868954757"/>
    <n v="7.16"/>
    <n v="6.41"/>
    <n v="0.75"/>
    <n v="10.48"/>
    <n v="1527"/>
    <n v="2442"/>
    <n v="1.6"/>
    <n v="17.8"/>
    <n v="137.22"/>
    <n v="2.37"/>
    <n v="3.15"/>
    <n v="134.86000000000001"/>
    <n v="21.05"/>
    <n v="2172.42"/>
    <n v="131344"/>
    <n v="245819"/>
    <n v="0.3"/>
    <n v="0"/>
    <n v="300.8"/>
  </r>
  <r>
    <x v="38"/>
    <x v="6"/>
    <s v="Em operação"/>
    <s v="ES 0126"/>
    <x v="2"/>
    <m/>
    <m/>
    <n v="3000"/>
    <n v="399.8783454987834"/>
    <n v="8.9700000000000006"/>
    <n v="8.2200000000000006"/>
    <n v="0.75"/>
    <n v="8.36"/>
    <n v="1307"/>
    <n v="3287"/>
    <n v="2.5099999999999998"/>
    <n v="18.62"/>
    <n v="176.49"/>
    <n v="2.37"/>
    <n v="3.15"/>
    <n v="174.13"/>
    <n v="21.19"/>
    <n v="643.28"/>
    <n v="61860"/>
    <n v="127722"/>
    <n v="0.7"/>
    <n v="0"/>
    <n v="56.3"/>
  </r>
  <r>
    <x v="38"/>
    <x v="6"/>
    <s v="Em operação"/>
    <s v="ES 0099"/>
    <x v="2"/>
    <m/>
    <m/>
    <n v="3000"/>
    <n v="416.46778042959426"/>
    <n v="6.84"/>
    <n v="4.1900000000000004"/>
    <n v="2.65"/>
    <n v="38.74"/>
    <n v="516"/>
    <n v="1745"/>
    <n v="3.38"/>
    <n v="12.63"/>
    <n v="138.16999999999999"/>
    <n v="13.25"/>
    <n v="5"/>
    <n v="124.92"/>
    <n v="29.81"/>
    <n v="7635.52"/>
    <n v="101453"/>
    <n v="292269"/>
    <n v="0"/>
    <n v="0"/>
    <n v="237.9"/>
  </r>
  <r>
    <x v="38"/>
    <x v="6"/>
    <s v="Em operação"/>
    <s v="ES 0101"/>
    <x v="0"/>
    <n v="2120"/>
    <m/>
    <n v="4000"/>
    <n v="390.89692101740297"/>
    <n v="9.4700000000000006"/>
    <n v="7.47"/>
    <n v="2"/>
    <n v="21.11"/>
    <n v="733"/>
    <n v="2920"/>
    <n v="3.98"/>
    <n v="10.02"/>
    <n v="291.48"/>
    <n v="10.41"/>
    <n v="5.2"/>
    <n v="281.07"/>
    <n v="37.6"/>
    <n v="6366.81"/>
    <n v="397998"/>
    <n v="1403245"/>
    <n v="0.2"/>
    <n v="0"/>
    <n v="46.2"/>
  </r>
  <r>
    <x v="38"/>
    <x v="6"/>
    <s v="Em operação"/>
    <s v="ES 0116"/>
    <x v="2"/>
    <m/>
    <m/>
    <n v="3000"/>
    <n v="601.62337662337666"/>
    <n v="10.34"/>
    <n v="9.24"/>
    <n v="1.1000000000000001"/>
    <n v="10.63"/>
    <n v="1446"/>
    <n v="5559"/>
    <n v="3.84"/>
    <n v="14.52"/>
    <n v="382.8"/>
    <n v="5.68"/>
    <n v="5.16"/>
    <n v="377.12"/>
    <n v="40.799999999999997"/>
    <n v="1709.42"/>
    <n v="164019"/>
    <n v="562672"/>
    <n v="0"/>
    <n v="0"/>
    <n v="4.8"/>
  </r>
  <r>
    <x v="39"/>
    <x v="1"/>
    <s v="Não operacional"/>
    <s v="ES 0097"/>
    <x v="2"/>
    <m/>
    <s v="Em Manutenção"/>
    <m/>
    <n v="0"/>
    <n v="5.86"/>
    <n v="5.01"/>
    <n v="0.85"/>
    <n v="14.5"/>
    <s v=""/>
    <n v="0"/>
    <s v=""/>
    <s v=""/>
    <n v="106.94"/>
    <n v="3.31"/>
    <n v="3.9"/>
    <n v="103.63"/>
    <n v="20.67"/>
    <n v="8628.58"/>
    <s v=""/>
    <s v=""/>
    <n v="0.4"/>
    <s v=""/>
    <n v="227.3"/>
  </r>
  <r>
    <x v="39"/>
    <x v="1"/>
    <s v="Não operacional"/>
    <s v="ES 0096"/>
    <x v="1"/>
    <m/>
    <s v="Em Manutenção"/>
    <m/>
    <n v="0"/>
    <n v="2.6"/>
    <n v="1.35"/>
    <n v="1.25"/>
    <n v="47.99"/>
    <n v="4"/>
    <n v="0"/>
    <n v="0"/>
    <n v="0"/>
    <n v="26.02"/>
    <n v="4.7300000000000004"/>
    <n v="3.79"/>
    <n v="21.29"/>
    <n v="15.72"/>
    <n v="9058.4"/>
    <n v="72314"/>
    <n v="106544"/>
    <n v="0.1"/>
    <n v="0.02"/>
    <n v="283.39999999999998"/>
  </r>
  <r>
    <x v="39"/>
    <x v="6"/>
    <s v="Em operação"/>
    <s v="ES 0110"/>
    <x v="2"/>
    <m/>
    <m/>
    <n v="3000"/>
    <n v="169.02887139107611"/>
    <n v="8.77"/>
    <n v="7.62"/>
    <n v="1.1499999999999999"/>
    <n v="13.11"/>
    <n v="773"/>
    <n v="1288"/>
    <n v="1.67"/>
    <n v="7.94"/>
    <n v="162.30000000000001"/>
    <n v="5.2"/>
    <n v="4.53"/>
    <n v="157.09"/>
    <n v="20.62"/>
    <n v="2181.19"/>
    <n v="132117"/>
    <n v="247107"/>
    <n v="1.4"/>
    <n v="0"/>
    <n v="302.2"/>
  </r>
  <r>
    <x v="39"/>
    <x v="6"/>
    <s v="Em operação"/>
    <s v="ES 0126"/>
    <x v="2"/>
    <m/>
    <m/>
    <n v="3000"/>
    <n v="383.29207920792078"/>
    <n v="8.73"/>
    <n v="8.08"/>
    <n v="0.65"/>
    <n v="7.45"/>
    <n v="1186"/>
    <n v="3097"/>
    <n v="2.61"/>
    <n v="17.93"/>
    <n v="172.71"/>
    <n v="2.84"/>
    <n v="4.37"/>
    <n v="169.87"/>
    <n v="21.03"/>
    <n v="652.01"/>
    <n v="63046"/>
    <n v="130819"/>
    <n v="1.1000000000000001"/>
    <n v="0"/>
    <n v="57.4"/>
  </r>
  <r>
    <x v="39"/>
    <x v="6"/>
    <s v="Em operação"/>
    <s v="ES 0099"/>
    <x v="2"/>
    <m/>
    <m/>
    <n v="3000"/>
    <n v="360.81081081081084"/>
    <n v="8.3699999999999992"/>
    <n v="5.92"/>
    <n v="2.4500000000000002"/>
    <n v="29.28"/>
    <n v="729"/>
    <n v="2136"/>
    <n v="2.93"/>
    <n v="11.26"/>
    <n v="189.74"/>
    <n v="11.36"/>
    <n v="4.6399999999999997"/>
    <n v="178.39"/>
    <n v="30.14"/>
    <n v="7643.89"/>
    <n v="102182"/>
    <n v="294405"/>
    <n v="0.5"/>
    <n v="0"/>
    <n v="238.4"/>
  </r>
  <r>
    <x v="39"/>
    <x v="6"/>
    <s v="Em operação"/>
    <s v="ES 0101"/>
    <x v="0"/>
    <n v="2164"/>
    <m/>
    <n v="4000"/>
    <n v="360.1685985247629"/>
    <n v="10.84"/>
    <n v="9.49"/>
    <n v="1.35"/>
    <n v="12.45"/>
    <n v="824"/>
    <n v="3418"/>
    <n v="4.1500000000000004"/>
    <n v="9.2100000000000009"/>
    <n v="370.97"/>
    <n v="7.57"/>
    <n v="5.61"/>
    <n v="363.4"/>
    <n v="38.28"/>
    <n v="6377.65"/>
    <n v="398822"/>
    <n v="1406663"/>
    <n v="0.1"/>
    <n v="0"/>
    <n v="46.3"/>
  </r>
  <r>
    <x v="39"/>
    <x v="6"/>
    <s v="Em operação"/>
    <s v="ES 0116"/>
    <x v="2"/>
    <m/>
    <m/>
    <n v="3000"/>
    <n v="459.07046476761622"/>
    <n v="7.92"/>
    <n v="6.67"/>
    <n v="1.25"/>
    <n v="15.78"/>
    <n v="946"/>
    <n v="3062"/>
    <n v="3.24"/>
    <n v="10.91"/>
    <n v="280.58999999999997"/>
    <n v="4.7300000000000004"/>
    <n v="3.79"/>
    <n v="275.86"/>
    <n v="41.35"/>
    <n v="1717.34"/>
    <n v="164965"/>
    <n v="565734"/>
    <n v="0"/>
    <n v="0"/>
    <n v="4.8"/>
  </r>
  <r>
    <x v="39"/>
    <x v="6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9"/>
    <x v="6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0"/>
    <x v="1"/>
    <s v="Não operacional"/>
    <s v="ES 0096"/>
    <x v="1"/>
    <m/>
    <s v="Em Manutenção"/>
    <m/>
    <n v="0"/>
    <n v="0.44"/>
    <n v="0.28999999999999998"/>
    <n v="0.15"/>
    <n v="33.729999999999997"/>
    <n v="0"/>
    <n v="0"/>
    <s v=""/>
    <n v="0"/>
    <n v="3.31"/>
    <n v="0.95"/>
    <n v="6.31"/>
    <n v="2.37"/>
    <n v="8.0299999999999994"/>
    <n v="9058.85"/>
    <n v="72314"/>
    <n v="106544"/>
    <n v="0"/>
    <s v=""/>
    <n v="283.39999999999998"/>
  </r>
  <r>
    <x v="40"/>
    <x v="6"/>
    <s v="Em operação"/>
    <s v="ES 0097"/>
    <x v="2"/>
    <m/>
    <m/>
    <n v="3000"/>
    <n v="467.70601336302894"/>
    <n v="5.34"/>
    <n v="4.49"/>
    <n v="0.85"/>
    <n v="15.91"/>
    <s v=""/>
    <n v="2100"/>
    <s v=""/>
    <s v=""/>
    <n v="96.53"/>
    <n v="4.26"/>
    <n v="5.01"/>
    <n v="92.27"/>
    <n v="20.54"/>
    <n v="8633.92"/>
    <s v=""/>
    <s v=""/>
    <n v="0.2"/>
    <s v=""/>
    <n v="227.5"/>
  </r>
  <r>
    <x v="40"/>
    <x v="6"/>
    <s v="Em operação"/>
    <s v="ES 0110"/>
    <x v="2"/>
    <m/>
    <m/>
    <n v="3000"/>
    <n v="208.38709677419354"/>
    <n v="5.85"/>
    <n v="4.6500000000000004"/>
    <n v="1.2"/>
    <n v="20.5"/>
    <n v="590"/>
    <n v="969"/>
    <n v="1.64"/>
    <n v="9.66"/>
    <n v="100.31"/>
    <n v="4.7300000000000004"/>
    <n v="3.94"/>
    <n v="95.58"/>
    <n v="20.54"/>
    <n v="2187.0500000000002"/>
    <n v="132707"/>
    <n v="248076"/>
    <n v="0.1"/>
    <n v="0"/>
    <n v="302.3"/>
  </r>
  <r>
    <x v="40"/>
    <x v="6"/>
    <s v="Em operação"/>
    <s v="ES 0126"/>
    <x v="2"/>
    <m/>
    <m/>
    <n v="3000"/>
    <n v="334.50184501845018"/>
    <n v="5.82"/>
    <n v="5.42"/>
    <n v="0.4"/>
    <n v="6.87"/>
    <n v="807"/>
    <n v="1813"/>
    <n v="2.25"/>
    <n v="15.51"/>
    <n v="116.87"/>
    <n v="1.89"/>
    <n v="4.7300000000000004"/>
    <n v="114.98"/>
    <n v="21.21"/>
    <n v="657.83"/>
    <n v="63853"/>
    <n v="132632"/>
    <n v="0.7"/>
    <n v="0"/>
    <n v="58.1"/>
  </r>
  <r>
    <x v="40"/>
    <x v="6"/>
    <s v="Em operação"/>
    <s v="ES 0101"/>
    <x v="0"/>
    <n v="1561"/>
    <m/>
    <n v="4000"/>
    <n v="353.07820299500833"/>
    <n v="7.31"/>
    <n v="6.01"/>
    <n v="1.3"/>
    <n v="17.79"/>
    <n v="514"/>
    <n v="2122"/>
    <n v="4.13"/>
    <n v="9.15"/>
    <n v="231.86"/>
    <n v="7.1"/>
    <n v="5.46"/>
    <n v="224.76"/>
    <n v="37.42"/>
    <n v="6384.96"/>
    <n v="399336"/>
    <n v="1408785"/>
    <n v="0.1"/>
    <n v="0"/>
    <n v="46.4"/>
  </r>
  <r>
    <x v="40"/>
    <x v="6"/>
    <s v="Em operação"/>
    <s v="ES 0099"/>
    <x v="2"/>
    <m/>
    <m/>
    <n v="3000"/>
    <n v="402.33463035019457"/>
    <n v="5.0199999999999996"/>
    <n v="2.57"/>
    <n v="2.4500000000000002"/>
    <n v="48.79"/>
    <n v="337"/>
    <n v="1034"/>
    <n v="3.07"/>
    <n v="12.01"/>
    <n v="86.12"/>
    <n v="13.25"/>
    <n v="5.41"/>
    <n v="72.87"/>
    <n v="28.34"/>
    <n v="7648.91"/>
    <n v="102519"/>
    <n v="295439"/>
    <n v="0"/>
    <n v="0"/>
    <n v="238.4"/>
  </r>
  <r>
    <x v="40"/>
    <x v="6"/>
    <s v="Em operação"/>
    <s v="ES 0116"/>
    <x v="2"/>
    <m/>
    <m/>
    <n v="3000"/>
    <n v="436.32478632478637"/>
    <n v="5.73"/>
    <n v="4.68"/>
    <n v="1.05"/>
    <n v="18.32"/>
    <n v="584"/>
    <n v="2042"/>
    <n v="3.5"/>
    <n v="10.55"/>
    <n v="193.53"/>
    <n v="5.68"/>
    <n v="5.41"/>
    <n v="187.85"/>
    <n v="40.119999999999997"/>
    <n v="1723.07"/>
    <n v="165549"/>
    <n v="567776"/>
    <n v="0"/>
    <n v="0"/>
    <n v="4.8"/>
  </r>
  <r>
    <x v="41"/>
    <x v="1"/>
    <s v="Não operacional"/>
    <s v="ES 0097"/>
    <x v="2"/>
    <m/>
    <s v="Em Manutenção"/>
    <m/>
    <n v="0"/>
    <n v="0"/>
    <n v="0"/>
    <n v="0"/>
    <s v=""/>
    <s v=""/>
    <n v="0"/>
    <s v=""/>
    <s v=""/>
    <n v="0"/>
    <n v="0"/>
    <s v=""/>
    <n v="0"/>
    <s v=""/>
    <n v="8633.92"/>
    <s v=""/>
    <s v=""/>
    <n v="0"/>
    <s v=""/>
    <n v="227.5"/>
  </r>
  <r>
    <x v="41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1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648.91"/>
    <n v="102519"/>
    <n v="295439"/>
    <n v="0"/>
    <s v=""/>
    <n v="238.4"/>
  </r>
  <r>
    <x v="41"/>
    <x v="1"/>
    <s v="Não operacional"/>
    <s v="ES 0101"/>
    <x v="0"/>
    <n v="0"/>
    <m/>
    <n v="0"/>
    <n v="0"/>
    <n v="0"/>
    <n v="0"/>
    <n v="0"/>
    <s v=""/>
    <n v="0"/>
    <n v="0"/>
    <s v=""/>
    <s v=""/>
    <n v="0"/>
    <n v="0"/>
    <s v=""/>
    <n v="0"/>
    <s v=""/>
    <n v="6384.96"/>
    <n v="399336"/>
    <n v="1408785"/>
    <n v="0"/>
    <s v=""/>
    <n v="46.4"/>
  </r>
  <r>
    <x v="41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1"/>
    <s v="Não operacional"/>
    <s v="ES 0135"/>
    <x v="2"/>
    <m/>
    <m/>
    <m/>
    <n v="0"/>
    <n v="0"/>
    <n v="0"/>
    <n v="0"/>
    <s v=""/>
    <n v="0"/>
    <n v="0"/>
    <s v=""/>
    <s v=""/>
    <n v="0"/>
    <n v="0"/>
    <s v=""/>
    <n v="0"/>
    <s v=""/>
    <n v="326.99"/>
    <n v="26032"/>
    <n v="51440"/>
    <n v="0"/>
    <s v=""/>
    <n v="20.8"/>
  </r>
  <r>
    <x v="42"/>
    <x v="1"/>
    <s v="Não operacional"/>
    <s v="ES 0097"/>
    <x v="2"/>
    <m/>
    <m/>
    <m/>
    <n v="278.88446215139442"/>
    <n v="8.33"/>
    <n v="7.53"/>
    <n v="0.8"/>
    <n v="9.6"/>
    <s v=""/>
    <n v="2100"/>
    <s v=""/>
    <s v=""/>
    <n v="161.35"/>
    <n v="2.84"/>
    <n v="3.55"/>
    <n v="158.51"/>
    <n v="21.05"/>
    <n v="8642.25"/>
    <s v=""/>
    <s v=""/>
    <n v="1.2"/>
    <s v=""/>
    <n v="228.7"/>
  </r>
  <r>
    <x v="42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2"/>
    <x v="7"/>
    <s v="Em operação"/>
    <s v="ES 0110"/>
    <x v="2"/>
    <m/>
    <m/>
    <n v="3000"/>
    <n v="266.47564469914039"/>
    <n v="9.18"/>
    <n v="6.98"/>
    <n v="2.2000000000000002"/>
    <n v="23.97"/>
    <n v="898"/>
    <n v="1860"/>
    <n v="2.0699999999999998"/>
    <n v="11.88"/>
    <n v="156.62"/>
    <n v="7.57"/>
    <n v="3.44"/>
    <n v="149.05000000000001"/>
    <n v="21.36"/>
    <n v="2196.2199999999998"/>
    <n v="133605"/>
    <n v="249936"/>
    <n v="0.3"/>
    <n v="0"/>
    <n v="302.60000000000002"/>
  </r>
  <r>
    <x v="42"/>
    <x v="7"/>
    <s v="Em operação"/>
    <s v="ES 0126"/>
    <x v="2"/>
    <m/>
    <m/>
    <n v="3000"/>
    <n v="308.83116883116884"/>
    <n v="8.3000000000000007"/>
    <n v="7.7"/>
    <n v="0.6"/>
    <n v="7.23"/>
    <n v="1041"/>
    <n v="2378"/>
    <n v="2.2799999999999998"/>
    <n v="14.69"/>
    <n v="161.83000000000001"/>
    <n v="2.37"/>
    <n v="3.94"/>
    <n v="159.46"/>
    <n v="20.7"/>
    <n v="666.13"/>
    <n v="64894"/>
    <n v="135010"/>
    <n v="1.1000000000000001"/>
    <n v="0"/>
    <n v="59.2"/>
  </r>
  <r>
    <x v="42"/>
    <x v="7"/>
    <s v="Em operação"/>
    <s v="ES 0101"/>
    <x v="0"/>
    <n v="1447"/>
    <m/>
    <n v="4800"/>
    <n v="395.94742606790794"/>
    <n v="10.58"/>
    <n v="9.1300000000000008"/>
    <n v="1.45"/>
    <n v="13.7"/>
    <n v="1103"/>
    <n v="3615"/>
    <n v="3.28"/>
    <n v="9.91"/>
    <n v="364.82"/>
    <n v="8.0399999999999991"/>
    <n v="5.55"/>
    <n v="356.77"/>
    <n v="39.07"/>
    <n v="6395.54"/>
    <n v="400439"/>
    <n v="1412400"/>
    <n v="0.1"/>
    <n v="0"/>
    <n v="46.5"/>
  </r>
  <r>
    <x v="42"/>
    <x v="7"/>
    <s v="Em operação"/>
    <s v="ES 0099"/>
    <x v="2"/>
    <m/>
    <m/>
    <n v="3000"/>
    <n v="219.41544885177453"/>
    <n v="8.49"/>
    <n v="4.79"/>
    <n v="3.7"/>
    <n v="43.58"/>
    <n v="480"/>
    <n v="1051"/>
    <n v="2.19"/>
    <n v="6.65"/>
    <n v="158.04"/>
    <n v="17.98"/>
    <n v="4.8600000000000003"/>
    <n v="140.06"/>
    <n v="29.24"/>
    <n v="7657.4"/>
    <n v="102999"/>
    <n v="296490"/>
    <n v="0.3"/>
    <n v="0"/>
    <n v="238.7"/>
  </r>
  <r>
    <x v="42"/>
    <x v="7"/>
    <s v="Em operação"/>
    <s v="ES 0116"/>
    <x v="2"/>
    <m/>
    <m/>
    <n v="3000"/>
    <n v="434.24369747899163"/>
    <n v="6.46"/>
    <n v="4.76"/>
    <n v="1.7"/>
    <n v="26.33"/>
    <n v="579"/>
    <n v="2067"/>
    <n v="3.57"/>
    <n v="10.5"/>
    <n v="196.84"/>
    <n v="7.57"/>
    <n v="4.45"/>
    <n v="189.27"/>
    <n v="39.79"/>
    <n v="1729.53"/>
    <n v="166128"/>
    <n v="569843"/>
    <n v="0"/>
    <n v="0"/>
    <n v="4.8"/>
  </r>
  <r>
    <x v="42"/>
    <x v="7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3"/>
    <x v="7"/>
    <s v="Em operação"/>
    <s v="ES 0097"/>
    <x v="2"/>
    <m/>
    <m/>
    <n v="3000"/>
    <n v="294.81132075471697"/>
    <n v="5.04"/>
    <n v="4.24"/>
    <n v="0.8"/>
    <n v="15.86"/>
    <s v=""/>
    <n v="1250"/>
    <s v=""/>
    <s v=""/>
    <n v="93.69"/>
    <n v="3.79"/>
    <n v="4.7300000000000004"/>
    <n v="89.9"/>
    <n v="21.19"/>
    <n v="8647.2999999999993"/>
    <s v=""/>
    <s v=""/>
    <n v="0.7"/>
    <s v=""/>
    <n v="229.4"/>
  </r>
  <r>
    <x v="43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3"/>
    <x v="7"/>
    <s v="Em operação"/>
    <s v="ES 0110"/>
    <x v="2"/>
    <m/>
    <m/>
    <n v="3000"/>
    <n v="283.38108882521487"/>
    <n v="9.08"/>
    <n v="6.98"/>
    <n v="2.1"/>
    <n v="23.13"/>
    <n v="910"/>
    <n v="1978"/>
    <n v="2.17"/>
    <n v="13.19"/>
    <n v="150"/>
    <n v="8.0399999999999991"/>
    <n v="3.83"/>
    <n v="141.94999999999999"/>
    <n v="20.34"/>
    <n v="2205.3000000000002"/>
    <n v="134515"/>
    <n v="251914"/>
    <n v="0.5"/>
    <n v="0"/>
    <n v="303.10000000000002"/>
  </r>
  <r>
    <x v="43"/>
    <x v="7"/>
    <s v="Em operação"/>
    <s v="ES 0126"/>
    <x v="2"/>
    <m/>
    <m/>
    <n v="3000"/>
    <n v="372.43195785776993"/>
    <n v="12.94"/>
    <n v="11.39"/>
    <n v="1.55"/>
    <n v="11.98"/>
    <n v="1675"/>
    <n v="4242"/>
    <n v="2.5299999999999998"/>
    <n v="17.440000000000001"/>
    <n v="243.21"/>
    <n v="6.15"/>
    <n v="3.97"/>
    <n v="237.06"/>
    <n v="20.82"/>
    <n v="679.07"/>
    <n v="66569"/>
    <n v="139252"/>
    <n v="1"/>
    <n v="0"/>
    <n v="60.2"/>
  </r>
  <r>
    <x v="43"/>
    <x v="7"/>
    <s v="Em operação"/>
    <s v="ES 0099"/>
    <x v="2"/>
    <m/>
    <m/>
    <n v="3000"/>
    <n v="408.57142857142861"/>
    <n v="7.45"/>
    <n v="5.6"/>
    <n v="1.85"/>
    <n v="24.83"/>
    <n v="658"/>
    <n v="2288"/>
    <n v="3.48"/>
    <n v="12.24"/>
    <n v="186.9"/>
    <n v="10.41"/>
    <n v="5.63"/>
    <n v="176.49"/>
    <n v="31.51"/>
    <n v="7664.85"/>
    <n v="103657"/>
    <n v="298778"/>
    <n v="0"/>
    <n v="0"/>
    <n v="238.7"/>
  </r>
  <r>
    <x v="43"/>
    <x v="7"/>
    <s v="Em operação"/>
    <s v="ES 0101"/>
    <x v="0"/>
    <n v="1918"/>
    <m/>
    <n v="4800"/>
    <n v="539.38618925831202"/>
    <n v="4.71"/>
    <n v="3.91"/>
    <n v="0.8"/>
    <n v="16.98"/>
    <n v="493"/>
    <n v="2109"/>
    <n v="4.28"/>
    <n v="13.71"/>
    <n v="153.78"/>
    <n v="4.7300000000000004"/>
    <n v="5.91"/>
    <n v="149.05000000000001"/>
    <n v="38.11"/>
    <n v="6400.25"/>
    <n v="400932"/>
    <n v="1414509"/>
    <n v="0.1"/>
    <n v="0"/>
    <n v="46.6"/>
  </r>
  <r>
    <x v="43"/>
    <x v="7"/>
    <s v="Em operação"/>
    <s v="ES 0116"/>
    <x v="2"/>
    <m/>
    <m/>
    <n v="3000"/>
    <n v="463.32767402376913"/>
    <n v="7.64"/>
    <n v="5.89"/>
    <n v="1.75"/>
    <n v="22.9"/>
    <n v="753"/>
    <n v="2729"/>
    <n v="3.62"/>
    <n v="11.4"/>
    <n v="239.43"/>
    <n v="7.57"/>
    <n v="4.33"/>
    <n v="231.86"/>
    <n v="39.340000000000003"/>
    <n v="1737.17"/>
    <n v="166881"/>
    <n v="572572"/>
    <n v="0"/>
    <n v="0"/>
    <n v="4.8"/>
  </r>
  <r>
    <x v="44"/>
    <x v="1"/>
    <s v="Não operacional"/>
    <s v="ES 0097"/>
    <x v="2"/>
    <m/>
    <s v="Sem operador"/>
    <m/>
    <n v="0"/>
    <n v="0"/>
    <n v="0"/>
    <n v="0"/>
    <s v=""/>
    <s v=""/>
    <n v="0"/>
    <s v=""/>
    <s v=""/>
    <n v="0"/>
    <n v="0"/>
    <s v=""/>
    <n v="0"/>
    <s v=""/>
    <n v="8647.2999999999993"/>
    <s v=""/>
    <s v=""/>
    <n v="0"/>
    <s v=""/>
    <n v="229.4"/>
  </r>
  <r>
    <x v="44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4"/>
    <x v="7"/>
    <s v="Em operação"/>
    <s v="ES 0110"/>
    <x v="2"/>
    <m/>
    <m/>
    <n v="3000"/>
    <n v="147.80141843971631"/>
    <n v="7.9"/>
    <n v="7.05"/>
    <n v="0.85"/>
    <n v="10.76"/>
    <n v="529"/>
    <n v="1042"/>
    <n v="1.97"/>
    <n v="6.92"/>
    <n v="150.47"/>
    <n v="4.26"/>
    <n v="5.01"/>
    <n v="146.21"/>
    <n v="20.74"/>
    <n v="2213.1999999999998"/>
    <n v="135044"/>
    <n v="252956"/>
    <n v="0.1"/>
    <n v="0"/>
    <n v="303.2"/>
  </r>
  <r>
    <x v="44"/>
    <x v="7"/>
    <s v="Em operação"/>
    <s v="ES 0126"/>
    <x v="2"/>
    <m/>
    <m/>
    <n v="3000"/>
    <n v="375.72953736654802"/>
    <n v="15.85"/>
    <n v="14.05"/>
    <n v="1.8"/>
    <n v="11.36"/>
    <n v="2047"/>
    <n v="5279"/>
    <n v="2.58"/>
    <n v="17.16"/>
    <n v="307.56"/>
    <n v="6.62"/>
    <n v="3.68"/>
    <n v="300.94"/>
    <n v="21.42"/>
    <n v="694.92"/>
    <n v="68616"/>
    <n v="144531"/>
    <n v="2.7"/>
    <n v="0"/>
    <n v="62.9"/>
  </r>
  <r>
    <x v="44"/>
    <x v="7"/>
    <s v="Em operação"/>
    <s v="ES 0099"/>
    <x v="2"/>
    <m/>
    <m/>
    <n v="3000"/>
    <n v="321.59763313609466"/>
    <n v="7.96"/>
    <n v="6.76"/>
    <n v="1.2"/>
    <n v="15.08"/>
    <n v="873"/>
    <n v="2174"/>
    <n v="2.4900000000000002"/>
    <n v="10.39"/>
    <n v="209.14"/>
    <n v="6.62"/>
    <n v="5.52"/>
    <n v="202.52"/>
    <n v="29.96"/>
    <n v="7672.81"/>
    <n v="104530"/>
    <n v="300952"/>
    <n v="0.2"/>
    <n v="0"/>
    <n v="238.9"/>
  </r>
  <r>
    <x v="44"/>
    <x v="7"/>
    <s v="Em operação"/>
    <s v="ES 0101"/>
    <x v="0"/>
    <n v="2411"/>
    <m/>
    <n v="4800"/>
    <n v="380.39215686274508"/>
    <n v="10.210000000000001"/>
    <n v="8.16"/>
    <n v="2.0499999999999998"/>
    <n v="20.079999999999998"/>
    <n v="803"/>
    <n v="3104"/>
    <n v="3.87"/>
    <n v="9.56"/>
    <n v="324.60000000000002"/>
    <n v="10.41"/>
    <n v="5.08"/>
    <n v="314.19"/>
    <n v="38.5"/>
    <n v="6410.46"/>
    <n v="401735"/>
    <n v="1417613"/>
    <n v="0.2"/>
    <n v="0"/>
    <n v="46.8"/>
  </r>
  <r>
    <x v="44"/>
    <x v="7"/>
    <s v="Em operação"/>
    <s v="ES 0116"/>
    <x v="2"/>
    <m/>
    <m/>
    <n v="3000"/>
    <n v="463.35403726708068"/>
    <n v="8.9499999999999993"/>
    <n v="8.0500000000000007"/>
    <n v="0.9"/>
    <n v="10.06"/>
    <n v="1095"/>
    <n v="3730"/>
    <n v="3.41"/>
    <n v="10.95"/>
    <n v="340.69"/>
    <n v="4.26"/>
    <n v="4.7300000000000004"/>
    <n v="336.43"/>
    <n v="41.8"/>
    <n v="1746.12"/>
    <n v="167976"/>
    <n v="576302"/>
    <n v="0"/>
    <n v="0"/>
    <n v="4.8"/>
  </r>
  <r>
    <x v="44"/>
    <x v="7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5"/>
    <x v="1"/>
    <s v="Não operacional"/>
    <s v="ES 0097"/>
    <x v="2"/>
    <m/>
    <s v="Sem operador"/>
    <m/>
    <n v="0"/>
    <n v="0.52"/>
    <n v="0.46"/>
    <n v="0.05"/>
    <n v="9.7100000000000009"/>
    <s v=""/>
    <n v="0"/>
    <s v=""/>
    <s v=""/>
    <n v="8.0399999999999991"/>
    <n v="0"/>
    <n v="0"/>
    <n v="8.0399999999999991"/>
    <n v="17.3"/>
    <n v="8647.81"/>
    <s v=""/>
    <s v=""/>
    <n v="0.1"/>
    <s v=""/>
    <n v="229.5"/>
  </r>
  <r>
    <x v="45"/>
    <x v="1"/>
    <s v="Não operacional"/>
    <s v="ES 0096"/>
    <x v="1"/>
    <m/>
    <s v="Em Manutenção"/>
    <m/>
    <n v="0"/>
    <n v="7.0000000000000007E-2"/>
    <n v="7.0000000000000007E-2"/>
    <n v="0"/>
    <n v="0"/>
    <n v="0"/>
    <n v="0"/>
    <s v=""/>
    <s v=""/>
    <n v="0"/>
    <n v="0"/>
    <s v=""/>
    <n v="0"/>
    <n v="0"/>
    <n v="9058.92"/>
    <n v="72314"/>
    <n v="106544"/>
    <n v="0"/>
    <s v=""/>
    <n v="283.39999999999998"/>
  </r>
  <r>
    <x v="45"/>
    <x v="7"/>
    <s v="Em operação"/>
    <s v="ES 0110"/>
    <x v="2"/>
    <m/>
    <m/>
    <n v="3000"/>
    <n v="221.78770949720669"/>
    <n v="8.4600000000000009"/>
    <n v="7.16"/>
    <n v="1.3"/>
    <n v="15.37"/>
    <n v="830"/>
    <n v="1588"/>
    <n v="1.91"/>
    <n v="10.14"/>
    <n v="156.62"/>
    <n v="4.7300000000000004"/>
    <n v="3.64"/>
    <n v="151.88999999999999"/>
    <n v="21.21"/>
    <n v="2221.66"/>
    <n v="135874"/>
    <n v="254544"/>
    <n v="0.4"/>
    <n v="0"/>
    <n v="303.60000000000002"/>
  </r>
  <r>
    <x v="45"/>
    <x v="7"/>
    <s v="Em operação"/>
    <s v="ES 0126"/>
    <x v="2"/>
    <m/>
    <m/>
    <n v="3000"/>
    <n v="330.68261787473608"/>
    <n v="15.36"/>
    <n v="14.21"/>
    <n v="1.1499999999999999"/>
    <n v="7.49"/>
    <n v="1935"/>
    <n v="4699"/>
    <n v="2.4300000000000002"/>
    <n v="15.28"/>
    <n v="307.56"/>
    <n v="4.26"/>
    <n v="3.7"/>
    <n v="303.31"/>
    <n v="21.34"/>
    <n v="710.28"/>
    <n v="70551"/>
    <n v="149230"/>
    <n v="2.2999999999999998"/>
    <n v="0"/>
    <n v="65.2"/>
  </r>
  <r>
    <x v="45"/>
    <x v="7"/>
    <s v="Em operação"/>
    <s v="ES 0099"/>
    <x v="2"/>
    <m/>
    <m/>
    <n v="3000"/>
    <n v="191.6030534351145"/>
    <n v="8.1"/>
    <n v="6.55"/>
    <n v="1.55"/>
    <n v="19.14"/>
    <n v="614"/>
    <n v="1255"/>
    <n v="2.04"/>
    <n v="5.96"/>
    <n v="210.56"/>
    <n v="7.57"/>
    <n v="4.88"/>
    <n v="202.99"/>
    <n v="30.99"/>
    <n v="7680.91"/>
    <n v="105144"/>
    <n v="302207"/>
    <n v="0.1"/>
    <n v="0"/>
    <n v="239"/>
  </r>
  <r>
    <x v="45"/>
    <x v="7"/>
    <s v="Em operação"/>
    <s v="ES 0101"/>
    <x v="0"/>
    <n v="818"/>
    <m/>
    <n v="4800"/>
    <n v="403.25581395348837"/>
    <n v="2.6"/>
    <n v="2.15"/>
    <n v="0.45"/>
    <n v="17.32"/>
    <n v="208"/>
    <n v="867"/>
    <n v="4.17"/>
    <n v="10.91"/>
    <n v="79.489999999999995"/>
    <n v="2.84"/>
    <n v="6.31"/>
    <n v="76.650000000000006"/>
    <n v="35.68"/>
    <n v="6413.06"/>
    <n v="401943"/>
    <n v="1418480"/>
    <n v="0.1"/>
    <n v="0"/>
    <n v="46.9"/>
  </r>
  <r>
    <x v="45"/>
    <x v="7"/>
    <s v="Em operação"/>
    <s v="ES 0116"/>
    <x v="2"/>
    <m/>
    <m/>
    <n v="3000"/>
    <n v="424.90066225165566"/>
    <n v="8.9"/>
    <n v="7.55"/>
    <n v="1.35"/>
    <n v="15.16"/>
    <n v="982"/>
    <n v="3208"/>
    <n v="3.27"/>
    <n v="10.51"/>
    <n v="305.2"/>
    <n v="7.1"/>
    <n v="5.26"/>
    <n v="298.10000000000002"/>
    <n v="39.46"/>
    <n v="1755.02"/>
    <n v="168958"/>
    <n v="579510"/>
    <n v="0"/>
    <n v="0"/>
    <n v="4.8"/>
  </r>
  <r>
    <x v="45"/>
    <x v="7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6"/>
    <x v="1"/>
    <s v="Não operacional"/>
    <s v="ES 0096"/>
    <x v="1"/>
    <m/>
    <s v="Em Manutenção"/>
    <m/>
    <n v="0"/>
    <n v="1.29"/>
    <n v="0.34"/>
    <n v="0.95"/>
    <n v="73.47"/>
    <n v="1"/>
    <n v="0"/>
    <n v="0"/>
    <n v="0"/>
    <n v="8.99"/>
    <n v="4.26"/>
    <n v="4.4800000000000004"/>
    <n v="4.7300000000000004"/>
    <n v="13.79"/>
    <n v="9060.2099999999991"/>
    <n v="72315"/>
    <n v="106544"/>
    <n v="0"/>
    <n v="0"/>
    <n v="283.39999999999998"/>
  </r>
  <r>
    <x v="46"/>
    <x v="7"/>
    <s v="Em operação"/>
    <s v="ES 0097"/>
    <x v="2"/>
    <m/>
    <m/>
    <n v="3000"/>
    <n v="498.26689774696712"/>
    <n v="7.47"/>
    <n v="5.77"/>
    <n v="1.7"/>
    <n v="22.75"/>
    <s v=""/>
    <n v="2875"/>
    <s v=""/>
    <s v=""/>
    <n v="130.12"/>
    <n v="6.62"/>
    <n v="3.9"/>
    <n v="123.5"/>
    <n v="21.39"/>
    <n v="8655.2900000000009"/>
    <s v=""/>
    <s v=""/>
    <n v="0"/>
    <s v=""/>
    <n v="229.5"/>
  </r>
  <r>
    <x v="46"/>
    <x v="7"/>
    <s v="Em operação"/>
    <s v="ES 0110"/>
    <x v="2"/>
    <m/>
    <m/>
    <n v="3000"/>
    <n v="275.17241379310343"/>
    <n v="8.0500000000000007"/>
    <n v="5.8"/>
    <n v="2.25"/>
    <n v="27.94"/>
    <n v="828"/>
    <n v="1596"/>
    <n v="1.93"/>
    <n v="12.09"/>
    <n v="132.02000000000001"/>
    <n v="8.52"/>
    <n v="3.79"/>
    <n v="123.5"/>
    <n v="21.28"/>
    <n v="2229.71"/>
    <n v="136702"/>
    <n v="256140"/>
    <n v="0.4"/>
    <n v="0"/>
    <n v="304"/>
  </r>
  <r>
    <x v="46"/>
    <x v="7"/>
    <s v="Em operação"/>
    <s v="ES 0126"/>
    <x v="2"/>
    <m/>
    <m/>
    <n v="3000"/>
    <n v="267.27664155005385"/>
    <n v="10.24"/>
    <n v="9.2899999999999991"/>
    <n v="0.95"/>
    <n v="9.27"/>
    <n v="1084"/>
    <n v="2483"/>
    <n v="2.29"/>
    <n v="12.26"/>
    <n v="202.52"/>
    <n v="3.79"/>
    <n v="3.98"/>
    <n v="198.73"/>
    <n v="21.38"/>
    <n v="720.52"/>
    <n v="71635"/>
    <n v="151713"/>
    <n v="1.5"/>
    <n v="0"/>
    <n v="66.7"/>
  </r>
  <r>
    <x v="46"/>
    <x v="7"/>
    <s v="Em operação"/>
    <s v="ES 0101"/>
    <x v="0"/>
    <n v="2398"/>
    <m/>
    <n v="4800"/>
    <n v="366.8348045397226"/>
    <n v="8.68"/>
    <n v="7.93"/>
    <n v="0.75"/>
    <n v="8.64"/>
    <n v="723"/>
    <n v="2909"/>
    <n v="4.0199999999999996"/>
    <n v="9.18"/>
    <n v="317.02999999999997"/>
    <n v="4.7300000000000004"/>
    <n v="6.31"/>
    <n v="312.3"/>
    <n v="39.4"/>
    <n v="6421.74"/>
    <n v="402666"/>
    <n v="1421389"/>
    <n v="0.1"/>
    <n v="0"/>
    <n v="47"/>
  </r>
  <r>
    <x v="46"/>
    <x v="7"/>
    <s v="Em operação"/>
    <s v="ES 0099"/>
    <x v="2"/>
    <m/>
    <m/>
    <n v="3000"/>
    <n v="326.65549036043586"/>
    <n v="13.78"/>
    <n v="11.93"/>
    <n v="1.85"/>
    <n v="13.42"/>
    <n v="1264"/>
    <n v="3897"/>
    <n v="3.08"/>
    <n v="10.33"/>
    <n v="377.12"/>
    <n v="10.41"/>
    <n v="5.63"/>
    <n v="366.71"/>
    <n v="30.74"/>
    <n v="7694.69"/>
    <n v="106408"/>
    <n v="306104"/>
    <n v="0.2"/>
    <n v="0"/>
    <n v="239.2"/>
  </r>
  <r>
    <x v="46"/>
    <x v="7"/>
    <s v="Em operação"/>
    <s v="ES 0116"/>
    <x v="2"/>
    <m/>
    <m/>
    <n v="3000"/>
    <n v="356.64819944598338"/>
    <n v="8.07"/>
    <n v="7.22"/>
    <n v="0.85"/>
    <n v="10.54"/>
    <n v="825"/>
    <n v="2575"/>
    <n v="3.12"/>
    <n v="10.99"/>
    <n v="234.22"/>
    <n v="3.79"/>
    <n v="4.45"/>
    <n v="230.44"/>
    <n v="31.92"/>
    <n v="1763.09"/>
    <n v="169783"/>
    <n v="582085"/>
    <n v="0"/>
    <n v="0"/>
    <n v="4.8"/>
  </r>
  <r>
    <x v="47"/>
    <x v="1"/>
    <s v="Não operacional"/>
    <s v="ES 0097"/>
    <x v="2"/>
    <m/>
    <s v="Sem operador"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47"/>
    <x v="1"/>
    <s v="Não operacional"/>
    <s v="ES 0096"/>
    <x v="1"/>
    <m/>
    <s v="Em Manutenção"/>
    <m/>
    <n v="0"/>
    <n v="0.74"/>
    <n v="0.04"/>
    <n v="0.7"/>
    <n v="94.67"/>
    <n v="0"/>
    <n v="0"/>
    <s v=""/>
    <n v="0"/>
    <n v="2.37"/>
    <n v="2.37"/>
    <n v="3.38"/>
    <s v=""/>
    <s v=""/>
    <n v="9060.9500000000007"/>
    <n v="72315"/>
    <n v="106544"/>
    <n v="0"/>
    <s v=""/>
    <n v="283.39999999999998"/>
  </r>
  <r>
    <x v="47"/>
    <x v="7"/>
    <s v="Em operação"/>
    <s v="ES 0110"/>
    <x v="2"/>
    <m/>
    <m/>
    <n v="3000"/>
    <n v="79.310344827586206"/>
    <n v="6.05"/>
    <n v="4.3499999999999996"/>
    <n v="1.7"/>
    <n v="28.08"/>
    <n v="161"/>
    <n v="345"/>
    <n v="2.14"/>
    <n v="3.78"/>
    <n v="91.32"/>
    <n v="7.1"/>
    <n v="4.18"/>
    <n v="84.23"/>
    <n v="19.34"/>
    <n v="2235.77"/>
    <n v="136863"/>
    <n v="256485"/>
    <n v="1.5"/>
    <n v="0.01"/>
    <n v="305.5"/>
  </r>
  <r>
    <x v="47"/>
    <x v="7"/>
    <s v="Em operação"/>
    <s v="ES 0126"/>
    <x v="2"/>
    <m/>
    <m/>
    <n v="3000"/>
    <n v="109.09090909090908"/>
    <n v="6.04"/>
    <n v="3.74"/>
    <n v="2.2999999999999998"/>
    <n v="38.06"/>
    <n v="248"/>
    <n v="408"/>
    <n v="1.65"/>
    <n v="5.29"/>
    <n v="77.13"/>
    <n v="8.52"/>
    <n v="3.7"/>
    <n v="68.61"/>
    <n v="18.329999999999998"/>
    <n v="726.56"/>
    <n v="71883"/>
    <n v="152121"/>
    <n v="1.9"/>
    <n v="0.01"/>
    <n v="68.599999999999994"/>
  </r>
  <r>
    <x v="47"/>
    <x v="1"/>
    <s v="Em operação"/>
    <s v="ES 0101"/>
    <x v="0"/>
    <n v="0"/>
    <m/>
    <m/>
    <n v="0"/>
    <n v="0"/>
    <n v="0"/>
    <n v="0"/>
    <s v=""/>
    <n v="0"/>
    <n v="0"/>
    <s v=""/>
    <s v=""/>
    <n v="0"/>
    <n v="0"/>
    <s v=""/>
    <n v="0"/>
    <s v=""/>
    <n v="6421.74"/>
    <n v="402666"/>
    <n v="1421389"/>
    <n v="0"/>
    <s v=""/>
    <n v="47"/>
  </r>
  <r>
    <x v="47"/>
    <x v="7"/>
    <s v="Em operação"/>
    <s v="ES 0099"/>
    <x v="2"/>
    <m/>
    <m/>
    <n v="3000"/>
    <n v="236.86131386861311"/>
    <n v="6.83"/>
    <n v="5.48"/>
    <n v="1.35"/>
    <n v="19.77"/>
    <n v="478"/>
    <n v="1298"/>
    <n v="2.72"/>
    <n v="7.22"/>
    <n v="179.81"/>
    <n v="7.1"/>
    <n v="5.26"/>
    <n v="172.71"/>
    <n v="31.53"/>
    <n v="7701.52"/>
    <n v="106886"/>
    <n v="307402"/>
    <n v="0.2"/>
    <n v="0"/>
    <n v="239.4"/>
  </r>
  <r>
    <x v="47"/>
    <x v="1"/>
    <s v="Não operacional"/>
    <s v="ES 0116"/>
    <x v="2"/>
    <m/>
    <s v="Fator Climático"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"/>
    <x v="7"/>
    <s v="Em operação"/>
    <m/>
    <x v="2"/>
    <m/>
    <m/>
    <n v="6000"/>
    <n v="0"/>
    <m/>
    <m/>
    <m/>
    <m/>
    <m/>
    <m/>
    <m/>
    <m/>
    <m/>
    <m/>
    <m/>
    <m/>
    <m/>
    <m/>
    <m/>
    <m/>
    <m/>
    <m/>
    <m/>
  </r>
  <r>
    <x v="48"/>
    <x v="1"/>
    <s v="Não operacional"/>
    <s v="ES 0097"/>
    <x v="2"/>
    <m/>
    <s v="Sem operador"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48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60.9500000000007"/>
    <n v="72315"/>
    <n v="106544"/>
    <n v="0"/>
    <s v=""/>
    <n v="283.39999999999998"/>
  </r>
  <r>
    <x v="48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701.52"/>
    <n v="106886"/>
    <n v="307402"/>
    <n v="0"/>
    <s v=""/>
    <n v="239.4"/>
  </r>
  <r>
    <x v="48"/>
    <x v="1"/>
    <s v="Não operacional"/>
    <s v="ES 0101"/>
    <x v="0"/>
    <n v="0"/>
    <m/>
    <m/>
    <n v="0"/>
    <n v="0"/>
    <n v="0"/>
    <n v="0"/>
    <s v=""/>
    <n v="0"/>
    <n v="0"/>
    <s v=""/>
    <s v=""/>
    <n v="0"/>
    <n v="0"/>
    <s v=""/>
    <n v="0"/>
    <s v=""/>
    <n v="6421.74"/>
    <n v="402666"/>
    <n v="1421389"/>
    <n v="0"/>
    <s v=""/>
    <n v="47"/>
  </r>
  <r>
    <x v="48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"/>
    <x v="8"/>
    <s v="Em operação"/>
    <s v="ES 0097"/>
    <x v="2"/>
    <m/>
    <m/>
    <n v="2500"/>
    <n v="720.55137844611522"/>
    <s v="5,99"/>
    <s v="3,99"/>
    <n v="2"/>
    <s v="33,38"/>
    <m/>
    <n v="2875"/>
    <m/>
    <m/>
    <s v="93,69"/>
    <s v="7,57"/>
    <s v="3,79"/>
    <s v="86,12"/>
    <s v="21,57"/>
    <s v="8663,67"/>
    <m/>
    <m/>
    <n v="0"/>
    <m/>
    <s v="234,8"/>
  </r>
  <r>
    <x v="49"/>
    <x v="8"/>
    <s v="Em operação"/>
    <s v="ES 0099"/>
    <x v="2"/>
    <m/>
    <m/>
    <n v="2500"/>
    <n v="316.28895184135979"/>
    <s v="7,96"/>
    <s v="7,06"/>
    <s v="0,9"/>
    <s v="11,31"/>
    <n v="791"/>
    <n v="2233"/>
    <s v="2,82"/>
    <s v="9,75"/>
    <s v="229,02"/>
    <s v="4,26"/>
    <s v="4,73"/>
    <s v="224,76"/>
    <s v="31,84"/>
    <s v="7709,48"/>
    <n v="107677"/>
    <n v="309635"/>
    <s v="0,1"/>
    <n v="0"/>
    <s v="239,5"/>
  </r>
  <r>
    <x v="49"/>
    <x v="8"/>
    <s v="Em operação"/>
    <s v="ES 0101"/>
    <x v="0"/>
    <n v="2949"/>
    <m/>
    <n v="4000"/>
    <n v="428.50182704019483"/>
    <s v="9,06"/>
    <s v="8,21"/>
    <s v="0,85"/>
    <s v="9,39"/>
    <n v="820"/>
    <n v="3518"/>
    <s v="4,29"/>
    <s v="10,97"/>
    <s v="320,81"/>
    <s v="5,2"/>
    <s v="6,12"/>
    <s v="315,61"/>
    <s v="38,46"/>
    <s v="6430,79"/>
    <n v="403486"/>
    <n v="1424907"/>
    <s v="0,1"/>
    <n v="0"/>
    <s v="47,1"/>
  </r>
  <r>
    <x v="49"/>
    <x v="8"/>
    <s v="Em operação"/>
    <s v="ES 0110"/>
    <x v="2"/>
    <m/>
    <m/>
    <n v="2500"/>
    <n v="137.40573152337859"/>
    <s v="7,73"/>
    <s v="6,63"/>
    <s v="1,1"/>
    <s v="14,22"/>
    <n v="453"/>
    <n v="911"/>
    <s v="2,01"/>
    <s v="7,08"/>
    <s v="128,7"/>
    <s v="4,73"/>
    <s v="4,3"/>
    <s v="123,97"/>
    <s v="18,69"/>
    <s v="2243,5"/>
    <n v="137316"/>
    <n v="257396"/>
    <s v="0,6"/>
    <n v="0"/>
    <s v="306,1"/>
  </r>
  <r>
    <x v="49"/>
    <x v="8"/>
    <s v="Em operação"/>
    <s v="ES 0116"/>
    <x v="2"/>
    <m/>
    <m/>
    <n v="2500"/>
    <n v="347.5609756097561"/>
    <s v="7,76"/>
    <s v="6,56"/>
    <s v="1,2"/>
    <s v="15,47"/>
    <n v="724"/>
    <n v="2280"/>
    <s v="3,15"/>
    <s v="8,7"/>
    <s v="262,14"/>
    <s v="5,68"/>
    <s v="4,73"/>
    <s v="256,46"/>
    <s v="39,12"/>
    <s v="1770,85"/>
    <n v="170677"/>
    <n v="584982"/>
    <n v="0"/>
    <n v="0"/>
    <s v="4,8"/>
  </r>
  <r>
    <x v="49"/>
    <x v="8"/>
    <s v="Em operação"/>
    <s v="ES 0126"/>
    <x v="2"/>
    <m/>
    <m/>
    <n v="2500"/>
    <n v="185.13513513513513"/>
    <s v="7,66"/>
    <s v="6,66"/>
    <n v="1"/>
    <s v="13,05"/>
    <n v="645"/>
    <n v="1233"/>
    <s v="1,91"/>
    <s v="8,35"/>
    <s v="147,63"/>
    <s v="3,31"/>
    <s v="3,31"/>
    <s v="144,32"/>
    <s v="21,66"/>
    <s v="734,23"/>
    <n v="72528"/>
    <n v="153354"/>
    <s v="2,7"/>
    <n v="0"/>
    <s v="71,3"/>
  </r>
  <r>
    <x v="49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49"/>
    <x v="8"/>
    <s v="Em operação"/>
    <s v="ES 0135"/>
    <x v="2"/>
    <m/>
    <m/>
    <n v="2500"/>
    <n v="206.53357531760437"/>
    <s v="9,11"/>
    <s v="5,51"/>
    <s v="3,6"/>
    <s v="39,52"/>
    <n v="605"/>
    <n v="1138"/>
    <s v="1,88"/>
    <s v="9,43"/>
    <s v="120,66"/>
    <s v="12,3"/>
    <s v="3,42"/>
    <s v="108,36"/>
    <s v="19,67"/>
    <s v="336,1"/>
    <n v="26637"/>
    <n v="52578"/>
    <n v="3"/>
    <n v="0"/>
    <s v="23,8"/>
  </r>
  <r>
    <x v="50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0"/>
    <x v="8"/>
    <s v="Em operação"/>
    <s v="ES 0097"/>
    <x v="2"/>
    <m/>
    <m/>
    <n v="3000"/>
    <n v="335.57046979865771"/>
    <s v="3,43"/>
    <s v="2,98"/>
    <s v="0,45"/>
    <s v="13,13"/>
    <m/>
    <n v="1000"/>
    <m/>
    <m/>
    <s v="65,77"/>
    <s v="1,89"/>
    <s v="4,21"/>
    <s v="63,88"/>
    <s v="21,46"/>
    <s v="8667,09"/>
    <m/>
    <m/>
    <s v="0,1"/>
    <m/>
    <s v="234,9"/>
  </r>
  <r>
    <x v="50"/>
    <x v="8"/>
    <s v="Em operação"/>
    <s v="ES 0099"/>
    <x v="2"/>
    <m/>
    <m/>
    <n v="3000"/>
    <n v="244.71544715447155"/>
    <s v="4,34"/>
    <s v="3,69"/>
    <s v="0,65"/>
    <s v="14,98"/>
    <n v="339"/>
    <n v="903"/>
    <s v="2,66"/>
    <s v="7,73"/>
    <s v="116,87"/>
    <s v="4,26"/>
    <s v="6,55"/>
    <s v="112,62"/>
    <s v="30,52"/>
    <s v="7713,82"/>
    <n v="108016"/>
    <n v="310538"/>
    <n v="0"/>
    <n v="0"/>
    <s v="239,5"/>
  </r>
  <r>
    <x v="50"/>
    <x v="8"/>
    <s v="Em operação"/>
    <s v="ES 0101"/>
    <x v="0"/>
    <n v="0"/>
    <m/>
    <n v="4000"/>
    <n v="131.07142857142858"/>
    <s v="3,7"/>
    <s v="2,8"/>
    <s v="0,9"/>
    <s v="24,33"/>
    <n v="114"/>
    <n v="367"/>
    <s v="3,22"/>
    <s v="3,43"/>
    <s v="106,94"/>
    <s v="5,2"/>
    <s v="5,78"/>
    <s v="101,73"/>
    <s v="36,35"/>
    <s v="6434,49"/>
    <n v="403600"/>
    <n v="1425274"/>
    <s v="0,1"/>
    <n v="0"/>
    <s v="47,2"/>
  </r>
  <r>
    <x v="50"/>
    <x v="8"/>
    <s v="Em operação"/>
    <s v="ES 0126"/>
    <x v="2"/>
    <m/>
    <m/>
    <n v="3000"/>
    <n v="316.13756613756613"/>
    <s v="12,54"/>
    <s v="11,34"/>
    <s v="1,2"/>
    <s v="9,57"/>
    <n v="1498"/>
    <n v="3585"/>
    <s v="2,39"/>
    <s v="14,49"/>
    <s v="247,47"/>
    <s v="4,26"/>
    <s v="3,55"/>
    <s v="243,21"/>
    <s v="21,44"/>
    <s v="746,77"/>
    <n v="74026"/>
    <n v="156939"/>
    <s v="1,4"/>
    <n v="0"/>
    <s v="72,7"/>
  </r>
  <r>
    <x v="50"/>
    <x v="8"/>
    <s v="Em operação"/>
    <s v="ES 0135"/>
    <x v="2"/>
    <m/>
    <m/>
    <n v="3000"/>
    <n v="196.54088050314465"/>
    <s v="7,66"/>
    <s v="6,36"/>
    <s v="1,3"/>
    <s v="16,97"/>
    <n v="777"/>
    <n v="1250"/>
    <s v="1,61"/>
    <s v="9,64"/>
    <s v="129,65"/>
    <s v="4,26"/>
    <s v="3,28"/>
    <s v="125,39"/>
    <s v="19,71"/>
    <s v="343,76"/>
    <n v="27414"/>
    <n v="53828"/>
    <s v="1,7"/>
    <n v="0"/>
    <s v="25,5"/>
  </r>
  <r>
    <x v="50"/>
    <x v="8"/>
    <m/>
    <m/>
    <x v="2"/>
    <m/>
    <m/>
    <n v="3000"/>
    <m/>
    <m/>
    <m/>
    <m/>
    <m/>
    <m/>
    <m/>
    <m/>
    <m/>
    <m/>
    <m/>
    <m/>
    <m/>
    <m/>
    <m/>
    <m/>
    <m/>
    <m/>
    <m/>
    <m/>
  </r>
  <r>
    <x v="50"/>
    <x v="1"/>
    <s v="Não operacional"/>
    <s v="ES 0110"/>
    <x v="2"/>
    <m/>
    <m/>
    <m/>
    <n v="0"/>
    <s v="0,67"/>
    <s v="0,32"/>
    <s v="0,35"/>
    <s v="51,94"/>
    <n v="1"/>
    <n v="0"/>
    <n v="0"/>
    <n v="0"/>
    <s v="4,26"/>
    <s v="1,42"/>
    <s v="4,06"/>
    <s v="2,84"/>
    <s v="8,77"/>
    <s v="2244,17"/>
    <n v="137317"/>
    <n v="257396"/>
    <n v="0"/>
    <n v="0"/>
    <s v="306,1"/>
  </r>
  <r>
    <x v="50"/>
    <x v="1"/>
    <s v="Não operacional"/>
    <s v="ES 0116"/>
    <x v="2"/>
    <m/>
    <m/>
    <m/>
    <n v="0"/>
    <m/>
    <m/>
    <m/>
    <m/>
    <m/>
    <m/>
    <m/>
    <m/>
    <m/>
    <m/>
    <m/>
    <m/>
    <m/>
    <m/>
    <m/>
    <m/>
    <m/>
    <m/>
    <m/>
  </r>
  <r>
    <x v="51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1"/>
    <x v="8"/>
    <s v="Em operação"/>
    <s v="ES 0097"/>
    <x v="2"/>
    <m/>
    <m/>
    <n v="3000"/>
    <n v="209.38023450586266"/>
    <s v="7,07"/>
    <s v="5,97"/>
    <s v="1,1"/>
    <s v="15,57"/>
    <m/>
    <n v="1250"/>
    <m/>
    <m/>
    <s v="130,6"/>
    <s v="4,26"/>
    <s v="3,87"/>
    <s v="126,34"/>
    <s v="21,18"/>
    <s v="8674,16"/>
    <m/>
    <m/>
    <s v="0,7"/>
    <m/>
    <s v="235,6"/>
  </r>
  <r>
    <x v="51"/>
    <x v="8"/>
    <s v="Em operação"/>
    <s v="ES 0099"/>
    <x v="2"/>
    <m/>
    <m/>
    <n v="3000"/>
    <n v="299.11660777385157"/>
    <s v="6,81"/>
    <s v="5,66"/>
    <s v="1,15"/>
    <s v="16,88"/>
    <n v="453"/>
    <n v="1693"/>
    <s v="3,74"/>
    <s v="11,54"/>
    <s v="146,68"/>
    <s v="6,62"/>
    <s v="5,76"/>
    <s v="140,06"/>
    <s v="24,73"/>
    <s v="7720,63"/>
    <n v="108469"/>
    <n v="312231"/>
    <s v="0,1"/>
    <n v="0"/>
    <s v="239,6"/>
  </r>
  <r>
    <x v="51"/>
    <x v="8"/>
    <s v="Em operação"/>
    <s v="ES 0101"/>
    <x v="0"/>
    <n v="2267"/>
    <m/>
    <n v="4000"/>
    <n v="482.90713324360701"/>
    <s v="9,08"/>
    <s v="7,43"/>
    <s v="1,65"/>
    <s v="18,18"/>
    <n v="717"/>
    <n v="3588"/>
    <n v="5"/>
    <s v="12,55"/>
    <s v="285,8"/>
    <s v="8,99"/>
    <s v="5,45"/>
    <s v="276,81"/>
    <s v="37,26"/>
    <s v="6443,57"/>
    <n v="404317"/>
    <n v="1428862"/>
    <n v="0"/>
    <n v="0"/>
    <s v="47,2"/>
  </r>
  <r>
    <x v="51"/>
    <x v="8"/>
    <s v="Em operação"/>
    <s v="ES 0110"/>
    <x v="2"/>
    <m/>
    <m/>
    <n v="3000"/>
    <n v="179.22848664688428"/>
    <s v="4,07"/>
    <s v="3,37"/>
    <s v="0,7"/>
    <s v="17,19"/>
    <n v="265"/>
    <n v="604"/>
    <s v="2,28"/>
    <s v="8,62"/>
    <s v="70,03"/>
    <s v="2,84"/>
    <s v="4,06"/>
    <s v="67,19"/>
    <s v="19,93"/>
    <s v="2248,25"/>
    <n v="137582"/>
    <n v="258000"/>
    <s v="0,3"/>
    <n v="0"/>
    <s v="306,4"/>
  </r>
  <r>
    <x v="51"/>
    <x v="8"/>
    <s v="Em operação"/>
    <s v="ES 0126"/>
    <x v="2"/>
    <m/>
    <m/>
    <n v="3000"/>
    <n v="320.99202834366696"/>
    <s v="13,34"/>
    <s v="11,29"/>
    <s v="2,05"/>
    <s v="15,37"/>
    <n v="1447"/>
    <n v="3624"/>
    <s v="2,5"/>
    <s v="14,79"/>
    <s v="245,11"/>
    <s v="8,04"/>
    <s v="3,92"/>
    <s v="237,06"/>
    <n v="21"/>
    <s v="760,11"/>
    <n v="75473"/>
    <n v="160563"/>
    <s v="2,3"/>
    <n v="0"/>
    <n v="75"/>
  </r>
  <r>
    <x v="51"/>
    <x v="8"/>
    <s v="Em operação"/>
    <s v="ES 0135"/>
    <x v="2"/>
    <m/>
    <m/>
    <n v="3000"/>
    <n v="443.46103038309116"/>
    <s v="8,62"/>
    <s v="7,57"/>
    <s v="1,05"/>
    <s v="12,19"/>
    <n v="1368"/>
    <n v="3357"/>
    <s v="2,45"/>
    <s v="19,76"/>
    <s v="169,87"/>
    <s v="3,31"/>
    <s v="3,15"/>
    <s v="166,56"/>
    <s v="22,01"/>
    <s v="352,38"/>
    <n v="28782"/>
    <n v="57185"/>
    <s v="1,1"/>
    <n v="0"/>
    <s v="26,6"/>
  </r>
  <r>
    <x v="51"/>
    <x v="1"/>
    <s v="Não operacional"/>
    <s v="ES 0116"/>
    <x v="2"/>
    <m/>
    <m/>
    <m/>
    <n v="0"/>
    <s v="0,3"/>
    <n v="0"/>
    <s v="0,3"/>
    <s v="98,91"/>
    <n v="0"/>
    <n v="0"/>
    <m/>
    <n v="0"/>
    <s v="2,37"/>
    <s v="1,42"/>
    <s v="4,73"/>
    <s v="0,95"/>
    <s v="286,79"/>
    <s v="1771,15"/>
    <n v="170677"/>
    <n v="584982"/>
    <n v="0"/>
    <m/>
    <s v="4,8"/>
  </r>
  <r>
    <x v="52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2"/>
    <x v="8"/>
    <s v="Em operação"/>
    <s v="ES 0097"/>
    <x v="2"/>
    <m/>
    <m/>
    <n v="2500"/>
    <n v="228.17460317460316"/>
    <s v="6,89"/>
    <s v="5,04"/>
    <s v="1,85"/>
    <s v="26,84"/>
    <m/>
    <n v="1150"/>
    <m/>
    <m/>
    <s v="107,88"/>
    <s v="6,62"/>
    <s v="3,58"/>
    <s v="101,26"/>
    <s v="20,08"/>
    <s v="8681,05"/>
    <m/>
    <m/>
    <s v="0,4"/>
    <m/>
    <n v="236"/>
  </r>
  <r>
    <x v="52"/>
    <x v="8"/>
    <s v="Em operação"/>
    <s v="ES 0099"/>
    <x v="2"/>
    <m/>
    <m/>
    <n v="2500"/>
    <n v="282.82097649186255"/>
    <s v="6,83"/>
    <s v="5,53"/>
    <s v="1,3"/>
    <s v="19,03"/>
    <n v="456"/>
    <n v="1564"/>
    <s v="3,43"/>
    <s v="9,93"/>
    <s v="157,57"/>
    <s v="7,57"/>
    <s v="5,82"/>
    <n v="150"/>
    <s v="27,12"/>
    <s v="7727,46"/>
    <n v="108925"/>
    <n v="313795"/>
    <n v="0"/>
    <n v="0"/>
    <s v="239,6"/>
  </r>
  <r>
    <x v="52"/>
    <x v="8"/>
    <s v="Em operação"/>
    <s v="ES 0101"/>
    <x v="0"/>
    <n v="3896"/>
    <m/>
    <n v="4000"/>
    <n v="481.7551963048499"/>
    <s v="9,66"/>
    <s v="8,66"/>
    <n v="1"/>
    <s v="10,36"/>
    <n v="843"/>
    <n v="4172"/>
    <s v="4,95"/>
    <s v="12,25"/>
    <s v="340,69"/>
    <s v="6,15"/>
    <s v="6,15"/>
    <s v="334,54"/>
    <s v="38,65"/>
    <s v="6453,22"/>
    <n v="405160"/>
    <n v="1433034"/>
    <s v="0,1"/>
    <n v="0"/>
    <s v="47,3"/>
  </r>
  <r>
    <x v="52"/>
    <x v="8"/>
    <s v="Em operação"/>
    <s v="ES 0110"/>
    <x v="2"/>
    <m/>
    <m/>
    <n v="2500"/>
    <n v="148.05414551607444"/>
    <s v="6,71"/>
    <s v="5,91"/>
    <s v="0,8"/>
    <s v="11,93"/>
    <n v="385"/>
    <n v="875"/>
    <s v="2,27"/>
    <s v="6,9"/>
    <s v="126,81"/>
    <s v="2,84"/>
    <s v="3,55"/>
    <s v="123,97"/>
    <s v="20,99"/>
    <s v="2254,95"/>
    <n v="137967"/>
    <n v="258875"/>
    <s v="0,6"/>
    <n v="0"/>
    <n v="307"/>
  </r>
  <r>
    <x v="52"/>
    <x v="8"/>
    <s v="Em operação"/>
    <s v="ES 0116"/>
    <x v="2"/>
    <m/>
    <m/>
    <n v="2500"/>
    <n v="299.18831168831167"/>
    <s v="7,31"/>
    <s v="6,16"/>
    <s v="1,15"/>
    <s v="15,74"/>
    <n v="589"/>
    <n v="1843"/>
    <s v="3,13"/>
    <s v="7,48"/>
    <s v="246,52"/>
    <s v="6,15"/>
    <s v="5,35"/>
    <s v="240,37"/>
    <s v="39,04"/>
    <s v="1778,46"/>
    <n v="171266"/>
    <n v="586825"/>
    <s v="0,1"/>
    <n v="0"/>
    <s v="4,9"/>
  </r>
  <r>
    <x v="52"/>
    <x v="8"/>
    <s v="Em operação"/>
    <s v="ES 0126"/>
    <x v="2"/>
    <m/>
    <m/>
    <n v="2500"/>
    <n v="313.3656509695291"/>
    <s v="16,19"/>
    <s v="14,44"/>
    <s v="1,75"/>
    <s v="10,81"/>
    <n v="1991"/>
    <n v="4525"/>
    <s v="2,27"/>
    <s v="14,06"/>
    <s v="321,76"/>
    <s v="6,15"/>
    <s v="3,52"/>
    <s v="315,61"/>
    <s v="21,86"/>
    <s v="776,3"/>
    <n v="77464"/>
    <n v="165088"/>
    <s v="1,8"/>
    <n v="0"/>
    <s v="76,8"/>
  </r>
  <r>
    <x v="52"/>
    <x v="8"/>
    <s v="Em operação"/>
    <s v="ES 0135"/>
    <x v="2"/>
    <m/>
    <m/>
    <n v="2500"/>
    <n v="281.13924050632909"/>
    <s v="9,1"/>
    <s v="7,9"/>
    <s v="1,2"/>
    <s v="13,18"/>
    <n v="1034"/>
    <n v="2221"/>
    <s v="2,15"/>
    <s v="12,97"/>
    <s v="171,29"/>
    <s v="3,79"/>
    <s v="3,15"/>
    <s v="167,5"/>
    <s v="21,19"/>
    <s v="361,48"/>
    <n v="29816"/>
    <n v="59406"/>
    <s v="2,6"/>
    <n v="0"/>
    <s v="29,2"/>
  </r>
  <r>
    <x v="53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3"/>
    <x v="8"/>
    <s v="Em operação"/>
    <s v="ES 0097"/>
    <x v="2"/>
    <m/>
    <m/>
    <n v="2500"/>
    <n v="307.94165316045382"/>
    <s v="7,77"/>
    <s v="6,17"/>
    <s v="1,6"/>
    <s v="20,6"/>
    <m/>
    <n v="1900"/>
    <m/>
    <m/>
    <s v="128,7"/>
    <s v="7,57"/>
    <s v="4,73"/>
    <s v="121,13"/>
    <s v="19,65"/>
    <s v="8688,82"/>
    <m/>
    <m/>
    <s v="0,1"/>
    <m/>
    <s v="236,1"/>
  </r>
  <r>
    <x v="53"/>
    <x v="8"/>
    <s v="Em operação"/>
    <s v="ES 0099"/>
    <x v="2"/>
    <m/>
    <m/>
    <n v="2500"/>
    <n v="237.58064516129031"/>
    <s v="7,65"/>
    <s v="6,2"/>
    <s v="1,45"/>
    <s v="18,95"/>
    <n v="533"/>
    <n v="1473"/>
    <s v="2,76"/>
    <s v="7,78"/>
    <s v="189,27"/>
    <s v="8,04"/>
    <s v="5,55"/>
    <s v="181,23"/>
    <s v="29,22"/>
    <s v="7735,12"/>
    <n v="109458"/>
    <n v="315268"/>
    <s v="0,1"/>
    <n v="0"/>
    <s v="239,7"/>
  </r>
  <r>
    <x v="53"/>
    <x v="8"/>
    <s v="Em operação"/>
    <s v="ES 0101"/>
    <x v="0"/>
    <n v="3662"/>
    <m/>
    <n v="4000"/>
    <n v="507.69230769230774"/>
    <s v="9,13"/>
    <s v="7,93"/>
    <s v="1,2"/>
    <s v="13,15"/>
    <n v="836"/>
    <n v="4026"/>
    <s v="4,82"/>
    <s v="12,91"/>
    <s v="311,82"/>
    <s v="6,62"/>
    <s v="5,52"/>
    <s v="305,2"/>
    <s v="38,49"/>
    <s v="6462,35"/>
    <n v="405996"/>
    <n v="1437060"/>
    <s v="0,1"/>
    <n v="0"/>
    <s v="47,4"/>
  </r>
  <r>
    <x v="53"/>
    <x v="8"/>
    <s v="Em operação"/>
    <s v="ES 0110"/>
    <x v="2"/>
    <m/>
    <m/>
    <n v="2500"/>
    <n v="445.67474048442904"/>
    <s v="6,98"/>
    <s v="5,78"/>
    <s v="1,2"/>
    <s v="17,2"/>
    <n v="932"/>
    <n v="2576"/>
    <s v="2,76"/>
    <s v="20,86"/>
    <s v="123,5"/>
    <s v="4,73"/>
    <s v="3,94"/>
    <s v="118,77"/>
    <s v="20,56"/>
    <s v="2261,93"/>
    <n v="138899"/>
    <n v="261451"/>
    <s v="0,7"/>
    <n v="0"/>
    <s v="307,7"/>
  </r>
  <r>
    <x v="53"/>
    <x v="8"/>
    <s v="Em operação"/>
    <s v="ES 0116"/>
    <x v="2"/>
    <m/>
    <m/>
    <n v="2500"/>
    <n v="480.10610079575599"/>
    <s v="8,59"/>
    <s v="7,54"/>
    <s v="1,05"/>
    <s v="12,23"/>
    <n v="1060"/>
    <n v="3620"/>
    <s v="3,42"/>
    <s v="11,73"/>
    <s v="308,51"/>
    <s v="4,73"/>
    <s v="4,51"/>
    <s v="303,78"/>
    <s v="40,31"/>
    <s v="1787,04"/>
    <n v="172326"/>
    <n v="590445"/>
    <n v="0"/>
    <n v="0"/>
    <s v="4,9"/>
  </r>
  <r>
    <x v="53"/>
    <x v="8"/>
    <s v="Em operação"/>
    <s v="ES 0126"/>
    <x v="2"/>
    <m/>
    <m/>
    <n v="2500"/>
    <n v="330.44754218635359"/>
    <s v="15,13"/>
    <s v="13,63"/>
    <s v="1,5"/>
    <s v="9,91"/>
    <n v="1870"/>
    <n v="4504"/>
    <s v="2,41"/>
    <s v="15,13"/>
    <s v="297,63"/>
    <s v="5,68"/>
    <s v="3,79"/>
    <s v="291,95"/>
    <s v="21,42"/>
    <s v="791,43"/>
    <n v="79334"/>
    <n v="169592"/>
    <s v="0,2"/>
    <n v="0"/>
    <n v="77"/>
  </r>
  <r>
    <x v="53"/>
    <x v="8"/>
    <s v="Em operação"/>
    <s v="ES 0135"/>
    <x v="2"/>
    <m/>
    <m/>
    <n v="2500"/>
    <n v="191.30434782608697"/>
    <s v="5,63"/>
    <s v="4,83"/>
    <s v="0,8"/>
    <s v="14,21"/>
    <n v="553"/>
    <n v="924"/>
    <s v="1,67"/>
    <s v="10,12"/>
    <s v="91,32"/>
    <s v="2,37"/>
    <s v="2,96"/>
    <s v="88,96"/>
    <s v="18,41"/>
    <s v="367,11"/>
    <n v="30369"/>
    <n v="60330"/>
    <s v="0,5"/>
    <n v="0"/>
    <s v="29,7"/>
  </r>
  <r>
    <x v="54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4"/>
    <x v="8"/>
    <s v="Em operação"/>
    <s v="ES 0097"/>
    <x v="2"/>
    <m/>
    <m/>
    <n v="3000"/>
    <n v="278.6144578313253"/>
    <s v="4,77"/>
    <s v="3,32"/>
    <s v="1,45"/>
    <s v="30,38"/>
    <m/>
    <n v="925"/>
    <m/>
    <m/>
    <s v="72,4"/>
    <s v="6,62"/>
    <s v="4,57"/>
    <s v="65,77"/>
    <s v="19,79"/>
    <s v="8693,59"/>
    <m/>
    <m/>
    <s v="1,2"/>
    <m/>
    <s v="237,3"/>
  </r>
  <r>
    <x v="54"/>
    <x v="8"/>
    <s v="Em operação"/>
    <s v="ES 0099"/>
    <x v="1"/>
    <m/>
    <m/>
    <m/>
    <n v="167.37588652482268"/>
    <s v="5,63"/>
    <s v="4,23"/>
    <s v="1,4"/>
    <s v="24,87"/>
    <n v="292"/>
    <n v="708"/>
    <s v="2,42"/>
    <s v="5,44"/>
    <s v="130,12"/>
    <s v="8,04"/>
    <s v="5,75"/>
    <s v="122,08"/>
    <s v="28,86"/>
    <s v="7740,75"/>
    <n v="109750"/>
    <n v="315976"/>
    <n v="0"/>
    <n v="0"/>
    <s v="239,7"/>
  </r>
  <r>
    <x v="54"/>
    <x v="8"/>
    <s v="Em operação"/>
    <s v="ES 0101"/>
    <x v="0"/>
    <n v="1433"/>
    <m/>
    <n v="4000"/>
    <n v="503.09597523219816"/>
    <s v="4,23"/>
    <s v="3,23"/>
    <n v="1"/>
    <s v="23,64"/>
    <n v="354"/>
    <n v="1625"/>
    <s v="4,59"/>
    <s v="12,77"/>
    <s v="127,28"/>
    <s v="5,68"/>
    <s v="5,68"/>
    <s v="121,61"/>
    <s v="37,65"/>
    <s v="6466,58"/>
    <n v="406350"/>
    <n v="1438685"/>
    <s v="0,1"/>
    <n v="0"/>
    <s v="47,5"/>
  </r>
  <r>
    <x v="54"/>
    <x v="8"/>
    <s v="Em operação"/>
    <s v="ES 0110"/>
    <x v="2"/>
    <m/>
    <m/>
    <n v="3000"/>
    <n v="195.38950715421305"/>
    <s v="8,14"/>
    <s v="6,29"/>
    <s v="1,85"/>
    <s v="22,74"/>
    <n v="683"/>
    <n v="1229"/>
    <s v="1,8"/>
    <s v="9,21"/>
    <s v="133,44"/>
    <s v="6,62"/>
    <s v="3,58"/>
    <s v="126,81"/>
    <s v="20,17"/>
    <s v="2270,06"/>
    <n v="139582"/>
    <n v="262680"/>
    <s v="0,6"/>
    <n v="0"/>
    <s v="308,3"/>
  </r>
  <r>
    <x v="54"/>
    <x v="8"/>
    <s v="Em operação"/>
    <s v="ES 0116"/>
    <x v="2"/>
    <m/>
    <m/>
    <n v="3000"/>
    <n v="613.7123745819398"/>
    <s v="6,63"/>
    <s v="5,98"/>
    <s v="0,65"/>
    <s v="9,8"/>
    <n v="1074"/>
    <n v="3670"/>
    <s v="3,42"/>
    <s v="14,5"/>
    <s v="253,15"/>
    <s v="3,31"/>
    <s v="5,1"/>
    <s v="249,84"/>
    <s v="41,77"/>
    <s v="1793,68"/>
    <n v="173400"/>
    <n v="594115"/>
    <n v="0"/>
    <n v="0"/>
    <s v="4,9"/>
  </r>
  <r>
    <x v="54"/>
    <x v="8"/>
    <s v="Em operação"/>
    <s v="ES 0126"/>
    <x v="2"/>
    <m/>
    <m/>
    <n v="3000"/>
    <n v="257.24137931034483"/>
    <s v="15,15"/>
    <s v="13,05"/>
    <s v="2,1"/>
    <s v="13,86"/>
    <n v="1422"/>
    <n v="3357"/>
    <s v="2,36"/>
    <s v="11,82"/>
    <s v="283,91"/>
    <s v="7,57"/>
    <s v="3,61"/>
    <s v="276,33"/>
    <s v="21,17"/>
    <s v="806,58"/>
    <n v="80756"/>
    <n v="172949"/>
    <n v="2"/>
    <n v="0"/>
    <n v="79"/>
  </r>
  <r>
    <x v="54"/>
    <x v="8"/>
    <s v="Em operação"/>
    <s v="ES 0135"/>
    <x v="2"/>
    <m/>
    <m/>
    <n v="3000"/>
    <n v="185.51236749116606"/>
    <s v="7,26"/>
    <s v="5,66"/>
    <s v="1,6"/>
    <s v="22,05"/>
    <n v="516"/>
    <n v="1050"/>
    <s v="2,03"/>
    <s v="8,91"/>
    <s v="117,82"/>
    <s v="6,15"/>
    <s v="3,84"/>
    <s v="111,67"/>
    <s v="19,74"/>
    <s v="374,37"/>
    <n v="30885"/>
    <n v="61380"/>
    <n v="0"/>
    <n v="0"/>
    <s v="29,7"/>
  </r>
  <r>
    <x v="55"/>
    <x v="1"/>
    <s v="Não operacional"/>
    <s v="ES 0097"/>
    <x v="2"/>
    <m/>
    <m/>
    <m/>
    <n v="0"/>
    <s v="6,3"/>
    <s v="2,4"/>
    <s v="3,9"/>
    <s v="61,89"/>
    <m/>
    <n v="0"/>
    <m/>
    <m/>
    <s v="63,41"/>
    <s v="15,14"/>
    <s v="3,88"/>
    <s v="48,26"/>
    <s v="20,1"/>
    <s v="8699,89"/>
    <m/>
    <m/>
    <s v="0,1"/>
    <m/>
    <s v="237,4"/>
  </r>
  <r>
    <x v="55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5"/>
    <x v="1"/>
    <s v="Não operacional"/>
    <s v="ES 0101"/>
    <x v="0"/>
    <m/>
    <m/>
    <m/>
    <n v="0"/>
    <n v="0"/>
    <n v="0"/>
    <n v="0"/>
    <m/>
    <n v="0"/>
    <n v="0"/>
    <m/>
    <m/>
    <n v="0"/>
    <n v="0"/>
    <m/>
    <n v="0"/>
    <m/>
    <s v="6466,58"/>
    <n v="406350"/>
    <n v="1438685"/>
    <n v="0"/>
    <m/>
    <s v="47,5"/>
  </r>
  <r>
    <x v="55"/>
    <x v="1"/>
    <s v="Não operacional"/>
    <s v="ES 0110"/>
    <x v="2"/>
    <m/>
    <m/>
    <m/>
    <n v="79.156908665105391"/>
    <s v="6,77"/>
    <s v="4,27"/>
    <s v="2,5"/>
    <s v="36,95"/>
    <n v="281"/>
    <n v="338"/>
    <s v="1,2"/>
    <s v="3,84"/>
    <s v="88,01"/>
    <s v="8,99"/>
    <s v="3,6"/>
    <s v="79,02"/>
    <s v="18,52"/>
    <s v="2276,83"/>
    <n v="139863"/>
    <n v="263018"/>
    <s v="0,5"/>
    <n v="0"/>
    <s v="308,8"/>
  </r>
  <r>
    <x v="55"/>
    <x v="1"/>
    <s v="Não operacional"/>
    <s v="ES 0116"/>
    <x v="2"/>
    <m/>
    <m/>
    <m/>
    <n v="300.88495575221242"/>
    <s v="1,23"/>
    <s v="1,13"/>
    <s v="0,1"/>
    <s v="8,13"/>
    <n v="93"/>
    <n v="340"/>
    <s v="3,66"/>
    <s v="8,17"/>
    <s v="41,64"/>
    <s v="0,47"/>
    <s v="4,73"/>
    <s v="41,17"/>
    <s v="36,43"/>
    <s v="1794,91"/>
    <n v="173493"/>
    <n v="594455"/>
    <n v="0"/>
    <n v="0"/>
    <s v="4,9"/>
  </r>
  <r>
    <x v="55"/>
    <x v="1"/>
    <s v="Não operacional"/>
    <s v="ES 0126"/>
    <x v="2"/>
    <m/>
    <m/>
    <m/>
    <n v="0"/>
    <m/>
    <m/>
    <m/>
    <m/>
    <m/>
    <m/>
    <m/>
    <m/>
    <m/>
    <m/>
    <m/>
    <m/>
    <m/>
    <m/>
    <m/>
    <m/>
    <m/>
    <m/>
    <m/>
  </r>
  <r>
    <x v="55"/>
    <x v="1"/>
    <s v="Não operacional"/>
    <s v="ES 0126"/>
    <x v="2"/>
    <m/>
    <m/>
    <m/>
    <n v="119.76744186046511"/>
    <s v="6,71"/>
    <s v="5,16"/>
    <s v="1,55"/>
    <s v="23,08"/>
    <n v="382"/>
    <n v="618"/>
    <s v="1,62"/>
    <s v="6,28"/>
    <s v="98,42"/>
    <s v="5,2"/>
    <s v="3,36"/>
    <s v="93,22"/>
    <s v="18,05"/>
    <s v="381,08"/>
    <n v="31267"/>
    <n v="61998"/>
    <s v="0,4"/>
    <n v="0"/>
    <s v="30,1"/>
  </r>
  <r>
    <x v="55"/>
    <x v="8"/>
    <s v="Em operação"/>
    <s v="ES 0099"/>
    <x v="1"/>
    <m/>
    <m/>
    <m/>
    <n v="78.384279475982538"/>
    <s v="5,28"/>
    <s v="4,58"/>
    <s v="0,7"/>
    <s v="13,26"/>
    <n v="181"/>
    <n v="359"/>
    <s v="1,98"/>
    <s v="2,62"/>
    <s v="137,22"/>
    <s v="3,79"/>
    <s v="5,41"/>
    <s v="133,44"/>
    <s v="29,14"/>
    <s v="7746,02"/>
    <n v="109931"/>
    <n v="316335"/>
    <s v="0,2"/>
    <n v="0"/>
    <s v="239,9"/>
  </r>
  <r>
    <x v="56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s v="8699.89"/>
    <s v=""/>
    <s v=""/>
    <s v="0"/>
    <s v=""/>
    <s v="237.4"/>
  </r>
  <r>
    <x v="56"/>
    <x v="1"/>
    <s v="Não operacional"/>
    <s v="ES 0135"/>
    <x v="2"/>
    <m/>
    <m/>
    <m/>
    <n v="0"/>
    <s v="0"/>
    <s v="0"/>
    <s v="0"/>
    <s v=""/>
    <s v="0"/>
    <s v="0"/>
    <s v=""/>
    <s v=""/>
    <s v="0"/>
    <s v="0"/>
    <s v=""/>
    <s v="0"/>
    <s v=""/>
    <s v="381.08"/>
    <s v="31267"/>
    <s v="61998"/>
    <s v="0"/>
    <s v=""/>
    <s v="30.1"/>
  </r>
  <r>
    <x v="56"/>
    <x v="1"/>
    <s v="Não operacional"/>
    <s v="ES 0110"/>
    <x v="2"/>
    <m/>
    <m/>
    <m/>
    <n v="0"/>
    <s v="0"/>
    <s v="0"/>
    <s v="0"/>
    <s v=""/>
    <s v="0"/>
    <s v="0"/>
    <s v=""/>
    <s v=""/>
    <s v="0"/>
    <s v="0"/>
    <s v=""/>
    <s v="0"/>
    <s v=""/>
    <s v="2276.83"/>
    <s v="139863"/>
    <s v="263018"/>
    <s v="0"/>
    <s v=""/>
    <s v="308.8"/>
  </r>
  <r>
    <x v="56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"/>
    <x v="9"/>
    <s v="Em operação"/>
    <s v="ES 0101"/>
    <x v="0"/>
    <m/>
    <m/>
    <n v="4800"/>
    <n v="210.94890510948903"/>
    <s v="3.54"/>
    <n v="2.74"/>
    <s v="0.8"/>
    <s v="22.57"/>
    <s v="190"/>
    <n v="578"/>
    <s v="3.04"/>
    <s v="5.29"/>
    <s v="109.3"/>
    <s v="5.2"/>
    <s v="6.51"/>
    <s v="104.1"/>
    <s v="37.94"/>
    <s v="6470.13"/>
    <s v="406540"/>
    <s v="1439263"/>
    <s v="0"/>
    <s v="0"/>
    <s v="47.5"/>
  </r>
  <r>
    <x v="56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"/>
    <x v="1"/>
    <s v="Não operacional"/>
    <s v="ES 0099"/>
    <x v="6"/>
    <m/>
    <m/>
    <m/>
    <n v="0"/>
    <s v="0"/>
    <s v="0"/>
    <s v="0"/>
    <s v=""/>
    <s v="0"/>
    <s v="0"/>
    <s v=""/>
    <s v=""/>
    <s v="0"/>
    <s v="0"/>
    <s v=""/>
    <s v="0"/>
    <s v=""/>
    <s v="7746.02"/>
    <s v="109931"/>
    <s v="316335"/>
    <s v="0"/>
    <s v=""/>
    <s v="239.9"/>
  </r>
  <r>
    <x v="57"/>
    <x v="1"/>
    <s v="Não operacional"/>
    <s v="ES 0097"/>
    <x v="2"/>
    <m/>
    <s v="Na oficina"/>
    <m/>
    <n v="0"/>
    <s v="0.4"/>
    <n v="0.1"/>
    <s v="0.3"/>
    <s v="75.8"/>
    <s v=""/>
    <s v=""/>
    <s v=""/>
    <s v=""/>
    <s v="2.84"/>
    <s v="1.89"/>
    <s v="6.31"/>
    <s v="0.95"/>
    <s v="9.88"/>
    <s v="8700.29"/>
    <s v=""/>
    <s v=""/>
    <s v="0"/>
    <s v=""/>
    <s v="237.4"/>
  </r>
  <r>
    <x v="57"/>
    <x v="9"/>
    <s v="Em operação"/>
    <s v="ES 0135"/>
    <x v="2"/>
    <m/>
    <m/>
    <n v="3000"/>
    <n v="300.09337068160596"/>
    <s v="11.86"/>
    <n v="10.71"/>
    <s v="1.15"/>
    <s v="9.7"/>
    <s v="1352"/>
    <n v="3214"/>
    <s v="2.38"/>
    <s v="13.83"/>
    <s v="232.33"/>
    <s v="4.26"/>
    <s v="3.7"/>
    <s v="228.07"/>
    <s v="21.3"/>
    <s v="392.94"/>
    <s v="32619"/>
    <s v="65212"/>
    <s v="0.9"/>
    <s v="0"/>
    <s v="31"/>
  </r>
  <r>
    <x v="57"/>
    <x v="9"/>
    <s v="Em operação"/>
    <s v="ES 0110"/>
    <x v="2"/>
    <m/>
    <m/>
    <n v="3000"/>
    <n v="107.32113144758736"/>
    <s v="8.76"/>
    <n v="6.01"/>
    <s v="2.75"/>
    <s v="31.39"/>
    <s v="479"/>
    <n v="645"/>
    <s v="1.35"/>
    <s v="4.85"/>
    <s v="132.96"/>
    <s v="8.99"/>
    <s v="3.27"/>
    <s v="123.97"/>
    <s v="20.62"/>
    <s v="2285.59"/>
    <s v="140342"/>
    <s v="263663"/>
    <s v="0.7"/>
    <s v="0"/>
    <s v="309.5"/>
  </r>
  <r>
    <x v="57"/>
    <x v="9"/>
    <s v="Em operação"/>
    <s v="ES 0126"/>
    <x v="2"/>
    <m/>
    <m/>
    <n v="3000"/>
    <n v="357.58865248226954"/>
    <s v="7.65"/>
    <n v="7.05"/>
    <s v="0.6"/>
    <s v="7.84"/>
    <s v="1114"/>
    <n v="2521"/>
    <s v="2.35"/>
    <s v="16.8"/>
    <s v="155.68"/>
    <s v="2.37"/>
    <s v="3.94"/>
    <s v="153.31"/>
    <s v="21.74"/>
    <s v="814.23"/>
    <s v="81870"/>
    <s v="175564"/>
    <s v="0.8"/>
    <s v="0"/>
    <s v="79.8"/>
  </r>
  <r>
    <x v="57"/>
    <x v="9"/>
    <s v="Em operação"/>
    <s v="ES 0101"/>
    <x v="0"/>
    <n v="3180"/>
    <m/>
    <n v="4800"/>
    <n v="542.76485788113689"/>
    <s v="9.24"/>
    <n v="7.74"/>
    <s v="1.5"/>
    <s v="16.24"/>
    <s v="1025"/>
    <n v="4201"/>
    <s v="4.1"/>
    <s v="13.37"/>
    <s v="314.19"/>
    <s v="8.04"/>
    <s v="5.36"/>
    <s v="306.14"/>
    <s v="39.58"/>
    <s v="6479.36"/>
    <s v="407565"/>
    <s v="1443464"/>
    <s v="0.1"/>
    <s v="0"/>
    <s v="47.6"/>
  </r>
  <r>
    <x v="57"/>
    <x v="9"/>
    <s v="Em operação"/>
    <s v="ES 0116"/>
    <x v="2"/>
    <m/>
    <m/>
    <n v="3000"/>
    <n v="406.58082975679542"/>
    <s v="8.39"/>
    <n v="6.99"/>
    <s v="1.4"/>
    <s v="16.69"/>
    <s v="1054"/>
    <n v="2842"/>
    <s v="2.7"/>
    <s v="10.01"/>
    <s v="283.91"/>
    <s v="6.15"/>
    <s v="4.39"/>
    <s v="277.75"/>
    <s v="39.76"/>
    <s v="1803.29"/>
    <s v="174547"/>
    <s v="597297"/>
    <s v="0"/>
    <s v="0"/>
    <s v="4.9"/>
  </r>
  <r>
    <x v="57"/>
    <x v="9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57"/>
    <x v="9"/>
    <s v="Em operação"/>
    <s v="ES 0099"/>
    <x v="6"/>
    <m/>
    <m/>
    <m/>
    <n v="356.54362416107381"/>
    <s v="6.91"/>
    <n v="5.96"/>
    <s v="0.95"/>
    <s v="13.75"/>
    <s v="47"/>
    <n v="2125"/>
    <s v="2.98"/>
    <s v="0.73"/>
    <s v="192.11"/>
    <s v="5.2"/>
    <s v="5.48"/>
    <s v="186.9"/>
    <s v="31.36"/>
    <s v="7752.93"/>
    <s v="109978"/>
    <s v="316475"/>
    <s v="1.8"/>
    <s v="0.04"/>
    <s v="241.7"/>
  </r>
  <r>
    <x v="58"/>
    <x v="1"/>
    <s v="Não operacional"/>
    <s v="ES 0097"/>
    <x v="2"/>
    <m/>
    <s v="Na oficina"/>
    <m/>
    <n v="0"/>
    <s v="1.62"/>
    <n v="1.37"/>
    <s v="0.25"/>
    <s v="15.45"/>
    <s v=""/>
    <s v=""/>
    <s v=""/>
    <s v=""/>
    <s v="25.08"/>
    <s v="0.95"/>
    <s v="3.79"/>
    <s v="24.13"/>
    <s v="17.64"/>
    <s v="8701.91"/>
    <s v=""/>
    <s v=""/>
    <s v="0"/>
    <s v=""/>
    <s v="237.4"/>
  </r>
  <r>
    <x v="58"/>
    <x v="9"/>
    <s v="Em operação"/>
    <s v="ES 0135"/>
    <x v="2"/>
    <m/>
    <m/>
    <n v="3000"/>
    <n v="149.22752808988764"/>
    <s v="15.94"/>
    <n v="14.24"/>
    <s v="1.7"/>
    <s v="10.67"/>
    <s v="64"/>
    <n v="2125"/>
    <s v="2.2"/>
    <s v="0.45"/>
    <s v="311.82"/>
    <s v="5.2"/>
    <s v="3.06"/>
    <s v="306.62"/>
    <s v="21.54"/>
    <s v="408.87"/>
    <s v="32683"/>
    <s v="65353"/>
    <s v="3.6"/>
    <s v="0.06"/>
    <s v="34.6"/>
  </r>
  <r>
    <x v="58"/>
    <x v="9"/>
    <s v="Em operação"/>
    <s v="ES 0110"/>
    <x v="2"/>
    <m/>
    <m/>
    <n v="3000"/>
    <n v="144.74123539232053"/>
    <s v="7.64"/>
    <n v="5.99"/>
    <s v="1.65"/>
    <s v="21.6"/>
    <s v="445"/>
    <n v="867"/>
    <s v="1.95"/>
    <s v="6.79"/>
    <s v="127.76"/>
    <s v="6.62"/>
    <s v="4.01"/>
    <s v="121.13"/>
    <s v="20.22"/>
    <s v="2293.23"/>
    <s v="140787"/>
    <s v="264530"/>
    <s v="0.5"/>
    <s v="0"/>
    <s v="310"/>
  </r>
  <r>
    <x v="58"/>
    <x v="9"/>
    <s v="Em operação"/>
    <s v="ES 0126"/>
    <x v="2"/>
    <m/>
    <m/>
    <n v="3000"/>
    <n v="298.39999999999998"/>
    <s v="8.3"/>
    <n v="7.5"/>
    <s v="0.8"/>
    <s v="9.64"/>
    <s v="1070"/>
    <n v="2238"/>
    <s v="2.37"/>
    <s v="15.73"/>
    <s v="161.35"/>
    <s v="2.84"/>
    <s v="3.55"/>
    <s v="158.51"/>
    <s v="21.13"/>
    <s v="822.53"/>
    <s v="82940"/>
    <s v="178102"/>
    <s v="0.9"/>
    <s v="0"/>
    <s v="80.7"/>
  </r>
  <r>
    <x v="58"/>
    <x v="9"/>
    <s v="Em operação"/>
    <s v="ES 0099"/>
    <x v="6"/>
    <m/>
    <m/>
    <n v="3000"/>
    <n v="309.86762936221419"/>
    <s v="9.36"/>
    <n v="8.31"/>
    <s v="1.05"/>
    <s v="11.21"/>
    <s v="0"/>
    <n v="2575"/>
    <s v=""/>
    <s v="0"/>
    <s v="267.34"/>
    <s v="7.1"/>
    <s v="6.76"/>
    <s v="260.25"/>
    <s v="31.3"/>
    <s v="7762.3"/>
    <s v="109978"/>
    <s v="316475"/>
    <s v="0.8"/>
    <s v=""/>
    <s v="242.5"/>
  </r>
  <r>
    <x v="58"/>
    <x v="9"/>
    <s v="Em operação"/>
    <s v="ES 0101"/>
    <x v="0"/>
    <n v="60.8"/>
    <m/>
    <n v="4800"/>
    <n v="403.66492146596858"/>
    <s v="2.41"/>
    <n v="1.91"/>
    <s v="0.5"/>
    <s v="20.74"/>
    <s v="288"/>
    <n v="771"/>
    <s v="2.68"/>
    <s v="9.94"/>
    <s v="77.6"/>
    <s v="3.31"/>
    <s v="6.62"/>
    <s v="74.29"/>
    <s v="38.88"/>
    <s v="6481.77"/>
    <s v="407853"/>
    <s v="1444235"/>
    <s v="0"/>
    <s v="0"/>
    <s v="47.6"/>
  </r>
  <r>
    <x v="58"/>
    <x v="9"/>
    <s v="Em operação"/>
    <s v="ES 0116"/>
    <x v="2"/>
    <m/>
    <m/>
    <n v="3000"/>
    <n v="394.2126514131898"/>
    <s v="8.63"/>
    <n v="7.43"/>
    <s v="1.2"/>
    <s v="13.9"/>
    <s v="1139"/>
    <n v="2929"/>
    <s v="2.57"/>
    <s v="9.63"/>
    <s v="304.25"/>
    <s v="5.2"/>
    <s v="4.34"/>
    <s v="299.05"/>
    <s v="40.22"/>
    <s v="1811.93"/>
    <s v="175686"/>
    <s v="600226"/>
    <s v="0"/>
    <s v="0"/>
    <s v="4.9"/>
  </r>
  <r>
    <x v="58"/>
    <x v="9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59"/>
    <x v="9"/>
    <s v="Em operação"/>
    <s v="ES 0097"/>
    <x v="2"/>
    <m/>
    <m/>
    <n v="3000"/>
    <n v="362.1346886912325"/>
    <s v="9.57"/>
    <n v="7.87"/>
    <s v="1.7"/>
    <s v="17.76"/>
    <s v=""/>
    <n v="2850"/>
    <s v=""/>
    <s v=""/>
    <s v="165.61"/>
    <s v="6.62"/>
    <s v="3.9"/>
    <s v="158.99"/>
    <s v="20.2"/>
    <s v="8711.48"/>
    <s v=""/>
    <s v=""/>
    <s v="0.5"/>
    <s v=""/>
    <s v="237.9"/>
  </r>
  <r>
    <x v="59"/>
    <x v="9"/>
    <s v="Em operação"/>
    <s v="ES 0135"/>
    <x v="2"/>
    <m/>
    <m/>
    <n v="3000"/>
    <n v="143.67816091954023"/>
    <s v="11.89"/>
    <n v="10.44"/>
    <s v="1.45"/>
    <s v="12.2"/>
    <s v="0"/>
    <n v="1500"/>
    <s v=""/>
    <s v="0"/>
    <s v="229.49"/>
    <s v="4.26"/>
    <s v="2.94"/>
    <s v="225.23"/>
    <s v="21.58"/>
    <s v="420.76"/>
    <s v="32683"/>
    <s v="65353"/>
    <s v="1.9"/>
    <s v=""/>
    <s v="36.5"/>
  </r>
  <r>
    <x v="59"/>
    <x v="9"/>
    <s v="Em operação"/>
    <s v="ES 0110"/>
    <x v="2"/>
    <m/>
    <m/>
    <n v="3000"/>
    <n v="121.30584192439862"/>
    <s v="7.11"/>
    <n v="2.91"/>
    <s v="4.2"/>
    <s v="59.1"/>
    <s v="242"/>
    <n v="353"/>
    <s v="1.46"/>
    <s v="5.07"/>
    <s v="69.56"/>
    <s v="14.2"/>
    <s v="3.38"/>
    <s v="55.36"/>
    <s v="19.05"/>
    <s v="2300.34"/>
    <s v="141029"/>
    <s v="264883"/>
    <s v="0.2"/>
    <s v="0"/>
    <s v="310.2"/>
  </r>
  <r>
    <x v="59"/>
    <x v="9"/>
    <s v="Em operação"/>
    <s v="ES 0126"/>
    <x v="2"/>
    <m/>
    <m/>
    <n v="3000"/>
    <n v="376.27118644067798"/>
    <s v="8.22"/>
    <n v="7.67"/>
    <s v="0.55"/>
    <s v="6.69"/>
    <s v="1130"/>
    <n v="2886"/>
    <s v="2.55"/>
    <s v="17.04"/>
    <s v="169.4"/>
    <s v="1.89"/>
    <s v="3.44"/>
    <s v="167.5"/>
    <s v="21.85"/>
    <s v="830.75"/>
    <s v="84070"/>
    <s v="180988"/>
    <s v="0.6"/>
    <s v="0"/>
    <s v="81.3"/>
  </r>
  <r>
    <x v="59"/>
    <x v="9"/>
    <s v="Em operação"/>
    <s v="ES 0099"/>
    <x v="6"/>
    <m/>
    <m/>
    <m/>
    <n v="444.99105545617175"/>
    <s v="12.78"/>
    <n v="11.18"/>
    <s v="1.6"/>
    <s v="12.52"/>
    <s v="0"/>
    <n v="4975"/>
    <s v=""/>
    <s v="0"/>
    <s v="353.46"/>
    <s v="10.41"/>
    <s v="6.51"/>
    <s v="343.05"/>
    <s v="30.67"/>
    <s v="7775.08"/>
    <s v="109978"/>
    <s v="316475"/>
    <s v="0.3"/>
    <s v=""/>
    <s v="242.8"/>
  </r>
  <r>
    <x v="59"/>
    <x v="1"/>
    <s v="Não operacional"/>
    <s v="ES 0101"/>
    <x v="0"/>
    <m/>
    <m/>
    <m/>
    <n v="0"/>
    <s v="0"/>
    <s v="0"/>
    <s v="0"/>
    <s v=""/>
    <s v="0"/>
    <n v="0"/>
    <s v=""/>
    <s v=""/>
    <s v="0"/>
    <s v="0"/>
    <s v=""/>
    <s v="0"/>
    <s v=""/>
    <s v="6481.77"/>
    <s v="407853"/>
    <s v="1444235"/>
    <s v="0"/>
    <s v=""/>
    <s v="47.6"/>
  </r>
  <r>
    <x v="59"/>
    <x v="9"/>
    <s v="Em operação"/>
    <s v="ES 0116"/>
    <x v="2"/>
    <m/>
    <m/>
    <n v="3000"/>
    <n v="412.44131455399065"/>
    <s v="10.12"/>
    <n v="8.52"/>
    <s v="1.6"/>
    <s v="15.82"/>
    <s v="1277"/>
    <n v="3514"/>
    <s v="2.75"/>
    <s v="10.23"/>
    <s v="343.53"/>
    <s v="7.1"/>
    <s v="4.44"/>
    <s v="336.43"/>
    <s v="39.5"/>
    <s v="1822.04"/>
    <s v="176963"/>
    <s v="603740"/>
    <s v="0"/>
    <s v="0"/>
    <s v="4.9"/>
  </r>
  <r>
    <x v="60"/>
    <x v="9"/>
    <s v="Em operação"/>
    <s v="ES 0097"/>
    <x v="2"/>
    <m/>
    <m/>
    <n v="3000"/>
    <n v="216.81415929203538"/>
    <s v="6.85"/>
    <n v="5.65"/>
    <s v="1.2"/>
    <s v="17.52"/>
    <s v=""/>
    <n v="1225"/>
    <s v=""/>
    <s v=""/>
    <s v="117.35"/>
    <s v="4.73"/>
    <s v="3.94"/>
    <s v="112.62"/>
    <s v="19.93"/>
    <s v="8718.33"/>
    <s v=""/>
    <s v=""/>
    <s v="0"/>
    <s v=""/>
    <s v="237.9"/>
  </r>
  <r>
    <x v="60"/>
    <x v="9"/>
    <s v="Em operação"/>
    <s v="ES 0135"/>
    <x v="2"/>
    <m/>
    <m/>
    <n v="3000"/>
    <n v="137.21552878179384"/>
    <s v="8.87"/>
    <n v="7.47"/>
    <s v="1.4"/>
    <s v="15.78"/>
    <s v="0"/>
    <n v="1025"/>
    <s v=""/>
    <s v="0"/>
    <s v="157.57"/>
    <s v="4.73"/>
    <s v="3.38"/>
    <s v="152.84"/>
    <s v="20.45"/>
    <s v="429.63"/>
    <s v="32683"/>
    <s v="65353"/>
    <s v="1.6"/>
    <s v=""/>
    <s v="38.1"/>
  </r>
  <r>
    <x v="60"/>
    <x v="9"/>
    <s v="Em operação"/>
    <s v="ES 0110"/>
    <x v="2"/>
    <m/>
    <m/>
    <n v="3000"/>
    <n v="239.92869875222814"/>
    <s v="7.51"/>
    <n v="5.61"/>
    <s v="1.9"/>
    <s v="25.31"/>
    <s v="773"/>
    <n v="1346"/>
    <s v="1.74"/>
    <s v="11.61"/>
    <s v="115.93"/>
    <s v="7.1"/>
    <s v="3.74"/>
    <s v="108.83"/>
    <s v="19.41"/>
    <s v="2307.85"/>
    <s v="141802"/>
    <s v="266229"/>
    <s v="0.3"/>
    <s v="0"/>
    <s v="310.5"/>
  </r>
  <r>
    <x v="60"/>
    <x v="9"/>
    <s v="Em operação"/>
    <s v="ES 0126"/>
    <x v="2"/>
    <m/>
    <m/>
    <n v="3000"/>
    <n v="242.36842105263159"/>
    <s v="8.65"/>
    <n v="7.6"/>
    <s v="1.05"/>
    <s v="12.13"/>
    <s v="951"/>
    <n v="1842"/>
    <s v="2.36"/>
    <s v="13.59"/>
    <s v="165.14"/>
    <s v="4.26"/>
    <s v="4.06"/>
    <s v="160.88"/>
    <s v="21.16"/>
    <s v="839.4"/>
    <s v="85021"/>
    <s v="183232"/>
    <s v="0.6"/>
    <s v="0"/>
    <s v="81.9"/>
  </r>
  <r>
    <x v="60"/>
    <x v="9"/>
    <s v="Em operação"/>
    <s v="ES 0099"/>
    <x v="6"/>
    <m/>
    <m/>
    <n v="3000"/>
    <n v="397.89789789789791"/>
    <s v="15.47"/>
    <n v="13.32"/>
    <s v="2.15"/>
    <s v="13.9"/>
    <s v="0"/>
    <n v="5300"/>
    <s v=""/>
    <s v="0"/>
    <s v="428.7"/>
    <s v="12.78"/>
    <s v="5.94"/>
    <s v="415.92"/>
    <s v="31.23"/>
    <s v="7790.55"/>
    <s v="109978"/>
    <s v="316475"/>
    <s v="1.2"/>
    <s v=""/>
    <s v="244"/>
  </r>
  <r>
    <x v="60"/>
    <x v="9"/>
    <s v="Em operação"/>
    <s v="ES 0101"/>
    <x v="0"/>
    <n v="2454"/>
    <m/>
    <n v="4800"/>
    <n v="598.07692307692309"/>
    <s v="8.3"/>
    <n v="5.2"/>
    <s v="3.1"/>
    <s v="37.35"/>
    <s v="661"/>
    <n v="3110"/>
    <s v="4.7"/>
    <s v="14.38"/>
    <s v="216.24"/>
    <s v="16.09"/>
    <s v="5.19"/>
    <s v="200.15"/>
    <s v="38.49"/>
    <s v="6490.07"/>
    <s v="408514"/>
    <s v="1447345"/>
    <s v="0"/>
    <s v="0"/>
    <s v="47.6"/>
  </r>
  <r>
    <x v="60"/>
    <x v="9"/>
    <s v="Em operação"/>
    <s v="ES 0116"/>
    <x v="2"/>
    <m/>
    <m/>
    <n v="3000"/>
    <n v="490.76655052264806"/>
    <s v="7.64"/>
    <n v="5.74"/>
    <s v="1.9"/>
    <s v="24.85"/>
    <s v="1028"/>
    <n v="2817"/>
    <s v="2.74"/>
    <s v="11.56"/>
    <s v="243.69"/>
    <s v="8.52"/>
    <s v="4.48"/>
    <s v="235.17"/>
    <s v="40.93"/>
    <s v="1829.69"/>
    <s v="177991"/>
    <s v="606557"/>
    <s v="0"/>
    <s v="0"/>
    <s v="4.9"/>
  </r>
  <r>
    <x v="61"/>
    <x v="9"/>
    <s v="Em operação"/>
    <s v="ES 0097"/>
    <x v="2"/>
    <m/>
    <m/>
    <n v="3000"/>
    <n v="193.60269360269359"/>
    <s v="6.99"/>
    <n v="5.94"/>
    <s v="1.05"/>
    <s v="15.01"/>
    <s v=""/>
    <n v="1150"/>
    <s v=""/>
    <s v=""/>
    <s v="128.23"/>
    <s v="4.73"/>
    <s v="4.51"/>
    <s v="123.5"/>
    <s v="20.78"/>
    <s v="8725.32"/>
    <s v=""/>
    <s v=""/>
    <s v="0.3"/>
    <s v=""/>
    <s v="238.2"/>
  </r>
  <r>
    <x v="61"/>
    <x v="9"/>
    <s v="Em operação"/>
    <s v="ES 0135"/>
    <x v="2"/>
    <m/>
    <m/>
    <n v="3000"/>
    <n v="270.38269550748754"/>
    <s v="6.91"/>
    <n v="6.01"/>
    <s v="0.9"/>
    <s v="13.02"/>
    <s v="0"/>
    <n v="1625"/>
    <s v=""/>
    <s v="0"/>
    <s v="130.6"/>
    <s v="3.31"/>
    <s v="3.68"/>
    <s v="127.28"/>
    <s v="21.18"/>
    <s v="436.54"/>
    <s v="32683"/>
    <s v="65353"/>
    <s v="1.7"/>
    <s v=""/>
    <s v="39.8"/>
  </r>
  <r>
    <x v="61"/>
    <x v="9"/>
    <s v="Em operação"/>
    <s v="ES 0110"/>
    <x v="2"/>
    <m/>
    <m/>
    <n v="3000"/>
    <n v="382.83378746594008"/>
    <s v="8.04"/>
    <n v="7.34"/>
    <s v="0.7"/>
    <s v="8.71"/>
    <s v="1301"/>
    <n v="2810"/>
    <s v="2.16"/>
    <s v="17.62"/>
    <s v="159.46"/>
    <s v="2.84"/>
    <s v="4.06"/>
    <s v="156.62"/>
    <s v="21.34"/>
    <s v="2315.89"/>
    <s v="143103"/>
    <s v="269039"/>
    <s v="0.1"/>
    <s v="0"/>
    <s v="310.6"/>
  </r>
  <r>
    <x v="61"/>
    <x v="9"/>
    <s v="Em operação"/>
    <s v="ES 0126"/>
    <x v="2"/>
    <m/>
    <m/>
    <n v="3000"/>
    <n v="243.43807763401108"/>
    <s v="6.11"/>
    <n v="5.41"/>
    <s v="0.7"/>
    <s v="11.46"/>
    <s v="735"/>
    <n v="1317"/>
    <s v="2.7"/>
    <s v="16.36"/>
    <s v="121.13"/>
    <s v="2.37"/>
    <s v="3.38"/>
    <s v="118.77"/>
    <s v="21.96"/>
    <s v="845.51"/>
    <s v="85756"/>
    <s v="185214"/>
    <s v="0.7"/>
    <s v="0"/>
    <s v="82.6"/>
  </r>
  <r>
    <x v="61"/>
    <x v="9"/>
    <s v="Em operação"/>
    <s v="ES 0099"/>
    <x v="6"/>
    <m/>
    <m/>
    <m/>
    <n v="294.96402877697841"/>
    <s v="15.95"/>
    <n v="13.9"/>
    <s v="2.05"/>
    <s v="12.85"/>
    <s v="0"/>
    <n v="4100"/>
    <s v=""/>
    <s v="0"/>
    <s v="438.63"/>
    <s v="12.3"/>
    <s v="6"/>
    <s v="426.33"/>
    <s v="30.67"/>
    <s v="7806.5"/>
    <s v="109978"/>
    <s v="316475"/>
    <s v="0.6"/>
    <s v=""/>
    <s v="244.6"/>
  </r>
  <r>
    <x v="61"/>
    <x v="9"/>
    <s v="Em operação"/>
    <s v="ES 0101"/>
    <x v="0"/>
    <n v="2788"/>
    <m/>
    <n v="4800"/>
    <n v="597.51166407465007"/>
    <s v="7.68"/>
    <n v="6.43"/>
    <s v="1.25"/>
    <s v="16.28"/>
    <s v="847"/>
    <n v="3842"/>
    <s v="4.54"/>
    <s v="15.04"/>
    <s v="255.52"/>
    <s v="7.1"/>
    <s v="5.68"/>
    <s v="248.42"/>
    <s v="38.64"/>
    <s v="6497.75"/>
    <s v="409361"/>
    <s v="1451187"/>
    <s v="0"/>
    <s v="0"/>
    <s v="47.6"/>
  </r>
  <r>
    <x v="61"/>
    <x v="9"/>
    <s v="Em operação"/>
    <s v="ES 0116"/>
    <x v="2"/>
    <m/>
    <m/>
    <n v="3000"/>
    <n v="353.98406374501997"/>
    <s v="5.97"/>
    <n v="5.0199999999999996"/>
    <s v="0.95"/>
    <s v="15.9"/>
    <s v="711"/>
    <s v="1777"/>
    <s v="2.5"/>
    <s v="8.82"/>
    <s v="201.57"/>
    <s v="4.26"/>
    <s v="4.48"/>
    <s v="197.31"/>
    <s v="39.27"/>
    <s v="1835.66"/>
    <s v="178702"/>
    <s v="608334"/>
    <s v="0.1"/>
    <s v="0"/>
    <s v="5"/>
  </r>
  <r>
    <x v="62"/>
    <x v="1"/>
    <s v="Não operacional"/>
    <s v="ES 0097"/>
    <x v="2"/>
    <m/>
    <m/>
    <m/>
    <n v="0"/>
    <s v="0.02"/>
    <n v="0.02"/>
    <s v="0"/>
    <s v="0"/>
    <s v=""/>
    <s v=""/>
    <s v=""/>
    <s v=""/>
    <s v="0"/>
    <s v="0"/>
    <s v=""/>
    <s v="0"/>
    <s v="0"/>
    <s v="8725.34"/>
    <s v=""/>
    <s v=""/>
    <s v="0"/>
    <s v=""/>
    <s v="238.2"/>
  </r>
  <r>
    <x v="62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"/>
    <x v="1"/>
    <s v="Não operacional"/>
    <s v="ES 0110"/>
    <x v="2"/>
    <m/>
    <m/>
    <m/>
    <n v="0"/>
    <s v="0"/>
    <s v="0"/>
    <s v="0"/>
    <s v=""/>
    <s v="0"/>
    <s v="0"/>
    <s v=""/>
    <s v=""/>
    <s v="0"/>
    <s v="0"/>
    <s v=""/>
    <s v="0"/>
    <s v=""/>
    <s v="2315.89"/>
    <s v="143103"/>
    <s v="269039"/>
    <s v="0"/>
    <s v=""/>
    <s v="310.6"/>
  </r>
  <r>
    <x v="62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"/>
    <x v="1"/>
    <s v="Não operacional"/>
    <s v="ES 0099"/>
    <x v="6"/>
    <m/>
    <m/>
    <m/>
    <n v="0"/>
    <s v="0"/>
    <s v="0"/>
    <s v="0"/>
    <s v=""/>
    <s v="0"/>
    <s v="0"/>
    <s v=""/>
    <s v=""/>
    <s v="0"/>
    <s v="0"/>
    <s v=""/>
    <s v="0"/>
    <s v=""/>
    <s v="7806.5"/>
    <s v="109978"/>
    <s v="316475"/>
    <s v="0"/>
    <s v=""/>
    <s v="244.6"/>
  </r>
  <r>
    <x v="62"/>
    <x v="1"/>
    <s v="Não operacional"/>
    <s v="ES 0101"/>
    <x v="0"/>
    <m/>
    <m/>
    <m/>
    <n v="0"/>
    <s v="0"/>
    <s v="0"/>
    <s v="0"/>
    <s v=""/>
    <s v="0"/>
    <s v="0"/>
    <s v=""/>
    <s v=""/>
    <s v="0"/>
    <s v="0"/>
    <s v=""/>
    <s v="0"/>
    <s v=""/>
    <s v="6497.75"/>
    <s v="409361"/>
    <s v="1451187"/>
    <s v="0"/>
    <s v=""/>
    <s v="47.6"/>
  </r>
  <r>
    <x v="62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"/>
    <x v="10"/>
    <s v="Em operação"/>
    <s v="ES 0097"/>
    <x v="2"/>
    <m/>
    <m/>
    <n v="2500"/>
    <n v="278.15934065934067"/>
    <s v="8.78"/>
    <n v="7.28"/>
    <s v="1.5"/>
    <s v="17.09"/>
    <s v=" "/>
    <n v="2025"/>
    <s v=" "/>
    <s v=" "/>
    <s v="153.78"/>
    <s v="5.68"/>
    <s v="3.79"/>
    <s v="148.1"/>
    <s v="20.35"/>
    <s v="8734.12"/>
    <s v=" "/>
    <s v=" "/>
    <s v="0.1"/>
    <s v=" "/>
    <s v="238.3"/>
  </r>
  <r>
    <x v="63"/>
    <x v="10"/>
    <s v="Em operação"/>
    <s v="ES 0135"/>
    <x v="2"/>
    <s v=" "/>
    <s v=" "/>
    <n v="2500"/>
    <n v="293.52226720647775"/>
    <s v="9.41"/>
    <n v="7.41"/>
    <n v="2"/>
    <s v="21.26"/>
    <n v="41"/>
    <n v="2175"/>
    <s v="1.73"/>
    <s v="0.44"/>
    <s v="161.35"/>
    <s v="6.62"/>
    <s v="3.31"/>
    <s v="154.73"/>
    <s v="20.89"/>
    <s v="445.95"/>
    <n v="32724"/>
    <n v="65424"/>
    <s v="1.1"/>
    <s v="0.03"/>
    <s v="40.9"/>
  </r>
  <r>
    <x v="63"/>
    <x v="10"/>
    <s v="Em operação"/>
    <s v="ES 0110"/>
    <x v="2"/>
    <s v=" "/>
    <s v=" "/>
    <n v="2500"/>
    <n v="346.00246002460023"/>
    <s v="9.13"/>
    <n v="8.1300000000000008"/>
    <n v="1"/>
    <s v="10.95"/>
    <n v="1352"/>
    <n v="2813"/>
    <s v="2.08"/>
    <s v="15.64"/>
    <s v="179.81"/>
    <s v="4.73"/>
    <s v="4.73"/>
    <s v="175.08"/>
    <s v="21.53"/>
    <s v="2325.02"/>
    <n v="144455"/>
    <n v="271852"/>
    <s v="0.2"/>
    <n v="0"/>
    <s v="310.8"/>
  </r>
  <r>
    <x v="63"/>
    <x v="10"/>
    <s v="Em operação"/>
    <s v="ES 0126"/>
    <x v="2"/>
    <s v=" "/>
    <s v=" "/>
    <n v="2500"/>
    <n v="372.95850066934406"/>
    <s v="8.42"/>
    <n v="7.47"/>
    <s v="0.95"/>
    <s v="11.28"/>
    <n v="1279"/>
    <n v="2786"/>
    <s v="2.18"/>
    <s v="16.77"/>
    <s v="166.08"/>
    <s v="3.79"/>
    <s v="3.98"/>
    <s v="162.3"/>
    <s v="21.73"/>
    <s v="853.93"/>
    <n v="87035"/>
    <n v="188000"/>
    <s v="0.1"/>
    <n v="0"/>
    <s v="82.7"/>
  </r>
  <r>
    <x v="63"/>
    <x v="1"/>
    <s v="Não operacional"/>
    <s v="ES 0096"/>
    <x v="2"/>
    <m/>
    <s v="Na oficina"/>
    <m/>
    <n v="0"/>
    <m/>
    <m/>
    <m/>
    <m/>
    <m/>
    <m/>
    <m/>
    <m/>
    <m/>
    <m/>
    <m/>
    <m/>
    <m/>
    <s v=" "/>
    <s v=" "/>
    <s v=" "/>
    <s v=" "/>
    <s v=" "/>
    <s v=" "/>
  </r>
  <r>
    <x v="63"/>
    <x v="10"/>
    <s v="Em operação"/>
    <s v="ES 0099"/>
    <x v="2"/>
    <s v=" "/>
    <s v=" "/>
    <n v="2500"/>
    <n v="559.77229601518036"/>
    <s v="12.64"/>
    <n v="10.54"/>
    <s v="2.1"/>
    <s v="16.62"/>
    <n v="0"/>
    <n v="5900"/>
    <s v=" "/>
    <n v="0"/>
    <s v="347.78"/>
    <s v="12.78"/>
    <s v="6.08"/>
    <s v="335.01"/>
    <s v="31.8"/>
    <s v="7819.14"/>
    <n v="109978"/>
    <n v="316475"/>
    <s v="0.5"/>
    <s v=" "/>
    <s v="245.1"/>
  </r>
  <r>
    <x v="63"/>
    <x v="10"/>
    <s v="Em operação"/>
    <s v="ES 0116"/>
    <x v="2"/>
    <s v=" "/>
    <s v=" "/>
    <n v="2500"/>
    <n v="291.68797953964196"/>
    <s v="8.77"/>
    <n v="7.82"/>
    <s v="0.95"/>
    <s v="10.84"/>
    <n v="935"/>
    <n v="2281"/>
    <s v="2.44"/>
    <s v="7.13"/>
    <s v="319.87"/>
    <s v="4.73"/>
    <s v="4.98"/>
    <s v="315.14"/>
    <s v="40.31"/>
    <s v="1844.43"/>
    <n v="179637"/>
    <n v="610615"/>
    <n v="0"/>
    <n v="0"/>
    <n v="5"/>
  </r>
  <r>
    <x v="63"/>
    <x v="10"/>
    <s v="Em operação"/>
    <s v="ES 0101"/>
    <x v="0"/>
    <n v="2768"/>
    <s v=" "/>
    <n v="6000"/>
    <n v="580.72487644151568"/>
    <s v="7.87"/>
    <n v="6.07"/>
    <s v="1.8"/>
    <s v="22.87"/>
    <n v="773"/>
    <n v="3525"/>
    <s v="4.56"/>
    <s v="14.58"/>
    <s v="241.79"/>
    <s v="9.94"/>
    <s v="5.52"/>
    <s v="231.86"/>
    <s v="38.2"/>
    <s v="6505.62"/>
    <n v="410134"/>
    <n v="1454712"/>
    <s v="0.1"/>
    <n v="0"/>
    <s v="47.7"/>
  </r>
  <r>
    <x v="64"/>
    <x v="1"/>
    <s v="Não operacional"/>
    <s v="ES 0096"/>
    <x v="2"/>
    <m/>
    <s v="Na oficina"/>
    <m/>
    <n v="0"/>
    <m/>
    <m/>
    <m/>
    <m/>
    <m/>
    <m/>
    <m/>
    <m/>
    <m/>
    <m/>
    <m/>
    <m/>
    <m/>
    <s v=" "/>
    <s v=" "/>
    <s v=" "/>
    <s v=" "/>
    <s v=" "/>
    <s v=" "/>
  </r>
  <r>
    <x v="64"/>
    <x v="10"/>
    <s v="Em operação"/>
    <s v="ES 0097"/>
    <x v="2"/>
    <m/>
    <m/>
    <n v="2500"/>
    <n v="348.67503486750348"/>
    <s v="8.37"/>
    <n v="7.17"/>
    <s v="1.2"/>
    <s v="14.33"/>
    <s v=" "/>
    <n v="2500"/>
    <s v=" "/>
    <s v=" "/>
    <n v="150"/>
    <s v="5.2"/>
    <s v="4.34"/>
    <s v="144.79"/>
    <s v="20.19"/>
    <s v="8742.49"/>
    <s v=" "/>
    <s v=" "/>
    <s v="0.1"/>
    <s v=" "/>
    <s v="238.4"/>
  </r>
  <r>
    <x v="64"/>
    <x v="10"/>
    <s v="Em operação"/>
    <s v="ES 0135"/>
    <x v="2"/>
    <s v=" "/>
    <s v=" "/>
    <n v="2500"/>
    <n v="204.75460122699388"/>
    <s v="8.32"/>
    <n v="6.52"/>
    <s v="1.8"/>
    <s v="21.62"/>
    <n v="1225"/>
    <n v="1335"/>
    <s v="1.54"/>
    <s v="13.59"/>
    <s v="138.64"/>
    <s v="6.15"/>
    <s v="3.42"/>
    <s v="132.49"/>
    <s v="20.31"/>
    <s v="454.27"/>
    <n v="33949"/>
    <n v="67308"/>
    <s v="0.2"/>
    <n v="0"/>
    <s v="41.1"/>
  </r>
  <r>
    <x v="64"/>
    <x v="10"/>
    <s v="Em operação"/>
    <s v="ES 0110"/>
    <x v="2"/>
    <s v=" "/>
    <s v=" "/>
    <n v="2500"/>
    <n v="333.94607843137254"/>
    <s v="9.01"/>
    <n v="8.16"/>
    <s v="0.85"/>
    <s v="9.44"/>
    <n v="1387"/>
    <n v="2725"/>
    <s v="1.96"/>
    <s v="15.28"/>
    <s v="178.39"/>
    <s v="2.84"/>
    <s v="3.34"/>
    <s v="175.55"/>
    <s v="21.52"/>
    <s v="2334.03"/>
    <n v="145842"/>
    <n v="274577"/>
    <s v="0.2"/>
    <n v="0"/>
    <n v="311"/>
  </r>
  <r>
    <x v="64"/>
    <x v="10"/>
    <s v="Em operação"/>
    <s v="ES 0126"/>
    <x v="2"/>
    <s v=" "/>
    <s v=" "/>
    <n v="2500"/>
    <n v="303.17829457364343"/>
    <s v="13.5"/>
    <n v="12.9"/>
    <s v="0.6"/>
    <s v="4.44"/>
    <n v="1616"/>
    <n v="3911"/>
    <s v="2.42"/>
    <s v="13.94"/>
    <s v="280.59"/>
    <s v="2.37"/>
    <s v="3.94"/>
    <s v="278.23"/>
    <s v="21.56"/>
    <s v="867.44"/>
    <n v="88651"/>
    <n v="191911"/>
    <n v="4"/>
    <n v="0"/>
    <s v="86.7"/>
  </r>
  <r>
    <x v="64"/>
    <x v="10"/>
    <s v="Em operação"/>
    <s v="ES 0099"/>
    <x v="2"/>
    <s v=" "/>
    <s v=" "/>
    <n v="2500"/>
    <n v="470.89041095890411"/>
    <s v="12.36"/>
    <n v="8.76"/>
    <s v="3.6"/>
    <s v="29.14"/>
    <n v="421"/>
    <n v="4125"/>
    <s v="3.62"/>
    <s v="5.21"/>
    <s v="292.9"/>
    <s v="20.35"/>
    <s v="5.65"/>
    <s v="272.55"/>
    <s v="31.13"/>
    <s v="7831.49"/>
    <n v="110399"/>
    <n v="318000"/>
    <n v="1"/>
    <n v="0"/>
    <s v="246.1"/>
  </r>
  <r>
    <x v="64"/>
    <x v="10"/>
    <s v="Em operação"/>
    <s v="ES 0116"/>
    <x v="2"/>
    <s v=" "/>
    <s v=" "/>
    <n v="2500"/>
    <n v="220.7177814029364"/>
    <s v="6.88"/>
    <n v="6.13"/>
    <s v="0.75"/>
    <s v="10.9"/>
    <n v="517"/>
    <n v="1353"/>
    <s v="2.62"/>
    <s v="5.54"/>
    <s v="244.16"/>
    <s v="3.79"/>
    <s v="5.05"/>
    <s v="240.37"/>
    <s v="39.21"/>
    <s v="1851.31"/>
    <n v="180154"/>
    <n v="611968"/>
    <n v="0"/>
    <n v="0"/>
    <n v="5"/>
  </r>
  <r>
    <x v="64"/>
    <x v="10"/>
    <s v="Em operação"/>
    <s v="ES 0101"/>
    <x v="0"/>
    <n v="2467"/>
    <s v=" "/>
    <n v="6000"/>
    <n v="691.82004089979557"/>
    <s v="5.99"/>
    <n v="4.8899999999999997"/>
    <s v="1.1"/>
    <s v="18.36"/>
    <n v="723"/>
    <n v="3383"/>
    <s v="4.68"/>
    <s v="17.06"/>
    <s v="198.26"/>
    <s v="6.15"/>
    <s v="5.59"/>
    <s v="192.11"/>
    <s v="39.27"/>
    <s v="6511.61"/>
    <n v="410857"/>
    <n v="1458095"/>
    <n v="0"/>
    <n v="0"/>
    <s v="47.7"/>
  </r>
  <r>
    <x v="65"/>
    <x v="10"/>
    <s v="Em operação"/>
    <s v="ES 0096"/>
    <x v="2"/>
    <m/>
    <m/>
    <n v="2142.8571428571427"/>
    <n v="168.13953488372093"/>
    <s v="7.85"/>
    <n v="4.3"/>
    <s v="3.55"/>
    <s v="45.24"/>
    <n v="497"/>
    <n v="723"/>
    <s v="1.45"/>
    <s v="7.14"/>
    <s v="101.26"/>
    <s v="14.2"/>
    <n v="4"/>
    <s v="87.06"/>
    <s v="20.26"/>
    <s v="9078.75"/>
    <n v="72885"/>
    <n v="107406"/>
    <n v="0"/>
    <n v="0"/>
    <s v="283.4"/>
  </r>
  <r>
    <x v="65"/>
    <x v="10"/>
    <s v="Em operação"/>
    <s v="ES 0097"/>
    <x v="2"/>
    <m/>
    <m/>
    <n v="2142.8571428571427"/>
    <n v="156.9678407350689"/>
    <s v="8.83"/>
    <n v="6.53"/>
    <s v="2.3"/>
    <s v="26.06"/>
    <s v=" "/>
    <n v="1025"/>
    <s v=" "/>
    <s v=" "/>
    <s v="134.38"/>
    <s v="9.46"/>
    <s v="4.11"/>
    <s v="124.92"/>
    <s v="19.14"/>
    <s v="8751.31"/>
    <s v=" "/>
    <s v=" "/>
    <n v="1"/>
    <s v=" "/>
    <s v="239.4"/>
  </r>
  <r>
    <x v="65"/>
    <x v="10"/>
    <s v="Em operação"/>
    <s v="ES 0135"/>
    <x v="2"/>
    <s v=" "/>
    <s v=" "/>
    <n v="2142.8571428571427"/>
    <n v="155.29411764705884"/>
    <s v="8.25"/>
    <n v="6.8"/>
    <s v="1.45"/>
    <s v="17.58"/>
    <n v="845"/>
    <n v="1056"/>
    <s v="1.63"/>
    <s v="9.48"/>
    <s v="145.27"/>
    <s v="5.2"/>
    <s v="3.59"/>
    <s v="140.06"/>
    <s v="20.6"/>
    <s v="462.52"/>
    <n v="34794"/>
    <n v="68685"/>
    <s v="0.9"/>
    <n v="0"/>
    <n v="42"/>
  </r>
  <r>
    <x v="65"/>
    <x v="10"/>
    <s v="Em operação"/>
    <s v="ES 0110"/>
    <x v="2"/>
    <s v=" "/>
    <s v=" "/>
    <n v="2142.8571428571427"/>
    <n v="310.79234972677597"/>
    <s v="8.37"/>
    <n v="7.32"/>
    <s v="1.05"/>
    <s v="12.55"/>
    <n v="1110"/>
    <n v="2275"/>
    <s v="2.05"/>
    <s v="14.35"/>
    <s v="158.51"/>
    <s v="4.73"/>
    <s v="4.51"/>
    <s v="153.78"/>
    <s v="21.01"/>
    <s v="2342.4"/>
    <n v="146952"/>
    <n v="276852"/>
    <s v="0.6"/>
    <n v="0"/>
    <s v="311.6"/>
  </r>
  <r>
    <x v="65"/>
    <x v="10"/>
    <s v="Em operação"/>
    <s v="ES 0126"/>
    <x v="2"/>
    <s v=" "/>
    <s v=" "/>
    <n v="2142.8571428571427"/>
    <n v="311.08126259234382"/>
    <s v="15.84"/>
    <n v="14.89"/>
    <s v="0.95"/>
    <n v="6"/>
    <n v="1922"/>
    <n v="4632"/>
    <s v="2.41"/>
    <s v="14.27"/>
    <s v="324.6"/>
    <s v="3.31"/>
    <s v="3.49"/>
    <s v="321.29"/>
    <s v="21.58"/>
    <s v="883.28"/>
    <n v="90573"/>
    <n v="196543"/>
    <s v="0.3"/>
    <n v="0"/>
    <n v="87"/>
  </r>
  <r>
    <x v="65"/>
    <x v="10"/>
    <s v="Em operação"/>
    <s v="ES 0099"/>
    <x v="2"/>
    <s v=" "/>
    <s v=" "/>
    <n v="2142.8571428571427"/>
    <n v="362.18611521418023"/>
    <s v="8.52"/>
    <n v="6.77"/>
    <s v="1.75"/>
    <s v="20.53"/>
    <n v="815"/>
    <n v="2452"/>
    <s v="3.01"/>
    <s v="11.31"/>
    <s v="216.71"/>
    <s v="10.88"/>
    <s v="6.22"/>
    <s v="205.83"/>
    <s v="30.39"/>
    <s v="7840.02"/>
    <n v="111214"/>
    <n v="320452"/>
    <s v="0.3"/>
    <n v="0"/>
    <s v="246.4"/>
  </r>
  <r>
    <x v="65"/>
    <x v="10"/>
    <s v="Em operação"/>
    <s v="ES 0116"/>
    <x v="2"/>
    <s v=" "/>
    <s v=" "/>
    <n v="2142.8571428571427"/>
    <n v="669.78193146417448"/>
    <s v="7.67"/>
    <n v="6.42"/>
    <s v="1.25"/>
    <s v="16.3"/>
    <n v="1042"/>
    <n v="4300"/>
    <s v="4.13"/>
    <s v="15.78"/>
    <s v="272.55"/>
    <s v="5.2"/>
    <s v="4.16"/>
    <s v="267.34"/>
    <s v="41.65"/>
    <s v="1858.98"/>
    <n v="181196"/>
    <n v="616268"/>
    <n v="0"/>
    <n v="0"/>
    <n v="5"/>
  </r>
  <r>
    <x v="65"/>
    <x v="10"/>
    <s v="Em operação"/>
    <s v="ES 0101"/>
    <x v="0"/>
    <n v="3244"/>
    <s v=" "/>
    <n v="6000"/>
    <n v="811.86440677966107"/>
    <s v="5.67"/>
    <n v="4.72"/>
    <s v="0.95"/>
    <s v="16.74"/>
    <n v="725"/>
    <n v="3832"/>
    <s v="5.29"/>
    <s v="20.05"/>
    <s v="191.16"/>
    <s v="5.68"/>
    <s v="5.98"/>
    <s v="185.49"/>
    <s v="39.27"/>
    <s v="6517.29"/>
    <n v="411582"/>
    <n v="1461927"/>
    <n v="0"/>
    <n v="0"/>
    <s v="47.7"/>
  </r>
  <r>
    <x v="66"/>
    <x v="10"/>
    <s v="Em operação"/>
    <s v="ES 0096"/>
    <x v="2"/>
    <m/>
    <m/>
    <n v="2142.8571428571427"/>
    <n v="94.896551724137936"/>
    <s v="8.15"/>
    <n v="7.25"/>
    <s v="0.9"/>
    <s v="11.05"/>
    <n v="434"/>
    <n v="688"/>
    <s v="1.59"/>
    <s v="7.34"/>
    <s v="93.69"/>
    <s v="3.79"/>
    <s v="4.21"/>
    <s v="89.9"/>
    <s v="12.41"/>
    <s v="9086.9"/>
    <n v="73319"/>
    <n v="108094"/>
    <n v="1"/>
    <n v="0"/>
    <s v="284.4"/>
  </r>
  <r>
    <x v="66"/>
    <x v="10"/>
    <s v="Em operação"/>
    <s v="ES 0097"/>
    <x v="2"/>
    <m/>
    <m/>
    <n v="2142.8571428571427"/>
    <n v="191.36807817589579"/>
    <s v="7.19"/>
    <n v="6.14"/>
    <s v="1.05"/>
    <s v="14.6"/>
    <s v=" "/>
    <n v="1175"/>
    <s v=" "/>
    <s v=" "/>
    <s v="122.08"/>
    <s v="3.31"/>
    <s v="3.15"/>
    <s v="118.77"/>
    <s v="19.34"/>
    <s v="8758.5"/>
    <s v=" "/>
    <s v=" "/>
    <s v="0.5"/>
    <s v=" "/>
    <s v="239.9"/>
  </r>
  <r>
    <x v="66"/>
    <x v="10"/>
    <s v="Em operação"/>
    <s v="ES 0135"/>
    <x v="2"/>
    <s v=" "/>
    <s v=" "/>
    <n v="2142.8571428571427"/>
    <n v="229.69230769230768"/>
    <s v="8.35"/>
    <n v="6.5"/>
    <s v="1.85"/>
    <s v="22.15"/>
    <n v="752"/>
    <n v="1493"/>
    <s v="1.99"/>
    <s v="11.56"/>
    <s v="129.18"/>
    <s v="6.15"/>
    <s v="3.33"/>
    <s v="123.03"/>
    <s v="18.92"/>
    <s v="470.88"/>
    <n v="35546"/>
    <n v="70178"/>
    <s v="0.3"/>
    <n v="0"/>
    <s v="42.3"/>
  </r>
  <r>
    <x v="66"/>
    <x v="10"/>
    <s v="Em operação"/>
    <s v="ES 0110"/>
    <x v="2"/>
    <s v=" "/>
    <s v=" "/>
    <n v="2142.8571428571427"/>
    <n v="349.51185495118551"/>
    <s v="8.62"/>
    <n v="7.17"/>
    <s v="1.45"/>
    <s v="16.83"/>
    <n v="1137"/>
    <n v="2506"/>
    <s v="2.2"/>
    <s v="16.2"/>
    <s v="154.73"/>
    <s v="4.73"/>
    <s v="3.26"/>
    <n v="150"/>
    <s v="20.93"/>
    <s v="2351.01"/>
    <n v="148089"/>
    <n v="279358"/>
    <s v="0.2"/>
    <n v="0"/>
    <s v="311.8"/>
  </r>
  <r>
    <x v="66"/>
    <x v="10"/>
    <s v="Em operação"/>
    <s v="ES 0126"/>
    <x v="2"/>
    <s v=" "/>
    <s v=" "/>
    <n v="2142.8571428571427"/>
    <n v="253.39901477832512"/>
    <s v="10.65"/>
    <n v="10.15"/>
    <s v="0.5"/>
    <s v="4.69"/>
    <n v="1456"/>
    <n v="2572"/>
    <s v="2.19"/>
    <s v="14.21"/>
    <s v="224.29"/>
    <s v="1.42"/>
    <s v="2.84"/>
    <s v="222.87"/>
    <s v="21.95"/>
    <s v="893.93"/>
    <n v="92029"/>
    <n v="199731"/>
    <s v="0.5"/>
    <n v="0"/>
    <s v="87.5"/>
  </r>
  <r>
    <x v="66"/>
    <x v="10"/>
    <s v="Em operação"/>
    <s v="ES 0099"/>
    <x v="2"/>
    <s v=" "/>
    <s v=" "/>
    <n v="2142.8571428571427"/>
    <n v="363.45966958211858"/>
    <s v="13.29"/>
    <n v="10.29"/>
    <n v="3"/>
    <s v="22.57"/>
    <n v="985"/>
    <n v="3740"/>
    <s v="3.8"/>
    <s v="11.16"/>
    <s v="335.01"/>
    <s v="17.03"/>
    <s v="5.68"/>
    <s v="317.97"/>
    <s v="30.89"/>
    <s v="7853.31"/>
    <n v="112199"/>
    <n v="324192"/>
    <s v="0.2"/>
    <n v="0"/>
    <s v="246.6"/>
  </r>
  <r>
    <x v="66"/>
    <x v="10"/>
    <s v="Em operação"/>
    <s v="ES 0116"/>
    <x v="2"/>
    <s v=" "/>
    <s v=" "/>
    <n v="2142.8571428571427"/>
    <n v="469.46564885496178"/>
    <s v="6.38"/>
    <n v="3.93"/>
    <s v="2.45"/>
    <s v="38.41"/>
    <n v="535"/>
    <n v="1845"/>
    <s v="3.45"/>
    <s v="11.2"/>
    <s v="164.67"/>
    <s v="9.46"/>
    <s v="3.86"/>
    <s v="155.2"/>
    <s v="39.5"/>
    <s v="1865.36"/>
    <n v="181731"/>
    <n v="618113"/>
    <n v="0"/>
    <n v="0"/>
    <n v="5"/>
  </r>
  <r>
    <x v="66"/>
    <x v="1"/>
    <s v="Não operacional"/>
    <s v="ES 0101"/>
    <x v="0"/>
    <m/>
    <s v="Na oficina"/>
    <s v=" "/>
    <n v="0"/>
    <s v="0.7"/>
    <n v="0.5"/>
    <s v="0.2"/>
    <s v="28.5"/>
    <n v="28"/>
    <n v="0"/>
    <s v="5.5"/>
    <s v="10.17"/>
    <s v="15.14"/>
    <s v="1.89"/>
    <s v="9.46"/>
    <s v="13.25"/>
    <s v="26.41"/>
    <s v="6517.99"/>
    <n v="411610"/>
    <n v="1462081"/>
    <n v="0"/>
    <n v="0"/>
    <s v="47.7"/>
  </r>
  <r>
    <x v="67"/>
    <x v="10"/>
    <s v="Em operação"/>
    <s v="ES 0096"/>
    <x v="2"/>
    <m/>
    <m/>
    <n v="2142.8571428571427"/>
    <n v="268.32797427652736"/>
    <s v="8.27"/>
    <n v="6.22"/>
    <s v="2.05"/>
    <s v="24.79"/>
    <n v="1046"/>
    <n v="1669"/>
    <s v="1.6"/>
    <s v="7.93"/>
    <s v="210.56"/>
    <s v="8.99"/>
    <s v="4.39"/>
    <s v="201.57"/>
    <s v="32.41"/>
    <s v="9095.17"/>
    <n v="74365"/>
    <n v="109763"/>
    <s v="0.1"/>
    <n v="0"/>
    <s v="284.5"/>
  </r>
  <r>
    <x v="67"/>
    <x v="10"/>
    <s v="Em operação"/>
    <s v="ES 0097"/>
    <x v="2"/>
    <m/>
    <m/>
    <n v="2142.8571428571427"/>
    <n v="284.21052631578948"/>
    <s v="7.4"/>
    <n v="4.75"/>
    <s v="2.65"/>
    <s v="35.79"/>
    <s v=" "/>
    <n v="1350"/>
    <s v=" "/>
    <s v=" "/>
    <s v="103.15"/>
    <s v="11.36"/>
    <s v="4.29"/>
    <s v="91.8"/>
    <s v="19.31"/>
    <s v="8765.91"/>
    <s v=" "/>
    <s v=" "/>
    <s v="0.8"/>
    <s v=" "/>
    <s v="240.7"/>
  </r>
  <r>
    <x v="67"/>
    <x v="10"/>
    <s v="Em operação"/>
    <s v="ES 0135"/>
    <x v="2"/>
    <s v=" "/>
    <s v=" "/>
    <n v="2142.8571428571427"/>
    <n v="66.372795969773293"/>
    <s v="8.59"/>
    <n v="7.94"/>
    <s v="0.65"/>
    <s v="7.57"/>
    <n v="654"/>
    <n v="527"/>
    <s v="0.81"/>
    <s v="3.94"/>
    <s v="133.91"/>
    <s v="2.37"/>
    <s v="3.64"/>
    <s v="131.54"/>
    <s v="16.57"/>
    <s v="479.47"/>
    <n v="36200"/>
    <n v="70705"/>
    <s v="0.5"/>
    <n v="0"/>
    <s v="42.8"/>
  </r>
  <r>
    <x v="67"/>
    <x v="10"/>
    <s v="Em operação"/>
    <s v="ES 0110"/>
    <x v="2"/>
    <s v=" "/>
    <s v=" "/>
    <n v="2142.8571428571427"/>
    <n v="439.15416098226467"/>
    <s v="8.78"/>
    <n v="7.33"/>
    <s v="1.45"/>
    <s v="16.51"/>
    <n v="1333"/>
    <n v="3219"/>
    <s v="2.41"/>
    <s v="19.61"/>
    <s v="164.19"/>
    <s v="6.15"/>
    <s v="4.24"/>
    <s v="158.04"/>
    <s v="21.56"/>
    <s v="2359.79"/>
    <n v="149422"/>
    <n v="282577"/>
    <s v="0.1"/>
    <n v="0"/>
    <s v="311.9"/>
  </r>
  <r>
    <x v="67"/>
    <x v="10"/>
    <s v="Em operação"/>
    <s v="ES 0126"/>
    <x v="2"/>
    <s v=" "/>
    <s v=" "/>
    <n v="2142.8571428571427"/>
    <n v="296.55831739961758"/>
    <s v="13.31"/>
    <n v="10.46"/>
    <s v="2.85"/>
    <s v="21.42"/>
    <n v="1189"/>
    <n v="3102"/>
    <s v="2.61"/>
    <s v="13.89"/>
    <s v="223.34"/>
    <s v="10.88"/>
    <s v="3.82"/>
    <s v="212.46"/>
    <s v="20.32"/>
    <s v="907.24"/>
    <n v="93218"/>
    <n v="202833"/>
    <s v="0.9"/>
    <n v="0"/>
    <s v="88.4"/>
  </r>
  <r>
    <x v="67"/>
    <x v="10"/>
    <s v="Em operação"/>
    <s v="ES 0099"/>
    <x v="2"/>
    <s v=" "/>
    <s v=" "/>
    <n v="2142.8571428571427"/>
    <n v="352.11822660098522"/>
    <n v="12"/>
    <n v="10.15"/>
    <s v="1.85"/>
    <s v="15.41"/>
    <n v="916"/>
    <n v="3574"/>
    <s v="3.9"/>
    <s v="11.06"/>
    <s v="323.18"/>
    <s v="11.36"/>
    <s v="6.14"/>
    <s v="311.82"/>
    <s v="30.72"/>
    <s v="7865.31"/>
    <n v="113115"/>
    <n v="327766"/>
    <s v="0.5"/>
    <n v="0"/>
    <s v="247.1"/>
  </r>
  <r>
    <x v="67"/>
    <x v="10"/>
    <s v="Em operação"/>
    <s v="ES 0116"/>
    <x v="2"/>
    <s v=" "/>
    <s v=" "/>
    <n v="2142.8571428571427"/>
    <n v="300"/>
    <s v="7.3"/>
    <n v="5.9"/>
    <s v="1.4"/>
    <s v="19.17"/>
    <n v="765"/>
    <n v="1770"/>
    <s v="3.13"/>
    <s v="10.21"/>
    <s v="234.7"/>
    <s v="6.62"/>
    <s v="4.73"/>
    <s v="228.07"/>
    <s v="38.64"/>
    <s v="1872.66"/>
    <n v="182496"/>
    <n v="620509"/>
    <s v="0.1"/>
    <n v="0"/>
    <s v="5.1"/>
  </r>
  <r>
    <x v="67"/>
    <x v="10"/>
    <s v="Em operação"/>
    <s v="ES 0101"/>
    <x v="0"/>
    <s v="-"/>
    <s v=" "/>
    <n v="6000"/>
    <n v="563.69047619047626"/>
    <s v="3.91"/>
    <n v="3.36"/>
    <s v="0.55"/>
    <s v="14.05"/>
    <n v="423"/>
    <n v="1894"/>
    <s v="4.48"/>
    <s v="13.71"/>
    <s v="138.17"/>
    <s v="2.84"/>
    <s v="5.16"/>
    <s v="135.33"/>
    <s v="40.22"/>
    <s v="6521.9"/>
    <n v="412033"/>
    <n v="1463975"/>
    <n v="0"/>
    <n v="0"/>
    <s v="47.7"/>
  </r>
  <r>
    <x v="68"/>
    <x v="10"/>
    <s v="Em operação"/>
    <s v="ES 0096"/>
    <x v="2"/>
    <s v=" "/>
    <s v=" "/>
    <n v="2142.8571428571427"/>
    <n v="157.53424657534245"/>
    <s v="5.86"/>
    <n v="5.1100000000000003"/>
    <s v="0.75"/>
    <s v="12.79"/>
    <n v="464"/>
    <n v="805"/>
    <s v="1.73"/>
    <s v="7.53"/>
    <s v="106.94"/>
    <s v="2.84"/>
    <s v="3.79"/>
    <s v="104.1"/>
    <s v="20.36"/>
    <s v="9101.03"/>
    <n v="74829"/>
    <n v="110568"/>
    <n v="0"/>
    <n v="0"/>
    <s v="284.5"/>
  </r>
  <r>
    <x v="68"/>
    <x v="1"/>
    <s v="Não operacional"/>
    <s v="ES 0101"/>
    <x v="0"/>
    <m/>
    <s v="Na oficina"/>
    <s v=" "/>
    <n v="0"/>
    <s v="0.32"/>
    <n v="0.27"/>
    <s v="0.05"/>
    <s v="15.72"/>
    <n v="0"/>
    <n v="0"/>
    <s v=" "/>
    <n v="0"/>
    <s v="6.62"/>
    <s v="0.47"/>
    <s v="9.46"/>
    <s v="6.15"/>
    <s v="22.94"/>
    <s v="6522.22"/>
    <n v="412033"/>
    <n v="1463975"/>
    <n v="0"/>
    <s v=" "/>
    <s v="47.7"/>
  </r>
  <r>
    <x v="68"/>
    <x v="10"/>
    <s v="Em operação"/>
    <s v="ES 0097"/>
    <x v="2"/>
    <s v=" "/>
    <s v=" "/>
    <n v="2142.8571428571427"/>
    <n v="157.52032520325204"/>
    <s v="6.97"/>
    <n v="4.92"/>
    <s v="2.05"/>
    <s v="29.42"/>
    <s v=" "/>
    <n v="775"/>
    <s v=" "/>
    <s v=" "/>
    <s v="109.3"/>
    <s v="8.04"/>
    <s v="3.92"/>
    <s v="101.26"/>
    <s v="20.59"/>
    <s v="8772.88"/>
    <s v=" "/>
    <s v=" "/>
    <n v="0"/>
    <s v=" "/>
    <s v="240.7"/>
  </r>
  <r>
    <x v="68"/>
    <x v="10"/>
    <s v="Em operação"/>
    <s v="ES 0135"/>
    <x v="2"/>
    <s v=" "/>
    <s v=" "/>
    <n v="2142.8571428571427"/>
    <n v="110.45918367346938"/>
    <s v="5.47"/>
    <n v="3.92"/>
    <s v="1.55"/>
    <s v="28.34"/>
    <n v="224"/>
    <n v="433"/>
    <s v="1.93"/>
    <s v="8.8"/>
    <s v="49.21"/>
    <s v="5.2"/>
    <s v="3.36"/>
    <s v="44.01"/>
    <s v="11.23"/>
    <s v="484.94"/>
    <n v="36718"/>
    <n v="71552"/>
    <s v="1.6"/>
    <s v="0.01"/>
    <s v="44.7"/>
  </r>
  <r>
    <x v="68"/>
    <x v="10"/>
    <s v="Em operação"/>
    <s v="ES 0110"/>
    <x v="2"/>
    <s v=" "/>
    <s v=" "/>
    <n v="2142.8571428571427"/>
    <n v="353.83275261324042"/>
    <s v="6.79"/>
    <n v="5.74"/>
    <s v="1.05"/>
    <s v="15.46"/>
    <n v="920"/>
    <n v="2031"/>
    <s v="2.21"/>
    <s v="17.31"/>
    <s v="117.35"/>
    <s v="3.31"/>
    <s v="3.15"/>
    <s v="114.04"/>
    <s v="19.86"/>
    <s v="2366.58"/>
    <n v="150342"/>
    <n v="284608"/>
    <n v="0"/>
    <n v="0"/>
    <s v="311.9"/>
  </r>
  <r>
    <x v="68"/>
    <x v="10"/>
    <s v="Em operação"/>
    <s v="ES 0126"/>
    <x v="2"/>
    <s v=" "/>
    <s v=" "/>
    <n v="2142.8571428571427"/>
    <n v="192.35412474849096"/>
    <s v="5.87"/>
    <n v="4.97"/>
    <s v="0.9"/>
    <s v="15.32"/>
    <n v="337"/>
    <n v="956"/>
    <s v="2.84"/>
    <s v="13.47"/>
    <s v="70.98"/>
    <s v="3.31"/>
    <s v="3.68"/>
    <s v="67.66"/>
    <s v="13.61"/>
    <s v="913.11"/>
    <n v="93585"/>
    <n v="203866"/>
    <n v="1"/>
    <n v="0"/>
    <s v="89.5"/>
  </r>
  <r>
    <x v="68"/>
    <x v="10"/>
    <s v="Em operação"/>
    <s v="ES 0099"/>
    <x v="2"/>
    <s v=" "/>
    <s v=" "/>
    <n v="2142.8571428571427"/>
    <n v="444.04761904761904"/>
    <s v="6.15"/>
    <n v="4.2"/>
    <s v="1.95"/>
    <s v="31.71"/>
    <n v="474"/>
    <n v="1865"/>
    <s v="3.93"/>
    <s v="13.73"/>
    <s v="135.8"/>
    <s v="11.36"/>
    <s v="5.82"/>
    <s v="124.45"/>
    <s v="29.64"/>
    <s v="7871.46"/>
    <n v="113589"/>
    <n v="329631"/>
    <n v="0"/>
    <n v="0"/>
    <s v="247.1"/>
  </r>
  <r>
    <x v="68"/>
    <x v="10"/>
    <s v="Em operação"/>
    <s v="ES 0116"/>
    <x v="2"/>
    <s v=" "/>
    <m/>
    <n v="2142.8571428571427"/>
    <n v="252.72727272727272"/>
    <s v="6.1"/>
    <n v="5.5"/>
    <s v="0.6"/>
    <s v="9.83"/>
    <n v="403"/>
    <n v="1390"/>
    <s v="3.45"/>
    <s v="11.34"/>
    <s v="122.55"/>
    <s v="2.37"/>
    <s v="3.94"/>
    <s v="120.19"/>
    <s v="21.83"/>
    <s v="1878.77"/>
    <n v="182899"/>
    <n v="621899"/>
    <n v="0"/>
    <n v="0"/>
    <s v="5.1"/>
  </r>
  <r>
    <x v="69"/>
    <x v="1"/>
    <s v="Não operacional"/>
    <s v="ES 0096"/>
    <x v="2"/>
    <s v=" "/>
    <s v=" "/>
    <m/>
    <n v="0"/>
    <n v="0"/>
    <n v="0"/>
    <n v="0"/>
    <s v=" "/>
    <n v="0"/>
    <n v="0"/>
    <s v=" "/>
    <s v=" "/>
    <n v="0"/>
    <n v="0"/>
    <s v=" "/>
    <n v="0"/>
    <s v=" "/>
    <s v="9101.03"/>
    <n v="74829"/>
    <n v="110568"/>
    <n v="0"/>
    <s v=" "/>
    <s v="284.5"/>
  </r>
  <r>
    <x v="69"/>
    <x v="1"/>
    <s v="Não operacional"/>
    <s v="ES 0097"/>
    <x v="2"/>
    <s v=" "/>
    <s v=" "/>
    <s v=" "/>
    <n v="0"/>
    <n v="0"/>
    <n v="0"/>
    <n v="0"/>
    <s v=" "/>
    <s v=" "/>
    <s v=" "/>
    <s v=" "/>
    <s v=" "/>
    <n v="0"/>
    <n v="0"/>
    <s v=" "/>
    <n v="0"/>
    <s v=" "/>
    <s v="8772.88"/>
    <s v=" "/>
    <s v=" "/>
    <n v="0"/>
    <s v=" "/>
    <s v="240.7"/>
  </r>
  <r>
    <x v="69"/>
    <x v="1"/>
    <s v="Não operacional"/>
    <s v="ES 0135"/>
    <x v="2"/>
    <s v=" "/>
    <s v=" "/>
    <s v=" "/>
    <n v="0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x v="69"/>
    <x v="1"/>
    <s v="Não operacional"/>
    <s v="ES 0110"/>
    <x v="2"/>
    <s v=" "/>
    <s v=" "/>
    <s v=" "/>
    <n v="0"/>
    <n v="0"/>
    <n v="0"/>
    <n v="0"/>
    <s v=" "/>
    <n v="0"/>
    <n v="0"/>
    <s v=" "/>
    <s v=" "/>
    <n v="0"/>
    <n v="0"/>
    <s v=" "/>
    <n v="0"/>
    <s v=" "/>
    <s v="2366.58"/>
    <n v="150342"/>
    <n v="284608"/>
    <n v="0"/>
    <s v=" "/>
    <s v="311.9"/>
  </r>
  <r>
    <x v="69"/>
    <x v="1"/>
    <s v="Não operacional"/>
    <s v="ES 0126"/>
    <x v="2"/>
    <s v=" "/>
    <s v=" "/>
    <s v=" "/>
    <n v="0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x v="69"/>
    <x v="1"/>
    <s v="Não operacional"/>
    <s v="ES 0099"/>
    <x v="2"/>
    <s v=" "/>
    <s v=" "/>
    <s v=" "/>
    <n v="0"/>
    <n v="0"/>
    <n v="0"/>
    <n v="0"/>
    <s v=" "/>
    <n v="0"/>
    <n v="0"/>
    <s v=" "/>
    <s v=" "/>
    <n v="0"/>
    <n v="0"/>
    <s v=" "/>
    <n v="0"/>
    <s v=" "/>
    <s v="7871.46"/>
    <n v="113589"/>
    <n v="329631"/>
    <n v="0"/>
    <s v=" "/>
    <s v="247.1"/>
  </r>
  <r>
    <x v="69"/>
    <x v="1"/>
    <s v="Não operacional"/>
    <s v="ES 0101"/>
    <x v="0"/>
    <s v=" "/>
    <s v=" "/>
    <m/>
    <n v="0"/>
    <n v="0"/>
    <n v="0"/>
    <n v="0"/>
    <s v=" "/>
    <n v="0"/>
    <n v="0"/>
    <s v=" "/>
    <s v=" "/>
    <n v="0"/>
    <n v="0"/>
    <s v=" "/>
    <n v="0"/>
    <s v=" "/>
    <s v="6522.22"/>
    <n v="412033"/>
    <n v="1463975"/>
    <n v="0"/>
    <s v=" "/>
    <s v="47.7"/>
  </r>
  <r>
    <x v="69"/>
    <x v="1"/>
    <s v="Não operacional"/>
    <s v="ES 0116"/>
    <x v="2"/>
    <s v=" "/>
    <s v=" "/>
    <s v=" "/>
    <n v="0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x v="70"/>
    <x v="11"/>
    <s v="Em operação"/>
    <s v="ES 0096"/>
    <x v="2"/>
    <m/>
    <m/>
    <n v="2500"/>
    <n v="127.48643761301989"/>
    <s v="6.58"/>
    <n v="5.53"/>
    <s v="1.05"/>
    <s v="15.95"/>
    <s v="489"/>
    <n v="705"/>
    <s v="1.44"/>
    <s v="5.71"/>
    <s v="123.5"/>
    <s v="4.73"/>
    <s v="4.51"/>
    <s v="118.77"/>
    <s v="21.46"/>
    <s v="9107.61"/>
    <s v="75318"/>
    <s v="111273"/>
    <s v="0.2"/>
    <s v="0"/>
    <s v="284.7"/>
  </r>
  <r>
    <x v="70"/>
    <x v="11"/>
    <s v="Em operação"/>
    <s v="ES 0097"/>
    <x v="2"/>
    <m/>
    <m/>
    <n v="2500"/>
    <n v="155.39305301645339"/>
    <s v="7.07"/>
    <n v="5.47"/>
    <s v="1.6"/>
    <s v="22.63"/>
    <s v=""/>
    <n v="850"/>
    <s v=""/>
    <s v=""/>
    <s v="105.05"/>
    <s v="6.15"/>
    <s v="3.84"/>
    <s v="98.89"/>
    <s v="18.08"/>
    <s v="8779.95"/>
    <s v=""/>
    <s v=""/>
    <s v="0.6"/>
    <s v=""/>
    <s v="241.3"/>
  </r>
  <r>
    <x v="70"/>
    <x v="11"/>
    <s v="Em operação"/>
    <s v="ES 0135"/>
    <x v="2"/>
    <m/>
    <m/>
    <n v="2500"/>
    <n v="280.14773776546627"/>
    <s v="12.83"/>
    <n v="10.83"/>
    <s v="2"/>
    <s v="15.59"/>
    <s v="1413"/>
    <n v="3034"/>
    <s v="2.15"/>
    <s v="12.9"/>
    <s v="235.17"/>
    <s v="6.62"/>
    <s v="3.31"/>
    <s v="228.54"/>
    <s v="21.1"/>
    <s v="497.76"/>
    <s v="38311"/>
    <s v="74968"/>
    <s v="3.4"/>
    <s v="0"/>
    <s v="48.5"/>
  </r>
  <r>
    <x v="70"/>
    <x v="11"/>
    <s v="Em operação"/>
    <s v="ES 0110"/>
    <x v="2"/>
    <m/>
    <m/>
    <n v="2500"/>
    <n v="301.89393939393938"/>
    <s v="5.98"/>
    <n v="5.28"/>
    <s v="0.7"/>
    <s v="11.71"/>
    <s v="850"/>
    <n v="1594"/>
    <s v="1.88"/>
    <s v="13.42"/>
    <s v="118.77"/>
    <s v="3.31"/>
    <s v="4.73"/>
    <s v="115.45"/>
    <s v="21.87"/>
    <s v="2372.56"/>
    <s v="151192"/>
    <s v="286202"/>
    <s v="0.5"/>
    <s v="0"/>
    <s v="312.4"/>
  </r>
  <r>
    <x v="70"/>
    <x v="11"/>
    <s v="Em operação"/>
    <s v="ES 0126"/>
    <x v="2"/>
    <m/>
    <m/>
    <n v="2500"/>
    <n v="304.94186046511629"/>
    <s v="7.73"/>
    <n v="6.88"/>
    <s v="0.85"/>
    <s v="11"/>
    <s v="821"/>
    <n v="2098"/>
    <s v="2.56"/>
    <s v="14.63"/>
    <s v="143.37"/>
    <s v="3.31"/>
    <s v="3.9"/>
    <s v="140.06"/>
    <s v="20.36"/>
    <s v="920.84"/>
    <s v="94548"/>
    <s v="206395"/>
    <s v="0.6"/>
    <s v="0"/>
    <s v="90.2"/>
  </r>
  <r>
    <x v="70"/>
    <x v="11"/>
    <s v="Em operação"/>
    <s v="ES 0099"/>
    <x v="2"/>
    <m/>
    <m/>
    <n v="2500"/>
    <n v="328.76106194690266"/>
    <s v="9.13"/>
    <n v="6.78"/>
    <s v="2.35"/>
    <s v="25.74"/>
    <s v="593"/>
    <n v="2229"/>
    <s v="3.76"/>
    <s v="10.29"/>
    <s v="216.71"/>
    <s v="14.67"/>
    <s v="6.24"/>
    <s v="202.05"/>
    <s v="29.8"/>
    <s v="7880.59"/>
    <s v="114182"/>
    <s v="331860"/>
    <s v="0.3"/>
    <s v="0"/>
    <s v="247.4"/>
  </r>
  <r>
    <x v="70"/>
    <x v="11"/>
    <s v="Em operação"/>
    <s v="ES 0101"/>
    <x v="0"/>
    <n v="806"/>
    <m/>
    <n v="4000"/>
    <n v="349.80620155038758"/>
    <s v="6.11"/>
    <n v="5.16"/>
    <s v="0.95"/>
    <s v="15.54"/>
    <s v="407"/>
    <n v="1805"/>
    <s v="4.43"/>
    <s v="8.37"/>
    <s v="215.77"/>
    <s v="5.68"/>
    <s v="5.98"/>
    <s v="210.09"/>
    <s v="40.69"/>
    <s v="6528.33"/>
    <s v="412440"/>
    <s v="1465780"/>
    <s v="0.2"/>
    <s v="0"/>
    <s v="47.9"/>
  </r>
  <r>
    <x v="70"/>
    <x v="1"/>
    <s v="Não operacional"/>
    <s v="ES 0116"/>
    <x v="2"/>
    <m/>
    <s v="Na oficina"/>
    <m/>
    <n v="0"/>
    <s v="0.43"/>
    <n v="0.23"/>
    <s v="0.2"/>
    <s v="46.99"/>
    <s v="2"/>
    <n v="0"/>
    <s v="0"/>
    <s v="0"/>
    <s v="6.15"/>
    <s v="1.42"/>
    <s v="7.1"/>
    <s v="4.73"/>
    <s v="20.97"/>
    <s v="1879.19"/>
    <s v="183204"/>
    <s v="622932"/>
    <s v="0"/>
    <s v="0"/>
    <s v="5.1"/>
  </r>
  <r>
    <x v="71"/>
    <x v="11"/>
    <s v="Em operação"/>
    <s v="ES 0096"/>
    <x v="2"/>
    <s v=" "/>
    <s v=" "/>
    <n v="2500"/>
    <n v="186.62790697674419"/>
    <s v="8.08"/>
    <n v="6.88"/>
    <s v="1.2"/>
    <s v="14.84"/>
    <n v="778"/>
    <n v="1284"/>
    <s v="1.65"/>
    <s v="8.45"/>
    <s v="151.89"/>
    <s v="5.2"/>
    <s v="4.34"/>
    <s v="146.68"/>
    <s v="21.31"/>
    <s v="9115.7"/>
    <n v="76096"/>
    <n v="112557"/>
    <s v="1.1"/>
    <n v="0"/>
    <s v="285.8"/>
  </r>
  <r>
    <x v="71"/>
    <x v="11"/>
    <s v="Em operação"/>
    <s v="ES 0097"/>
    <x v="2"/>
    <m/>
    <m/>
    <n v="2500"/>
    <n v="129.96941896024464"/>
    <s v="4.42"/>
    <n v="3.27"/>
    <s v="1.15"/>
    <s v="26.04"/>
    <s v=""/>
    <n v="425"/>
    <s v=""/>
    <s v=""/>
    <s v="73.82"/>
    <s v="5.68"/>
    <s v="4.94"/>
    <s v="68.14"/>
    <s v="20.86"/>
    <s v="8784.45"/>
    <s v=""/>
    <s v=""/>
    <s v="0.6"/>
    <s v=""/>
    <s v="241.9"/>
  </r>
  <r>
    <x v="71"/>
    <x v="11"/>
    <s v="Em operação"/>
    <s v="ES 0135"/>
    <x v="2"/>
    <m/>
    <m/>
    <n v="2500"/>
    <n v="355.848623853211"/>
    <s v="10.67"/>
    <n v="8.7200000000000006"/>
    <s v="1.95"/>
    <s v="18.28"/>
    <s v="1242"/>
    <n v="3103"/>
    <s v="2.5"/>
    <s v="16.03"/>
    <s v="193.53"/>
    <s v="5.68"/>
    <s v="2.91"/>
    <s v="187.85"/>
    <s v="21.55"/>
    <s v="508.43"/>
    <s v="39553"/>
    <s v="78071"/>
    <s v="1.9"/>
    <s v="0"/>
    <s v="50.4"/>
  </r>
  <r>
    <x v="71"/>
    <x v="11"/>
    <s v="Em operação"/>
    <s v="ES 0110"/>
    <x v="2"/>
    <m/>
    <m/>
    <n v="2500"/>
    <n v="218.26196473551636"/>
    <s v="8.84"/>
    <n v="7.94"/>
    <s v="0.9"/>
    <s v="10.18"/>
    <s v="843"/>
    <n v="1733"/>
    <s v="2.06"/>
    <s v="11.52"/>
    <s v="150.47"/>
    <s v="3.79"/>
    <s v="4.21"/>
    <s v="146.68"/>
    <s v="18.46"/>
    <s v="2381.41"/>
    <s v="152035"/>
    <s v="287935"/>
    <s v="0.9"/>
    <s v="0"/>
    <s v="313.3"/>
  </r>
  <r>
    <x v="71"/>
    <x v="11"/>
    <s v="Em operação"/>
    <s v="ES 0126"/>
    <x v="2"/>
    <m/>
    <m/>
    <n v="2500"/>
    <n v="343.48561759729273"/>
    <s v="13.27"/>
    <n v="11.82"/>
    <s v="1.45"/>
    <s v="10.93"/>
    <s v="1625"/>
    <n v="4060"/>
    <s v="2.5"/>
    <s v="15.52"/>
    <s v="261.67"/>
    <s v="5.68"/>
    <s v="3.92"/>
    <s v="255.99"/>
    <s v="21.66"/>
    <s v="934.11"/>
    <s v="96217"/>
    <s v="210567"/>
    <s v="2"/>
    <s v="0"/>
    <s v="92.2"/>
  </r>
  <r>
    <x v="71"/>
    <x v="11"/>
    <s v="Em operação"/>
    <s v="ES 0099"/>
    <x v="2"/>
    <m/>
    <m/>
    <n v="2500"/>
    <n v="208.40336134453781"/>
    <s v="8.95"/>
    <n v="5.95"/>
    <s v="3"/>
    <s v="33.53"/>
    <s v="402"/>
    <n v="1240"/>
    <s v="3.08"/>
    <s v="6.3"/>
    <s v="196.84"/>
    <s v="17.98"/>
    <s v="5.99"/>
    <s v="178.86"/>
    <s v="30.08"/>
    <s v="7889.54"/>
    <s v="114584"/>
    <s v="333100"/>
    <s v="0.3"/>
    <s v="0"/>
    <s v="247.7"/>
  </r>
  <r>
    <x v="71"/>
    <x v="11"/>
    <s v="Em operação"/>
    <s v="ES 0101"/>
    <x v="0"/>
    <n v="1920"/>
    <m/>
    <n v="4000"/>
    <n v="488.49557522123899"/>
    <s v="5.82"/>
    <n v="4.5199999999999996"/>
    <s v="1.3"/>
    <s v="22.35"/>
    <s v="480"/>
    <n v="2208"/>
    <s v="4.6"/>
    <s v="12.44"/>
    <s v="177.44"/>
    <s v="7.1"/>
    <s v="5.46"/>
    <s v="170.34"/>
    <s v="37.72"/>
    <s v="6534.15"/>
    <s v="412920"/>
    <s v="1467988"/>
    <s v="0"/>
    <s v="0"/>
    <s v="47.9"/>
  </r>
  <r>
    <x v="71"/>
    <x v="11"/>
    <s v="Em operação"/>
    <s v="ES 0116"/>
    <x v="6"/>
    <m/>
    <m/>
    <m/>
    <n v="171.15384615384616"/>
    <s v="2.11"/>
    <n v="1.56"/>
    <s v="0.55"/>
    <s v="26.09"/>
    <s v="101"/>
    <n v="267"/>
    <s v="2.64"/>
    <s v="4.37"/>
    <s v="61.04"/>
    <s v="2.37"/>
    <s v="4.3"/>
    <s v="58.67"/>
    <s v="37.65"/>
    <s v="1881.3"/>
    <s v="183305"/>
    <s v="623199"/>
    <s v="0"/>
    <s v="0"/>
    <s v="5.1"/>
  </r>
  <r>
    <x v="72"/>
    <x v="11"/>
    <s v="Em operação"/>
    <s v="ES 0096"/>
    <x v="2"/>
    <s v=" "/>
    <s v=" "/>
    <n v="2500"/>
    <n v="180"/>
    <s v="8.75"/>
    <n v="7.4"/>
    <s v="1.35"/>
    <s v="15.43"/>
    <n v="1036"/>
    <n v="1332"/>
    <s v="1.29"/>
    <s v="8.48"/>
    <s v="157.09"/>
    <s v="5.68"/>
    <s v="4.21"/>
    <s v="151.42"/>
    <s v="20.46"/>
    <s v="9124.45"/>
    <n v="77132"/>
    <n v="113889"/>
    <s v="0.1"/>
    <n v="0"/>
    <s v="285.9"/>
  </r>
  <r>
    <x v="72"/>
    <x v="11"/>
    <s v="Em operação"/>
    <s v="ES 0097"/>
    <x v="2"/>
    <m/>
    <m/>
    <n v="2500"/>
    <n v="330.93053735255569"/>
    <s v="8.98"/>
    <n v="7.63"/>
    <s v="1.35"/>
    <s v="15.04"/>
    <s v=""/>
    <n v="2525"/>
    <s v=""/>
    <s v=""/>
    <s v="173.18"/>
    <s v="6.15"/>
    <s v="4.56"/>
    <s v="167.03"/>
    <s v="21.9"/>
    <s v="8793.42"/>
    <s v=""/>
    <s v=""/>
    <s v="1.2"/>
    <s v=""/>
    <s v="243.1"/>
  </r>
  <r>
    <x v="72"/>
    <x v="11"/>
    <s v="Em operação"/>
    <s v="ES 0135"/>
    <x v="2"/>
    <m/>
    <m/>
    <n v="2500"/>
    <n v="346.66666666666669"/>
    <s v="8.65"/>
    <n v="7.8"/>
    <s v="0.85"/>
    <s v="9.83"/>
    <s v="1103"/>
    <n v="2704"/>
    <s v="2.45"/>
    <s v="18.8"/>
    <s v="143.85"/>
    <s v="3.31"/>
    <s v="3.9"/>
    <s v="140.53"/>
    <s v="18.02"/>
    <s v="517.08"/>
    <s v="40656"/>
    <s v="80775"/>
    <s v="0.3"/>
    <s v="0"/>
    <s v="50.7"/>
  </r>
  <r>
    <x v="72"/>
    <x v="11"/>
    <s v="Em operação"/>
    <s v="ES 0110"/>
    <x v="2"/>
    <m/>
    <m/>
    <n v="2500"/>
    <n v="364.97622820919179"/>
    <s v="8.06"/>
    <n v="6.31"/>
    <s v="1.75"/>
    <s v="21.72"/>
    <s v="961"/>
    <n v="2303"/>
    <s v="2.4"/>
    <s v="15.91"/>
    <s v="144.79"/>
    <s v="6.15"/>
    <s v="3.52"/>
    <s v="138.64"/>
    <s v="21.99"/>
    <s v="2389.46"/>
    <s v="152996"/>
    <s v="290238"/>
    <s v="0.8"/>
    <s v="0"/>
    <s v="314.1"/>
  </r>
  <r>
    <x v="72"/>
    <x v="11"/>
    <s v="Em operação"/>
    <s v="ES 0126"/>
    <x v="2"/>
    <m/>
    <m/>
    <n v="2500"/>
    <n v="358.07916937053858"/>
    <s v="16.81"/>
    <n v="15.41"/>
    <s v="1.4"/>
    <s v="8.33"/>
    <s v="2139"/>
    <n v="5518"/>
    <s v="2.58"/>
    <s v="16.11"/>
    <s v="342.58"/>
    <s v="5.68"/>
    <s v="4.06"/>
    <s v="336.9"/>
    <s v="21.86"/>
    <s v="950.92"/>
    <s v="98356"/>
    <s v="216085"/>
    <s v="0.2"/>
    <s v="0"/>
    <s v="92.4"/>
  </r>
  <r>
    <x v="72"/>
    <x v="1"/>
    <s v="Não operacional"/>
    <s v="ES 0099"/>
    <x v="2"/>
    <m/>
    <s v="Na oficina"/>
    <m/>
    <n v="0"/>
    <s v="0.76"/>
    <n v="0.46"/>
    <s v="0.3"/>
    <s v="39.39"/>
    <s v="10"/>
    <n v="0"/>
    <s v="0.3"/>
    <s v="0.24"/>
    <s v="12.3"/>
    <s v="1.42"/>
    <s v="4.73"/>
    <s v="10.88"/>
    <s v="23.57"/>
    <s v="7890.3"/>
    <s v="114594"/>
    <s v="333103"/>
    <s v="0"/>
    <s v="0"/>
    <s v="247.7"/>
  </r>
  <r>
    <x v="72"/>
    <x v="11"/>
    <s v="Em operação"/>
    <s v="ES 0101"/>
    <x v="0"/>
    <n v="1817"/>
    <m/>
    <n v="4000"/>
    <n v="345.87458745874591"/>
    <s v="7.26"/>
    <n v="6.06"/>
    <s v="1.2"/>
    <s v="16.54"/>
    <s v="454"/>
    <n v="2096"/>
    <s v="4.62"/>
    <s v="8.58"/>
    <s v="244.16"/>
    <s v="6.62"/>
    <s v="5.52"/>
    <s v="237.53"/>
    <s v="39.22"/>
    <s v="6541.41"/>
    <s v="413374"/>
    <s v="1470084"/>
    <s v="0.2"/>
    <s v="0"/>
    <s v="48.1"/>
  </r>
  <r>
    <x v="72"/>
    <x v="11"/>
    <s v="Em operação"/>
    <s v="ES 0116"/>
    <x v="2"/>
    <m/>
    <m/>
    <n v="2500"/>
    <n v="294.66089466089466"/>
    <s v="8.18"/>
    <n v="6.93"/>
    <s v="1.25"/>
    <s v="15.27"/>
    <s v="705"/>
    <n v="2042"/>
    <s v="2.9"/>
    <s v="7.9"/>
    <s v="258.35"/>
    <s v="6.15"/>
    <s v="4.92"/>
    <s v="252.2"/>
    <s v="36.37"/>
    <s v="1889.49"/>
    <s v="184010"/>
    <s v="625241"/>
    <s v="0"/>
    <s v="0"/>
    <s v="5.1"/>
  </r>
  <r>
    <x v="73"/>
    <x v="11"/>
    <s v="Em operação"/>
    <s v="ES 0096"/>
    <x v="2"/>
    <s v=" "/>
    <s v=" "/>
    <n v="2142.8571428571427"/>
    <n v="338.29499323410016"/>
    <s v="8.29"/>
    <n v="7.39"/>
    <s v="0.9"/>
    <s v="10.86"/>
    <n v="1062"/>
    <n v="2500"/>
    <s v="1.46"/>
    <s v="10.1"/>
    <s v="153.78"/>
    <s v="3.79"/>
    <s v="4.21"/>
    <n v="150"/>
    <s v="20.3"/>
    <s v="9132.73"/>
    <n v="78194"/>
    <n v="115442"/>
    <s v="0.1"/>
    <n v="0"/>
    <n v="286"/>
  </r>
  <r>
    <x v="73"/>
    <x v="11"/>
    <s v="Em operação"/>
    <s v="ES 0097"/>
    <x v="2"/>
    <m/>
    <m/>
    <n v="2142.8571428571427"/>
    <n v="464.87603305785126"/>
    <s v="6.24"/>
    <n v="4.84"/>
    <s v="1.4"/>
    <s v="22.43"/>
    <s v=""/>
    <n v="2250"/>
    <s v=""/>
    <s v=""/>
    <s v="107.88"/>
    <s v="5.68"/>
    <s v="4.06"/>
    <s v="102.21"/>
    <s v="21.11"/>
    <s v="8799.69"/>
    <s v=""/>
    <s v=""/>
    <s v="0.2"/>
    <s v=""/>
    <s v="243.3"/>
  </r>
  <r>
    <x v="73"/>
    <x v="11"/>
    <s v="Em operação"/>
    <s v="ES 0135"/>
    <x v="2"/>
    <m/>
    <m/>
    <n v="2142.8571428571427"/>
    <n v="449.67490247074119"/>
    <s v="8.49"/>
    <n v="7.69"/>
    <s v="0.8"/>
    <s v="9.42"/>
    <s v="1580"/>
    <n v="3458"/>
    <s v="2.19"/>
    <s v="19.75"/>
    <s v="175.08"/>
    <s v="2.84"/>
    <s v="3.55"/>
    <s v="172.24"/>
    <s v="22.38"/>
    <s v="525.58"/>
    <s v="42500"/>
    <s v="84993"/>
    <s v="0.6"/>
    <s v="0"/>
    <s v="51.3"/>
  </r>
  <r>
    <x v="73"/>
    <x v="11"/>
    <s v="Em operação"/>
    <s v="ES 0110"/>
    <x v="2"/>
    <m/>
    <m/>
    <n v="2142.8571428571427"/>
    <n v="407.4858757062147"/>
    <s v="8.33"/>
    <n v="7.08"/>
    <s v="1.25"/>
    <s v="15.01"/>
    <s v="1159"/>
    <n v="2885"/>
    <s v="2.49"/>
    <s v="18.7"/>
    <s v="154.26"/>
    <s v="4.73"/>
    <s v="3.79"/>
    <s v="149.52"/>
    <s v="21.12"/>
    <s v="2397.79"/>
    <s v="154155"/>
    <s v="293123"/>
    <s v="0"/>
    <s v="0"/>
    <s v="314.1"/>
  </r>
  <r>
    <x v="73"/>
    <x v="11"/>
    <s v="Em operação"/>
    <s v="ES 0126"/>
    <x v="2"/>
    <m/>
    <m/>
    <n v="2142.8571428571427"/>
    <n v="389.84806629834253"/>
    <s v="15.68"/>
    <n v="14.48"/>
    <s v="1.2"/>
    <s v="7.65"/>
    <s v="2045"/>
    <n v="5645"/>
    <s v="2.76"/>
    <s v="17.91"/>
    <s v="315.14"/>
    <s v="4.26"/>
    <s v="3.55"/>
    <s v="310.88"/>
    <s v="21.46"/>
    <s v="966.61"/>
    <s v="100401"/>
    <s v="221730"/>
    <s v="7.1"/>
    <s v="0"/>
    <s v="99.5"/>
  </r>
  <r>
    <x v="73"/>
    <x v="11"/>
    <s v="Em operação"/>
    <s v="ES 0099"/>
    <x v="2"/>
    <m/>
    <m/>
    <n v="2142.8571428571427"/>
    <n v="251.52354570637121"/>
    <s v="4.56"/>
    <n v="3.61"/>
    <s v="0.95"/>
    <s v="20.83"/>
    <s v="339"/>
    <n v="908"/>
    <s v="2.68"/>
    <s v="8.17"/>
    <s v="111.2"/>
    <s v="5.68"/>
    <s v="5.98"/>
    <s v="105.52"/>
    <s v="29.22"/>
    <s v="7894.86"/>
    <s v="114933"/>
    <s v="334011"/>
    <s v="0.3"/>
    <s v="0"/>
    <s v="248"/>
  </r>
  <r>
    <x v="73"/>
    <x v="11"/>
    <s v="Em operação"/>
    <s v="ES 0101"/>
    <x v="0"/>
    <n v="541"/>
    <m/>
    <n v="4000"/>
    <n v="783.87096774193549"/>
    <s v="1.08"/>
    <n v="0.93"/>
    <s v="0.15"/>
    <s v="13.87"/>
    <s v="143"/>
    <n v="729"/>
    <s v="5.1"/>
    <s v="19.5"/>
    <s v="37.38"/>
    <s v="1.42"/>
    <s v="9.46"/>
    <s v="35.96"/>
    <s v="38.62"/>
    <s v="6542.49"/>
    <s v="413517"/>
    <s v="1470813"/>
    <s v="0"/>
    <s v="0"/>
    <s v="48.1"/>
  </r>
  <r>
    <x v="73"/>
    <x v="11"/>
    <s v="Em operação"/>
    <s v="ES 0116"/>
    <x v="2"/>
    <m/>
    <m/>
    <n v="2142.8571428571427"/>
    <n v="469.76744186046511"/>
    <s v="8.3"/>
    <n v="6.45"/>
    <s v="1.85"/>
    <s v="22.3"/>
    <s v="996"/>
    <n v="3030"/>
    <s v="3.04"/>
    <s v="10.85"/>
    <s v="279.17"/>
    <s v="8.99"/>
    <s v="4.86"/>
    <s v="270.18"/>
    <s v="41.91"/>
    <s v="1897.78"/>
    <s v="185105"/>
    <s v="628530"/>
    <s v="0.1"/>
    <s v="0"/>
    <s v="5.2"/>
  </r>
  <r>
    <x v="74"/>
    <x v="11"/>
    <s v="Em operação"/>
    <s v="ES 0096"/>
    <x v="2"/>
    <s v=" "/>
    <s v=" "/>
    <n v="2142.8571428571427"/>
    <n v="297.92746113989637"/>
    <s v="9.07"/>
    <n v="7.72"/>
    <s v="1.35"/>
    <s v="14.88"/>
    <n v="987"/>
    <n v="2300"/>
    <s v="1.68"/>
    <s v="10.32"/>
    <s v="160.41"/>
    <s v="5.68"/>
    <s v="4.21"/>
    <s v="154.73"/>
    <s v="20.04"/>
    <s v="9141.8"/>
    <n v="79181"/>
    <n v="117097"/>
    <s v="1.1"/>
    <n v="0"/>
    <s v="287.1"/>
  </r>
  <r>
    <x v="74"/>
    <x v="11"/>
    <s v="Em operação"/>
    <s v="ES 0097"/>
    <x v="2"/>
    <m/>
    <m/>
    <n v="2142.8571428571427"/>
    <n v="394.92753623188406"/>
    <s v="8.3"/>
    <n v="6.9"/>
    <s v="1.4"/>
    <s v="16.86"/>
    <s v=""/>
    <n v="2725"/>
    <s v=""/>
    <s v=""/>
    <s v="153.31"/>
    <s v="6.15"/>
    <s v="4.39"/>
    <s v="147.16"/>
    <s v="21.31"/>
    <s v="8807.99"/>
    <s v=""/>
    <s v=""/>
    <s v="0.3"/>
    <s v=""/>
    <s v="243.6"/>
  </r>
  <r>
    <x v="74"/>
    <x v="11"/>
    <s v="Em operação"/>
    <s v="ES 0135"/>
    <x v="2"/>
    <m/>
    <m/>
    <n v="2142.8571428571427"/>
    <n v="405.94744121715075"/>
    <s v="8.98"/>
    <n v="7.23"/>
    <s v="1.75"/>
    <s v="19.48"/>
    <s v="1296"/>
    <n v="2935"/>
    <s v="2.26"/>
    <s v="18.03"/>
    <s v="162.77"/>
    <s v="5.68"/>
    <s v="3.24"/>
    <s v="157.09"/>
    <s v="21.71"/>
    <s v="534.56"/>
    <s v="43796"/>
    <s v="87928"/>
    <s v="1"/>
    <s v="0"/>
    <s v="52.3"/>
  </r>
  <r>
    <x v="74"/>
    <x v="11"/>
    <s v="Em operação"/>
    <s v="ES 0110"/>
    <x v="2"/>
    <m/>
    <m/>
    <n v="2142.8571428571427"/>
    <n v="324.15316642120763"/>
    <s v="7.89"/>
    <n v="6.79"/>
    <s v="1.1"/>
    <s v="13.94"/>
    <s v="1027"/>
    <n v="2201"/>
    <s v="2.14"/>
    <s v="15.4"/>
    <s v="142.9"/>
    <s v="4.73"/>
    <s v="4.3"/>
    <s v="138.17"/>
    <s v="20.35"/>
    <s v="2405.68"/>
    <s v="155182"/>
    <s v="295324"/>
    <s v="0.3"/>
    <s v="0"/>
    <s v="314.4"/>
  </r>
  <r>
    <x v="74"/>
    <x v="11"/>
    <s v="Em operação"/>
    <s v="ES 0126"/>
    <x v="2"/>
    <m/>
    <m/>
    <n v="2142.8571428571427"/>
    <n v="355.31281032770607"/>
    <s v="11.07"/>
    <n v="10.07"/>
    <s v="1"/>
    <s v="9.03"/>
    <s v="1316"/>
    <n v="3578"/>
    <s v="2.72"/>
    <s v="17.3"/>
    <s v="206.78"/>
    <s v="4.73"/>
    <s v="4.73"/>
    <s v="202.05"/>
    <s v="20.05"/>
    <s v="977.68"/>
    <s v="101717"/>
    <s v="225308"/>
    <s v="0.5"/>
    <s v="0"/>
    <s v="100"/>
  </r>
  <r>
    <x v="74"/>
    <x v="11"/>
    <s v="Em operação"/>
    <s v="ES 0099"/>
    <x v="2"/>
    <m/>
    <m/>
    <n v="2142.8571428571427"/>
    <n v="411.9962511715089"/>
    <s v="13.32"/>
    <n v="10.67"/>
    <s v="2.65"/>
    <s v="19.89"/>
    <s v="1347"/>
    <n v="4396"/>
    <s v="3.26"/>
    <s v="12.76"/>
    <s v="344.47"/>
    <s v="14.67"/>
    <s v="5.54"/>
    <s v="329.8"/>
    <s v="30.9"/>
    <s v="7908.19"/>
    <s v="116280"/>
    <s v="338407"/>
    <s v="0.1"/>
    <s v="0"/>
    <s v="248.1"/>
  </r>
  <r>
    <x v="74"/>
    <x v="11"/>
    <s v="Em operação"/>
    <s v="ES 0101"/>
    <x v="0"/>
    <n v="371"/>
    <m/>
    <n v="4000"/>
    <n v="686.20689655172418"/>
    <s v="0.63"/>
    <n v="0.57999999999999996"/>
    <s v="0.05"/>
    <s v="7.97"/>
    <s v="86"/>
    <n v="398"/>
    <s v="4.63"/>
    <s v="15.87"/>
    <s v="25.08"/>
    <s v="0.47"/>
    <s v="9.46"/>
    <s v="24.61"/>
    <s v="42.63"/>
    <s v="6543.12"/>
    <s v="413603"/>
    <s v="1471211"/>
    <s v="0"/>
    <s v="0"/>
    <s v="48.1"/>
  </r>
  <r>
    <x v="74"/>
    <x v="11"/>
    <s v="Em operação"/>
    <s v="ES 0116"/>
    <x v="2"/>
    <m/>
    <m/>
    <n v="2142.8571428571427"/>
    <n v="494.69696969696975"/>
    <s v="8.35"/>
    <n v="6.6"/>
    <s v="1.75"/>
    <s v="20.96"/>
    <s v="945"/>
    <n v="3265"/>
    <s v="3.46"/>
    <s v="13.14"/>
    <s v="248.42"/>
    <s v="8.04"/>
    <s v="4.6"/>
    <s v="240.37"/>
    <s v="36.42"/>
    <s v="1906.13"/>
    <s v="186050"/>
    <s v="631795"/>
    <s v="0"/>
    <s v="0"/>
    <s v="5.2"/>
  </r>
  <r>
    <x v="75"/>
    <x v="11"/>
    <s v="Em operação"/>
    <s v="ES 0096"/>
    <x v="2"/>
    <m/>
    <m/>
    <n v="2500"/>
    <n v="439.4977168949772"/>
    <s v="5.68"/>
    <n v="4.38"/>
    <s v="1.3"/>
    <s v="22.89"/>
    <s v="787"/>
    <n v="1925"/>
    <s v="1.56"/>
    <s v="13.17"/>
    <s v="93.22"/>
    <s v="5.68"/>
    <s v="4.37"/>
    <s v="87.54"/>
    <s v="19.99"/>
    <s v="9147.48"/>
    <s v="79968"/>
    <s v="118325"/>
    <s v="0.1"/>
    <s v="0"/>
    <s v="287.2"/>
  </r>
  <r>
    <x v="75"/>
    <x v="11"/>
    <s v="Em operação"/>
    <s v="ES 0097"/>
    <x v="2"/>
    <m/>
    <m/>
    <n v="2500"/>
    <n v="238.3177570093458"/>
    <s v="5.95"/>
    <n v="5.35"/>
    <s v="0.6"/>
    <s v="10.09"/>
    <s v=""/>
    <n v="1275"/>
    <s v=""/>
    <s v=""/>
    <s v="105.52"/>
    <s v="1.89"/>
    <s v="3.15"/>
    <s v="103.63"/>
    <s v="19.39"/>
    <s v="8813.94"/>
    <s v=""/>
    <s v=""/>
    <s v="0.1"/>
    <s v=""/>
    <s v="243.7"/>
  </r>
  <r>
    <x v="75"/>
    <x v="11"/>
    <s v="Em operação"/>
    <s v="ES 0135"/>
    <x v="2"/>
    <m/>
    <m/>
    <n v="2500"/>
    <n v="231.95488721804509"/>
    <s v="6.12"/>
    <n v="5.32"/>
    <s v="0.8"/>
    <s v="13.07"/>
    <s v="517"/>
    <n v="1234"/>
    <s v="2.39"/>
    <s v="18.24"/>
    <s v="67.66"/>
    <s v="2.84"/>
    <s v="3.55"/>
    <s v="64.83"/>
    <s v="12.19"/>
    <s v="540.68"/>
    <s v="44313"/>
    <s v="89162"/>
    <s v="0.4"/>
    <s v="0"/>
    <s v="52.7"/>
  </r>
  <r>
    <x v="75"/>
    <x v="11"/>
    <s v="Em operação"/>
    <s v="ES 0110"/>
    <x v="2"/>
    <m/>
    <m/>
    <n v="2500"/>
    <n v="393.86363636363632"/>
    <s v="5.35"/>
    <n v="4.4000000000000004"/>
    <s v="0.95"/>
    <s v="17.77"/>
    <s v="756"/>
    <n v="1733"/>
    <s v="2.29"/>
    <s v="17.52"/>
    <s v="98.89"/>
    <s v="2.84"/>
    <s v="2.99"/>
    <s v="96.05"/>
    <s v="21.85"/>
    <s v="2411.03"/>
    <s v="155938"/>
    <s v="297057"/>
    <s v="0.1"/>
    <s v="0"/>
    <s v="314.5"/>
  </r>
  <r>
    <x v="75"/>
    <x v="11"/>
    <s v="Em operação"/>
    <s v="ES 0126"/>
    <x v="2"/>
    <m/>
    <m/>
    <n v="2500"/>
    <n v="184.983498349835"/>
    <s v="6.46"/>
    <n v="6.06"/>
    <s v="0.4"/>
    <s v="6.19"/>
    <s v="608"/>
    <n v="1121"/>
    <s v="1.84"/>
    <s v="8.97"/>
    <s v="124.92"/>
    <s v="1.89"/>
    <s v="4.73"/>
    <s v="123.03"/>
    <s v="20.31"/>
    <s v="984.14"/>
    <s v="102381"/>
    <s v="226578"/>
    <s v="1"/>
    <s v="0"/>
    <s v="101"/>
  </r>
  <r>
    <x v="75"/>
    <x v="11"/>
    <s v="Em operação"/>
    <s v="ES 0099"/>
    <x v="2"/>
    <m/>
    <m/>
    <n v="2500"/>
    <n v="327.75073028237586"/>
    <s v="13.32"/>
    <n v="10.27"/>
    <s v="3.05"/>
    <s v="22.9"/>
    <s v="1120"/>
    <n v="3366"/>
    <s v="3.01"/>
    <s v="10.06"/>
    <s v="334.54"/>
    <s v="17.51"/>
    <s v="5.74"/>
    <s v="317.03"/>
    <s v="30.87"/>
    <s v="7921.51"/>
    <s v="117400"/>
    <s v="341773"/>
    <s v="0.1"/>
    <s v="0"/>
    <s v="248.2"/>
  </r>
  <r>
    <x v="75"/>
    <x v="11"/>
    <s v="Em operação"/>
    <s v="ES 0101"/>
    <x v="0"/>
    <n v="1115"/>
    <m/>
    <n v="4000"/>
    <n v="474.609375"/>
    <s v="3.01"/>
    <n v="2.56"/>
    <s v="0.45"/>
    <s v="14.94"/>
    <s v="258"/>
    <n v="1215"/>
    <s v="4.71"/>
    <s v="12.11"/>
    <s v="100.31"/>
    <s v="3.31"/>
    <s v="7.36"/>
    <s v="97"/>
    <s v="37.85"/>
    <s v="6546.13"/>
    <s v="413861"/>
    <s v="1472426"/>
    <s v="0"/>
    <s v="0"/>
    <s v="48.1"/>
  </r>
  <r>
    <x v="75"/>
    <x v="11"/>
    <s v="Em operação"/>
    <s v="ES 0116"/>
    <x v="6"/>
    <m/>
    <m/>
    <m/>
    <n v="390.18036072144287"/>
    <s v="6.34"/>
    <n v="4.99"/>
    <s v="1.35"/>
    <s v="21.31"/>
    <s v="694"/>
    <n v="1947"/>
    <s v="2.81"/>
    <s v="9.31"/>
    <s v="209.14"/>
    <s v="5.68"/>
    <s v="4.21"/>
    <s v="203.47"/>
    <s v="40.81"/>
    <s v="1912.47"/>
    <s v="186829"/>
    <s v="633940"/>
    <s v="0"/>
    <s v="0"/>
    <s v="5.2"/>
  </r>
  <r>
    <x v="76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s v="9147.48"/>
    <s v="79968"/>
    <s v="118325"/>
    <s v="0"/>
    <s v=""/>
    <s v="287.2"/>
  </r>
  <r>
    <x v="76"/>
    <x v="1"/>
    <s v="Não operacional"/>
    <s v="ES 0097"/>
    <x v="2"/>
    <m/>
    <m/>
    <m/>
    <n v="0"/>
    <s v="0"/>
    <s v="0"/>
    <s v="0"/>
    <s v=""/>
    <s v=""/>
    <n v="0"/>
    <s v=""/>
    <s v=""/>
    <s v="0"/>
    <s v="0"/>
    <s v=""/>
    <s v="0"/>
    <s v=""/>
    <s v="8813.94"/>
    <s v=""/>
    <s v=""/>
    <s v="0"/>
    <s v=""/>
    <s v="243.7"/>
  </r>
  <r>
    <x v="76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s v="2411.03"/>
    <s v="155938"/>
    <s v="297057"/>
    <s v="0"/>
    <s v=""/>
    <s v="314.5"/>
  </r>
  <r>
    <x v="76"/>
    <x v="1"/>
    <s v="Não operacional"/>
    <s v="ES 0126"/>
    <x v="2"/>
    <m/>
    <m/>
    <m/>
    <n v="0"/>
    <s v="0"/>
    <s v="0"/>
    <s v="0"/>
    <s v=""/>
    <s v="0"/>
    <n v="0"/>
    <s v=""/>
    <s v=""/>
    <s v="0"/>
    <s v="0"/>
    <s v=""/>
    <s v="0"/>
    <s v=""/>
    <s v="984.14"/>
    <s v="102381"/>
    <s v="226578"/>
    <s v="0"/>
    <s v=""/>
    <s v="101"/>
  </r>
  <r>
    <x v="76"/>
    <x v="1"/>
    <s v="Não operacional"/>
    <s v="ES 0099"/>
    <x v="2"/>
    <m/>
    <m/>
    <m/>
    <n v="0"/>
    <s v="0.04"/>
    <n v="0.04"/>
    <s v="0"/>
    <s v="0"/>
    <s v="0"/>
    <n v="0"/>
    <s v=""/>
    <s v=""/>
    <s v="0"/>
    <s v="0"/>
    <s v=""/>
    <s v="0"/>
    <s v="0"/>
    <s v="7921.55"/>
    <s v="117400"/>
    <s v="341773"/>
    <s v="0"/>
    <s v=""/>
    <s v="248.2"/>
  </r>
  <r>
    <x v="76"/>
    <x v="1"/>
    <s v="Não operacional"/>
    <s v="ES 0101"/>
    <x v="0"/>
    <m/>
    <m/>
    <m/>
    <n v="0"/>
    <s v="0"/>
    <s v="0"/>
    <s v="0"/>
    <s v=""/>
    <s v="0"/>
    <n v="0"/>
    <s v=""/>
    <s v=""/>
    <s v="0"/>
    <s v="0"/>
    <s v=""/>
    <s v="0"/>
    <s v=""/>
    <s v="6546.13"/>
    <s v="413861"/>
    <s v="1472426"/>
    <s v="0"/>
    <s v=""/>
    <s v="48.1"/>
  </r>
  <r>
    <x v="76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"/>
    <x v="12"/>
    <s v="Em operação"/>
    <s v="ES 0096"/>
    <x v="2"/>
    <m/>
    <m/>
    <n v="2500"/>
    <n v="444.16243654822335"/>
    <s v="8.68"/>
    <n v="7.88"/>
    <s v="0.8"/>
    <s v="9.22"/>
    <s v="1167"/>
    <n v="3500"/>
    <s v="1.77"/>
    <s v="12.56"/>
    <s v="164.19"/>
    <s v="3.31"/>
    <s v="4.14"/>
    <s v="160.88"/>
    <s v="20.42"/>
    <s v="9156.16"/>
    <s v="81135"/>
    <s v="120388"/>
    <s v="0"/>
    <s v="0"/>
    <s v="287.2"/>
  </r>
  <r>
    <x v="77"/>
    <x v="12"/>
    <s v="Em operação"/>
    <s v="ES 0097"/>
    <x v="2"/>
    <m/>
    <m/>
    <n v="2500"/>
    <n v="279.68036529680364"/>
    <s v="5.08"/>
    <n v="4.38"/>
    <s v="0.7"/>
    <s v="13.78"/>
    <s v=""/>
    <n v="1225"/>
    <s v=""/>
    <s v=""/>
    <s v="92.27"/>
    <s v="3.79"/>
    <s v="5.41"/>
    <s v="88.48"/>
    <s v="20.21"/>
    <s v="8819.03"/>
    <s v=""/>
    <s v=""/>
    <s v="0.1"/>
    <s v=""/>
    <s v="243.8"/>
  </r>
  <r>
    <x v="77"/>
    <x v="12"/>
    <s v="Em operação"/>
    <s v="ES 0135"/>
    <x v="2"/>
    <m/>
    <m/>
    <n v="2500"/>
    <n v="382.96943231441048"/>
    <s v="8.82"/>
    <n v="6.87"/>
    <s v="1.95"/>
    <s v="22.11"/>
    <s v="1139"/>
    <n v="2631"/>
    <s v="2.31"/>
    <s v="16.8"/>
    <s v="156.62"/>
    <s v="6.15"/>
    <s v="3.15"/>
    <s v="150.47"/>
    <s v="21.91"/>
    <s v="549.5"/>
    <s v="45797"/>
    <s v="92560"/>
    <s v="1"/>
    <s v="0"/>
    <s v="54"/>
  </r>
  <r>
    <x v="77"/>
    <x v="12"/>
    <s v="Em operação"/>
    <s v="ES 0110"/>
    <x v="2"/>
    <m/>
    <m/>
    <n v="2500"/>
    <n v="289.05380333951763"/>
    <s v="6.69"/>
    <n v="5.39"/>
    <s v="1.3"/>
    <s v="19.43"/>
    <s v="822"/>
    <n v="1558"/>
    <s v="1.9"/>
    <s v="12.76"/>
    <s v="122.08"/>
    <s v="5.2"/>
    <s v="4"/>
    <s v="116.87"/>
    <s v="21.68"/>
    <s v="2417.72"/>
    <s v="156760"/>
    <s v="298615"/>
    <s v="1"/>
    <s v="0"/>
    <s v="315.5"/>
  </r>
  <r>
    <x v="77"/>
    <x v="12"/>
    <s v="Em operação"/>
    <s v="ES 0126"/>
    <x v="2"/>
    <m/>
    <m/>
    <n v="2500"/>
    <n v="264.2570281124498"/>
    <s v="10.86"/>
    <n v="9.9600000000000009"/>
    <s v="0.9"/>
    <s v="8.28"/>
    <s v="1177"/>
    <n v="2632"/>
    <s v="2.24"/>
    <s v="11.94"/>
    <s v="220.5"/>
    <s v="2.84"/>
    <s v="3.15"/>
    <s v="217.66"/>
    <s v="21.84"/>
    <s v="995.01"/>
    <s v="103558"/>
    <s v="229210"/>
    <s v="3.8"/>
    <s v="0"/>
    <s v="104.8"/>
  </r>
  <r>
    <x v="77"/>
    <x v="12"/>
    <s v="Em operação"/>
    <s v="ES 0099"/>
    <x v="2"/>
    <m/>
    <m/>
    <n v="2500"/>
    <n v="272.9624838292367"/>
    <s v="8.98"/>
    <n v="7.73"/>
    <s v="1.25"/>
    <s v="13.93"/>
    <s v="747"/>
    <n v="2110"/>
    <s v="2.82"/>
    <s v="9.03"/>
    <s v="233.75"/>
    <s v="6.62"/>
    <s v="5.3"/>
    <s v="227.12"/>
    <s v="29.4"/>
    <s v="7930.52"/>
    <s v="118147"/>
    <s v="343883"/>
    <s v="0.7"/>
    <s v="0"/>
    <s v="248.9"/>
  </r>
  <r>
    <x v="77"/>
    <x v="12"/>
    <s v="Em operação"/>
    <s v="ES 0101"/>
    <x v="0"/>
    <n v="2741"/>
    <m/>
    <n v="4000"/>
    <n v="489.75609756097566"/>
    <s v="9.15"/>
    <n v="8.1999999999999993"/>
    <s v="0.95"/>
    <s v="10.38"/>
    <s v="902"/>
    <n v="4016"/>
    <s v="4.45"/>
    <s v="12.04"/>
    <s v="333.59"/>
    <s v="5.2"/>
    <s v="5.48"/>
    <s v="328.38"/>
    <s v="40.04"/>
    <s v="6555.28"/>
    <s v="414763"/>
    <s v="1476442"/>
    <s v="0.1"/>
    <s v="0"/>
    <s v="48.2"/>
  </r>
  <r>
    <x v="77"/>
    <x v="12"/>
    <s v="Em operação"/>
    <s v="ES 0116"/>
    <x v="6"/>
    <m/>
    <m/>
    <m/>
    <n v="412.85266457680251"/>
    <s v="7.78"/>
    <n v="6.38"/>
    <s v="1.4"/>
    <s v="18"/>
    <s v="888"/>
    <n v="2634"/>
    <s v="2.97"/>
    <s v="10.29"/>
    <s v="255.99"/>
    <s v="7.1"/>
    <s v="5.07"/>
    <s v="248.89"/>
    <s v="39.02"/>
    <s v="1920.25"/>
    <s v="187717"/>
    <s v="636574"/>
    <s v="0"/>
    <s v="0"/>
    <s v="5.2"/>
  </r>
  <r>
    <x v="78"/>
    <x v="12"/>
    <s v="Em operação"/>
    <s v="ES 0096"/>
    <x v="2"/>
    <m/>
    <m/>
    <n v="3000"/>
    <n v="467.62589928057554"/>
    <s v="8.75"/>
    <n v="6.95"/>
    <s v="1.8"/>
    <s v="20.56"/>
    <s v="1264"/>
    <n v="3250"/>
    <s v="1.7"/>
    <s v="14.72"/>
    <s v="146.21"/>
    <s v="7.57"/>
    <s v="4.21"/>
    <s v="138.64"/>
    <s v="19.93"/>
    <s v="9164.92"/>
    <s v="82399"/>
    <s v="122540"/>
    <s v="0.9"/>
    <s v="0"/>
    <s v="288.1"/>
  </r>
  <r>
    <x v="78"/>
    <x v="1"/>
    <s v="Não operacional"/>
    <s v="ES 0097"/>
    <x v="2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"/>
    <x v="12"/>
    <s v="Em operação"/>
    <s v="ES 0135"/>
    <x v="2"/>
    <m/>
    <m/>
    <n v="3000"/>
    <n v="319.70108695652175"/>
    <s v="8.31"/>
    <n v="7.36"/>
    <s v="0.95"/>
    <s v="11.43"/>
    <s v="1093"/>
    <n v="2353"/>
    <s v="2.15"/>
    <s v="17.63"/>
    <s v="133.44"/>
    <s v="3.31"/>
    <s v="3.49"/>
    <s v="130.12"/>
    <s v="17.68"/>
    <s v="557.81"/>
    <s v="46890"/>
    <s v="94913"/>
    <s v="0.3"/>
    <s v="0"/>
    <s v="54.3"/>
  </r>
  <r>
    <x v="78"/>
    <x v="12"/>
    <s v="Em operação"/>
    <s v="ES 0110"/>
    <x v="2"/>
    <m/>
    <m/>
    <n v="3000"/>
    <n v="310.40787623066103"/>
    <s v="8.81"/>
    <n v="7.11"/>
    <s v="1.7"/>
    <s v="19.3"/>
    <s v="1067"/>
    <n v="2207"/>
    <s v="2.07"/>
    <s v="13.72"/>
    <s v="160.88"/>
    <s v="6.15"/>
    <s v="3.62"/>
    <s v="154.73"/>
    <s v="21.77"/>
    <s v="2426.52"/>
    <s v="157827"/>
    <s v="300822"/>
    <s v="0.2"/>
    <s v="0"/>
    <s v="315.7"/>
  </r>
  <r>
    <x v="78"/>
    <x v="12"/>
    <s v="Em operação"/>
    <s v="ES 0126"/>
    <x v="2"/>
    <m/>
    <m/>
    <n v="3000"/>
    <n v="271.42857142857139"/>
    <s v="10.58"/>
    <n v="9.3800000000000008"/>
    <s v="1.2"/>
    <s v="11.34"/>
    <s v="1083"/>
    <n v="2546"/>
    <s v="2.35"/>
    <s v="13.66"/>
    <s v="186.43"/>
    <s v="5.2"/>
    <s v="4.34"/>
    <s v="181.23"/>
    <s v="19.32"/>
    <s v="1005.58"/>
    <s v="104641"/>
    <s v="231756"/>
    <s v="2.9"/>
    <s v="0"/>
    <s v="107.7"/>
  </r>
  <r>
    <x v="78"/>
    <x v="12"/>
    <s v="Em operação"/>
    <s v="ES 0099"/>
    <x v="2"/>
    <m/>
    <m/>
    <n v="3000"/>
    <n v="372.44294167371089"/>
    <s v="13.93"/>
    <n v="11.83"/>
    <s v="2.1"/>
    <s v="15.07"/>
    <s v="1274"/>
    <n v="4406"/>
    <s v="3.46"/>
    <s v="11.71"/>
    <s v="376.18"/>
    <s v="13.72"/>
    <s v="6.53"/>
    <s v="362.45"/>
    <s v="30.63"/>
    <s v="7944.46"/>
    <s v="119421"/>
    <s v="348289"/>
    <s v="0.5"/>
    <s v="0"/>
    <s v="249.4"/>
  </r>
  <r>
    <x v="78"/>
    <x v="12"/>
    <s v="Em operação"/>
    <s v="ES 0101"/>
    <x v="0"/>
    <n v="2742"/>
    <m/>
    <n v="4000"/>
    <n v="419.31428571428569"/>
    <s v="9.6"/>
    <n v="8.75"/>
    <s v="0.85"/>
    <s v="8.86"/>
    <s v="859"/>
    <n v="3669"/>
    <s v="4.27"/>
    <s v="10.78"/>
    <s v="340.21"/>
    <s v="5.2"/>
    <s v="6.12"/>
    <s v="335.01"/>
    <s v="38.31"/>
    <s v="6564.88"/>
    <s v="415622"/>
    <s v="1480111"/>
    <s v="0.1"/>
    <s v="0"/>
    <s v="48.3"/>
  </r>
  <r>
    <x v="78"/>
    <x v="12"/>
    <s v="Em operação"/>
    <s v="ES 0116"/>
    <x v="6"/>
    <m/>
    <m/>
    <m/>
    <n v="186.76092544987145"/>
    <s v="9.03"/>
    <n v="7.78"/>
    <s v="1.25"/>
    <s v="13.84"/>
    <s v="715"/>
    <n v="1453"/>
    <s v="2.03"/>
    <s v="5.12"/>
    <s v="283.91"/>
    <s v="5.68"/>
    <s v="4.54"/>
    <s v="278.23"/>
    <s v="35.76"/>
    <s v="1929.28"/>
    <s v="188446"/>
    <s v="638046"/>
    <s v="0.1"/>
    <s v="0"/>
    <s v="5.3"/>
  </r>
  <r>
    <x v="79"/>
    <x v="12"/>
    <s v="Em operação"/>
    <s v="ES 0096"/>
    <x v="2"/>
    <m/>
    <m/>
    <n v="2500"/>
    <n v="323.89937106918239"/>
    <s v="8.9"/>
    <n v="7.95"/>
    <s v="0.95"/>
    <s v="10.68"/>
    <s v="1098"/>
    <n v="2575"/>
    <s v="1.63"/>
    <s v="10.68"/>
    <s v="167.98"/>
    <s v="3.79"/>
    <s v="3.98"/>
    <s v="164.19"/>
    <s v="20.66"/>
    <s v="9173.81"/>
    <s v="83497"/>
    <s v="124334"/>
    <s v="0.2"/>
    <s v="0"/>
    <s v="288.3"/>
  </r>
  <r>
    <x v="79"/>
    <x v="1"/>
    <s v="Não operacional"/>
    <s v="ES 0097"/>
    <x v="2"/>
    <m/>
    <s v="Na oficina"/>
    <m/>
    <n v="0"/>
    <s v="2.02"/>
    <n v="0.12"/>
    <s v="1.9"/>
    <s v="94.07"/>
    <s v=""/>
    <s v=""/>
    <s v=""/>
    <s v=""/>
    <s v="10.41"/>
    <s v="8.52"/>
    <s v="4.48"/>
    <s v="1.89"/>
    <s v="15.81"/>
    <s v="8821.37"/>
    <s v=""/>
    <s v=""/>
    <s v="0"/>
    <s v=""/>
    <s v="243.8"/>
  </r>
  <r>
    <x v="79"/>
    <x v="12"/>
    <s v="Em operação"/>
    <s v="ES 0135"/>
    <x v="2"/>
    <m/>
    <m/>
    <n v="2500"/>
    <n v="335.14538558786347"/>
    <s v="8.66"/>
    <n v="7.91"/>
    <s v="0.75"/>
    <s v="8.66"/>
    <s v="1364"/>
    <n v="2651"/>
    <s v="1.94"/>
    <s v="14.94"/>
    <s v="177.44"/>
    <s v="2.84"/>
    <s v="3.79"/>
    <s v="174.6"/>
    <s v="22.08"/>
    <s v="566.46"/>
    <s v="48479"/>
    <s v="98071"/>
    <s v="0.9"/>
    <s v="0"/>
    <s v="55.5"/>
  </r>
  <r>
    <x v="79"/>
    <x v="12"/>
    <s v="Em operação"/>
    <s v="ES 0110"/>
    <x v="2"/>
    <m/>
    <m/>
    <n v="2500"/>
    <n v="429.45301542776997"/>
    <s v="8.58"/>
    <n v="7.13"/>
    <s v="1.45"/>
    <s v="16.9"/>
    <s v="1316"/>
    <n v="3062"/>
    <s v="2.33"/>
    <s v="19.15"/>
    <s v="159.93"/>
    <s v="6.15"/>
    <s v="4.24"/>
    <s v="153.78"/>
    <s v="21.57"/>
    <s v="2435.1"/>
    <s v="159143"/>
    <s v="303884"/>
    <s v="0.9"/>
    <s v="0"/>
    <s v="316.6"/>
  </r>
  <r>
    <x v="79"/>
    <x v="12"/>
    <s v="Em operação"/>
    <s v="ES 0126"/>
    <x v="2"/>
    <m/>
    <m/>
    <n v="2500"/>
    <n v="286.3291139240506"/>
    <s v="8.7"/>
    <n v="7.9"/>
    <s v="0.8"/>
    <s v="9.2"/>
    <s v="918"/>
    <n v="2262"/>
    <s v="2.51"/>
    <s v="13.45"/>
    <s v="171.29"/>
    <s v="2.84"/>
    <s v="3.55"/>
    <s v="168.45"/>
    <s v="21.33"/>
    <s v="1014.28"/>
    <s v="105677"/>
    <s v="234361"/>
    <s v="0.9"/>
    <s v="0"/>
    <s v="108.6"/>
  </r>
  <r>
    <x v="79"/>
    <x v="12"/>
    <s v="Em operação"/>
    <s v="ES 0099"/>
    <x v="2"/>
    <m/>
    <m/>
    <n v="2500"/>
    <n v="383.79416282642092"/>
    <s v="15.52"/>
    <n v="13.02"/>
    <s v="2.5"/>
    <s v="16.11"/>
    <s v="1393"/>
    <n v="4997"/>
    <s v="3.59"/>
    <s v="11.83"/>
    <s v="422.55"/>
    <s v="14.2"/>
    <s v="5.68"/>
    <s v="408.35"/>
    <s v="31.36"/>
    <s v="7959.98"/>
    <s v="120814"/>
    <s v="353286"/>
    <s v="0.5"/>
    <s v="0"/>
    <s v="249.9"/>
  </r>
  <r>
    <x v="79"/>
    <x v="12"/>
    <s v="Em operação"/>
    <s v="ES 0101"/>
    <x v="0"/>
    <n v="3249"/>
    <m/>
    <n v="4000"/>
    <n v="454.41176470588232"/>
    <s v="9.51"/>
    <n v="8.16"/>
    <s v="1.35"/>
    <s v="14.19"/>
    <s v="767"/>
    <n v="3708"/>
    <s v="4.83"/>
    <s v="11.64"/>
    <s v="318.45"/>
    <s v="7.57"/>
    <s v="5.61"/>
    <s v="310.88"/>
    <s v="38.08"/>
    <s v="6574.39"/>
    <s v="416389"/>
    <s v="1483819"/>
    <s v="0"/>
    <s v="0"/>
    <s v="48.3"/>
  </r>
  <r>
    <x v="79"/>
    <x v="12"/>
    <s v="Em operação"/>
    <s v="ES 0116"/>
    <x v="2"/>
    <m/>
    <m/>
    <n v="2500"/>
    <n v="360.56338028169017"/>
    <s v="8.04"/>
    <n v="6.39"/>
    <s v="1.65"/>
    <s v="20.53"/>
    <s v="972"/>
    <n v="2304"/>
    <s v="2.43"/>
    <s v="8.73"/>
    <s v="270.66"/>
    <s v="7.57"/>
    <s v="4.59"/>
    <s v="263.09"/>
    <s v="41.2"/>
    <s v="1937.31"/>
    <s v="189444"/>
    <s v="640489"/>
    <s v="0"/>
    <s v="0"/>
    <s v="5.3"/>
  </r>
  <r>
    <x v="80"/>
    <x v="12"/>
    <s v="Em operação"/>
    <s v="ES 0096"/>
    <x v="2"/>
    <m/>
    <m/>
    <n v="2500"/>
    <n v="351.77595628415298"/>
    <s v="8.32"/>
    <n v="7.32"/>
    <s v="1"/>
    <s v="12.03"/>
    <s v="1054"/>
    <n v="2575"/>
    <s v="1.46"/>
    <s v="10.17"/>
    <s v="150.94"/>
    <s v="4.26"/>
    <s v="4.26"/>
    <s v="146.68"/>
    <s v="20.05"/>
    <s v="9182.13"/>
    <s v="84551"/>
    <s v="125869"/>
    <s v="0.1"/>
    <s v="0"/>
    <s v="288.4"/>
  </r>
  <r>
    <x v="80"/>
    <x v="1"/>
    <s v="Não operacional"/>
    <s v="ES 0097"/>
    <x v="2"/>
    <m/>
    <s v="Na oficina"/>
    <m/>
    <n v="0"/>
    <s v="0.74"/>
    <n v="0.04"/>
    <s v="0.7"/>
    <s v="94.56"/>
    <s v=""/>
    <s v=""/>
    <s v=""/>
    <s v=""/>
    <s v="4.26"/>
    <s v="3.31"/>
    <s v="4.73"/>
    <s v="0.95"/>
    <s v="23.48"/>
    <s v="8822.11"/>
    <s v=""/>
    <s v=""/>
    <s v="0"/>
    <s v=""/>
    <s v="243.8"/>
  </r>
  <r>
    <x v="80"/>
    <x v="12"/>
    <s v="Em operação"/>
    <s v="ES 0135"/>
    <x v="2"/>
    <m/>
    <m/>
    <n v="2500"/>
    <n v="306.17906683480453"/>
    <s v="8.83"/>
    <n v="7.93"/>
    <s v="0.9"/>
    <s v="10.19"/>
    <s v="1303"/>
    <n v="2428"/>
    <s v="1.86"/>
    <s v="13.94"/>
    <s v="174.13"/>
    <s v="3.31"/>
    <s v="3.68"/>
    <s v="170.82"/>
    <s v="21.54"/>
    <s v="575.29"/>
    <s v="49782"/>
    <s v="100499"/>
    <s v="1.5"/>
    <s v="0"/>
    <s v="57"/>
  </r>
  <r>
    <x v="80"/>
    <x v="12"/>
    <s v="Em operação"/>
    <s v="ES 0110"/>
    <x v="2"/>
    <m/>
    <m/>
    <n v="2500"/>
    <n v="379.71223021582733"/>
    <s v="8.25"/>
    <n v="6.95"/>
    <s v="1.3"/>
    <s v="15.75"/>
    <s v="1221"/>
    <n v="2639"/>
    <s v="2.16"/>
    <s v="16.95"/>
    <s v="155.68"/>
    <s v="5.2"/>
    <s v="4"/>
    <s v="150.47"/>
    <s v="21.64"/>
    <s v="2443.36"/>
    <s v="160364"/>
    <s v="306523"/>
    <s v="1.7"/>
    <s v="0"/>
    <s v="318.3"/>
  </r>
  <r>
    <x v="80"/>
    <x v="12"/>
    <s v="Em operação"/>
    <s v="ES 0126"/>
    <x v="2"/>
    <m/>
    <m/>
    <n v="2500"/>
    <n v="292.31770833333337"/>
    <s v="8.28"/>
    <n v="7.68"/>
    <s v="0.6"/>
    <s v="7.25"/>
    <s v="800"/>
    <n v="2245"/>
    <s v="2.81"/>
    <s v="15.66"/>
    <s v="143.37"/>
    <s v="3.31"/>
    <s v="5.52"/>
    <s v="140.06"/>
    <s v="18.24"/>
    <s v="1022.56"/>
    <s v="106477"/>
    <s v="236606"/>
    <s v="0.2"/>
    <s v="0"/>
    <s v="108.8"/>
  </r>
  <r>
    <x v="80"/>
    <x v="12"/>
    <s v="Em operação"/>
    <s v="ES 0099"/>
    <x v="2"/>
    <m/>
    <m/>
    <n v="2500"/>
    <n v="290.13091641490433"/>
    <s v="13.48"/>
    <n v="9.93"/>
    <s v="3.55"/>
    <s v="26.33"/>
    <s v="803"/>
    <n v="2881"/>
    <s v="3.59"/>
    <s v="8.8"/>
    <s v="327.44"/>
    <s v="19.4"/>
    <s v="5.46"/>
    <s v="308.04"/>
    <s v="31.01"/>
    <s v="7973.46"/>
    <s v="121617"/>
    <s v="356167"/>
    <s v="2.9"/>
    <s v="0"/>
    <s v="252.8"/>
  </r>
  <r>
    <x v="80"/>
    <x v="12"/>
    <s v="Em operação"/>
    <s v="ES 0101"/>
    <x v="0"/>
    <n v="3341"/>
    <m/>
    <n v="4000"/>
    <n v="543.23144104803498"/>
    <s v="8.47"/>
    <n v="6.87"/>
    <s v="1.6"/>
    <s v="18.89"/>
    <s v="815"/>
    <n v="3732"/>
    <s v="4.58"/>
    <s v="13.89"/>
    <s v="268.76"/>
    <s v="8.52"/>
    <s v="5.32"/>
    <s v="260.25"/>
    <s v="37.89"/>
    <s v="6582.86"/>
    <s v="417204"/>
    <s v="1487551"/>
    <s v="0.1"/>
    <s v="0"/>
    <s v="48.4"/>
  </r>
  <r>
    <x v="80"/>
    <x v="12"/>
    <s v="Em operação"/>
    <s v="ES 0116"/>
    <x v="2"/>
    <m/>
    <m/>
    <n v="2500"/>
    <n v="232.70622286541243"/>
    <s v="8.16"/>
    <n v="6.91"/>
    <s v="1.25"/>
    <s v="15.31"/>
    <s v="697"/>
    <n v="1608"/>
    <s v="2.31"/>
    <s v="6.07"/>
    <s v="264.98"/>
    <s v="5.2"/>
    <s v="4.16"/>
    <s v="259.77"/>
    <s v="37.58"/>
    <s v="1945.48"/>
    <s v="190141"/>
    <s v="642097"/>
    <s v="0"/>
    <s v="0"/>
    <s v="5.3"/>
  </r>
  <r>
    <x v="81"/>
    <x v="12"/>
    <s v="Em operação"/>
    <s v="ES 0096"/>
    <x v="2"/>
    <m/>
    <m/>
    <n v="2142.8571428571427"/>
    <n v="348.83720930232556"/>
    <s v="8.89"/>
    <n v="7.74"/>
    <s v="1.15"/>
    <s v="12.94"/>
    <s v="1106"/>
    <n v="2700"/>
    <s v="1.49"/>
    <s v="10.34"/>
    <s v="159.93"/>
    <s v="5.2"/>
    <s v="4.53"/>
    <s v="154.73"/>
    <s v="20"/>
    <s v="9191.02"/>
    <s v="85657"/>
    <s v="127522"/>
    <s v="0.8"/>
    <s v="0"/>
    <s v="289.2"/>
  </r>
  <r>
    <x v="81"/>
    <x v="12"/>
    <s v="Em operação"/>
    <s v="ES 0097"/>
    <x v="2"/>
    <m/>
    <m/>
    <n v="2142.8571428571427"/>
    <n v="92.936802973977692"/>
    <s v="4.19"/>
    <n v="2.69"/>
    <s v="1.5"/>
    <s v="35.79"/>
    <s v=""/>
    <n v="250"/>
    <s v=""/>
    <s v=""/>
    <s v="53.47"/>
    <s v="5.68"/>
    <s v="3.79"/>
    <s v="47.79"/>
    <s v="17.76"/>
    <s v="8826.3"/>
    <s v=""/>
    <s v=""/>
    <s v="0"/>
    <s v=""/>
    <s v="243.8"/>
  </r>
  <r>
    <x v="81"/>
    <x v="12"/>
    <s v="Em operação"/>
    <s v="ES 0135"/>
    <x v="2"/>
    <m/>
    <m/>
    <n v="2142.8571428571427"/>
    <n v="252.41379310344828"/>
    <s v="7.6"/>
    <n v="5.8"/>
    <s v="1.8"/>
    <s v="23.69"/>
    <s v="846"/>
    <n v="1464"/>
    <s v="1.73"/>
    <s v="11.9"/>
    <s v="123.03"/>
    <s v="6.15"/>
    <s v="3.42"/>
    <s v="116.87"/>
    <s v="20.16"/>
    <s v="582.89"/>
    <s v="50628"/>
    <s v="101963"/>
    <s v="0.9"/>
    <s v="0"/>
    <s v="57.9"/>
  </r>
  <r>
    <x v="81"/>
    <x v="12"/>
    <s v="Em operação"/>
    <s v="ES 0110"/>
    <x v="2"/>
    <m/>
    <m/>
    <n v="2142.8571428571427"/>
    <n v="409.73451327433628"/>
    <s v="8.43"/>
    <n v="6.78"/>
    <s v="1.65"/>
    <s v="19.57"/>
    <s v="1256"/>
    <n v="2778"/>
    <s v="2.21"/>
    <s v="18.01"/>
    <s v="154.26"/>
    <s v="5.68"/>
    <s v="3.44"/>
    <s v="148.58"/>
    <s v="21.9"/>
    <s v="2451.79"/>
    <s v="161620"/>
    <s v="309301"/>
    <s v="0.9"/>
    <s v="0"/>
    <s v="319.2"/>
  </r>
  <r>
    <x v="81"/>
    <x v="12"/>
    <s v="Em operação"/>
    <s v="ES 0126"/>
    <x v="2"/>
    <m/>
    <m/>
    <n v="2142.8571428571427"/>
    <n v="253.32369942196533"/>
    <s v="8.47"/>
    <n v="6.92"/>
    <s v="1.55"/>
    <s v="18.3"/>
    <s v="706"/>
    <n v="1753"/>
    <s v="2.48"/>
    <s v="11.76"/>
    <s v="149.05"/>
    <s v="5.68"/>
    <s v="3.66"/>
    <s v="143.37"/>
    <s v="20.72"/>
    <s v="1031.03"/>
    <s v="107219"/>
    <s v="238452"/>
    <s v="0.7"/>
    <s v="0"/>
    <s v="109.5"/>
  </r>
  <r>
    <x v="81"/>
    <x v="12"/>
    <s v="Em operação"/>
    <s v="ES 0099"/>
    <x v="2"/>
    <m/>
    <m/>
    <n v="2142.8571428571427"/>
    <n v="401.37681159420288"/>
    <s v="15.4"/>
    <n v="13.8"/>
    <s v="1.6"/>
    <s v="10.39"/>
    <s v="1465"/>
    <n v="5539"/>
    <s v="3.78"/>
    <s v="12.84"/>
    <s v="431.54"/>
    <s v="9.94"/>
    <s v="6.21"/>
    <s v="421.6"/>
    <s v="30.56"/>
    <s v="7988.86"/>
    <s v="123082"/>
    <s v="361706"/>
    <s v="0.3"/>
    <s v="0"/>
    <s v="253.1"/>
  </r>
  <r>
    <x v="81"/>
    <x v="12"/>
    <s v="Em operação"/>
    <s v="ES 0101"/>
    <x v="0"/>
    <n v="2749"/>
    <m/>
    <n v="4000"/>
    <n v="498.69960988296486"/>
    <s v="8.74"/>
    <n v="7.69"/>
    <s v="1.05"/>
    <s v="12.01"/>
    <s v="882"/>
    <n v="3835"/>
    <s v="4.35"/>
    <s v="12.89"/>
    <s v="297.63"/>
    <s v="6.15"/>
    <s v="5.86"/>
    <s v="291.48"/>
    <s v="37.9"/>
    <s v="6591.6"/>
    <s v="418086"/>
    <s v="1491386"/>
    <s v="0"/>
    <s v="0"/>
    <s v="48.4"/>
  </r>
  <r>
    <x v="81"/>
    <x v="12"/>
    <s v="Em operação"/>
    <s v="ES 0116"/>
    <x v="2"/>
    <m/>
    <m/>
    <n v="2142.8571428571427"/>
    <n v="304.51977401129943"/>
    <s v="8.58"/>
    <n v="7.08"/>
    <s v="1.5"/>
    <s v="17.47"/>
    <s v="820"/>
    <n v="2156"/>
    <s v="2.63"/>
    <s v="8.86"/>
    <s v="243.21"/>
    <s v="7.57"/>
    <s v="5.05"/>
    <s v="235.64"/>
    <s v="33.26"/>
    <s v="1954.06"/>
    <s v="190961"/>
    <s v="644253"/>
    <s v="0"/>
    <s v="0"/>
    <s v="5.3"/>
  </r>
  <r>
    <x v="82"/>
    <x v="12"/>
    <s v="Em operação"/>
    <s v="ES 0096"/>
    <x v="2"/>
    <m/>
    <m/>
    <n v="2142.8571428571427"/>
    <n v="207.52895752895753"/>
    <s v="6.13"/>
    <n v="5.18"/>
    <s v="0.95"/>
    <s v="15.5"/>
    <s v="845"/>
    <n v="1075"/>
    <s v="1.67"/>
    <s v="13.1"/>
    <s v="107.88"/>
    <s v="3.79"/>
    <s v="3.98"/>
    <s v="104.1"/>
    <s v="20.1"/>
    <s v="9197.15"/>
    <s v="86502"/>
    <s v="128935"/>
    <s v="0.4"/>
    <s v="0"/>
    <s v="289.6"/>
  </r>
  <r>
    <x v="82"/>
    <x v="12"/>
    <s v="Em operação"/>
    <s v="ES 0097"/>
    <x v="2"/>
    <m/>
    <m/>
    <n v="2142.8571428571427"/>
    <n v="263.60544217687078"/>
    <s v="4.44"/>
    <n v="2.94"/>
    <s v="1.5"/>
    <s v="33.75"/>
    <s v=""/>
    <n v="775"/>
    <s v=""/>
    <s v=""/>
    <s v="62.46"/>
    <s v="5.2"/>
    <s v="3.47"/>
    <s v="57.25"/>
    <s v="19.44"/>
    <s v="8830.75"/>
    <s v=""/>
    <s v=""/>
    <s v="0"/>
    <s v=""/>
    <s v="243.8"/>
  </r>
  <r>
    <x v="82"/>
    <x v="12"/>
    <s v="Em operação"/>
    <s v="ES 0135"/>
    <x v="2"/>
    <m/>
    <m/>
    <n v="2142.8571428571427"/>
    <n v="373.11233885819524"/>
    <s v="6.88"/>
    <n v="5.43"/>
    <s v="1.45"/>
    <s v="21.09"/>
    <s v="1020"/>
    <n v="2026"/>
    <s v="1.99"/>
    <s v="16.34"/>
    <s v="123.97"/>
    <s v="5.2"/>
    <s v="3.59"/>
    <s v="118.77"/>
    <s v="21.89"/>
    <s v="589.77"/>
    <s v="51657"/>
    <s v="104005"/>
    <s v="0.1"/>
    <s v="0"/>
    <s v="58.1"/>
  </r>
  <r>
    <x v="82"/>
    <x v="12"/>
    <s v="Em operação"/>
    <s v="ES 0110"/>
    <x v="2"/>
    <m/>
    <m/>
    <n v="2142.8571428571427"/>
    <n v="441.40969162995594"/>
    <s v="4.89"/>
    <n v="4.54"/>
    <s v="0.35"/>
    <s v="7.15"/>
    <s v="842"/>
    <n v="2004"/>
    <s v="2.38"/>
    <s v="20.56"/>
    <s v="97.47"/>
    <s v="2.37"/>
    <s v="6.76"/>
    <s v="95.11"/>
    <s v="20.93"/>
    <s v="2456.69"/>
    <s v="162462"/>
    <s v="311305"/>
    <s v="0.1"/>
    <s v="0"/>
    <s v="319.3"/>
  </r>
  <r>
    <x v="82"/>
    <x v="12"/>
    <s v="Em operação"/>
    <s v="ES 0126"/>
    <x v="2"/>
    <m/>
    <m/>
    <n v="2142.8571428571427"/>
    <n v="141.84397163120568"/>
    <s v="6.14"/>
    <n v="5.64"/>
    <s v="0.5"/>
    <s v="8.15"/>
    <s v="308"/>
    <n v="800"/>
    <s v="2.6"/>
    <s v="12.34"/>
    <s v="64.83"/>
    <s v="2.37"/>
    <s v="4.73"/>
    <s v="62.46"/>
    <s v="11.08"/>
    <s v="1037.17"/>
    <s v="107527"/>
    <s v="239252"/>
    <s v="0"/>
    <s v="0"/>
    <s v="109.7"/>
  </r>
  <r>
    <x v="82"/>
    <x v="12"/>
    <s v="Em operação"/>
    <s v="ES 0099"/>
    <x v="2"/>
    <m/>
    <m/>
    <n v="2142.8571428571427"/>
    <n v="482.28021978021974"/>
    <s v="7.98"/>
    <n v="7.28"/>
    <s v="0.7"/>
    <s v="8.77"/>
    <s v="871"/>
    <n v="3511"/>
    <s v="4.03"/>
    <s v="14.84"/>
    <s v="236.59"/>
    <s v="3.79"/>
    <s v="5.41"/>
    <s v="232.8"/>
    <s v="31.97"/>
    <s v="7996.84"/>
    <s v="123953"/>
    <s v="365217"/>
    <s v="0.1"/>
    <s v="0"/>
    <s v="253.2"/>
  </r>
  <r>
    <x v="82"/>
    <x v="12"/>
    <s v="Em operação"/>
    <s v="ES 0101"/>
    <x v="0"/>
    <n v="2200"/>
    <m/>
    <n v="4000"/>
    <n v="554.97737556561083"/>
    <s v="5.07"/>
    <n v="4.42"/>
    <s v="0.65"/>
    <s v="12.81"/>
    <s v="530"/>
    <n v="2453"/>
    <s v="4.63"/>
    <s v="14.24"/>
    <s v="172.24"/>
    <s v="4.26"/>
    <s v="6.55"/>
    <s v="167.98"/>
    <s v="37.98"/>
    <s v="6596.67"/>
    <s v="418616"/>
    <s v="1493839"/>
    <s v="0.1"/>
    <s v="0"/>
    <s v="48.5"/>
  </r>
  <r>
    <x v="82"/>
    <x v="12"/>
    <s v="Em operação"/>
    <s v="ES 0116"/>
    <x v="2"/>
    <m/>
    <m/>
    <n v="2142.8571428571427"/>
    <n v="148.90387858347387"/>
    <s v="6.83"/>
    <n v="5.93"/>
    <s v="0.9"/>
    <s v="13.18"/>
    <s v="329"/>
    <n v="883"/>
    <s v="2.68"/>
    <s v="4.83"/>
    <s v="182.65"/>
    <s v="4.26"/>
    <s v="4.73"/>
    <s v="178.39"/>
    <s v="30.1"/>
    <s v="1960.89"/>
    <s v="191393"/>
    <s v="645287"/>
    <s v="0"/>
    <s v="0"/>
    <s v="5.3"/>
  </r>
  <r>
    <x v="83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s v="9197.15"/>
    <s v="86502"/>
    <s v="128935"/>
    <s v="0"/>
    <s v=""/>
    <s v="289.6"/>
  </r>
  <r>
    <x v="83"/>
    <x v="1"/>
    <s v="Não operacional"/>
    <s v="ES 0097"/>
    <x v="2"/>
    <m/>
    <m/>
    <m/>
    <n v="0"/>
    <s v="0"/>
    <s v="0"/>
    <s v="0"/>
    <s v=""/>
    <s v=""/>
    <n v="0"/>
    <s v=""/>
    <s v=""/>
    <s v="0"/>
    <s v="0"/>
    <s v=""/>
    <s v="0"/>
    <s v=""/>
    <s v="8830.75"/>
    <s v=""/>
    <s v=""/>
    <s v="0"/>
    <s v=""/>
    <s v="243.8"/>
  </r>
  <r>
    <x v="83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s v="2456.69"/>
    <s v="162462"/>
    <s v="311305"/>
    <s v="0"/>
    <s v=""/>
    <s v="319.3"/>
  </r>
  <r>
    <x v="83"/>
    <x v="1"/>
    <s v="Não operacional"/>
    <s v="ES 0126"/>
    <x v="2"/>
    <m/>
    <m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83"/>
    <x v="1"/>
    <s v="Não operacional"/>
    <s v="ES 0099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"/>
    <x v="1"/>
    <s v="Não operacional"/>
    <s v="ES 0101"/>
    <x v="0"/>
    <m/>
    <m/>
    <m/>
    <n v="0"/>
    <s v="0"/>
    <n v="0"/>
    <s v="0"/>
    <s v=""/>
    <s v="0"/>
    <n v="0"/>
    <s v=""/>
    <s v=""/>
    <s v="0"/>
    <s v="0"/>
    <s v=""/>
    <s v="0"/>
    <s v=""/>
    <s v="6596.67"/>
    <s v="418616"/>
    <s v="1493839"/>
    <s v="0"/>
    <s v=""/>
    <s v="48.5"/>
  </r>
  <r>
    <x v="83"/>
    <x v="1"/>
    <s v="Não operacional"/>
    <s v="ES 0116"/>
    <x v="2"/>
    <m/>
    <m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84"/>
    <x v="13"/>
    <s v="Em operação"/>
    <s v="ES 0096"/>
    <x v="2"/>
    <m/>
    <m/>
    <n v="2500"/>
    <n v="272.16174183514778"/>
    <s v="8.28"/>
    <n v="6.43"/>
    <s v="1.85"/>
    <s v="22.33"/>
    <s v="810"/>
    <n v="1750"/>
    <s v="1.59"/>
    <s v="9.8"/>
    <s v="131.54"/>
    <s v="7.1"/>
    <s v="3.84"/>
    <s v="124.45"/>
    <s v="19.34"/>
    <s v="9205.43"/>
    <s v="87312"/>
    <s v="130224"/>
    <s v="0.1"/>
    <s v="0"/>
    <s v="289.7"/>
  </r>
  <r>
    <x v="84"/>
    <x v="1"/>
    <s v="Não operacional"/>
    <s v="ES 0097"/>
    <x v="2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"/>
    <x v="13"/>
    <s v="Em operação"/>
    <s v="ES 0135"/>
    <x v="2"/>
    <m/>
    <m/>
    <n v="2500"/>
    <n v="312.39892183288407"/>
    <s v="13.33"/>
    <n v="11.13"/>
    <s v="2.2"/>
    <s v="16.51"/>
    <s v="1775"/>
    <n v="3477"/>
    <s v="1.96"/>
    <s v="14.21"/>
    <s v="244.63"/>
    <s v="7.1"/>
    <s v="3.23"/>
    <s v="237.53"/>
    <s v="21.35"/>
    <s v="603.09"/>
    <s v="53432"/>
    <s v="107482"/>
    <s v="0.2"/>
    <s v="0"/>
    <s v="58.3"/>
  </r>
  <r>
    <x v="84"/>
    <x v="13"/>
    <s v="Em operação"/>
    <s v="ES 0110"/>
    <x v="2"/>
    <m/>
    <m/>
    <n v="2500"/>
    <n v="219.91017964071858"/>
    <s v="7.68"/>
    <n v="6.68"/>
    <s v="1"/>
    <s v="13.03"/>
    <s v="885"/>
    <n v="1469"/>
    <s v="1.66"/>
    <s v="10.01"/>
    <s v="146.68"/>
    <s v="3.31"/>
    <s v="3.31"/>
    <s v="143.37"/>
    <s v="21.48"/>
    <s v="2464.36"/>
    <s v="163347"/>
    <s v="312774"/>
    <s v="1.1"/>
    <s v="0"/>
    <s v="320.4"/>
  </r>
  <r>
    <x v="84"/>
    <x v="13"/>
    <s v="Em operação"/>
    <s v="ES 0126"/>
    <x v="2"/>
    <m/>
    <m/>
    <n v="2500"/>
    <n v="303.23014804845224"/>
    <s v="8.13"/>
    <n v="7.43"/>
    <s v="0.7"/>
    <s v="8.61"/>
    <s v="864"/>
    <n v="2253"/>
    <s v="2.61"/>
    <s v="17.31"/>
    <s v="130.12"/>
    <s v="2.84"/>
    <s v="4.06"/>
    <s v="127.28"/>
    <s v="17.14"/>
    <s v="1045.3"/>
    <s v="108629"/>
    <s v="242082"/>
    <s v="0"/>
    <s v="0"/>
    <s v="109.7"/>
  </r>
  <r>
    <x v="84"/>
    <x v="13"/>
    <s v="Em operação"/>
    <s v="ES 0099"/>
    <x v="2"/>
    <m/>
    <m/>
    <n v="2500"/>
    <n v="511.89979123173276"/>
    <s v="7.74"/>
    <n v="4.79"/>
    <s v="2.95"/>
    <s v="38.12"/>
    <s v="612"/>
    <n v="2452"/>
    <s v="4.01"/>
    <s v="15.06"/>
    <s v="162.77"/>
    <s v="17.51"/>
    <s v="5.93"/>
    <s v="145.26"/>
    <s v="30.34"/>
    <s v="8004.58"/>
    <s v="124565"/>
    <s v="367669"/>
    <s v="0"/>
    <s v="0"/>
    <s v="253.2"/>
  </r>
  <r>
    <x v="84"/>
    <x v="13"/>
    <s v="Em operação"/>
    <s v="ES 0101"/>
    <x v="0"/>
    <n v="2126"/>
    <m/>
    <n v="3428.5714285714284"/>
    <n v="499.40119760479047"/>
    <s v="7.26"/>
    <n v="5.01"/>
    <s v="2.25"/>
    <s v="30.98"/>
    <s v="483"/>
    <n v="2502"/>
    <s v="5.18"/>
    <s v="12.68"/>
    <s v="197.31"/>
    <s v="11.83"/>
    <s v="5.26"/>
    <s v="185.49"/>
    <s v="37"/>
    <s v="6603.93"/>
    <s v="419099"/>
    <s v="1496341"/>
    <s v="0.1"/>
    <s v="0"/>
    <s v="48.6"/>
  </r>
  <r>
    <x v="84"/>
    <x v="13"/>
    <s v="Em operação"/>
    <s v="ES 0116"/>
    <x v="2"/>
    <m/>
    <m/>
    <n v="2500"/>
    <n v="384.44444444444446"/>
    <s v="7.85"/>
    <n v="6.3"/>
    <s v="1.55"/>
    <s v="19.74"/>
    <s v="965"/>
    <n v="2422"/>
    <s v="2.51"/>
    <s v="9.09"/>
    <s v="266.4"/>
    <s v="6.62"/>
    <s v="4.27"/>
    <s v="259.77"/>
    <s v="41.21"/>
    <s v="1968.74"/>
    <s v="192358"/>
    <s v="647709"/>
    <s v="0"/>
    <s v="0"/>
    <s v="5.3"/>
  </r>
  <r>
    <x v="85"/>
    <x v="13"/>
    <s v="Em operação"/>
    <s v="ES 0096"/>
    <x v="2"/>
    <m/>
    <m/>
    <n v="3000"/>
    <n v="265.30612244897958"/>
    <s v="3.4"/>
    <n v="2.4500000000000002"/>
    <s v="0.95"/>
    <s v="27.97"/>
    <s v="395"/>
    <n v="650"/>
    <s v="1.39"/>
    <s v="10.47"/>
    <s v="52.52"/>
    <s v="3.79"/>
    <s v="3.98"/>
    <s v="48.74"/>
    <s v="19.92"/>
    <s v="9208.83"/>
    <s v="87707"/>
    <s v="130774"/>
    <s v="0"/>
    <s v="0"/>
    <s v="289.7"/>
  </r>
  <r>
    <x v="85"/>
    <x v="1"/>
    <s v="Não operacional"/>
    <s v="ES 0097"/>
    <x v="2"/>
    <m/>
    <s v="Na oficina"/>
    <m/>
    <n v="0"/>
    <s v="0.64"/>
    <s v=""/>
    <s v="0.65"/>
    <s v="100.82"/>
    <s v=""/>
    <n v="0"/>
    <s v=""/>
    <s v=""/>
    <s v="3.31"/>
    <s v="3.79"/>
    <s v="5.82"/>
    <s v=""/>
    <s v=""/>
    <s v="8831.55"/>
    <s v=""/>
    <s v=""/>
    <s v="0"/>
    <s v=""/>
    <s v="243.8"/>
  </r>
  <r>
    <x v="85"/>
    <x v="13"/>
    <s v="Em operação"/>
    <s v="ES 0135"/>
    <x v="6"/>
    <m/>
    <m/>
    <m/>
    <n v="263.42494714587735"/>
    <s v="10.96"/>
    <n v="9.4600000000000009"/>
    <s v="1.5"/>
    <s v="13.68"/>
    <s v="1514"/>
    <n v="2492"/>
    <s v="1.65"/>
    <s v="12.25"/>
    <s v="203.47"/>
    <s v="4.73"/>
    <s v="3.15"/>
    <s v="198.73"/>
    <s v="21"/>
    <s v="614.06"/>
    <s v="54946"/>
    <s v="109974"/>
    <s v="0.4"/>
    <s v="0"/>
    <s v="58.7"/>
  </r>
  <r>
    <x v="85"/>
    <x v="13"/>
    <s v="Em operação"/>
    <s v="ES 0110"/>
    <x v="2"/>
    <m/>
    <m/>
    <n v="3000"/>
    <n v="373.32242225859244"/>
    <s v="7.16"/>
    <n v="6.11"/>
    <s v="1.05"/>
    <s v="14.66"/>
    <s v="1022"/>
    <n v="2281"/>
    <s v="2.23"/>
    <s v="16.62"/>
    <s v="137.22"/>
    <s v="3.79"/>
    <s v="3.61"/>
    <s v="133.44"/>
    <s v="21.83"/>
    <s v="2471.52"/>
    <s v="164369"/>
    <s v="315055"/>
    <s v="0.5"/>
    <s v="0"/>
    <s v="320.9"/>
  </r>
  <r>
    <x v="85"/>
    <x v="13"/>
    <s v="Em operação"/>
    <s v="ES 0126"/>
    <x v="2"/>
    <m/>
    <m/>
    <n v="3000"/>
    <n v="259.73904939422181"/>
    <s v="12.38"/>
    <n v="10.73"/>
    <s v="1.65"/>
    <s v="13.32"/>
    <s v="1198"/>
    <n v="2787"/>
    <s v="2.33"/>
    <s v="12.14"/>
    <s v="229.49"/>
    <s v="6.62"/>
    <s v="4.01"/>
    <s v="222.87"/>
    <s v="20.76"/>
    <s v="1057.68"/>
    <s v="109991"/>
    <s v="245284"/>
    <s v="1.7"/>
    <s v="0"/>
    <s v="111.5"/>
  </r>
  <r>
    <x v="85"/>
    <x v="13"/>
    <s v="Em operação"/>
    <s v="ES 0099"/>
    <x v="2"/>
    <m/>
    <m/>
    <n v="3000"/>
    <n v="426.03550295857991"/>
    <s v="3.04"/>
    <n v="1.69"/>
    <s v="1.35"/>
    <s v="44.45"/>
    <s v="184"/>
    <n v="720"/>
    <s v="3.91"/>
    <s v="12.9"/>
    <s v="55.83"/>
    <s v="8.04"/>
    <s v="5.96"/>
    <s v="47.79"/>
    <s v="28.33"/>
    <s v="8007.61"/>
    <s v="124749"/>
    <s v="368389"/>
    <s v="0"/>
    <s v="0"/>
    <s v="253.2"/>
  </r>
  <r>
    <x v="85"/>
    <x v="13"/>
    <s v="Em operação"/>
    <s v="ES 0101"/>
    <x v="0"/>
    <n v="1876"/>
    <m/>
    <n v="3428.5714285714284"/>
    <n v="342.76206322795343"/>
    <s v="8.01"/>
    <n v="6.01"/>
    <s v="2"/>
    <s v="24.98"/>
    <s v="435"/>
    <n v="2060"/>
    <s v="4.74"/>
    <s v="10.08"/>
    <s v="204.41"/>
    <s v="9.94"/>
    <s v="4.97"/>
    <s v="194.48"/>
    <s v="32.37"/>
    <s v="6611.94"/>
    <s v="419534"/>
    <s v="1498401"/>
    <s v="0"/>
    <s v="0"/>
    <s v="48.6"/>
  </r>
  <r>
    <x v="85"/>
    <x v="13"/>
    <s v="Em operação"/>
    <s v="ES 0116"/>
    <x v="2"/>
    <m/>
    <m/>
    <n v="3000"/>
    <n v="298.22866344605472"/>
    <s v="7.01"/>
    <n v="6.21"/>
    <s v="0.8"/>
    <s v="11.41"/>
    <s v="869"/>
    <n v="1852"/>
    <s v="2.13"/>
    <s v="7.88"/>
    <s v="235.17"/>
    <s v="4.26"/>
    <s v="5.32"/>
    <s v="230.91"/>
    <s v="37.18"/>
    <s v="1975.75"/>
    <s v="193227"/>
    <s v="649561"/>
    <s v="0.1"/>
    <s v="0"/>
    <s v="5.4"/>
  </r>
  <r>
    <x v="86"/>
    <x v="13"/>
    <s v="Em operação"/>
    <s v="ES 0096"/>
    <x v="2"/>
    <m/>
    <m/>
    <n v="3000"/>
    <n v="263.33333333333331"/>
    <s v="8.65"/>
    <n v="7.5"/>
    <s v="1.15"/>
    <s v="13.29"/>
    <s v="1164"/>
    <n v="1975"/>
    <s v="1.49"/>
    <s v="11.08"/>
    <s v="156.62"/>
    <s v="4.73"/>
    <s v="4.11"/>
    <s v="151.89"/>
    <s v="20.25"/>
    <s v="9217.48"/>
    <s v="88871"/>
    <s v="132510"/>
    <s v="0.2"/>
    <s v="0"/>
    <s v="289.9"/>
  </r>
  <r>
    <x v="86"/>
    <x v="1"/>
    <s v="Não operacional"/>
    <s v="ES 0097"/>
    <x v="2"/>
    <m/>
    <s v="Na oficina"/>
    <m/>
    <n v="0"/>
    <s v="1.97"/>
    <n v="0.56999999999999995"/>
    <s v="1.4"/>
    <s v="71.24"/>
    <s v=""/>
    <s v=""/>
    <s v=""/>
    <s v=""/>
    <s v="12.78"/>
    <s v="5.68"/>
    <s v="4.06"/>
    <s v="7.1"/>
    <s v="12.56"/>
    <s v="8833.51"/>
    <s v=""/>
    <s v=""/>
    <s v="0.2"/>
    <s v=""/>
    <s v="244"/>
  </r>
  <r>
    <x v="86"/>
    <x v="13"/>
    <s v="Em operação"/>
    <s v="ES 0135"/>
    <x v="6"/>
    <m/>
    <m/>
    <m/>
    <n v="255.10835913312692"/>
    <s v="8.76"/>
    <n v="6.46"/>
    <s v="2.3"/>
    <s v="26.25"/>
    <s v="1023"/>
    <n v="1648"/>
    <s v="1.61"/>
    <s v="11.77"/>
    <s v="140.06"/>
    <s v="7.57"/>
    <s v="3.29"/>
    <s v="132.49"/>
    <s v="20.5"/>
    <s v="622.82"/>
    <s v="55969"/>
    <s v="111622"/>
    <s v="0.6"/>
    <s v="0"/>
    <s v="59.3"/>
  </r>
  <r>
    <x v="86"/>
    <x v="13"/>
    <s v="Em operação"/>
    <s v="ES 0110"/>
    <x v="2"/>
    <m/>
    <m/>
    <n v="3000"/>
    <n v="376.31578947368422"/>
    <s v="8.46"/>
    <n v="7.6"/>
    <s v="0.85"/>
    <s v="10.05"/>
    <s v="1257"/>
    <n v="2860"/>
    <s v="2.28"/>
    <s v="16.56"/>
    <s v="172.71"/>
    <s v="3.79"/>
    <s v="4.45"/>
    <s v="168.92"/>
    <s v="22.21"/>
    <s v="2479.98"/>
    <s v="165626"/>
    <s v="317915"/>
    <s v="1.4"/>
    <s v="0"/>
    <s v="322.3"/>
  </r>
  <r>
    <x v="86"/>
    <x v="13"/>
    <s v="Em operação"/>
    <s v="ES 0126"/>
    <x v="2"/>
    <m/>
    <m/>
    <n v="3000"/>
    <n v="242.88659793814435"/>
    <s v="11.15"/>
    <n v="9.6999999999999993"/>
    <s v="1.45"/>
    <s v="13"/>
    <s v="1046"/>
    <n v="2356"/>
    <s v="2.25"/>
    <s v="11.24"/>
    <s v="209.62"/>
    <s v="5.68"/>
    <s v="3.92"/>
    <s v="203.94"/>
    <s v="21.02"/>
    <s v="1068.84"/>
    <s v="111037"/>
    <s v="247640"/>
    <s v="1.3"/>
    <s v="0"/>
    <s v="112.8"/>
  </r>
  <r>
    <x v="86"/>
    <x v="13"/>
    <s v="Em operação"/>
    <s v="ES 0099"/>
    <x v="2"/>
    <m/>
    <m/>
    <n v="3000"/>
    <n v="483.44155844155841"/>
    <s v="11.74"/>
    <n v="9.24"/>
    <s v="2.5"/>
    <s v="21.29"/>
    <s v="1122"/>
    <n v="4467"/>
    <s v="3.98"/>
    <s v="15.13"/>
    <s v="295.26"/>
    <s v="14.67"/>
    <s v="5.87"/>
    <s v="280.59"/>
    <s v="30.36"/>
    <s v="8019.36"/>
    <s v="125871"/>
    <s v="372856"/>
    <s v="0"/>
    <s v="0"/>
    <s v="253.2"/>
  </r>
  <r>
    <x v="86"/>
    <x v="13"/>
    <s v="Em operação"/>
    <s v="ES 0101"/>
    <x v="0"/>
    <n v="1454"/>
    <m/>
    <n v="3428.5714285714284"/>
    <n v="321.71717171717171"/>
    <s v="7.39"/>
    <n v="5.94"/>
    <s v="1.45"/>
    <s v="19.61"/>
    <s v="361"/>
    <n v="1911"/>
    <s v="5.29"/>
    <s v="8.08"/>
    <s v="236.59"/>
    <s v="8.04"/>
    <s v="5.55"/>
    <s v="228.54"/>
    <s v="38.46"/>
    <s v="6619.33"/>
    <s v="419895"/>
    <s v="1500312"/>
    <s v="0.1"/>
    <s v="0"/>
    <s v="48.7"/>
  </r>
  <r>
    <x v="86"/>
    <x v="13"/>
    <s v="Em operação"/>
    <s v="ES 0116"/>
    <x v="2"/>
    <m/>
    <m/>
    <n v="3000"/>
    <n v="291.02749638205501"/>
    <s v="8.11"/>
    <n v="6.91"/>
    <s v="1.2"/>
    <s v="14.8"/>
    <s v="802"/>
    <n v="2011"/>
    <s v="2.51"/>
    <s v="7.14"/>
    <s v="281.54"/>
    <s v="5.68"/>
    <s v="4.73"/>
    <s v="275.86"/>
    <s v="39.92"/>
    <s v="1983.86"/>
    <s v="194131"/>
    <s v="651913"/>
    <s v="0"/>
    <s v="0"/>
    <s v="5.4"/>
  </r>
  <r>
    <x v="87"/>
    <x v="13"/>
    <s v="Em operação"/>
    <s v="ES 0096"/>
    <x v="2"/>
    <m/>
    <m/>
    <n v="3000"/>
    <n v="199.31972789115648"/>
    <s v="8.3"/>
    <n v="7.35"/>
    <s v="0.95"/>
    <s v="11.44"/>
    <s v="891"/>
    <n v="1465"/>
    <s v="1.64"/>
    <s v="9.59"/>
    <s v="152.84"/>
    <s v="4.26"/>
    <s v="4.48"/>
    <s v="148.58"/>
    <s v="20.21"/>
    <s v="9225.78"/>
    <s v="89762"/>
    <s v="133975"/>
    <s v="0.4"/>
    <s v="0"/>
    <s v="290.3"/>
  </r>
  <r>
    <x v="87"/>
    <x v="1"/>
    <s v="Não operacional"/>
    <s v="ES 0097"/>
    <x v="2"/>
    <m/>
    <s v="Na oficina"/>
    <m/>
    <n v="0"/>
    <s v="0.19"/>
    <s v="0.14"/>
    <s v="0.05"/>
    <s v="26.36"/>
    <s v=""/>
    <s v=""/>
    <s v=""/>
    <s v=""/>
    <s v="4.26"/>
    <s v="0.95"/>
    <s v="18.93"/>
    <s v="3.31"/>
    <s v="23.71"/>
    <s v="8833.78"/>
    <s v=""/>
    <s v=""/>
    <s v="0"/>
    <s v=""/>
    <s v="244"/>
  </r>
  <r>
    <x v="87"/>
    <x v="13"/>
    <s v="Em operação"/>
    <s v="ES 0135"/>
    <x v="6"/>
    <m/>
    <m/>
    <m/>
    <n v="371.18110236220474"/>
    <s v="8.5"/>
    <n v="6.35"/>
    <s v="2.15"/>
    <s v="25.29"/>
    <s v="1173"/>
    <n v="2357"/>
    <s v="2.01"/>
    <s v="16.72"/>
    <s v="141.01"/>
    <s v="7.1"/>
    <s v="3.3"/>
    <s v="133.91"/>
    <s v="21.08"/>
    <s v="631.32"/>
    <s v="57142"/>
    <s v="113979"/>
    <s v="0.1"/>
    <s v="0"/>
    <s v="59.4"/>
  </r>
  <r>
    <x v="87"/>
    <x v="13"/>
    <s v="Em operação"/>
    <s v="ES 0110"/>
    <x v="2"/>
    <m/>
    <m/>
    <n v="3000"/>
    <n v="368.57962697274036"/>
    <s v="8.57"/>
    <n v="6.97"/>
    <s v="1.6"/>
    <s v="18.67"/>
    <s v="1137"/>
    <n v="2569"/>
    <s v="2.26"/>
    <s v="16.21"/>
    <s v="158.51"/>
    <s v="6.15"/>
    <s v="3.84"/>
    <s v="152.36"/>
    <s v="21.86"/>
    <s v="2488.55"/>
    <s v="166763"/>
    <s v="320484"/>
    <s v="0.4"/>
    <s v="0"/>
    <s v="322.7"/>
  </r>
  <r>
    <x v="87"/>
    <x v="13"/>
    <s v="Em operação"/>
    <s v="ES 0126"/>
    <x v="2"/>
    <m/>
    <m/>
    <n v="3000"/>
    <n v="211.47308781869688"/>
    <s v="8.51"/>
    <n v="7.06"/>
    <s v="1.45"/>
    <s v="17.04"/>
    <s v="797"/>
    <n v="1493"/>
    <s v="2.44"/>
    <s v="12.33"/>
    <s v="157.57"/>
    <s v="5.68"/>
    <s v="3.92"/>
    <s v="151.89"/>
    <s v="21.52"/>
    <s v="1077.34"/>
    <s v="111834"/>
    <s v="249583"/>
    <s v="0.9"/>
    <s v="0"/>
    <s v="113.7"/>
  </r>
  <r>
    <x v="87"/>
    <x v="13"/>
    <s v="Em operação"/>
    <s v="ES 0126"/>
    <x v="6"/>
    <m/>
    <m/>
    <m/>
    <n v="0"/>
    <m/>
    <m/>
    <m/>
    <m/>
    <m/>
    <n v="450"/>
    <m/>
    <m/>
    <m/>
    <m/>
    <m/>
    <m/>
    <m/>
    <m/>
    <m/>
    <m/>
    <m/>
    <m/>
    <m/>
  </r>
  <r>
    <x v="87"/>
    <x v="13"/>
    <s v="Em operação"/>
    <s v="ES 0099"/>
    <x v="2"/>
    <m/>
    <m/>
    <n v="3000"/>
    <n v="443.34203655352479"/>
    <s v="15.49"/>
    <n v="11.49"/>
    <s v="4"/>
    <s v="25.83"/>
    <s v="1240"/>
    <n v="5094"/>
    <s v="4.11"/>
    <s v="14.02"/>
    <s v="363.4"/>
    <s v="21.77"/>
    <s v="5.44"/>
    <s v="341.63"/>
    <s v="29.74"/>
    <s v="8034.84"/>
    <s v="127111"/>
    <s v="377950"/>
    <s v="0.2"/>
    <s v="0"/>
    <s v="253.4"/>
  </r>
  <r>
    <x v="87"/>
    <x v="13"/>
    <s v="Em operação"/>
    <s v="ES 0101"/>
    <x v="0"/>
    <n v="3801"/>
    <m/>
    <n v="3428.5714285714284"/>
    <n v="523.65887207702895"/>
    <s v="7.87"/>
    <n v="7.27"/>
    <s v="0.6"/>
    <s v="7.62"/>
    <s v="728"/>
    <n v="3807"/>
    <s v="5.23"/>
    <s v="13.3"/>
    <s v="286.27"/>
    <s v="3.31"/>
    <s v="5.52"/>
    <s v="282.96"/>
    <s v="38.91"/>
    <s v="6627.21"/>
    <s v="420623"/>
    <s v="1504119"/>
    <s v="0.2"/>
    <s v="0"/>
    <s v="48.9"/>
  </r>
  <r>
    <x v="87"/>
    <x v="13"/>
    <s v="Em operação"/>
    <s v="ES 0116"/>
    <x v="2"/>
    <m/>
    <m/>
    <n v="3000"/>
    <n v="430.02958579881658"/>
    <s v="8.16"/>
    <n v="6.76"/>
    <s v="1.4"/>
    <s v="17.16"/>
    <s v="971"/>
    <n v="2907"/>
    <s v="3.15"/>
    <s v="10.75"/>
    <s v="284.38"/>
    <s v="6.15"/>
    <s v="4.39"/>
    <s v="278.23"/>
    <s v="41.17"/>
    <s v="1992.02"/>
    <s v="195102"/>
    <s v="654970"/>
    <s v="0"/>
    <s v="0"/>
    <s v="5.4"/>
  </r>
  <r>
    <x v="87"/>
    <x v="13"/>
    <s v="Em operação"/>
    <s v="ES 0116"/>
    <x v="6"/>
    <m/>
    <m/>
    <m/>
    <n v="0"/>
    <m/>
    <m/>
    <m/>
    <m/>
    <m/>
    <n v="150"/>
    <m/>
    <m/>
    <m/>
    <m/>
    <m/>
    <m/>
    <m/>
    <m/>
    <m/>
    <m/>
    <m/>
    <m/>
    <m/>
  </r>
  <r>
    <x v="88"/>
    <x v="13"/>
    <s v="Em operação"/>
    <s v="ES 0096"/>
    <x v="2"/>
    <m/>
    <m/>
    <n v="2500"/>
    <n v="262.9733520336606"/>
    <s v="8.38"/>
    <n v="7.13"/>
    <s v="1.25"/>
    <s v="14.91"/>
    <s v="972"/>
    <n v="1875"/>
    <s v="1.51"/>
    <s v="10.47"/>
    <s v="140.53"/>
    <s v="4.73"/>
    <s v="3.79"/>
    <s v="135.8"/>
    <s v="19.04"/>
    <s v="9234.17"/>
    <s v="90734"/>
    <s v="135446"/>
    <s v="0.2"/>
    <s v="0"/>
    <s v="290.5"/>
  </r>
  <r>
    <x v="88"/>
    <x v="13"/>
    <s v="Em operação"/>
    <s v="ES 0097"/>
    <x v="6"/>
    <m/>
    <m/>
    <m/>
    <n v="0"/>
    <m/>
    <m/>
    <m/>
    <m/>
    <m/>
    <n v="25"/>
    <m/>
    <m/>
    <m/>
    <m/>
    <m/>
    <m/>
    <m/>
    <m/>
    <m/>
    <m/>
    <m/>
    <m/>
    <m/>
  </r>
  <r>
    <x v="88"/>
    <x v="13"/>
    <s v="Em operação"/>
    <s v="ES 0097"/>
    <x v="2"/>
    <m/>
    <m/>
    <n v="2500"/>
    <n v="11.261261261261261"/>
    <s v="5.34"/>
    <n v="4.4400000000000004"/>
    <s v="0.9"/>
    <s v="16.85"/>
    <s v=""/>
    <n v="50"/>
    <s v=""/>
    <s v=""/>
    <s v="93.69"/>
    <s v="4.26"/>
    <s v="4.73"/>
    <s v="89.43"/>
    <s v="20.13"/>
    <s v="8839.12"/>
    <s v=""/>
    <s v=""/>
    <s v="0.1"/>
    <s v=""/>
    <s v="244.1"/>
  </r>
  <r>
    <x v="88"/>
    <x v="1"/>
    <s v="Não operacional"/>
    <s v="ES 0135"/>
    <x v="2"/>
    <m/>
    <s v="Na oficina"/>
    <m/>
    <n v="0"/>
    <s v="1.33"/>
    <n v="0.57999999999999996"/>
    <s v="0.75"/>
    <s v="56.32"/>
    <s v="15"/>
    <s v="-"/>
    <s v="0.2"/>
    <s v="0.3"/>
    <s v="9.94"/>
    <s v="3.31"/>
    <s v="4.42"/>
    <s v="6.62"/>
    <s v="11.39"/>
    <s v="632.65"/>
    <s v="57157"/>
    <s v="113982"/>
    <s v="0"/>
    <s v="0"/>
    <s v="59.4"/>
  </r>
  <r>
    <x v="88"/>
    <x v="13"/>
    <s v="Em operação"/>
    <s v="ES 0110"/>
    <x v="2"/>
    <m/>
    <m/>
    <n v="2500"/>
    <n v="238.97810218978103"/>
    <s v="7.45"/>
    <n v="6.85"/>
    <s v="0.6"/>
    <s v="8.05"/>
    <s v="822"/>
    <n v="1637"/>
    <s v="1.99"/>
    <s v="12.49"/>
    <s v="131.07"/>
    <s v="2.84"/>
    <s v="4.73"/>
    <s v="128.23"/>
    <s v="18.72"/>
    <s v="2496"/>
    <s v="167585"/>
    <s v="322121"/>
    <s v="1.7"/>
    <s v="0"/>
    <s v="324.4"/>
  </r>
  <r>
    <x v="88"/>
    <x v="13"/>
    <s v="Em operação"/>
    <s v="ES 0126"/>
    <x v="2"/>
    <m/>
    <m/>
    <n v="2500"/>
    <n v="268.53932584269666"/>
    <s v="9.56"/>
    <n v="8.01"/>
    <s v="1.55"/>
    <s v="16.22"/>
    <s v="945"/>
    <n v="2151"/>
    <s v="2.28"/>
    <s v="12.56"/>
    <s v="171.29"/>
    <s v="5.68"/>
    <s v="3.66"/>
    <s v="165.61"/>
    <s v="20.69"/>
    <s v="1086.9"/>
    <s v="112779"/>
    <s v="251734"/>
    <s v="3.6"/>
    <s v="0"/>
    <s v="117.3"/>
  </r>
  <r>
    <x v="88"/>
    <x v="13"/>
    <s v="Em operação"/>
    <s v="ES 0099"/>
    <x v="2"/>
    <m/>
    <m/>
    <n v="2500"/>
    <n v="330"/>
    <s v="15.35"/>
    <n v="11.7"/>
    <s v="3.65"/>
    <s v="23.78"/>
    <s v="1153"/>
    <n v="3861"/>
    <s v="3.35"/>
    <s v="10.09"/>
    <s v="382.8"/>
    <s v="20.82"/>
    <s v="5.7"/>
    <s v="361.98"/>
    <s v="30.94"/>
    <s v="8050.19"/>
    <s v="128264"/>
    <s v="381811"/>
    <s v="0.2"/>
    <s v="0"/>
    <s v="253.6"/>
  </r>
  <r>
    <x v="88"/>
    <x v="13"/>
    <s v="Em operação"/>
    <s v="ES 0101"/>
    <x v="0"/>
    <n v="2305"/>
    <m/>
    <n v="3428.5714285714284"/>
    <n v="495.0344827586207"/>
    <s v="8.7"/>
    <n v="7.25"/>
    <s v="1.45"/>
    <s v="16.66"/>
    <s v="710"/>
    <n v="3589"/>
    <s v="5.05"/>
    <s v="12.77"/>
    <s v="281.07"/>
    <s v="8.52"/>
    <s v="5.87"/>
    <s v="272.55"/>
    <s v="37.58"/>
    <s v="6635.91"/>
    <s v="421333"/>
    <s v="1507708"/>
    <s v="0.1"/>
    <s v="0"/>
    <s v="49"/>
  </r>
  <r>
    <x v="88"/>
    <x v="13"/>
    <s v="Em operação"/>
    <s v="ES 0116"/>
    <x v="2"/>
    <m/>
    <m/>
    <n v="2500"/>
    <n v="474.15143603133157"/>
    <s v="9.26"/>
    <n v="7.66"/>
    <s v="1.6"/>
    <s v="17.28"/>
    <s v="1090"/>
    <n v="3632"/>
    <s v="3.33"/>
    <s v="11.39"/>
    <s v="318.92"/>
    <s v="8.04"/>
    <s v="5.03"/>
    <s v="310.88"/>
    <s v="40.59"/>
    <s v="2001.28"/>
    <s v="196192"/>
    <s v="658602"/>
    <s v="0.1"/>
    <s v="0"/>
    <s v="5.5"/>
  </r>
  <r>
    <x v="89"/>
    <x v="13"/>
    <s v="Em operação"/>
    <s v="ES 0096"/>
    <x v="2"/>
    <m/>
    <m/>
    <n v="2142.8571428571427"/>
    <n v="168.91891891891893"/>
    <s v="6.87"/>
    <n v="5.92"/>
    <s v="0.95"/>
    <s v="13.83"/>
    <s v="553"/>
    <n v="1000"/>
    <s v="1.4"/>
    <s v="6.44"/>
    <s v="120.19"/>
    <s v="3.79"/>
    <s v="3.98"/>
    <s v="116.4"/>
    <s v="19.67"/>
    <s v="9241.03"/>
    <s v="91287"/>
    <s v="136220"/>
    <s v="0.2"/>
    <s v="0"/>
    <s v="290.7"/>
  </r>
  <r>
    <x v="89"/>
    <x v="13"/>
    <s v="Em operação"/>
    <s v="ES 0097"/>
    <x v="2"/>
    <m/>
    <m/>
    <n v="2142.8571428571427"/>
    <n v="0"/>
    <m/>
    <m/>
    <m/>
    <m/>
    <m/>
    <n v="50"/>
    <m/>
    <m/>
    <m/>
    <m/>
    <m/>
    <m/>
    <m/>
    <m/>
    <m/>
    <m/>
    <m/>
    <m/>
    <m/>
  </r>
  <r>
    <x v="89"/>
    <x v="13"/>
    <s v="Em operação"/>
    <s v="ES 0097"/>
    <x v="6"/>
    <m/>
    <m/>
    <m/>
    <n v="223.68421052631581"/>
    <s v="5.5"/>
    <n v="3.8"/>
    <s v="1.7"/>
    <s v="30.9"/>
    <s v=""/>
    <n v="850"/>
    <s v=""/>
    <s v=""/>
    <s v="83.75"/>
    <s v="6.62"/>
    <s v="3.9"/>
    <s v="77.13"/>
    <s v="20.29"/>
    <s v="8844.62"/>
    <s v=""/>
    <s v=""/>
    <s v="0"/>
    <s v=""/>
    <s v="244.1"/>
  </r>
  <r>
    <x v="89"/>
    <x v="13"/>
    <s v="Em operação"/>
    <s v="ES 0135"/>
    <x v="2"/>
    <m/>
    <m/>
    <n v="2142.8571428571427"/>
    <n v="207.2639225181598"/>
    <s v="5.43"/>
    <n v="4.13"/>
    <s v="1.3"/>
    <s v="23.93"/>
    <s v="759"/>
    <n v="856"/>
    <s v="1.13"/>
    <s v="9.67"/>
    <s v="88.48"/>
    <s v="4.26"/>
    <s v="3.28"/>
    <s v="84.23"/>
    <s v="20.38"/>
    <s v="638.08"/>
    <s v="57916"/>
    <s v="114838"/>
    <s v="0.5"/>
    <s v="0"/>
    <s v="59.9"/>
  </r>
  <r>
    <x v="89"/>
    <x v="13"/>
    <s v="Em operação"/>
    <s v="ES 0110"/>
    <x v="2"/>
    <m/>
    <m/>
    <n v="2142.8571428571427"/>
    <n v="233.93501805054152"/>
    <s v="6.74"/>
    <n v="5.54"/>
    <s v="1.2"/>
    <s v="17.8"/>
    <s v="682"/>
    <n v="1296"/>
    <s v="1.9"/>
    <s v="10.58"/>
    <s v="122.55"/>
    <s v="4.26"/>
    <s v="3.55"/>
    <s v="118.29"/>
    <s v="21.35"/>
    <s v="2502.74"/>
    <s v="168267"/>
    <s v="323417"/>
    <s v="1.8"/>
    <s v="0"/>
    <s v="326.2"/>
  </r>
  <r>
    <x v="89"/>
    <x v="13"/>
    <s v="Em operação"/>
    <s v="ES 0126"/>
    <x v="2"/>
    <m/>
    <m/>
    <n v="2142.8571428571427"/>
    <n v="279.42073170731709"/>
    <s v="7.66"/>
    <n v="6.56"/>
    <s v="1.1"/>
    <s v="14.37"/>
    <s v="734"/>
    <n v="1833"/>
    <s v="2.5"/>
    <s v="13.79"/>
    <s v="132.96"/>
    <s v="3.79"/>
    <s v="3.44"/>
    <s v="129.18"/>
    <s v="19.7"/>
    <s v="1094.56"/>
    <s v="113513"/>
    <s v="253567"/>
    <s v="0.1"/>
    <s v="0"/>
    <s v="117.4"/>
  </r>
  <r>
    <x v="89"/>
    <x v="13"/>
    <s v="Em operação"/>
    <s v="ES 0099"/>
    <x v="2"/>
    <m/>
    <m/>
    <n v="2142.8571428571427"/>
    <n v="394.19847328244276"/>
    <s v="8.75"/>
    <n v="6.55"/>
    <s v="2.2"/>
    <s v="25.14"/>
    <s v="744"/>
    <n v="2582"/>
    <s v="3.47"/>
    <s v="12.1"/>
    <s v="213.4"/>
    <s v="12.3"/>
    <s v="5.59"/>
    <s v="201.1"/>
    <s v="30.7"/>
    <s v="8058.94"/>
    <s v="129008"/>
    <s v="384393"/>
    <s v="0"/>
    <s v="0"/>
    <s v="253.6"/>
  </r>
  <r>
    <x v="89"/>
    <x v="13"/>
    <s v="Em operação"/>
    <s v="ES 0101"/>
    <x v="0"/>
    <n v="3375"/>
    <m/>
    <n v="3428.5714285714284"/>
    <n v="650.23752969121142"/>
    <s v="10.07"/>
    <n v="8.42"/>
    <s v="1.65"/>
    <s v="16.39"/>
    <s v="1050"/>
    <n v="5475"/>
    <s v="5.21"/>
    <s v="16.39"/>
    <s v="334.06"/>
    <s v="8.99"/>
    <s v="5.45"/>
    <s v="325.07"/>
    <s v="38.62"/>
    <s v="6645.98"/>
    <s v="422383"/>
    <s v="1513183"/>
    <s v="0.1"/>
    <s v="0"/>
    <s v="49.1"/>
  </r>
  <r>
    <x v="89"/>
    <x v="13"/>
    <s v="Em operação"/>
    <s v="ES 0116"/>
    <x v="2"/>
    <m/>
    <m/>
    <n v="2142.8571428571427"/>
    <n v="395.5151515151515"/>
    <s v="10.65"/>
    <n v="8.25"/>
    <s v="2.4"/>
    <s v="22.54"/>
    <s v="874"/>
    <n v="3263"/>
    <s v="3.73"/>
    <s v="10.89"/>
    <s v="299.52"/>
    <s v="10.41"/>
    <s v="4.34"/>
    <s v="289.11"/>
    <s v="35.06"/>
    <s v="2011.93"/>
    <s v="197066"/>
    <s v="661865"/>
    <s v="0"/>
    <s v="0"/>
    <s v="5.5"/>
  </r>
  <r>
    <x v="90"/>
    <x v="1"/>
    <s v="Não operacional"/>
    <s v="ES 0096"/>
    <x v="2"/>
    <m/>
    <m/>
    <m/>
    <n v="0"/>
    <s v="1.07"/>
    <s v="0.17"/>
    <s v="0.9"/>
    <s v="83.81"/>
    <s v="0"/>
    <n v="0"/>
    <s v=""/>
    <s v="0"/>
    <s v="5.68"/>
    <s v="4.73"/>
    <s v="5.26"/>
    <s v="0.95"/>
    <s v="5.44"/>
    <s v="9242.11"/>
    <s v="91287"/>
    <s v="136220"/>
    <s v="0.1"/>
    <s v=""/>
    <s v="290.8"/>
  </r>
  <r>
    <x v="90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s v="8844.62"/>
    <s v=""/>
    <s v=""/>
    <s v="0"/>
    <s v=""/>
    <s v="244.1"/>
  </r>
  <r>
    <x v="90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s v="2502.74"/>
    <s v="168267"/>
    <s v="323417"/>
    <s v="0"/>
    <s v=""/>
    <s v="326.2"/>
  </r>
  <r>
    <x v="90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s v="8058.94"/>
    <s v="129008"/>
    <s v="384393"/>
    <s v="0"/>
    <s v=""/>
    <s v="253.6"/>
  </r>
  <r>
    <x v="90"/>
    <x v="13"/>
    <s v="Em operação"/>
    <s v="ES 0101"/>
    <x v="0"/>
    <n v="2705"/>
    <m/>
    <n v="3428.5714285714284"/>
    <n v="768.40077071290943"/>
    <s v="6.19"/>
    <n v="5.19"/>
    <s v="1"/>
    <s v="16.16"/>
    <s v="733"/>
    <n v="3988"/>
    <s v="5.44"/>
    <s v="19.6"/>
    <s v="203.47"/>
    <s v="5.68"/>
    <s v="5.68"/>
    <s v="197.79"/>
    <s v="38.13"/>
    <s v="6652.17"/>
    <s v="423116"/>
    <s v="1517171"/>
    <s v="0"/>
    <s v="0"/>
    <s v="49.1"/>
  </r>
  <r>
    <x v="90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"/>
    <x v="14"/>
    <s v="Em operação"/>
    <s v="ES 0096"/>
    <x v="2"/>
    <m/>
    <m/>
    <n v="2142.8571428571427"/>
    <n v="199.65277777777777"/>
    <s v="7.01"/>
    <n v="5.76"/>
    <s v="1.25"/>
    <s v="17.83"/>
    <s v="562"/>
    <n v="1150"/>
    <s v="1.48"/>
    <s v="7.1"/>
    <s v="117.35"/>
    <s v="4.73"/>
    <s v="3.79"/>
    <s v="112.62"/>
    <s v="19.55"/>
    <s v="9249.12"/>
    <s v="91849"/>
    <s v="137053"/>
    <s v="0"/>
    <s v="0"/>
    <s v="290.8"/>
  </r>
  <r>
    <x v="91"/>
    <x v="14"/>
    <s v="Em operação"/>
    <s v="ES 0097"/>
    <x v="2"/>
    <m/>
    <m/>
    <n v="2142.8571428571427"/>
    <n v="0"/>
    <m/>
    <m/>
    <m/>
    <m/>
    <m/>
    <n v="75"/>
    <m/>
    <m/>
    <m/>
    <m/>
    <m/>
    <m/>
    <m/>
    <m/>
    <m/>
    <m/>
    <m/>
    <m/>
    <m/>
  </r>
  <r>
    <x v="91"/>
    <x v="14"/>
    <s v="Em operação"/>
    <s v="ES 0097"/>
    <x v="6"/>
    <m/>
    <m/>
    <m/>
    <n v="202.24719101123594"/>
    <s v="5.85"/>
    <n v="4.45"/>
    <s v="1.4"/>
    <s v="23.94"/>
    <s v=""/>
    <n v="900"/>
    <s v=""/>
    <s v=""/>
    <s v="88.01"/>
    <s v="5.68"/>
    <s v="4.06"/>
    <s v="82.33"/>
    <s v="18.51"/>
    <s v="8850.49"/>
    <s v=""/>
    <s v=""/>
    <s v="0.6"/>
    <s v=""/>
    <s v="244.7"/>
  </r>
  <r>
    <x v="91"/>
    <x v="14"/>
    <s v="Em operação"/>
    <s v="ES 0135"/>
    <x v="2"/>
    <m/>
    <m/>
    <n v="2142.8571428571427"/>
    <n v="486.09355246523387"/>
    <s v="9.46"/>
    <n v="7.91"/>
    <s v="1.55"/>
    <s v="16.39"/>
    <s v="1666"/>
    <n v="3845"/>
    <s v="2.31"/>
    <s v="21.73"/>
    <s v="176.97"/>
    <s v="5.68"/>
    <s v="3.66"/>
    <s v="171.29"/>
    <s v="21.67"/>
    <s v="647.54"/>
    <s v="59582"/>
    <s v="118683"/>
    <s v="0.4"/>
    <s v="0"/>
    <s v="60.3"/>
  </r>
  <r>
    <x v="91"/>
    <x v="14"/>
    <s v="Em operação"/>
    <s v="ES 0110"/>
    <x v="2"/>
    <m/>
    <m/>
    <n v="2142.8571428571427"/>
    <n v="283.54430379746833"/>
    <s v="8.16"/>
    <n v="7.11"/>
    <s v="1.05"/>
    <s v="12.86"/>
    <s v="1168"/>
    <n v="2016"/>
    <s v="1.73"/>
    <s v="12.61"/>
    <s v="159.93"/>
    <s v="4.26"/>
    <s v="4.06"/>
    <s v="155.68"/>
    <s v="21.88"/>
    <s v="2510.9"/>
    <s v="169435"/>
    <s v="325433"/>
    <s v="1.5"/>
    <s v="0"/>
    <s v="327.7"/>
  </r>
  <r>
    <x v="91"/>
    <x v="14"/>
    <s v="Em operação"/>
    <s v="ES 0126"/>
    <x v="2"/>
    <m/>
    <m/>
    <n v="2142.8571428571427"/>
    <n v="253.33333333333331"/>
    <s v="3.55"/>
    <n v="2.85"/>
    <s v="0.7"/>
    <s v="19.72"/>
    <s v="327"/>
    <n v="722"/>
    <s v="2.21"/>
    <s v="11.65"/>
    <s v="61.99"/>
    <s v="3.31"/>
    <s v="4.73"/>
    <s v="58.67"/>
    <s v="20.59"/>
    <s v="1098.11"/>
    <s v="113840"/>
    <s v="254289"/>
    <s v="0"/>
    <s v="0"/>
    <s v="117.4"/>
  </r>
  <r>
    <x v="91"/>
    <x v="14"/>
    <s v="Em operação"/>
    <s v="ES 0099"/>
    <x v="2"/>
    <m/>
    <m/>
    <n v="2142.8571428571427"/>
    <n v="344.70774091627175"/>
    <s v="7.88"/>
    <n v="6.33"/>
    <s v="1.55"/>
    <s v="19.66"/>
    <s v="644"/>
    <n v="2182"/>
    <s v="3.39"/>
    <s v="10.8"/>
    <s v="202.05"/>
    <s v="8.99"/>
    <s v="5.8"/>
    <s v="193.06"/>
    <s v="30.49"/>
    <s v="8066.83"/>
    <s v="129652"/>
    <s v="386575"/>
    <s v="0.1"/>
    <s v="0"/>
    <s v="253.7"/>
  </r>
  <r>
    <x v="91"/>
    <x v="14"/>
    <s v="Em operação"/>
    <s v="ES 0101"/>
    <x v="0"/>
    <n v="3090"/>
    <m/>
    <n v="3428.5714285714284"/>
    <n v="814.32545201668984"/>
    <s v="7.99"/>
    <n v="7.19"/>
    <s v="0.8"/>
    <s v="10.01"/>
    <s v="1143"/>
    <n v="5855"/>
    <s v="5.12"/>
    <s v="20.59"/>
    <s v="284.38"/>
    <s v="5.2"/>
    <s v="6.51"/>
    <s v="279.17"/>
    <s v="38.83"/>
    <s v="6660.16"/>
    <s v="424259"/>
    <s v="1523026"/>
    <s v="0"/>
    <s v="0"/>
    <s v="49.1"/>
  </r>
  <r>
    <x v="91"/>
    <x v="14"/>
    <s v="Em operação"/>
    <s v="ES 0116"/>
    <x v="2"/>
    <m/>
    <m/>
    <n v="2142.8571428571427"/>
    <n v="513.37760910815939"/>
    <s v="13.29"/>
    <n v="10.54"/>
    <s v="2.75"/>
    <s v="20.7"/>
    <s v="1454"/>
    <n v="5411"/>
    <s v="3.72"/>
    <s v="12.73"/>
    <s v="424.91"/>
    <s v="12.78"/>
    <s v="4.65"/>
    <s v="412.14"/>
    <s v="39.11"/>
    <s v="2025.21"/>
    <s v="198571"/>
    <s v="667520"/>
    <s v="0"/>
    <s v="0"/>
    <s v="5.5"/>
  </r>
  <r>
    <x v="92"/>
    <x v="14"/>
    <s v="Em operação"/>
    <s v="ES 0096"/>
    <x v="2"/>
    <m/>
    <m/>
    <n v="3000"/>
    <n v="266.7140825035562"/>
    <s v="8.88"/>
    <n v="7.03"/>
    <s v="1.85"/>
    <s v="20.83"/>
    <s v="888"/>
    <n v="1875"/>
    <s v="1.89"/>
    <s v="11.63"/>
    <s v="144.32"/>
    <s v="8.04"/>
    <s v="4.35"/>
    <s v="136.27"/>
    <s v="19.38"/>
    <s v="9258"/>
    <s v="92737"/>
    <s v="138732"/>
    <s v="0.1"/>
    <s v="0"/>
    <s v="290.9"/>
  </r>
  <r>
    <x v="92"/>
    <x v="14"/>
    <s v="Em operação"/>
    <s v="ES 0097"/>
    <x v="6"/>
    <m/>
    <m/>
    <m/>
    <n v="29.550827423167846"/>
    <s v="11.56"/>
    <n v="8.4600000000000009"/>
    <s v="3.1"/>
    <s v="26.83"/>
    <s v=""/>
    <n v="250"/>
    <s v=""/>
    <s v=""/>
    <s v="177.44"/>
    <s v="13.72"/>
    <s v="4.43"/>
    <s v="163.72"/>
    <s v="19.36"/>
    <s v="8862.12"/>
    <s v=""/>
    <s v=""/>
    <s v="5.1"/>
    <s v=""/>
    <s v="249.8"/>
  </r>
  <r>
    <x v="92"/>
    <x v="14"/>
    <s v="Em operação"/>
    <s v="ES 0135"/>
    <x v="2"/>
    <m/>
    <m/>
    <n v="3000"/>
    <n v="129.42307692307691"/>
    <s v="6.1"/>
    <n v="5.2"/>
    <s v="0.9"/>
    <s v="14.76"/>
    <s v="699"/>
    <n v="673"/>
    <s v="0.96"/>
    <s v="6.24"/>
    <s v="107.88"/>
    <s v="2.84"/>
    <s v="3.15"/>
    <s v="105.05"/>
    <s v="20.21"/>
    <s v="653.64"/>
    <s v="60281"/>
    <s v="119356"/>
    <s v="0.9"/>
    <s v="0"/>
    <s v="61.2"/>
  </r>
  <r>
    <x v="92"/>
    <x v="14"/>
    <s v="Em operação"/>
    <s v="ES 0110"/>
    <x v="2"/>
    <m/>
    <m/>
    <n v="3000"/>
    <n v="312.78735632183907"/>
    <s v="8.46"/>
    <n v="6.96"/>
    <s v="1.5"/>
    <s v="17.73"/>
    <s v="1175"/>
    <n v="2177"/>
    <s v="1.85"/>
    <s v="14.33"/>
    <s v="151.89"/>
    <s v="5.68"/>
    <s v="3.79"/>
    <s v="146.21"/>
    <s v="21"/>
    <s v="2519.37"/>
    <s v="170610"/>
    <s v="327610"/>
    <s v="0.7"/>
    <s v="0"/>
    <s v="328.4"/>
  </r>
  <r>
    <x v="92"/>
    <x v="1"/>
    <s v="Não operacional"/>
    <s v="ES 0126"/>
    <x v="2"/>
    <m/>
    <s v="Na oficina"/>
    <m/>
    <n v="0"/>
    <s v="0.43"/>
    <n v="0.28000000000000003"/>
    <s v="0.15"/>
    <s v="34.91"/>
    <s v="0"/>
    <n v="0"/>
    <s v=""/>
    <s v="0"/>
    <s v="3.31"/>
    <s v="0.47"/>
    <s v="3.15"/>
    <s v="2.84"/>
    <s v="10.15"/>
    <s v="1098.54"/>
    <s v="113840"/>
    <s v="254289"/>
    <s v="0"/>
    <s v=""/>
    <s v="117.4"/>
  </r>
  <r>
    <x v="92"/>
    <x v="14"/>
    <s v="Em operação"/>
    <s v="ES 0099"/>
    <x v="2"/>
    <m/>
    <m/>
    <n v="3000"/>
    <n v="295.18413597733712"/>
    <s v="7.51"/>
    <n v="7.06"/>
    <s v="0.45"/>
    <s v="5.99"/>
    <s v="686"/>
    <n v="2084"/>
    <s v="3.04"/>
    <s v="9.45"/>
    <s v="220.5"/>
    <s v="2.37"/>
    <s v="5.26"/>
    <s v="218.13"/>
    <s v="30.89"/>
    <s v="8074.34"/>
    <s v="130338"/>
    <s v="388659"/>
    <s v="0.2"/>
    <s v="0"/>
    <s v="253.9"/>
  </r>
  <r>
    <x v="92"/>
    <x v="14"/>
    <s v="Em operação"/>
    <s v="ES 0101"/>
    <x v="0"/>
    <n v="5197"/>
    <m/>
    <n v="3428.5714285714284"/>
    <n v="823.85496183206101"/>
    <s v="11.28"/>
    <n v="10.48"/>
    <s v="0.8"/>
    <s v="7.09"/>
    <s v="1675"/>
    <n v="8634"/>
    <s v="5.15"/>
    <s v="20.97"/>
    <s v="411.66"/>
    <s v="4.73"/>
    <s v="5.91"/>
    <s v="406.93"/>
    <s v="38.84"/>
    <s v="6671.43"/>
    <s v="425934"/>
    <s v="1531660"/>
    <s v="0"/>
    <s v="0"/>
    <s v="49.1"/>
  </r>
  <r>
    <x v="92"/>
    <x v="14"/>
    <s v="Em operação"/>
    <s v="ES 0116"/>
    <x v="2"/>
    <m/>
    <m/>
    <n v="3000"/>
    <n v="457.52941176470586"/>
    <s v="10"/>
    <n v="8.5"/>
    <s v="1.5"/>
    <s v="15"/>
    <s v="1145"/>
    <n v="3889"/>
    <s v="3.4"/>
    <s v="12.88"/>
    <s v="301.89"/>
    <s v="6.62"/>
    <s v="4.42"/>
    <s v="295.26"/>
    <s v="34.73"/>
    <s v="2035.22"/>
    <s v="199716"/>
    <s v="671409"/>
    <s v="0"/>
    <s v="0"/>
    <s v="5.5"/>
  </r>
  <r>
    <x v="93"/>
    <x v="14"/>
    <s v="Em operação"/>
    <s v="ES 0096"/>
    <x v="2"/>
    <m/>
    <m/>
    <n v="2142.8571428571427"/>
    <n v="372.47474747474746"/>
    <s v="8.72"/>
    <n v="7.92"/>
    <s v="0.8"/>
    <s v="9.18"/>
    <s v="1276"/>
    <n v="2950"/>
    <s v="1.86"/>
    <s v="14.46"/>
    <s v="164.19"/>
    <s v="3.31"/>
    <s v="4.14"/>
    <s v="160.88"/>
    <s v="20.32"/>
    <s v="9266.72"/>
    <s v="94013"/>
    <s v="141106"/>
    <s v="0.3"/>
    <s v="0"/>
    <s v="291.2"/>
  </r>
  <r>
    <x v="93"/>
    <x v="14"/>
    <s v="Em operação"/>
    <s v="ES 0097"/>
    <x v="2"/>
    <m/>
    <m/>
    <n v="2142.8571428571427"/>
    <n v="52.950075642965203"/>
    <s v="15.22"/>
    <n v="13.22"/>
    <s v="2"/>
    <s v="13.14"/>
    <s v=""/>
    <n v="700"/>
    <s v=""/>
    <s v=""/>
    <s v="281.07"/>
    <s v="7.57"/>
    <s v="3.79"/>
    <s v="273.5"/>
    <s v="20.68"/>
    <s v="8877.34"/>
    <s v=""/>
    <s v=""/>
    <s v="1.2"/>
    <s v=""/>
    <s v="251"/>
  </r>
  <r>
    <x v="93"/>
    <x v="14"/>
    <s v="Em operação"/>
    <s v="ES 0135"/>
    <x v="2"/>
    <m/>
    <m/>
    <n v="2142.8571428571427"/>
    <n v="394.23347398030938"/>
    <s v="8.56"/>
    <n v="7.11"/>
    <s v="1.45"/>
    <s v="16.94"/>
    <s v="1428"/>
    <n v="2803"/>
    <s v="1.96"/>
    <s v="17.37"/>
    <s v="161.35"/>
    <s v="5.2"/>
    <s v="3.59"/>
    <s v="156.15"/>
    <s v="21.97"/>
    <s v="662.19"/>
    <s v="61709"/>
    <s v="122159"/>
    <s v="0.4"/>
    <s v="0"/>
    <s v="61.6"/>
  </r>
  <r>
    <x v="93"/>
    <x v="14"/>
    <s v="Em operação"/>
    <s v="ES 0110"/>
    <x v="2"/>
    <m/>
    <m/>
    <n v="2142.8571428571427"/>
    <n v="301.35542168674698"/>
    <s v="8.24"/>
    <n v="6.64"/>
    <s v="1.6"/>
    <s v="19.43"/>
    <s v="939"/>
    <n v="2001"/>
    <s v="2.13"/>
    <s v="13.77"/>
    <s v="145.27"/>
    <s v="5.68"/>
    <s v="3.55"/>
    <s v="139.59"/>
    <s v="21.04"/>
    <s v="2527.6"/>
    <s v="171549"/>
    <s v="329611"/>
    <s v="0.6"/>
    <s v="0"/>
    <s v="329"/>
  </r>
  <r>
    <x v="93"/>
    <x v="14"/>
    <s v="Em operação"/>
    <s v="ES 0126"/>
    <x v="2"/>
    <m/>
    <m/>
    <n v="2142.8571428571427"/>
    <n v="236.83304647160071"/>
    <s v="6.81"/>
    <n v="5.81"/>
    <s v="1"/>
    <s v="14.68"/>
    <s v="604"/>
    <n v="1376"/>
    <s v="2.28"/>
    <s v="10.81"/>
    <s v="127.28"/>
    <s v="3.79"/>
    <s v="3.79"/>
    <s v="123.5"/>
    <s v="21.25"/>
    <s v="1105.35"/>
    <s v="114444"/>
    <s v="255665"/>
    <s v="1.4"/>
    <s v="0"/>
    <s v="118.8"/>
  </r>
  <r>
    <x v="93"/>
    <x v="14"/>
    <s v="Em operação"/>
    <s v="ES 0099"/>
    <x v="2"/>
    <m/>
    <m/>
    <n v="2142.8571428571427"/>
    <n v="187.24727838258167"/>
    <s v="7.63"/>
    <n v="6.43"/>
    <s v="1.2"/>
    <s v="15.73"/>
    <s v="506"/>
    <n v="1204"/>
    <s v="2.38"/>
    <s v="5.77"/>
    <s v="208.67"/>
    <s v="6.62"/>
    <s v="5.52"/>
    <s v="202.05"/>
    <s v="31.42"/>
    <s v="8081.97"/>
    <s v="130844"/>
    <s v="389863"/>
    <s v="0.3"/>
    <s v="0"/>
    <s v="254.2"/>
  </r>
  <r>
    <x v="93"/>
    <x v="14"/>
    <s v="Em operação"/>
    <s v="ES 0101"/>
    <x v="0"/>
    <n v="4987"/>
    <m/>
    <n v="3428.5714285714284"/>
    <n v="514.65428276573789"/>
    <s v="10.74"/>
    <n v="9.69"/>
    <s v="1.05"/>
    <s v="9.78"/>
    <s v="1467"/>
    <n v="4987"/>
    <s v="5.38"/>
    <s v="20.62"/>
    <s v="382.8"/>
    <s v="6.62"/>
    <s v="6.31"/>
    <s v="376.18"/>
    <s v="38.83"/>
    <s v="6682.17"/>
    <s v="427401"/>
    <s v="1539553"/>
    <s v="0.1"/>
    <s v="0"/>
    <s v="49.2"/>
  </r>
  <r>
    <x v="93"/>
    <x v="14"/>
    <s v="Em operação"/>
    <s v="ES 0116"/>
    <x v="2"/>
    <m/>
    <m/>
    <n v="2142.8571428571427"/>
    <n v="491.89189189189187"/>
    <s v="4.92"/>
    <n v="4.07"/>
    <s v="0.85"/>
    <s v="17.29"/>
    <s v="669"/>
    <n v="2002"/>
    <s v="2.99"/>
    <s v="11.44"/>
    <s v="175.08"/>
    <s v="4.26"/>
    <s v="5.01"/>
    <s v="170.82"/>
    <s v="42"/>
    <s v="2040.13"/>
    <s v="200612"/>
    <s v="673998"/>
    <s v="0"/>
    <s v="0"/>
    <s v="5.5"/>
  </r>
  <r>
    <x v="94"/>
    <x v="14"/>
    <s v="Em operação"/>
    <s v="ES 0096"/>
    <x v="2"/>
    <m/>
    <m/>
    <n v="2142.8571428571427"/>
    <n v="529.64042759961137"/>
    <s v="11.89"/>
    <n v="10.29"/>
    <s v="1.6"/>
    <s v="13.46"/>
    <s v="1588"/>
    <n v="5450"/>
    <s v="1.87"/>
    <s v="13.97"/>
    <s v="212.46"/>
    <s v="6.15"/>
    <s v="3.84"/>
    <s v="206.3"/>
    <s v="20.06"/>
    <s v="9278.6"/>
    <s v="95601"/>
    <s v="144075"/>
    <s v="0.1"/>
    <s v="0"/>
    <s v="291.3"/>
  </r>
  <r>
    <x v="94"/>
    <x v="14"/>
    <s v="Em operação"/>
    <s v="ES 0097"/>
    <x v="2"/>
    <m/>
    <m/>
    <n v="2142.8571428571427"/>
    <n v="12.88659793814433"/>
    <s v="10.66"/>
    <n v="7.76"/>
    <s v="2.9"/>
    <s v="27.21"/>
    <s v=""/>
    <n v="100"/>
    <s v=""/>
    <s v=""/>
    <s v="157.09"/>
    <s v="11.36"/>
    <s v="3.92"/>
    <s v="145.74"/>
    <s v="18.78"/>
    <s v="8888"/>
    <s v=""/>
    <s v=""/>
    <s v="10"/>
    <s v=""/>
    <s v="261"/>
  </r>
  <r>
    <x v="94"/>
    <x v="14"/>
    <s v="Em operação"/>
    <s v="ES 0097"/>
    <x v="6"/>
    <m/>
    <m/>
    <m/>
    <n v="0"/>
    <m/>
    <m/>
    <m/>
    <m/>
    <m/>
    <n v="1100"/>
    <m/>
    <m/>
    <m/>
    <m/>
    <m/>
    <m/>
    <m/>
    <m/>
    <m/>
    <m/>
    <m/>
    <m/>
    <m/>
  </r>
  <r>
    <x v="94"/>
    <x v="14"/>
    <s v="Em operação"/>
    <s v="ES 0135"/>
    <x v="2"/>
    <m/>
    <m/>
    <n v="2142.8571428571427"/>
    <n v="177.30061349693253"/>
    <s v="7.57"/>
    <n v="6.52"/>
    <s v="1.05"/>
    <s v="13.87"/>
    <s v="691"/>
    <n v="1156"/>
    <s v="1.67"/>
    <s v="11.26"/>
    <s v="102.68"/>
    <s v="3.79"/>
    <s v="3.61"/>
    <s v="98.89"/>
    <s v="15.16"/>
    <s v="669.77"/>
    <s v="62400"/>
    <s v="123315"/>
    <s v="1.5"/>
    <s v="0"/>
    <s v="63.1"/>
  </r>
  <r>
    <x v="94"/>
    <x v="14"/>
    <s v="Em operação"/>
    <s v="ES 0110"/>
    <x v="2"/>
    <m/>
    <m/>
    <n v="2142.8571428571427"/>
    <n v="348.28125"/>
    <s v="7.65"/>
    <n v="6.4"/>
    <s v="1.25"/>
    <s v="16.34"/>
    <s v="1027"/>
    <n v="2229"/>
    <s v="2.17"/>
    <s v="15.97"/>
    <s v="139.59"/>
    <s v="4.73"/>
    <s v="3.79"/>
    <s v="134.86"/>
    <s v="21.08"/>
    <s v="2535.25"/>
    <s v="172576"/>
    <s v="331840"/>
    <s v="0.3"/>
    <s v="0"/>
    <s v="329.3"/>
  </r>
  <r>
    <x v="94"/>
    <x v="14"/>
    <s v="Em operação"/>
    <s v="ES 0126"/>
    <x v="2"/>
    <m/>
    <m/>
    <n v="2142.8571428571427"/>
    <n v="242.7682737169518"/>
    <s v="7.63"/>
    <n v="6.43"/>
    <s v="1.2"/>
    <s v="15.73"/>
    <s v="658"/>
    <n v="1561"/>
    <s v="2.37"/>
    <s v="13.92"/>
    <s v="112.14"/>
    <s v="4.73"/>
    <s v="3.94"/>
    <s v="107.41"/>
    <s v="16.71"/>
    <s v="1112.98"/>
    <s v="115102"/>
    <s v="257226"/>
    <s v="0.3"/>
    <s v="0"/>
    <s v="119.1"/>
  </r>
  <r>
    <x v="94"/>
    <x v="14"/>
    <s v="Em operação"/>
    <s v="ES 0099"/>
    <x v="2"/>
    <m/>
    <m/>
    <n v="2142.8571428571427"/>
    <n v="136.70886075949366"/>
    <s v="8.11"/>
    <n v="7.11"/>
    <s v="1"/>
    <s v="12.33"/>
    <s v="513"/>
    <n v="972"/>
    <s v="2.04"/>
    <s v="4.7"/>
    <s v="222.87"/>
    <s v="6.15"/>
    <s v="6.15"/>
    <s v="216.71"/>
    <s v="30.48"/>
    <s v="8090.08"/>
    <s v="131357"/>
    <s v="390910"/>
    <s v="0.2"/>
    <s v="0"/>
    <s v="254.4"/>
  </r>
  <r>
    <x v="94"/>
    <x v="14"/>
    <s v="Em operação"/>
    <s v="ES 0099"/>
    <x v="6"/>
    <m/>
    <m/>
    <m/>
    <n v="0"/>
    <m/>
    <m/>
    <m/>
    <m/>
    <m/>
    <n v="75"/>
    <m/>
    <m/>
    <m/>
    <m/>
    <m/>
    <m/>
    <m/>
    <m/>
    <m/>
    <m/>
    <m/>
    <m/>
    <m/>
  </r>
  <r>
    <x v="94"/>
    <x v="14"/>
    <s v="Em operação"/>
    <s v="ES 0101"/>
    <x v="0"/>
    <n v="2838"/>
    <m/>
    <n v="3428.5714285714284"/>
    <n v="476.66263603385732"/>
    <s v="8.87"/>
    <n v="8.27"/>
    <s v="0.6"/>
    <s v="6.76"/>
    <s v="762"/>
    <n v="3942"/>
    <s v="5.17"/>
    <s v="11.82"/>
    <s v="333.59"/>
    <s v="4.26"/>
    <s v="7.1"/>
    <s v="329.33"/>
    <s v="39.81"/>
    <s v="6691.04"/>
    <s v="428163"/>
    <s v="1543495"/>
    <s v="0.1"/>
    <s v="0"/>
    <s v="49.3"/>
  </r>
  <r>
    <x v="94"/>
    <x v="14"/>
    <s v="Em operação"/>
    <s v="ES 0116"/>
    <x v="2"/>
    <m/>
    <m/>
    <n v="2142.8571428571427"/>
    <n v="0"/>
    <s v="5.76"/>
    <s v="3.86"/>
    <s v="1.9"/>
    <s v="32.99"/>
    <s v="450"/>
    <n v="1515"/>
    <s v="3.37"/>
    <s v="9.36"/>
    <s v="161.83"/>
    <s v="8.52"/>
    <s v="4.48"/>
    <s v="153.31"/>
    <s v="39.72"/>
    <s v="2045.89"/>
    <s v="201062"/>
    <s v="675513"/>
    <s v="0"/>
    <s v="0"/>
    <s v="5.5"/>
  </r>
  <r>
    <x v="95"/>
    <x v="14"/>
    <s v="Em operação"/>
    <s v="ES 0096"/>
    <x v="2"/>
    <m/>
    <m/>
    <n v="2500"/>
    <n v="352.76073619631904"/>
    <n v="11.18"/>
    <n v="9.7799999999999994"/>
    <n v="1.4"/>
    <n v="12.52"/>
    <s v="1161"/>
    <n v="3450"/>
    <n v="1.79"/>
    <n v="10.46"/>
    <n v="198.73"/>
    <n v="6.15"/>
    <n v="4.3899999999999997"/>
    <n v="192.58"/>
    <n v="19.690000000000001"/>
    <n v="9289.7900000000009"/>
    <s v="96762"/>
    <s v="146153"/>
    <n v="0.2"/>
    <s v="0"/>
    <n v="291.5"/>
  </r>
  <r>
    <x v="95"/>
    <x v="14"/>
    <s v="Em operação"/>
    <s v="ES 0097"/>
    <x v="2"/>
    <m/>
    <m/>
    <n v="2500"/>
    <n v="0"/>
    <n v="5.94"/>
    <n v="4.09"/>
    <n v="1.85"/>
    <n v="31.15"/>
    <s v=""/>
    <s v="-"/>
    <s v=""/>
    <s v=""/>
    <n v="83.28"/>
    <n v="7.57"/>
    <n v="4.09"/>
    <n v="75.709999999999994"/>
    <n v="18.52"/>
    <n v="8894.02"/>
    <s v=""/>
    <s v=""/>
    <s v="2"/>
    <s v=""/>
    <s v="263"/>
  </r>
  <r>
    <x v="95"/>
    <x v="14"/>
    <s v="Em operação"/>
    <s v="ES 0135"/>
    <x v="2"/>
    <m/>
    <m/>
    <n v="2500"/>
    <n v="237.98955613577024"/>
    <n v="8.7100000000000009"/>
    <n v="7.66"/>
    <n v="1.05"/>
    <n v="12.05"/>
    <s v="1095"/>
    <n v="1823"/>
    <n v="1.66"/>
    <n v="13.24"/>
    <n v="137.69"/>
    <n v="3.79"/>
    <n v="3.61"/>
    <n v="133.91"/>
    <n v="17.47"/>
    <n v="678.48"/>
    <s v="63723"/>
    <s v="125612"/>
    <n v="1.2"/>
    <s v="0"/>
    <n v="64.8"/>
  </r>
  <r>
    <x v="95"/>
    <x v="14"/>
    <s v="Em operação"/>
    <s v="ES 0110"/>
    <x v="2"/>
    <m/>
    <m/>
    <n v="2500"/>
    <n v="258.14977973568284"/>
    <n v="7.46"/>
    <n v="6.81"/>
    <n v="0.65"/>
    <n v="8.7100000000000009"/>
    <s v="912"/>
    <n v="1758"/>
    <n v="1.93"/>
    <n v="12.55"/>
    <n v="140.06"/>
    <n v="2.84"/>
    <n v="4.37"/>
    <n v="137.22"/>
    <n v="20.14"/>
    <n v="2542.71"/>
    <s v="173488"/>
    <s v="333598"/>
    <n v="0.4"/>
    <s v="0"/>
    <n v="329.7"/>
  </r>
  <r>
    <x v="95"/>
    <x v="14"/>
    <s v="Em operação"/>
    <s v="ES 0126"/>
    <x v="2"/>
    <m/>
    <m/>
    <n v="2500"/>
    <n v="98"/>
    <n v="6.6"/>
    <n v="4.5"/>
    <n v="2.1"/>
    <n v="31.8"/>
    <s v="251"/>
    <n v="441"/>
    <n v="1.76"/>
    <n v="6.47"/>
    <n v="68.14"/>
    <n v="8.0399999999999991"/>
    <n v="3.83"/>
    <n v="60.09"/>
    <n v="13.34"/>
    <n v="1119.58"/>
    <s v="115579"/>
    <s v="258145"/>
    <s v="0"/>
    <s v="0"/>
    <n v="119.1"/>
  </r>
  <r>
    <x v="95"/>
    <x v="14"/>
    <s v="Em operação"/>
    <s v="ES 0099"/>
    <x v="6"/>
    <m/>
    <m/>
    <m/>
    <n v="155.94594594594594"/>
    <n v="8.1"/>
    <n v="7.4"/>
    <n v="0.7"/>
    <n v="8.64"/>
    <s v="560"/>
    <n v="1154"/>
    <n v="2.06"/>
    <n v="5.05"/>
    <n v="228.54"/>
    <n v="3.31"/>
    <n v="4.7300000000000004"/>
    <n v="225.23"/>
    <n v="30.44"/>
    <n v="8098.18"/>
    <s v="131917"/>
    <s v="392064"/>
    <n v="0.1"/>
    <s v="0"/>
    <n v="254.5"/>
  </r>
  <r>
    <x v="95"/>
    <x v="14"/>
    <s v="Em operação"/>
    <s v="ES 0101"/>
    <x v="0"/>
    <n v="3038"/>
    <m/>
    <n v="3428.5714285714284"/>
    <n v="643.75"/>
    <n v="6.79"/>
    <n v="6.24"/>
    <n v="0.55000000000000004"/>
    <n v="8.1"/>
    <s v="777"/>
    <n v="4017"/>
    <n v="5.17"/>
    <n v="16.14"/>
    <n v="248.89"/>
    <n v="3.31"/>
    <n v="6.02"/>
    <n v="245.58"/>
    <n v="39.340000000000003"/>
    <n v="6697.84"/>
    <s v="428940"/>
    <s v="1547512"/>
    <s v="0"/>
    <s v="0"/>
    <n v="49.3"/>
  </r>
  <r>
    <x v="95"/>
    <x v="14"/>
    <s v="Em operação"/>
    <s v="ES 0116"/>
    <x v="2"/>
    <m/>
    <m/>
    <n v="2500"/>
    <n v="579.30056710775045"/>
    <n v="12.98"/>
    <n v="10.58"/>
    <n v="2.4"/>
    <n v="18.489999999999998"/>
    <s v="1561"/>
    <n v="6129"/>
    <n v="3.93"/>
    <n v="13.99"/>
    <n v="438.16"/>
    <n v="10.41"/>
    <n v="4.34"/>
    <n v="427.75"/>
    <n v="40.43"/>
    <n v="2058.87"/>
    <s v="202623"/>
    <s v="681642"/>
    <s v="0"/>
    <s v="0"/>
    <n v="5.5"/>
  </r>
  <r>
    <x v="96"/>
    <x v="14"/>
    <s v="Em operação"/>
    <s v="ES 0096"/>
    <x v="2"/>
    <m/>
    <m/>
    <n v="3000"/>
    <n v="490.99836333878886"/>
    <n v="6.86"/>
    <n v="6.11"/>
    <n v="0.75"/>
    <n v="10.93"/>
    <s v="972"/>
    <n v="3000"/>
    <n v="1.96"/>
    <n v="15.19"/>
    <n v="125.39"/>
    <n v="2.37"/>
    <n v="3.15"/>
    <n v="123.03"/>
    <n v="20.14"/>
    <n v="9296.65"/>
    <s v="97734"/>
    <s v="148058"/>
    <n v="0.1"/>
    <s v="0"/>
    <n v="291.60000000000002"/>
  </r>
  <r>
    <x v="96"/>
    <x v="14"/>
    <s v="Em operação"/>
    <s v="ES 0097"/>
    <x v="6"/>
    <m/>
    <m/>
    <m/>
    <n v="0"/>
    <n v="3.12"/>
    <n v="2.72"/>
    <n v="0.4"/>
    <n v="12.84"/>
    <s v=""/>
    <n v="0"/>
    <s v=""/>
    <s v=""/>
    <n v="45.42"/>
    <n v="1.42"/>
    <n v="3.55"/>
    <n v="44.01"/>
    <n v="16.2"/>
    <n v="8897.2199999999993"/>
    <s v=""/>
    <s v=""/>
    <n v="0.2"/>
    <s v=""/>
    <n v="263.2"/>
  </r>
  <r>
    <x v="96"/>
    <x v="14"/>
    <s v="Em operação"/>
    <s v="ES 0135"/>
    <x v="2"/>
    <m/>
    <m/>
    <n v="3000"/>
    <n v="208.21643286573146"/>
    <n v="6.64"/>
    <n v="4.99"/>
    <n v="1.65"/>
    <n v="24.86"/>
    <s v="726"/>
    <n v="1039"/>
    <n v="2.15"/>
    <n v="14.82"/>
    <n v="105.52"/>
    <n v="5.2"/>
    <n v="3.15"/>
    <n v="100.31"/>
    <n v="20.12"/>
    <n v="685.12"/>
    <s v="64665"/>
    <s v="127662"/>
    <n v="1.1000000000000001"/>
    <s v="0"/>
    <n v="66.2"/>
  </r>
  <r>
    <x v="96"/>
    <x v="14"/>
    <s v="Em operação"/>
    <s v="ES 0135"/>
    <x v="6"/>
    <m/>
    <m/>
    <m/>
    <n v="0"/>
    <m/>
    <m/>
    <m/>
    <m/>
    <m/>
    <n v="525"/>
    <m/>
    <m/>
    <m/>
    <m/>
    <m/>
    <m/>
    <m/>
    <m/>
    <m/>
    <m/>
    <m/>
    <m/>
    <m/>
  </r>
  <r>
    <x v="96"/>
    <x v="14"/>
    <s v="Em operação"/>
    <s v="ES 0110"/>
    <x v="6"/>
    <m/>
    <m/>
    <m/>
    <n v="249.1329479768786"/>
    <n v="7.14"/>
    <n v="5.19"/>
    <n v="1.95"/>
    <n v="27.3"/>
    <s v="801"/>
    <n v="1293"/>
    <n v="1.61"/>
    <n v="11.68"/>
    <n v="110.72"/>
    <n v="7.1"/>
    <n v="3.64"/>
    <n v="103.63"/>
    <n v="19.95"/>
    <n v="2549.86"/>
    <s v="174289"/>
    <s v="334891"/>
    <n v="1.8"/>
    <s v="0"/>
    <n v="331.5"/>
  </r>
  <r>
    <x v="96"/>
    <x v="14"/>
    <s v="Em operação"/>
    <s v="ES 0126"/>
    <x v="2"/>
    <m/>
    <m/>
    <n v="3000"/>
    <n v="292.11324570273001"/>
    <n v="11.84"/>
    <n v="9.89"/>
    <n v="1.95"/>
    <n v="16.46"/>
    <s v="1309"/>
    <n v="2889"/>
    <n v="2.21"/>
    <n v="13.78"/>
    <n v="209.62"/>
    <n v="7.1"/>
    <n v="3.64"/>
    <n v="202.52"/>
    <n v="20.47"/>
    <n v="1131.42"/>
    <s v="117004"/>
    <s v="261327"/>
    <n v="0.2"/>
    <s v="0"/>
    <n v="119.3"/>
  </r>
  <r>
    <x v="96"/>
    <x v="14"/>
    <s v="Em operação"/>
    <s v="ES 0099"/>
    <x v="6"/>
    <m/>
    <m/>
    <m/>
    <n v="268.64864864864865"/>
    <n v="6.15"/>
    <n v="5.55"/>
    <n v="0.6"/>
    <n v="9.75"/>
    <s v="541"/>
    <n v="1491"/>
    <n v="2.76"/>
    <n v="8.73"/>
    <n v="170.82"/>
    <n v="3.79"/>
    <n v="6.31"/>
    <n v="167.03"/>
    <n v="30.09"/>
    <n v="8104.33"/>
    <s v="132458"/>
    <s v="393555"/>
    <n v="0.1"/>
    <s v="0"/>
    <n v="254.6"/>
  </r>
  <r>
    <x v="96"/>
    <x v="14"/>
    <s v="Em operação"/>
    <s v="ES 0101"/>
    <x v="0"/>
    <n v="5749"/>
    <m/>
    <n v="3428.5714285714284"/>
    <n v="507.41394527802294"/>
    <n v="12.33"/>
    <n v="11.33"/>
    <s v="1"/>
    <n v="8.11"/>
    <s v="1430"/>
    <n v="5749"/>
    <n v="5.3"/>
    <n v="17.18"/>
    <s v="441"/>
    <n v="6.15"/>
    <n v="6.15"/>
    <n v="434.85"/>
    <n v="38.380000000000003"/>
    <n v="6710.17"/>
    <s v="430370"/>
    <s v="1555089"/>
    <s v="0"/>
    <s v="0"/>
    <n v="49.3"/>
  </r>
  <r>
    <x v="96"/>
    <x v="14"/>
    <s v="Em operação"/>
    <s v="ES 0116"/>
    <x v="2"/>
    <m/>
    <m/>
    <n v="3000"/>
    <n v="520.3767123287671"/>
    <n v="7.69"/>
    <n v="5.84"/>
    <n v="1.85"/>
    <n v="24.05"/>
    <s v="792"/>
    <n v="3039"/>
    <n v="3.84"/>
    <n v="12.82"/>
    <n v="237.06"/>
    <n v="8.0399999999999991"/>
    <n v="4.3499999999999996"/>
    <n v="229.02"/>
    <n v="39.200000000000003"/>
    <n v="2066.5700000000002"/>
    <s v="203415"/>
    <s v="684681"/>
    <n v="0.1"/>
    <s v="0"/>
    <n v="5.6"/>
  </r>
  <r>
    <x v="96"/>
    <x v="14"/>
    <s v="Em operação"/>
    <m/>
    <x v="2"/>
    <m/>
    <m/>
    <n v="3000"/>
    <n v="0"/>
    <m/>
    <m/>
    <m/>
    <m/>
    <m/>
    <m/>
    <m/>
    <m/>
    <m/>
    <m/>
    <m/>
    <m/>
    <m/>
    <m/>
    <m/>
    <m/>
    <m/>
    <m/>
    <m/>
  </r>
  <r>
    <x v="97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296.65"/>
    <s v="97734"/>
    <s v="148058"/>
    <s v="0"/>
    <s v=""/>
    <n v="291.60000000000002"/>
  </r>
  <r>
    <x v="97"/>
    <x v="1"/>
    <s v="Não operacional"/>
    <s v="ES 0097"/>
    <x v="2"/>
    <m/>
    <m/>
    <m/>
    <n v="0"/>
    <s v="0"/>
    <s v="0"/>
    <s v="0"/>
    <s v=""/>
    <s v=""/>
    <n v="0"/>
    <s v=""/>
    <s v=""/>
    <s v="0"/>
    <s v="0"/>
    <s v=""/>
    <s v="0"/>
    <s v=""/>
    <n v="8897.2199999999993"/>
    <s v=""/>
    <s v=""/>
    <s v="0"/>
    <s v=""/>
    <n v="263.2"/>
  </r>
  <r>
    <x v="97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n v="2549.86"/>
    <s v="174289"/>
    <s v="334891"/>
    <s v="0"/>
    <s v=""/>
    <n v="331.5"/>
  </r>
  <r>
    <x v="97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104.33"/>
    <s v="132458"/>
    <s v="393555"/>
    <s v="0"/>
    <s v=""/>
    <n v="254.6"/>
  </r>
  <r>
    <x v="97"/>
    <x v="14"/>
    <s v="Em operação"/>
    <s v="ES 0101"/>
    <x v="0"/>
    <n v="4650"/>
    <m/>
    <n v="3428.5714285714284"/>
    <n v="764.8026315789474"/>
    <n v="6.93"/>
    <n v="6.08"/>
    <n v="0.85"/>
    <n v="12.27"/>
    <s v="825"/>
    <n v="4650"/>
    <n v="5.64"/>
    <n v="19.77"/>
    <n v="235.17"/>
    <n v="5.2"/>
    <n v="6.12"/>
    <n v="229.96"/>
    <n v="37.83"/>
    <n v="6717.1"/>
    <s v="431195"/>
    <s v="1559739"/>
    <s v="0"/>
    <s v="0"/>
    <n v="49.3"/>
  </r>
  <r>
    <x v="97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"/>
    <x v="15"/>
    <s v="Em operação"/>
    <s v="ES 0096"/>
    <x v="2"/>
    <m/>
    <m/>
    <n v="2142.8571428571427"/>
    <n v="331.76943699731902"/>
    <n v="8.86"/>
    <n v="7.46"/>
    <n v="1.4"/>
    <n v="15.81"/>
    <s v="942"/>
    <n v="2475"/>
    <n v="1.58"/>
    <n v="9.84"/>
    <n v="150.94"/>
    <n v="6.15"/>
    <n v="4.3899999999999997"/>
    <n v="144.79"/>
    <n v="19.420000000000002"/>
    <n v="9305.5"/>
    <s v="98676"/>
    <s v="149544"/>
    <n v="0.2"/>
    <s v="0"/>
    <n v="291.8"/>
  </r>
  <r>
    <x v="98"/>
    <x v="15"/>
    <s v="Em operação"/>
    <s v="ES 0097"/>
    <x v="2"/>
    <m/>
    <m/>
    <n v="2142.8571428571427"/>
    <n v="37.313432835820898"/>
    <n v="2.46"/>
    <n v="2.0099999999999998"/>
    <n v="0.45"/>
    <n v="18.309999999999999"/>
    <s v=""/>
    <n v="75"/>
    <s v=""/>
    <s v=""/>
    <n v="35.49"/>
    <n v="1.42"/>
    <n v="3.15"/>
    <n v="34.07"/>
    <n v="16.97"/>
    <n v="8899.67"/>
    <s v=""/>
    <s v=""/>
    <n v="0.4"/>
    <s v=""/>
    <n v="263.60000000000002"/>
  </r>
  <r>
    <x v="98"/>
    <x v="15"/>
    <s v="Em operação"/>
    <s v="ES 0135"/>
    <x v="2"/>
    <m/>
    <m/>
    <n v="2142.8571428571427"/>
    <n v="258.160237388724"/>
    <n v="8.94"/>
    <n v="6.74"/>
    <n v="2.2000000000000002"/>
    <n v="24.62"/>
    <s v="1222"/>
    <n v="1740"/>
    <n v="2.1800000000000002"/>
    <n v="17.82"/>
    <n v="149.52000000000001"/>
    <n v="8.0399999999999991"/>
    <n v="3.66"/>
    <n v="141.47999999999999"/>
    <n v="21.01"/>
    <n v="694.05"/>
    <s v="65892"/>
    <s v="130330"/>
    <n v="0.8"/>
    <s v="0"/>
    <n v="67.599999999999994"/>
  </r>
  <r>
    <x v="98"/>
    <x v="15"/>
    <s v="Em operação"/>
    <s v="ES 0135"/>
    <x v="6"/>
    <m/>
    <m/>
    <m/>
    <m/>
    <m/>
    <m/>
    <m/>
    <m/>
    <m/>
    <n v="925"/>
    <m/>
    <m/>
    <m/>
    <m/>
    <m/>
    <m/>
    <m/>
    <m/>
    <m/>
    <m/>
    <m/>
    <m/>
    <m/>
  </r>
  <r>
    <x v="98"/>
    <x v="15"/>
    <s v="Em operação"/>
    <s v="ES 0110"/>
    <x v="2"/>
    <m/>
    <m/>
    <n v="2142.8571428571427"/>
    <n v="0"/>
    <n v="1.36"/>
    <n v="0.66"/>
    <n v="0.7"/>
    <n v="51.39"/>
    <s v="0"/>
    <n v="0"/>
    <s v=""/>
    <s v="0"/>
    <n v="10.88"/>
    <n v="2.37"/>
    <n v="3.38"/>
    <n v="8.52"/>
    <n v="12.86"/>
    <n v="2551.2199999999998"/>
    <s v="174289"/>
    <s v="334891"/>
    <n v="0.3"/>
    <s v=""/>
    <n v="331.8"/>
  </r>
  <r>
    <x v="98"/>
    <x v="15"/>
    <s v="Em operação"/>
    <s v="ES 0126"/>
    <x v="2"/>
    <m/>
    <m/>
    <n v="2142.8571428571427"/>
    <n v="144.85049833887044"/>
    <n v="10.73"/>
    <n v="9.0299999999999994"/>
    <n v="1.7"/>
    <n v="15.85"/>
    <s v="794"/>
    <n v="1308"/>
    <n v="1.65"/>
    <n v="6.79"/>
    <n v="192.58"/>
    <n v="6.15"/>
    <n v="3.62"/>
    <n v="186.43"/>
    <n v="20.65"/>
    <n v="1142.1500000000001"/>
    <s v="117812"/>
    <s v="262668"/>
    <n v="0.5"/>
    <s v="0"/>
    <n v="119.8"/>
  </r>
  <r>
    <x v="98"/>
    <x v="15"/>
    <s v="Em operação"/>
    <s v="ES 0099"/>
    <x v="2"/>
    <m/>
    <m/>
    <n v="2142.8571428571427"/>
    <n v="337.05953827460507"/>
    <n v="8.7799999999999994"/>
    <n v="8.23"/>
    <n v="0.55000000000000004"/>
    <n v="6.26"/>
    <s v="944"/>
    <n v="2774"/>
    <n v="2.94"/>
    <n v="10.74"/>
    <n v="258.35000000000002"/>
    <n v="3.31"/>
    <n v="6.02"/>
    <n v="255.04"/>
    <n v="30.98"/>
    <n v="8113.11"/>
    <s v="133402"/>
    <s v="396329"/>
    <n v="0.5"/>
    <s v="0"/>
    <n v="255.1"/>
  </r>
  <r>
    <x v="98"/>
    <x v="15"/>
    <s v="Em operação"/>
    <s v="ES 0101"/>
    <x v="0"/>
    <n v="6365"/>
    <m/>
    <n v="4000"/>
    <n v="601.03871576959398"/>
    <n v="11.74"/>
    <n v="10.59"/>
    <n v="1.1499999999999999"/>
    <n v="9.8000000000000007"/>
    <s v="1164"/>
    <n v="6365"/>
    <n v="5.47"/>
    <n v="15.53"/>
    <n v="409.77"/>
    <n v="7.57"/>
    <n v="6.58"/>
    <n v="402.2"/>
    <n v="37.99"/>
    <n v="6728.83"/>
    <s v="432359"/>
    <s v="1566104"/>
    <n v="0.1"/>
    <s v="0"/>
    <n v="49.4"/>
  </r>
  <r>
    <x v="98"/>
    <x v="15"/>
    <s v="Em operação"/>
    <s v="ES 0116"/>
    <x v="2"/>
    <m/>
    <m/>
    <n v="2142.8571428571427"/>
    <n v="359.55882352941171"/>
    <n v="1.96"/>
    <n v="1.36"/>
    <n v="0.6"/>
    <n v="30.64"/>
    <s v="155"/>
    <n v="489"/>
    <n v="3.15"/>
    <n v="8.99"/>
    <n v="54.42"/>
    <n v="3.79"/>
    <n v="6.31"/>
    <n v="50.63"/>
    <n v="37.270000000000003"/>
    <n v="2068.52"/>
    <s v="203570"/>
    <s v="685170"/>
    <s v="0"/>
    <s v="0"/>
    <n v="5.6"/>
  </r>
  <r>
    <x v="99"/>
    <x v="15"/>
    <s v="Em operação"/>
    <s v="ES 0096"/>
    <x v="2"/>
    <m/>
    <m/>
    <n v="3000"/>
    <n v="247.074122236671"/>
    <n v="8.24"/>
    <n v="7.69"/>
    <n v="0.55000000000000004"/>
    <n v="6.68"/>
    <s v="1098"/>
    <n v="1900"/>
    <n v="1.59"/>
    <n v="11.53"/>
    <n v="151.41999999999999"/>
    <n v="2.37"/>
    <n v="4.3"/>
    <n v="149.05000000000001"/>
    <n v="19.39"/>
    <n v="9313.74"/>
    <s v="99774"/>
    <s v="151290"/>
    <s v="0"/>
    <s v="0"/>
    <n v="291.8"/>
  </r>
  <r>
    <x v="99"/>
    <x v="15"/>
    <s v="Em operação"/>
    <s v="ES 0097"/>
    <x v="7"/>
    <m/>
    <m/>
    <m/>
    <n v="0"/>
    <s v=""/>
    <s v=""/>
    <s v=""/>
    <s v=""/>
    <s v=""/>
    <n v="450"/>
    <s v=""/>
    <s v=""/>
    <s v=""/>
    <s v=""/>
    <s v=""/>
    <s v=""/>
    <s v=""/>
    <s v=""/>
    <s v=""/>
    <s v=""/>
    <s v=""/>
    <s v=""/>
    <s v=""/>
  </r>
  <r>
    <x v="99"/>
    <x v="15"/>
    <s v="Em operação"/>
    <s v="ES 0135"/>
    <x v="6"/>
    <m/>
    <m/>
    <m/>
    <n v="307.66045548654245"/>
    <n v="13.16"/>
    <n v="9.66"/>
    <n v="3.5"/>
    <n v="26.59"/>
    <s v="1600"/>
    <n v="2972"/>
    <n v="2.42"/>
    <n v="18.18"/>
    <n v="212.93"/>
    <n v="11.36"/>
    <n v="3.24"/>
    <n v="201.57"/>
    <n v="20.86"/>
    <n v="707.22"/>
    <s v="67492"/>
    <s v="134202"/>
    <n v="0.6"/>
    <s v="0"/>
    <n v="68.2"/>
  </r>
  <r>
    <x v="99"/>
    <x v="15"/>
    <s v="Em operação"/>
    <s v="ES 0135"/>
    <x v="2"/>
    <m/>
    <m/>
    <n v="3000"/>
    <m/>
    <m/>
    <m/>
    <m/>
    <m/>
    <m/>
    <n v="900"/>
    <m/>
    <m/>
    <m/>
    <m/>
    <m/>
    <m/>
    <m/>
    <m/>
    <m/>
    <m/>
    <m/>
    <m/>
    <m/>
  </r>
  <r>
    <x v="99"/>
    <x v="15"/>
    <s v="Em operação"/>
    <s v="ES 0110"/>
    <x v="6"/>
    <m/>
    <m/>
    <m/>
    <n v="372.95285359801488"/>
    <n v="5.58"/>
    <n v="4.03"/>
    <n v="1.55"/>
    <n v="27.76"/>
    <s v="702"/>
    <n v="1503"/>
    <n v="2.14"/>
    <n v="16.12"/>
    <n v="93.22"/>
    <n v="6.15"/>
    <n v="3.97"/>
    <n v="87.06"/>
    <n v="21.59"/>
    <n v="2556.8000000000002"/>
    <s v="174991"/>
    <s v="336394"/>
    <n v="1.5"/>
    <s v="0"/>
    <n v="333.3"/>
  </r>
  <r>
    <x v="99"/>
    <x v="15"/>
    <s v="Em operação"/>
    <s v="ES 0126"/>
    <x v="2"/>
    <m/>
    <m/>
    <n v="3000"/>
    <n v="108.52618757612666"/>
    <n v="9.4600000000000009"/>
    <n v="8.2100000000000009"/>
    <n v="1.25"/>
    <n v="13.22"/>
    <s v="838"/>
    <n v="891"/>
    <n v="1.78"/>
    <n v="10.4"/>
    <n v="143.37"/>
    <n v="5.2"/>
    <n v="4.16"/>
    <n v="138.16999999999999"/>
    <n v="16.829999999999998"/>
    <n v="1151.94"/>
    <s v="118709"/>
    <s v="264250"/>
    <n v="0.6"/>
    <s v="0"/>
    <n v="120.4"/>
  </r>
  <r>
    <x v="99"/>
    <x v="15"/>
    <s v="Em operação"/>
    <s v="ES 0126"/>
    <x v="6"/>
    <m/>
    <m/>
    <m/>
    <m/>
    <m/>
    <m/>
    <m/>
    <m/>
    <m/>
    <n v="600"/>
    <m/>
    <m/>
    <m/>
    <m/>
    <m/>
    <m/>
    <m/>
    <m/>
    <m/>
    <m/>
    <m/>
    <m/>
    <m/>
  </r>
  <r>
    <x v="99"/>
    <x v="15"/>
    <s v="Em operação"/>
    <s v="ES 0099"/>
    <x v="2"/>
    <m/>
    <m/>
    <n v="3000"/>
    <n v="285.69206842923796"/>
    <n v="7.03"/>
    <n v="6.43"/>
    <n v="0.6"/>
    <n v="8.5299999999999994"/>
    <s v="662"/>
    <n v="1837"/>
    <n v="2.77"/>
    <n v="8.9"/>
    <n v="206.3"/>
    <n v="2.84"/>
    <n v="4.7300000000000004"/>
    <n v="203.47"/>
    <n v="31.64"/>
    <n v="8120.14"/>
    <s v="134064"/>
    <s v="398166"/>
    <n v="0.4"/>
    <s v="0"/>
    <n v="255.5"/>
  </r>
  <r>
    <x v="99"/>
    <x v="15"/>
    <s v="Em operação"/>
    <s v="ES 0101"/>
    <x v="0"/>
    <n v="4460"/>
    <m/>
    <n v="4000"/>
    <n v="803.60360360360357"/>
    <n v="6.1"/>
    <n v="5.55"/>
    <n v="0.55000000000000004"/>
    <n v="9.01"/>
    <s v="801"/>
    <n v="4460"/>
    <n v="5.57"/>
    <n v="20.399999999999999"/>
    <n v="218.61"/>
    <n v="3.31"/>
    <n v="6.02"/>
    <n v="215.3"/>
    <n v="38.76"/>
    <n v="6734.94"/>
    <s v="433160"/>
    <s v="1570564"/>
    <s v="0"/>
    <s v="0"/>
    <n v="49.4"/>
  </r>
  <r>
    <x v="99"/>
    <x v="15"/>
    <s v="Em operação"/>
    <s v="ES 0116"/>
    <x v="2"/>
    <m/>
    <m/>
    <n v="3000"/>
    <n v="74.683544303797461"/>
    <n v="1.0900000000000001"/>
    <n v="0.79"/>
    <n v="0.3"/>
    <n v="27.54"/>
    <s v="25"/>
    <n v="59"/>
    <n v="2.36"/>
    <n v="2.97"/>
    <n v="19.87"/>
    <n v="0.95"/>
    <n v="3.15"/>
    <n v="18.93"/>
    <n v="23.98"/>
    <n v="2069.61"/>
    <s v="203595"/>
    <s v="685229"/>
    <s v="0"/>
    <s v="0"/>
    <n v="5.6"/>
  </r>
  <r>
    <x v="100"/>
    <x v="15"/>
    <s v="Em operação"/>
    <s v="ES 0096"/>
    <x v="2"/>
    <m/>
    <m/>
    <n v="2500"/>
    <n v="234.87773487773489"/>
    <n v="8.57"/>
    <n v="7.77"/>
    <n v="0.8"/>
    <n v="9.33"/>
    <s v="886"/>
    <n v="1825"/>
    <n v="1.46"/>
    <n v="8.6999999999999993"/>
    <n v="148.58000000000001"/>
    <n v="3.31"/>
    <n v="4.1399999999999997"/>
    <n v="145.27000000000001"/>
    <n v="18.690000000000001"/>
    <n v="9322.31"/>
    <s v="100660"/>
    <s v="152582"/>
    <n v="0.4"/>
    <s v="0"/>
    <n v="292.2"/>
  </r>
  <r>
    <x v="100"/>
    <x v="15"/>
    <s v="Em operação"/>
    <s v="ES 0097"/>
    <x v="7"/>
    <m/>
    <m/>
    <m/>
    <n v="0"/>
    <n v="7.96"/>
    <n v="6.76"/>
    <n v="1.2"/>
    <n v="15.07"/>
    <s v=""/>
    <s v="-"/>
    <s v=""/>
    <s v=""/>
    <n v="151.41999999999999"/>
    <n v="5.68"/>
    <n v="4.7300000000000004"/>
    <n v="145.74"/>
    <n v="21.55"/>
    <n v="8916.3799999999992"/>
    <s v=""/>
    <s v=""/>
    <n v="0.9"/>
    <s v=""/>
    <n v="265.2"/>
  </r>
  <r>
    <x v="100"/>
    <x v="15"/>
    <s v="Em operação"/>
    <s v="ES 0135"/>
    <x v="2"/>
    <m/>
    <m/>
    <n v="2500"/>
    <n v="290.70487993803255"/>
    <n v="15.56"/>
    <n v="12.91"/>
    <n v="2.65"/>
    <n v="17.03"/>
    <s v="2134"/>
    <n v="3753"/>
    <n v="2.31"/>
    <n v="17.77"/>
    <n v="277.27999999999997"/>
    <n v="7.57"/>
    <n v="2.86"/>
    <n v="269.70999999999998"/>
    <n v="20.88"/>
    <n v="722.78"/>
    <s v="69626"/>
    <s v="139130"/>
    <n v="1.2"/>
    <s v="0"/>
    <n v="69.400000000000006"/>
  </r>
  <r>
    <x v="100"/>
    <x v="15"/>
    <s v="Em operação"/>
    <s v="ES 0135"/>
    <x v="6"/>
    <m/>
    <m/>
    <m/>
    <m/>
    <m/>
    <m/>
    <m/>
    <m/>
    <m/>
    <n v="1175"/>
    <m/>
    <m/>
    <m/>
    <m/>
    <m/>
    <m/>
    <m/>
    <m/>
    <m/>
    <m/>
    <m/>
    <m/>
    <m/>
  </r>
  <r>
    <x v="100"/>
    <x v="15"/>
    <s v="Em operação"/>
    <s v="ES 0110"/>
    <x v="2"/>
    <m/>
    <m/>
    <n v="2500"/>
    <n v="143.33895446880271"/>
    <n v="7.38"/>
    <n v="5.93"/>
    <n v="1.45"/>
    <n v="19.66"/>
    <s v="514"/>
    <n v="850"/>
    <n v="1.65"/>
    <n v="6.75"/>
    <n v="125.86"/>
    <n v="4.7300000000000004"/>
    <n v="3.26"/>
    <n v="121.13"/>
    <n v="20.440000000000001"/>
    <n v="2564.1799999999998"/>
    <s v="175505"/>
    <s v="337244"/>
    <n v="2.7"/>
    <n v="0.01"/>
    <s v="336"/>
  </r>
  <r>
    <x v="100"/>
    <x v="15"/>
    <s v="Em operação"/>
    <s v="ES 0126"/>
    <x v="2"/>
    <m/>
    <m/>
    <n v="2500"/>
    <n v="185.42024013722127"/>
    <n v="7.23"/>
    <n v="5.83"/>
    <n v="1.4"/>
    <n v="19.350000000000001"/>
    <s v="679"/>
    <n v="1081"/>
    <n v="1.59"/>
    <n v="8.7899999999999991"/>
    <n v="123.03"/>
    <n v="5.2"/>
    <n v="3.72"/>
    <n v="117.82"/>
    <n v="20.190000000000001"/>
    <n v="1159.18"/>
    <s v="119561"/>
    <s v="265499"/>
    <n v="0.7"/>
    <s v="0"/>
    <n v="121.1"/>
  </r>
  <r>
    <x v="100"/>
    <x v="15"/>
    <s v="Em operação"/>
    <s v="ES 0099"/>
    <x v="2"/>
    <m/>
    <m/>
    <n v="2500"/>
    <n v="259.21717171717171"/>
    <n v="8.52"/>
    <n v="7.92"/>
    <n v="0.6"/>
    <n v="7.04"/>
    <s v="741"/>
    <n v="2053"/>
    <n v="2.77"/>
    <n v="8.3000000000000007"/>
    <n v="247.47"/>
    <n v="5.2"/>
    <n v="8.67"/>
    <n v="242.27"/>
    <n v="30.58"/>
    <n v="8128.67"/>
    <s v="134805"/>
    <s v="400219"/>
    <n v="0.4"/>
    <s v="0"/>
    <n v="255.9"/>
  </r>
  <r>
    <x v="100"/>
    <x v="15"/>
    <s v="Em operação"/>
    <s v="ES 0101"/>
    <x v="0"/>
    <n v="3706"/>
    <m/>
    <n v="4000"/>
    <n v="459.02636916835701"/>
    <n v="11.01"/>
    <n v="9.86"/>
    <n v="1.1499999999999999"/>
    <n v="10.45"/>
    <s v="1027"/>
    <n v="4526"/>
    <n v="4.41"/>
    <n v="11.94"/>
    <n v="379.01"/>
    <n v="7.1"/>
    <n v="6.17"/>
    <n v="371.92"/>
    <n v="37.72"/>
    <n v="6745.94"/>
    <s v="434187"/>
    <s v="1575090"/>
    <n v="0.1"/>
    <s v="0"/>
    <n v="49.5"/>
  </r>
  <r>
    <x v="100"/>
    <x v="15"/>
    <s v="Em operação"/>
    <s v="ES 0116"/>
    <x v="2"/>
    <m/>
    <m/>
    <n v="2500"/>
    <n v="415.22435897435895"/>
    <n v="7.74"/>
    <n v="6.24"/>
    <n v="1.5"/>
    <n v="19.39"/>
    <s v="1083"/>
    <n v="2591"/>
    <n v="2.39"/>
    <n v="9.73"/>
    <n v="266.39999999999998"/>
    <n v="7.57"/>
    <n v="5.05"/>
    <n v="258.83"/>
    <n v="41.51"/>
    <n v="2077.35"/>
    <s v="204678"/>
    <s v="687820"/>
    <s v="0"/>
    <s v="0"/>
    <n v="5.6"/>
  </r>
  <r>
    <x v="101"/>
    <x v="15"/>
    <s v="Em operação"/>
    <s v="ES 0096"/>
    <x v="2"/>
    <m/>
    <m/>
    <n v="2500"/>
    <n v="278.53260869565219"/>
    <n v="8.36"/>
    <n v="7.36"/>
    <s v="1"/>
    <n v="11.96"/>
    <s v="944"/>
    <n v="2050"/>
    <n v="1.36"/>
    <n v="9.25"/>
    <n v="138.63999999999999"/>
    <n v="4.26"/>
    <n v="4.26"/>
    <n v="134.38"/>
    <n v="18.260000000000002"/>
    <n v="9330.67"/>
    <s v="101604"/>
    <s v="153865"/>
    <n v="0.1"/>
    <s v="0"/>
    <n v="292.3"/>
  </r>
  <r>
    <x v="101"/>
    <x v="15"/>
    <s v="Em operação"/>
    <s v="ES 0097"/>
    <x v="7"/>
    <m/>
    <m/>
    <m/>
    <n v="0"/>
    <n v="7.08"/>
    <n v="5.13"/>
    <n v="1.95"/>
    <n v="27.53"/>
    <s v=""/>
    <s v="-"/>
    <s v=""/>
    <s v=""/>
    <n v="105.52"/>
    <n v="8.0399999999999991"/>
    <n v="4.13"/>
    <n v="97.47"/>
    <n v="18.989999999999998"/>
    <n v="8923.4699999999993"/>
    <s v=""/>
    <s v=""/>
    <n v="0.1"/>
    <s v=""/>
    <n v="265.3"/>
  </r>
  <r>
    <x v="101"/>
    <x v="15"/>
    <s v="Em operação"/>
    <s v="ES 0135"/>
    <x v="2"/>
    <m/>
    <m/>
    <n v="2500"/>
    <n v="335.17823639774861"/>
    <n v="15.76"/>
    <n v="10.66"/>
    <n v="5.0999999999999996"/>
    <n v="32.36"/>
    <s v="1784"/>
    <n v="3573"/>
    <n v="2.27"/>
    <n v="17.600000000000001"/>
    <n v="229.96"/>
    <n v="16.09"/>
    <n v="3.15"/>
    <n v="213.88"/>
    <n v="20.059999999999999"/>
    <n v="738.54"/>
    <s v="71410"/>
    <s v="143178"/>
    <n v="1.6"/>
    <s v="0"/>
    <s v="71"/>
  </r>
  <r>
    <x v="101"/>
    <x v="15"/>
    <s v="Em operação"/>
    <s v="ES 0135"/>
    <x v="6"/>
    <m/>
    <m/>
    <m/>
    <m/>
    <m/>
    <m/>
    <m/>
    <m/>
    <m/>
    <n v="475"/>
    <m/>
    <m/>
    <m/>
    <m/>
    <m/>
    <m/>
    <m/>
    <m/>
    <m/>
    <m/>
    <m/>
    <m/>
    <m/>
  </r>
  <r>
    <x v="101"/>
    <x v="15"/>
    <s v="Em operação"/>
    <s v="ES 0110"/>
    <x v="2"/>
    <m/>
    <m/>
    <n v="2500"/>
    <n v="248.64433811802235"/>
    <n v="7.02"/>
    <n v="6.27"/>
    <n v="0.75"/>
    <n v="10.68"/>
    <s v="703"/>
    <n v="1559"/>
    <n v="2.2200000000000002"/>
    <n v="12.2"/>
    <n v="127.76"/>
    <n v="3.31"/>
    <n v="4.42"/>
    <n v="124.45"/>
    <n v="19.850000000000001"/>
    <n v="2571.1999999999998"/>
    <s v="176208"/>
    <s v="338803"/>
    <n v="0.4"/>
    <s v="0"/>
    <n v="336.4"/>
  </r>
  <r>
    <x v="101"/>
    <x v="15"/>
    <s v="Em operação"/>
    <s v="ES 0126"/>
    <x v="2"/>
    <m/>
    <m/>
    <n v="2500"/>
    <n v="242.2110552763819"/>
    <n v="8.61"/>
    <n v="7.96"/>
    <n v="0.65"/>
    <n v="7.55"/>
    <s v="1118"/>
    <n v="1928"/>
    <n v="1.72"/>
    <n v="10.98"/>
    <n v="175.55"/>
    <n v="2.37"/>
    <n v="3.64"/>
    <n v="173.18"/>
    <n v="21.76"/>
    <n v="1167.79"/>
    <s v="120679"/>
    <s v="267427"/>
    <s v="0"/>
    <s v="0"/>
    <n v="121.1"/>
  </r>
  <r>
    <x v="101"/>
    <x v="15"/>
    <s v="Em operação"/>
    <s v="ES 0099"/>
    <x v="2"/>
    <m/>
    <m/>
    <n v="2500"/>
    <n v="283.26612903225805"/>
    <n v="5.41"/>
    <n v="4.96"/>
    <n v="0.45"/>
    <n v="8.32"/>
    <s v="433"/>
    <n v="1405"/>
    <n v="3.24"/>
    <n v="9.0299999999999994"/>
    <n v="155.68"/>
    <n v="2.84"/>
    <n v="6.31"/>
    <n v="152.84"/>
    <n v="30.82"/>
    <n v="8134.08"/>
    <s v="135238"/>
    <s v="401624"/>
    <n v="0.2"/>
    <s v="0"/>
    <n v="256.10000000000002"/>
  </r>
  <r>
    <x v="101"/>
    <x v="15"/>
    <s v="Em operação"/>
    <s v="ES 0101"/>
    <x v="0"/>
    <n v="4252"/>
    <m/>
    <n v="4000"/>
    <n v="483.49328214971212"/>
    <n v="11.18"/>
    <n v="10.42"/>
    <n v="0.75"/>
    <n v="6.71"/>
    <s v="1091"/>
    <n v="5038"/>
    <n v="4.62"/>
    <n v="12.41"/>
    <n v="405.99"/>
    <n v="5.2"/>
    <n v="6.94"/>
    <n v="400.78"/>
    <n v="38.44"/>
    <n v="6757.12"/>
    <s v="435278"/>
    <s v="1580128"/>
    <n v="0.1"/>
    <s v="0"/>
    <n v="49.6"/>
  </r>
  <r>
    <x v="101"/>
    <x v="15"/>
    <s v="Em operação"/>
    <s v="ES 0116"/>
    <x v="2"/>
    <m/>
    <m/>
    <n v="2500"/>
    <n v="276.89393939393938"/>
    <n v="10.72"/>
    <n v="7.92"/>
    <n v="2.8"/>
    <n v="26.12"/>
    <s v="915"/>
    <n v="2193"/>
    <n v="3.76"/>
    <n v="11.09"/>
    <n v="310.39999999999998"/>
    <n v="12.3"/>
    <n v="4.3899999999999997"/>
    <n v="298.10000000000002"/>
    <n v="37.64"/>
    <n v="2088.0700000000002"/>
    <s v="205593"/>
    <s v="691263"/>
    <s v="0"/>
    <s v="0"/>
    <n v="5.6"/>
  </r>
  <r>
    <x v="101"/>
    <x v="15"/>
    <s v="Em operação"/>
    <s v="ES 0116"/>
    <x v="6"/>
    <m/>
    <m/>
    <m/>
    <m/>
    <m/>
    <m/>
    <m/>
    <m/>
    <m/>
    <n v="1250"/>
    <m/>
    <m/>
    <m/>
    <m/>
    <m/>
    <m/>
    <m/>
    <m/>
    <m/>
    <m/>
    <m/>
    <m/>
    <m/>
  </r>
  <r>
    <x v="102"/>
    <x v="15"/>
    <s v="Em operação"/>
    <s v="ES 0096"/>
    <x v="2"/>
    <m/>
    <m/>
    <n v="2500"/>
    <n v="206.18556701030928"/>
    <n v="8.44"/>
    <n v="6.79"/>
    <n v="1.65"/>
    <n v="19.55"/>
    <s v="803"/>
    <n v="1400"/>
    <n v="1.46"/>
    <n v="8.86"/>
    <n v="132.02000000000001"/>
    <n v="6.62"/>
    <n v="4.01"/>
    <n v="125.39"/>
    <n v="18.46"/>
    <n v="9339.11"/>
    <s v="102407"/>
    <s v="155035"/>
    <s v="0"/>
    <s v="0"/>
    <n v="292.3"/>
  </r>
  <r>
    <x v="102"/>
    <x v="15"/>
    <s v="Em operação"/>
    <s v="ES 0097"/>
    <x v="7"/>
    <m/>
    <m/>
    <m/>
    <n v="0"/>
    <n v="7.29"/>
    <n v="4.3899999999999997"/>
    <n v="2.9"/>
    <n v="39.770000000000003"/>
    <s v=""/>
    <s v=""/>
    <s v=""/>
    <s v=""/>
    <n v="90.38"/>
    <n v="11.83"/>
    <n v="4.08"/>
    <n v="78.55"/>
    <n v="17.89"/>
    <n v="8930.76"/>
    <s v=""/>
    <s v=""/>
    <n v="0.1"/>
    <s v=""/>
    <n v="265.39999999999998"/>
  </r>
  <r>
    <x v="102"/>
    <x v="15"/>
    <s v="Em operação"/>
    <s v="ES 0135"/>
    <x v="2"/>
    <m/>
    <m/>
    <n v="2500"/>
    <n v="335.66433566433568"/>
    <n v="11.48"/>
    <n v="8.58"/>
    <n v="2.9"/>
    <n v="25.25"/>
    <s v="1489"/>
    <n v="2880"/>
    <n v="1.93"/>
    <n v="15.65"/>
    <n v="184.07"/>
    <n v="8.99"/>
    <n v="3.1"/>
    <n v="175.08"/>
    <n v="20.39"/>
    <n v="750.02"/>
    <s v="72899"/>
    <s v="146058"/>
    <n v="1.3"/>
    <s v="0"/>
    <n v="72.3"/>
  </r>
  <r>
    <x v="102"/>
    <x v="15"/>
    <s v="Em operação"/>
    <s v="ES 0110"/>
    <x v="2"/>
    <m/>
    <m/>
    <n v="2500"/>
    <n v="35.971223021582738"/>
    <n v="5.82"/>
    <n v="4.17"/>
    <n v="1.65"/>
    <n v="28.35"/>
    <s v="148"/>
    <n v="150"/>
    <n v="1.01"/>
    <n v="2.0099999999999998"/>
    <n v="74.760000000000005"/>
    <n v="5.68"/>
    <n v="3.44"/>
    <n v="69.08"/>
    <n v="16.57"/>
    <n v="2577.02"/>
    <s v="176356"/>
    <s v="338953"/>
    <s v="1"/>
    <n v="0.01"/>
    <n v="337.4"/>
  </r>
  <r>
    <x v="102"/>
    <x v="15"/>
    <s v="Em operação"/>
    <s v="ES 0126"/>
    <x v="2"/>
    <m/>
    <m/>
    <n v="2500"/>
    <n v="243.23308270676691"/>
    <n v="8.83"/>
    <n v="7.98"/>
    <n v="0.85"/>
    <n v="9.6300000000000008"/>
    <s v="1039"/>
    <n v="1941"/>
    <n v="1.87"/>
    <n v="11.12"/>
    <n v="174.6"/>
    <n v="3.31"/>
    <n v="3.9"/>
    <n v="171.29"/>
    <n v="21.47"/>
    <n v="1176.6199999999999"/>
    <s v="121718"/>
    <s v="269368"/>
    <s v="0"/>
    <s v="0"/>
    <n v="121.1"/>
  </r>
  <r>
    <x v="102"/>
    <x v="15"/>
    <s v="Em operação"/>
    <s v="ES 0099"/>
    <x v="2"/>
    <m/>
    <m/>
    <n v="2500"/>
    <n v="309.63244613434728"/>
    <n v="9.44"/>
    <n v="7.89"/>
    <n v="1.55"/>
    <n v="16.41"/>
    <s v="763"/>
    <n v="2443"/>
    <n v="3.2"/>
    <n v="10.47"/>
    <n v="233.28"/>
    <n v="8.99"/>
    <n v="5.8"/>
    <n v="224.29"/>
    <n v="28.41"/>
    <n v="8143.52"/>
    <s v="136001"/>
    <s v="404067"/>
    <n v="0.1"/>
    <s v="0"/>
    <n v="256.2"/>
  </r>
  <r>
    <x v="102"/>
    <x v="15"/>
    <s v="Em operação"/>
    <s v="ES 0101"/>
    <x v="0"/>
    <n v="2904"/>
    <m/>
    <n v="4000"/>
    <n v="497.11155378486058"/>
    <n v="11.29"/>
    <n v="10.039999999999999"/>
    <n v="1.25"/>
    <n v="11.07"/>
    <s v="1153"/>
    <n v="4991"/>
    <n v="4.33"/>
    <n v="12.71"/>
    <n v="392.74"/>
    <n v="7.57"/>
    <n v="6.06"/>
    <n v="385.17"/>
    <n v="38.35"/>
    <n v="6768.41"/>
    <s v="436431"/>
    <s v="1585119"/>
    <s v="0"/>
    <s v="0"/>
    <n v="49.6"/>
  </r>
  <r>
    <x v="102"/>
    <x v="15"/>
    <s v="Em operação"/>
    <s v="ES 0116"/>
    <x v="2"/>
    <m/>
    <m/>
    <n v="2500"/>
    <n v="482.26466575716233"/>
    <n v="10.38"/>
    <n v="7.33"/>
    <n v="3.05"/>
    <n v="29.39"/>
    <s v="912"/>
    <n v="3535"/>
    <n v="3.88"/>
    <n v="12.15"/>
    <s v="291"/>
    <n v="11.83"/>
    <n v="3.88"/>
    <n v="279.17"/>
    <n v="38.11"/>
    <n v="2098.44"/>
    <s v="206505"/>
    <s v="694798"/>
    <s v="0"/>
    <s v="0"/>
    <n v="5.6"/>
  </r>
  <r>
    <x v="103"/>
    <x v="1"/>
    <s v="Não operacional"/>
    <s v="ES 0096"/>
    <x v="2"/>
    <m/>
    <s v="Na oficina"/>
    <m/>
    <n v="0"/>
    <n v="0.6"/>
    <n v="0.45"/>
    <n v="0.15"/>
    <n v="25.1"/>
    <s v="2"/>
    <n v="0"/>
    <s v="0"/>
    <s v="0"/>
    <n v="3.79"/>
    <n v="0.47"/>
    <n v="3.15"/>
    <n v="3.31"/>
    <n v="7.4"/>
    <n v="9339.7099999999991"/>
    <s v="102409"/>
    <s v="155035"/>
    <n v="0.1"/>
    <n v="0.05"/>
    <n v="292.39999999999998"/>
  </r>
  <r>
    <x v="103"/>
    <x v="15"/>
    <s v="Em operação"/>
    <s v="ES 0097"/>
    <x v="7"/>
    <m/>
    <m/>
    <m/>
    <n v="0"/>
    <n v="5.75"/>
    <n v="3.15"/>
    <n v="2.6"/>
    <n v="45.24"/>
    <s v=""/>
    <s v=""/>
    <s v=""/>
    <s v=""/>
    <n v="69.08"/>
    <n v="9.94"/>
    <n v="3.82"/>
    <n v="59.15"/>
    <n v="18.79"/>
    <n v="8936.51"/>
    <s v=""/>
    <s v=""/>
    <n v="0.4"/>
    <s v=""/>
    <n v="265.8"/>
  </r>
  <r>
    <x v="103"/>
    <x v="15"/>
    <s v="Em operação"/>
    <s v="ES 0135"/>
    <x v="2"/>
    <m/>
    <m/>
    <n v="3000"/>
    <n v="260.33519553072625"/>
    <n v="5.97"/>
    <n v="5.37"/>
    <n v="0.6"/>
    <n v="10.050000000000001"/>
    <s v="633"/>
    <n v="1398"/>
    <n v="2.21"/>
    <n v="17.18"/>
    <n v="81.39"/>
    <n v="2.37"/>
    <n v="3.94"/>
    <n v="79.02"/>
    <n v="14.72"/>
    <n v="755.99"/>
    <s v="73532"/>
    <s v="147456"/>
    <s v="0"/>
    <s v="0"/>
    <n v="72.3"/>
  </r>
  <r>
    <x v="103"/>
    <x v="15"/>
    <s v="Em operação"/>
    <s v="ES 0110"/>
    <x v="2"/>
    <m/>
    <m/>
    <n v="3000"/>
    <n v="278.55072463768113"/>
    <n v="7.5"/>
    <n v="6.9"/>
    <n v="0.6"/>
    <s v="8"/>
    <s v="1038"/>
    <n v="1922"/>
    <n v="1.85"/>
    <n v="13.32"/>
    <n v="144.32"/>
    <n v="3.31"/>
    <n v="5.52"/>
    <n v="141.01"/>
    <n v="20.43"/>
    <n v="2584.52"/>
    <s v="177394"/>
    <s v="340875"/>
    <s v="0"/>
    <s v="0"/>
    <n v="337.4"/>
  </r>
  <r>
    <x v="103"/>
    <x v="15"/>
    <s v="Em operação"/>
    <s v="ES 0126"/>
    <x v="2"/>
    <m/>
    <m/>
    <n v="3000"/>
    <n v="205.72519083969465"/>
    <n v="3.42"/>
    <n v="2.62"/>
    <n v="0.8"/>
    <n v="23.43"/>
    <s v="301"/>
    <n v="539"/>
    <n v="1.79"/>
    <n v="10.36"/>
    <n v="52.05"/>
    <n v="3.31"/>
    <n v="4.1399999999999997"/>
    <n v="48.74"/>
    <n v="18.64"/>
    <n v="1180.03"/>
    <s v="122019"/>
    <s v="269907"/>
    <n v="0.3"/>
    <s v="0"/>
    <n v="121.4"/>
  </r>
  <r>
    <x v="103"/>
    <x v="15"/>
    <s v="Em operação"/>
    <s v="ES 0099"/>
    <x v="2"/>
    <m/>
    <m/>
    <n v="3000"/>
    <n v="328.14992025518342"/>
    <n v="14.54"/>
    <n v="12.54"/>
    <s v="2"/>
    <n v="13.75"/>
    <s v="1293"/>
    <n v="4115"/>
    <n v="3.18"/>
    <n v="10.87"/>
    <n v="378.54"/>
    <n v="12.78"/>
    <n v="6.39"/>
    <n v="365.77"/>
    <n v="29.16"/>
    <n v="8158.06"/>
    <s v="137294"/>
    <s v="408182"/>
    <n v="0.2"/>
    <s v="0"/>
    <n v="256.39999999999998"/>
  </r>
  <r>
    <x v="103"/>
    <x v="15"/>
    <s v="Em operação"/>
    <s v="ES 0101"/>
    <x v="0"/>
    <n v="2575"/>
    <m/>
    <n v="4000"/>
    <n v="692.09302325581393"/>
    <n v="5.05"/>
    <n v="4.3"/>
    <n v="0.75"/>
    <n v="14.85"/>
    <s v="598"/>
    <n v="2976"/>
    <n v="4.9800000000000004"/>
    <n v="17.77"/>
    <n v="167.5"/>
    <n v="4.7300000000000004"/>
    <n v="6.31"/>
    <n v="162.77000000000001"/>
    <n v="37.85"/>
    <n v="6773.46"/>
    <s v="437029"/>
    <s v="1588095"/>
    <s v="0"/>
    <s v="0"/>
    <n v="49.6"/>
  </r>
  <r>
    <x v="103"/>
    <x v="15"/>
    <s v="Em operação"/>
    <s v="ES 0116"/>
    <x v="2"/>
    <m/>
    <m/>
    <n v="3000"/>
    <n v="504.6913580246914"/>
    <n v="5.65"/>
    <n v="4.05"/>
    <n v="1.6"/>
    <n v="28.31"/>
    <s v="516"/>
    <n v="2044"/>
    <n v="3.96"/>
    <n v="12.67"/>
    <n v="161.35"/>
    <n v="7.57"/>
    <n v="4.7300000000000004"/>
    <n v="153.78"/>
    <n v="37.96"/>
    <n v="2104.1"/>
    <s v="207021"/>
    <s v="696842"/>
    <n v="0.1"/>
    <s v="0"/>
    <n v="5.7"/>
  </r>
  <r>
    <x v="104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339.7099999999991"/>
    <s v="102409"/>
    <s v="155035"/>
    <s v="0"/>
    <s v=""/>
    <n v="292.39999999999998"/>
  </r>
  <r>
    <x v="104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n v="8936.51"/>
    <s v=""/>
    <s v=""/>
    <s v="0"/>
    <s v=""/>
    <n v="265.8"/>
  </r>
  <r>
    <x v="104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"/>
    <x v="1"/>
    <s v="Não operacional"/>
    <s v="ES 0110"/>
    <x v="2"/>
    <m/>
    <m/>
    <m/>
    <n v="0"/>
    <n v="0.17"/>
    <n v="7.0000000000000007E-2"/>
    <n v="0.1"/>
    <n v="60.31"/>
    <s v="2"/>
    <n v="0"/>
    <s v="2"/>
    <n v="2.11"/>
    <n v="1.89"/>
    <n v="0.47"/>
    <n v="4.7300000000000004"/>
    <n v="1.42"/>
    <n v="21.57"/>
    <n v="2584.69"/>
    <s v="177396"/>
    <s v="340879"/>
    <s v="0"/>
    <s v="0"/>
    <n v="337.4"/>
  </r>
  <r>
    <x v="104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158.06"/>
    <s v="137294"/>
    <s v="408182"/>
    <s v="0"/>
    <s v=""/>
    <n v="256.39999999999998"/>
  </r>
  <r>
    <x v="104"/>
    <x v="1"/>
    <s v="Não operacional"/>
    <s v="ES 0101"/>
    <x v="0"/>
    <m/>
    <m/>
    <m/>
    <n v="0"/>
    <s v="0"/>
    <s v="0"/>
    <s v="0"/>
    <s v=""/>
    <s v="0"/>
    <n v="0"/>
    <s v=""/>
    <s v=""/>
    <s v="0"/>
    <s v="0"/>
    <s v=""/>
    <s v="0"/>
    <s v=""/>
    <n v="6773.46"/>
    <s v="437029"/>
    <s v="1588095"/>
    <s v="0"/>
    <s v=""/>
    <n v="49.6"/>
  </r>
  <r>
    <x v="104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"/>
    <x v="16"/>
    <s v="Em operação"/>
    <s v="ES 0096"/>
    <x v="2"/>
    <m/>
    <m/>
    <n v="2500"/>
    <n v="323.36578581363"/>
    <n v="8.2899999999999991"/>
    <n v="7.19"/>
    <n v="1.1000000000000001"/>
    <n v="13.27"/>
    <s v="798"/>
    <n v="2325"/>
    <n v="1.21"/>
    <n v="6.99"/>
    <n v="138.16999999999999"/>
    <n v="4.26"/>
    <n v="3.87"/>
    <n v="133.91"/>
    <n v="18.63"/>
    <s v="9348"/>
    <s v="103207"/>
    <s v="156001"/>
    <n v="0.4"/>
    <s v="0"/>
    <n v="292.8"/>
  </r>
  <r>
    <x v="105"/>
    <x v="16"/>
    <s v="Em operação"/>
    <s v="ES 0097"/>
    <x v="7"/>
    <m/>
    <m/>
    <m/>
    <n v="0"/>
    <n v="2.1800000000000002"/>
    <n v="1.48"/>
    <n v="0.7"/>
    <n v="32.18"/>
    <s v=""/>
    <s v=""/>
    <s v=""/>
    <s v=""/>
    <n v="29.34"/>
    <n v="3.31"/>
    <n v="4.7300000000000004"/>
    <n v="26.02"/>
    <n v="17.64"/>
    <n v="8938.68"/>
    <s v=""/>
    <s v=""/>
    <n v="0.2"/>
    <s v=""/>
    <s v="266"/>
  </r>
  <r>
    <x v="105"/>
    <x v="16"/>
    <s v="Em operação"/>
    <s v="ES 0135"/>
    <x v="2"/>
    <m/>
    <m/>
    <n v="2500"/>
    <n v="343.53826850690086"/>
    <n v="8.9700000000000006"/>
    <n v="7.97"/>
    <s v="1"/>
    <n v="11.15"/>
    <s v="1205"/>
    <n v="2738"/>
    <n v="2.27"/>
    <n v="19.420000000000002"/>
    <n v="141.01"/>
    <n v="3.31"/>
    <n v="3.31"/>
    <n v="137.69"/>
    <n v="17.28"/>
    <n v="764.96"/>
    <s v="74947"/>
    <s v="150610"/>
    <s v="0"/>
    <s v="0"/>
    <n v="72.3"/>
  </r>
  <r>
    <x v="105"/>
    <x v="16"/>
    <s v="Em operação"/>
    <s v="ES 0110"/>
    <x v="2"/>
    <m/>
    <m/>
    <n v="2500"/>
    <n v="365.1605231866825"/>
    <n v="9.16"/>
    <n v="8.41"/>
    <n v="0.75"/>
    <n v="8.19"/>
    <s v="1393"/>
    <n v="3071"/>
    <n v="2.2000000000000002"/>
    <n v="17.45"/>
    <n v="176.02"/>
    <n v="2.84"/>
    <n v="3.79"/>
    <n v="173.18"/>
    <n v="20.59"/>
    <n v="2593.85"/>
    <s v="178789"/>
    <s v="343950"/>
    <n v="0.1"/>
    <s v="0"/>
    <n v="337.5"/>
  </r>
  <r>
    <x v="105"/>
    <x v="16"/>
    <s v="Em operação"/>
    <s v="ES 0126"/>
    <x v="2"/>
    <m/>
    <m/>
    <n v="2500"/>
    <n v="276.1194029850746"/>
    <n v="12.44"/>
    <n v="11.39"/>
    <n v="1.05"/>
    <n v="8.44"/>
    <s v="1724"/>
    <n v="3145"/>
    <n v="1.82"/>
    <n v="12.88"/>
    <n v="244.16"/>
    <n v="3.79"/>
    <n v="3.61"/>
    <n v="240.37"/>
    <n v="21.1"/>
    <n v="1192.47"/>
    <s v="123743"/>
    <s v="273052"/>
    <n v="0.1"/>
    <s v="0"/>
    <n v="121.5"/>
  </r>
  <r>
    <x v="105"/>
    <x v="16"/>
    <s v="Em operação"/>
    <s v="ES 0099"/>
    <x v="2"/>
    <m/>
    <m/>
    <n v="2500"/>
    <n v="344.45479962721339"/>
    <n v="12.88"/>
    <n v="10.73"/>
    <n v="2.15"/>
    <n v="16.7"/>
    <s v="1293"/>
    <n v="3696"/>
    <n v="2.86"/>
    <n v="11.45"/>
    <n v="322.70999999999998"/>
    <n v="12.3"/>
    <n v="5.72"/>
    <n v="310.39999999999998"/>
    <n v="28.94"/>
    <n v="8170.94"/>
    <s v="138587"/>
    <s v="411878"/>
    <s v="0"/>
    <s v="0"/>
    <n v="256.39999999999998"/>
  </r>
  <r>
    <x v="105"/>
    <x v="16"/>
    <s v="Em operação"/>
    <s v="ES 0101"/>
    <x v="0"/>
    <n v="3194"/>
    <m/>
    <n v="8000"/>
    <n v="567.97546012269936"/>
    <n v="9.1999999999999993"/>
    <n v="8.15"/>
    <n v="1.05"/>
    <n v="11.42"/>
    <s v="1028"/>
    <n v="4629"/>
    <n v="4.5"/>
    <n v="14.67"/>
    <n v="315.61"/>
    <n v="6.15"/>
    <n v="5.86"/>
    <n v="309.45999999999998"/>
    <n v="37.979999999999997"/>
    <n v="6782.66"/>
    <s v="438057"/>
    <s v="1592724"/>
    <n v="0.1"/>
    <s v="0"/>
    <n v="49.7"/>
  </r>
  <r>
    <x v="105"/>
    <x v="16"/>
    <s v="Em operação"/>
    <s v="ES 0116"/>
    <x v="2"/>
    <m/>
    <m/>
    <n v="2500"/>
    <n v="178.79256965944273"/>
    <n v="8.61"/>
    <n v="6.46"/>
    <n v="2.15"/>
    <n v="24.98"/>
    <s v="725"/>
    <n v="1155"/>
    <n v="3.04"/>
    <n v="8.86"/>
    <n v="248.89"/>
    <n v="9.4600000000000009"/>
    <n v="4.4000000000000004"/>
    <n v="239.43"/>
    <n v="37.07"/>
    <n v="2112.6999999999998"/>
    <s v="207746"/>
    <s v="699047"/>
    <s v="0"/>
    <s v="0"/>
    <n v="5.7"/>
  </r>
  <r>
    <x v="105"/>
    <x v="16"/>
    <s v="Em operação"/>
    <s v="ES 0116"/>
    <x v="6"/>
    <m/>
    <m/>
    <m/>
    <n v="0"/>
    <m/>
    <m/>
    <m/>
    <m/>
    <m/>
    <n v="1050"/>
    <m/>
    <m/>
    <m/>
    <m/>
    <m/>
    <m/>
    <m/>
    <m/>
    <m/>
    <m/>
    <m/>
    <m/>
    <m/>
  </r>
  <r>
    <x v="106"/>
    <x v="16"/>
    <s v="Em operação"/>
    <s v="ES 0096"/>
    <x v="2"/>
    <m/>
    <m/>
    <n v="2500"/>
    <n v="297.37206085753803"/>
    <n v="8.3800000000000008"/>
    <n v="7.23"/>
    <n v="1.1499999999999999"/>
    <n v="13.72"/>
    <s v="1025"/>
    <n v="2150"/>
    <n v="1.44"/>
    <n v="10.220000000000001"/>
    <n v="144.32"/>
    <n v="4.7300000000000004"/>
    <n v="4.1100000000000003"/>
    <n v="139.59"/>
    <n v="19.29"/>
    <n v="9356.3799999999992"/>
    <s v="104232"/>
    <s v="157476"/>
    <s v="0"/>
    <s v="0"/>
    <n v="292.8"/>
  </r>
  <r>
    <x v="106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"/>
    <x v="16"/>
    <s v="Em operação"/>
    <s v="ES 0135"/>
    <x v="2"/>
    <m/>
    <m/>
    <n v="2500"/>
    <n v="200.42857142857142"/>
    <n v="9.15"/>
    <s v="7"/>
    <n v="2.15"/>
    <n v="23.5"/>
    <s v="1010"/>
    <n v="1403"/>
    <n v="1.56"/>
    <n v="10.69"/>
    <n v="147.63"/>
    <n v="7.1"/>
    <n v="3.3"/>
    <n v="140.53"/>
    <n v="20.079999999999998"/>
    <n v="774.11"/>
    <s v="76237"/>
    <s v="152785"/>
    <n v="0.7"/>
    <s v="0"/>
    <s v="73"/>
  </r>
  <r>
    <x v="106"/>
    <x v="16"/>
    <s v="Em operação"/>
    <s v="ES 0135"/>
    <x v="6"/>
    <m/>
    <m/>
    <m/>
    <n v="0"/>
    <m/>
    <m/>
    <m/>
    <m/>
    <m/>
    <n v="175"/>
    <m/>
    <m/>
    <m/>
    <m/>
    <m/>
    <m/>
    <m/>
    <m/>
    <m/>
    <m/>
    <m/>
    <m/>
    <m/>
  </r>
  <r>
    <x v="106"/>
    <x v="16"/>
    <s v="Em operação"/>
    <s v="ES 0110"/>
    <x v="2"/>
    <m/>
    <m/>
    <n v="2500"/>
    <n v="328.80523731587562"/>
    <n v="8.11"/>
    <n v="6.11"/>
    <s v="2"/>
    <n v="24.67"/>
    <s v="1017"/>
    <n v="2009"/>
    <n v="2.2000000000000002"/>
    <n v="16.739999999999998"/>
    <n v="133.44"/>
    <n v="7.1"/>
    <n v="3.55"/>
    <n v="126.34"/>
    <n v="20.69"/>
    <n v="2601.9499999999998"/>
    <s v="179806"/>
    <s v="346184"/>
    <n v="0.6"/>
    <s v="0"/>
    <n v="338.1"/>
  </r>
  <r>
    <x v="106"/>
    <x v="16"/>
    <s v="Em operação"/>
    <s v="ES 0110"/>
    <x v="6"/>
    <m/>
    <m/>
    <m/>
    <n v="0"/>
    <m/>
    <m/>
    <m/>
    <m/>
    <m/>
    <n v="225"/>
    <m/>
    <m/>
    <m/>
    <m/>
    <m/>
    <m/>
    <m/>
    <m/>
    <m/>
    <m/>
    <m/>
    <m/>
    <m/>
  </r>
  <r>
    <x v="106"/>
    <x v="16"/>
    <s v="Em operação"/>
    <s v="ES 0126"/>
    <x v="2"/>
    <m/>
    <m/>
    <n v="2500"/>
    <n v="296.30331753554498"/>
    <n v="11.65"/>
    <n v="10.55"/>
    <n v="1.1000000000000001"/>
    <n v="9.4499999999999993"/>
    <s v="1438"/>
    <n v="3126"/>
    <n v="2.17"/>
    <n v="13.71"/>
    <n v="228.07"/>
    <n v="3.79"/>
    <n v="3.44"/>
    <n v="224.29"/>
    <n v="21.27"/>
    <n v="1204.46"/>
    <s v="125235"/>
    <s v="276268"/>
    <n v="0.1"/>
    <s v="0"/>
    <n v="121.6"/>
  </r>
  <r>
    <x v="106"/>
    <x v="16"/>
    <s v="Em operação"/>
    <s v="ES 0099"/>
    <x v="2"/>
    <m/>
    <m/>
    <n v="2500"/>
    <n v="284.61538461538458"/>
    <n v="15.43"/>
    <n v="13.13"/>
    <n v="2.2999999999999998"/>
    <n v="14.91"/>
    <s v="1244"/>
    <n v="3737"/>
    <s v="3"/>
    <n v="9.0500000000000007"/>
    <n v="413.08"/>
    <n v="13.25"/>
    <n v="5.76"/>
    <n v="399.83"/>
    <n v="30.46"/>
    <n v="8186.37"/>
    <s v="139831"/>
    <s v="415615"/>
    <n v="0.9"/>
    <s v="0"/>
    <n v="257.3"/>
  </r>
  <r>
    <x v="106"/>
    <x v="16"/>
    <s v="Em operação"/>
    <s v="ES 0101"/>
    <x v="0"/>
    <n v="1408"/>
    <m/>
    <n v="8000"/>
    <n v="335.31073446327684"/>
    <n v="7.63"/>
    <n v="7.08"/>
    <n v="0.55000000000000004"/>
    <n v="7.21"/>
    <s v="593"/>
    <s v="2374"/>
    <s v="4"/>
    <n v="8.8000000000000007"/>
    <n v="269.70999999999998"/>
    <n v="3.31"/>
    <n v="6.02"/>
    <n v="266.39999999999998"/>
    <n v="37.65"/>
    <n v="6790.29"/>
    <s v="438650"/>
    <s v="1595098"/>
    <s v="0"/>
    <s v="0"/>
    <n v="49.7"/>
  </r>
  <r>
    <x v="106"/>
    <x v="16"/>
    <s v="Em operação"/>
    <s v="ES 0116"/>
    <x v="2"/>
    <m/>
    <m/>
    <n v="2500"/>
    <n v="426.77824267782427"/>
    <n v="7.08"/>
    <n v="4.78"/>
    <n v="2.2999999999999998"/>
    <n v="32.47"/>
    <n v="602"/>
    <n v="2040"/>
    <n v="3.39"/>
    <n v="10.1"/>
    <n v="202.05"/>
    <n v="9.94"/>
    <n v="4.32"/>
    <n v="192.11"/>
    <n v="40.17"/>
    <n v="2119.79"/>
    <n v="208348"/>
    <n v="701087"/>
    <n v="0"/>
    <n v="0"/>
    <n v="5.7"/>
  </r>
  <r>
    <x v="107"/>
    <x v="16"/>
    <s v="Em operação"/>
    <s v="ES 0096"/>
    <x v="2"/>
    <m/>
    <m/>
    <n v="2500"/>
    <n v="164.60905349794237"/>
    <n v="6.36"/>
    <n v="4.8600000000000003"/>
    <n v="1.5"/>
    <n v="23.57"/>
    <s v="538"/>
    <n v="800"/>
    <n v="1.48"/>
    <n v="8.56"/>
    <n v="92.74"/>
    <n v="6.15"/>
    <n v="4.0999999999999996"/>
    <n v="86.59"/>
    <n v="17.8"/>
    <n v="9362.75"/>
    <s v="104770"/>
    <s v="158270"/>
    <n v="0.1"/>
    <s v="0"/>
    <n v="292.89999999999998"/>
  </r>
  <r>
    <x v="107"/>
    <x v="1"/>
    <s v="Não operacional"/>
    <s v="ES 0097"/>
    <x v="7"/>
    <m/>
    <s v="Na oficina"/>
    <m/>
    <n v="0"/>
    <n v="7.0000000000000007E-2"/>
    <n v="0.02"/>
    <n v="0.05"/>
    <n v="68.400000000000006"/>
    <s v=""/>
    <s v=""/>
    <s v=""/>
    <s v=""/>
    <n v="0.47"/>
    <s v="0"/>
    <s v="0"/>
    <n v="0.47"/>
    <n v="20.48"/>
    <n v="8939.2199999999993"/>
    <s v=""/>
    <s v=""/>
    <s v="0"/>
    <s v=""/>
    <s v="266"/>
  </r>
  <r>
    <x v="107"/>
    <x v="16"/>
    <s v="Em operação"/>
    <s v="ES 0135"/>
    <x v="2"/>
    <m/>
    <m/>
    <n v="2500"/>
    <n v="70.260869565217391"/>
    <n v="8.25"/>
    <n v="5.75"/>
    <n v="2.5"/>
    <n v="30.29"/>
    <s v="755"/>
    <n v="404"/>
    <n v="1.7"/>
    <n v="10.64"/>
    <n v="120.66"/>
    <n v="8.52"/>
    <n v="3.41"/>
    <n v="112.14"/>
    <n v="19.489999999999998"/>
    <n v="782.36"/>
    <s v="76992"/>
    <s v="154069"/>
    <n v="1.5"/>
    <s v="0"/>
    <n v="74.5"/>
  </r>
  <r>
    <x v="107"/>
    <x v="16"/>
    <s v="Em operação"/>
    <s v="ES 0135"/>
    <x v="6"/>
    <m/>
    <m/>
    <m/>
    <n v="0"/>
    <m/>
    <m/>
    <m/>
    <m/>
    <m/>
    <n v="880"/>
    <m/>
    <m/>
    <m/>
    <m/>
    <m/>
    <m/>
    <m/>
    <m/>
    <m/>
    <m/>
    <m/>
    <m/>
    <m/>
  </r>
  <r>
    <x v="107"/>
    <x v="16"/>
    <s v="Em operação"/>
    <s v="ES 0110"/>
    <x v="2"/>
    <m/>
    <m/>
    <n v="2500"/>
    <n v="411.92368839427661"/>
    <n v="7.14"/>
    <n v="6.29"/>
    <n v="0.85"/>
    <n v="11.91"/>
    <s v="1205"/>
    <n v="2591"/>
    <n v="2.15"/>
    <n v="18.88"/>
    <n v="137.22"/>
    <n v="3.31"/>
    <n v="3.9"/>
    <n v="133.91"/>
    <n v="21.31"/>
    <n v="2609.09"/>
    <s v="181011"/>
    <s v="348775"/>
    <n v="0.1"/>
    <s v="0"/>
    <n v="338.2"/>
  </r>
  <r>
    <x v="107"/>
    <x v="16"/>
    <s v="Em operação"/>
    <s v="ES 0126"/>
    <x v="2"/>
    <m/>
    <m/>
    <n v="2500"/>
    <n v="240.96989966555182"/>
    <n v="13.56"/>
    <n v="11.96"/>
    <n v="1.6"/>
    <n v="11.8"/>
    <s v="1475"/>
    <n v="2882"/>
    <n v="1.95"/>
    <n v="11.47"/>
    <n v="251.26"/>
    <n v="6.15"/>
    <n v="3.84"/>
    <n v="245.11"/>
    <n v="20.49"/>
    <n v="1218.02"/>
    <s v="126710"/>
    <s v="279150"/>
    <n v="3.4"/>
    <s v="0"/>
    <s v="125"/>
  </r>
  <r>
    <x v="107"/>
    <x v="16"/>
    <s v="Em operação"/>
    <s v="ES 0099"/>
    <x v="2"/>
    <m/>
    <m/>
    <n v="2500"/>
    <n v="347.3047304730473"/>
    <n v="10.44"/>
    <n v="9.09"/>
    <n v="1.35"/>
    <n v="12.93"/>
    <s v="987"/>
    <n v="3157"/>
    <n v="3.2"/>
    <n v="11.1"/>
    <n v="284.38"/>
    <n v="7.57"/>
    <n v="5.61"/>
    <n v="276.81"/>
    <n v="30.44"/>
    <n v="8196.81"/>
    <s v="140818"/>
    <s v="418772"/>
    <n v="0.5"/>
    <s v="0"/>
    <n v="257.8"/>
  </r>
  <r>
    <x v="107"/>
    <x v="16"/>
    <s v="Em operação"/>
    <s v="ES 0101"/>
    <x v="0"/>
    <n v="2485"/>
    <m/>
    <n v="8000"/>
    <n v="462.04986149584488"/>
    <n v="7.86"/>
    <n v="7.22"/>
    <n v="0.65"/>
    <n v="8.26"/>
    <s v="755"/>
    <n v="3336"/>
    <n v="4.42"/>
    <n v="11.99"/>
    <n v="278.23"/>
    <n v="4.7300000000000004"/>
    <n v="7.28"/>
    <n v="273.5"/>
    <n v="37.909999999999997"/>
    <n v="6798.15"/>
    <s v="439405"/>
    <s v="1598434"/>
    <s v="0"/>
    <s v="0"/>
    <n v="49.7"/>
  </r>
  <r>
    <x v="107"/>
    <x v="16"/>
    <s v="Em operação"/>
    <s v="ES 0116"/>
    <x v="2"/>
    <m/>
    <m/>
    <n v="2500"/>
    <n v="559.96784565916403"/>
    <n v="7.82"/>
    <n v="6.22"/>
    <n v="1.6"/>
    <n v="20.47"/>
    <s v="958"/>
    <n v="3483"/>
    <n v="3.64"/>
    <n v="13.22"/>
    <n v="263.56"/>
    <n v="8.0399999999999991"/>
    <n v="5.03"/>
    <n v="255.52"/>
    <n v="41.1"/>
    <n v="2127.6"/>
    <s v="209306"/>
    <s v="704570"/>
    <s v="0"/>
    <s v="0"/>
    <n v="5.7"/>
  </r>
  <r>
    <x v="108"/>
    <x v="16"/>
    <s v="Em operação"/>
    <s v="ES 0096"/>
    <x v="2"/>
    <m/>
    <m/>
    <n v="2500"/>
    <n v="264.22764227642278"/>
    <n v="3.11"/>
    <n v="2.46"/>
    <n v="0.65"/>
    <n v="20.91"/>
    <s v="301"/>
    <n v="650"/>
    <n v="1.62"/>
    <n v="10.31"/>
    <n v="47.32"/>
    <n v="2.37"/>
    <n v="3.64"/>
    <n v="44.95"/>
    <n v="18.28"/>
    <n v="9365.85"/>
    <s v="105071"/>
    <s v="158758"/>
    <s v="0"/>
    <s v="0"/>
    <n v="292.89999999999998"/>
  </r>
  <r>
    <x v="108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"/>
    <x v="16"/>
    <s v="Em operação"/>
    <s v="ES 0135"/>
    <x v="2"/>
    <m/>
    <m/>
    <n v="2500"/>
    <n v="69.664902998236329"/>
    <n v="7.72"/>
    <n v="5.67"/>
    <n v="2.0499999999999998"/>
    <n v="26.57"/>
    <s v="618"/>
    <n v="395"/>
    <n v="1.25"/>
    <n v="8.06"/>
    <n v="95.58"/>
    <n v="7.1"/>
    <n v="3.46"/>
    <n v="88.48"/>
    <n v="15.62"/>
    <n v="790.08"/>
    <s v="77610"/>
    <s v="154839"/>
    <s v="2"/>
    <s v="0"/>
    <n v="76.5"/>
  </r>
  <r>
    <x v="108"/>
    <x v="16"/>
    <s v="Em operação"/>
    <s v="ES 0135"/>
    <x v="6"/>
    <m/>
    <m/>
    <m/>
    <n v="0"/>
    <m/>
    <m/>
    <m/>
    <m/>
    <m/>
    <n v="375"/>
    <m/>
    <m/>
    <m/>
    <m/>
    <m/>
    <m/>
    <m/>
    <m/>
    <m/>
    <m/>
    <m/>
    <m/>
    <m/>
  </r>
  <r>
    <x v="108"/>
    <x v="16"/>
    <s v="Em operação"/>
    <s v="ES 0110"/>
    <x v="2"/>
    <m/>
    <m/>
    <n v="2500"/>
    <n v="250.1547987616099"/>
    <n v="7.91"/>
    <n v="6.46"/>
    <n v="1.45"/>
    <n v="18.34"/>
    <s v="895"/>
    <n v="1616"/>
    <n v="1.81"/>
    <n v="11.27"/>
    <n v="143.37"/>
    <n v="6.15"/>
    <n v="4.24"/>
    <n v="137.22"/>
    <n v="21.25"/>
    <s v="2617"/>
    <s v="181906"/>
    <s v="350391"/>
    <n v="0.9"/>
    <s v="0"/>
    <n v="339.1"/>
  </r>
  <r>
    <x v="108"/>
    <x v="16"/>
    <s v="Em operação"/>
    <s v="ES 0126"/>
    <x v="2"/>
    <m/>
    <m/>
    <n v="2500"/>
    <n v="275.103734439834"/>
    <n v="9.0299999999999994"/>
    <n v="7.23"/>
    <n v="1.8"/>
    <n v="19.93"/>
    <s v="997"/>
    <n v="1989"/>
    <n v="1.99"/>
    <n v="12.51"/>
    <n v="158.99"/>
    <n v="6.62"/>
    <n v="3.68"/>
    <n v="152.36000000000001"/>
    <n v="21.07"/>
    <n v="1227.05"/>
    <s v="127707"/>
    <s v="281139"/>
    <s v="0"/>
    <s v="0"/>
    <s v="125"/>
  </r>
  <r>
    <x v="108"/>
    <x v="16"/>
    <s v="Em operação"/>
    <s v="ES 0099"/>
    <x v="2"/>
    <m/>
    <m/>
    <n v="2500"/>
    <n v="239.33054393305437"/>
    <n v="11.86"/>
    <n v="9.56"/>
    <n v="2.2999999999999998"/>
    <n v="19.399999999999999"/>
    <s v="903"/>
    <n v="2288"/>
    <n v="2.5299999999999998"/>
    <n v="7.84"/>
    <n v="291.95"/>
    <n v="12.78"/>
    <n v="5.55"/>
    <n v="279.17"/>
    <n v="29.21"/>
    <n v="8208.67"/>
    <s v="141721"/>
    <s v="421060"/>
    <n v="1.1000000000000001"/>
    <s v="0"/>
    <n v="258.89999999999998"/>
  </r>
  <r>
    <x v="108"/>
    <x v="16"/>
    <s v="Em operação"/>
    <s v="ES 0101"/>
    <x v="0"/>
    <m/>
    <s v="Na oficina"/>
    <m/>
    <n v="0"/>
    <n v="0.94"/>
    <n v="0.28999999999999998"/>
    <n v="0.65"/>
    <n v="69.459999999999994"/>
    <s v="0"/>
    <n v="0"/>
    <s v=""/>
    <s v="0"/>
    <n v="10.88"/>
    <n v="3.31"/>
    <n v="5.0999999999999996"/>
    <n v="7.57"/>
    <n v="26.49"/>
    <n v="6799.09"/>
    <s v="439405"/>
    <s v="1598434"/>
    <s v="0"/>
    <s v=""/>
    <n v="49.7"/>
  </r>
  <r>
    <x v="108"/>
    <x v="16"/>
    <s v="Em operação"/>
    <s v="ES 0116"/>
    <x v="2"/>
    <m/>
    <m/>
    <n v="2500"/>
    <n v="477.03549060542798"/>
    <n v="6.79"/>
    <n v="4.79"/>
    <s v="2"/>
    <n v="29.44"/>
    <s v="698"/>
    <n v="2285"/>
    <n v="3.27"/>
    <n v="11.15"/>
    <n v="204.89"/>
    <n v="8.99"/>
    <n v="4.5"/>
    <n v="195.89"/>
    <n v="40.869999999999997"/>
    <n v="2134.4"/>
    <s v="210004"/>
    <s v="706855"/>
    <s v="0"/>
    <s v="0"/>
    <n v="5.7"/>
  </r>
  <r>
    <x v="109"/>
    <x v="16"/>
    <s v="Em operação"/>
    <s v="ES 0096"/>
    <x v="2"/>
    <m/>
    <m/>
    <n v="2500"/>
    <n v="241.4364640883978"/>
    <n v="7.68"/>
    <n v="5.43"/>
    <n v="2.25"/>
    <n v="29.3"/>
    <s v="807"/>
    <n v="1311"/>
    <n v="1.62"/>
    <n v="12.42"/>
    <n v="105.52"/>
    <n v="8.99"/>
    <s v="4"/>
    <n v="96.53"/>
    <n v="17.78"/>
    <n v="9373.5300000000007"/>
    <s v="105878"/>
    <s v="160069"/>
    <s v="0"/>
    <s v="0"/>
    <n v="292.89999999999998"/>
  </r>
  <r>
    <x v="109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"/>
    <x v="16"/>
    <s v="Em operação"/>
    <s v="ES 0135"/>
    <x v="2"/>
    <m/>
    <m/>
    <n v="2500"/>
    <n v="111.86943620178042"/>
    <n v="7.54"/>
    <n v="6.74"/>
    <n v="0.8"/>
    <n v="10.6"/>
    <s v="970"/>
    <n v="754"/>
    <n v="1.55"/>
    <n v="10.32"/>
    <n v="145.74"/>
    <n v="2.84"/>
    <n v="3.55"/>
    <n v="142.9"/>
    <n v="21.19"/>
    <n v="797.62"/>
    <s v="78676"/>
    <s v="156535"/>
    <n v="1.4"/>
    <s v="0"/>
    <n v="78.2"/>
  </r>
  <r>
    <x v="109"/>
    <x v="16"/>
    <s v="Em operação"/>
    <s v="ES 0135"/>
    <x v="6"/>
    <m/>
    <m/>
    <m/>
    <m/>
    <m/>
    <m/>
    <m/>
    <m/>
    <m/>
    <n v="750"/>
    <m/>
    <m/>
    <m/>
    <m/>
    <m/>
    <m/>
    <m/>
    <m/>
    <m/>
    <m/>
    <m/>
    <m/>
    <m/>
  </r>
  <r>
    <x v="109"/>
    <x v="16"/>
    <s v="Em operação"/>
    <s v="ES 0110"/>
    <x v="2"/>
    <m/>
    <m/>
    <n v="2500"/>
    <n v="361.41078838174269"/>
    <n v="8.58"/>
    <n v="7.23"/>
    <n v="1.35"/>
    <n v="15.74"/>
    <s v="1299"/>
    <n v="2613"/>
    <n v="2.0099999999999998"/>
    <n v="16.989999999999998"/>
    <n v="153.78"/>
    <n v="4.26"/>
    <n v="3.15"/>
    <n v="149.52000000000001"/>
    <n v="20.68"/>
    <n v="2625.58"/>
    <s v="183205"/>
    <s v="353004"/>
    <n v="0.5"/>
    <s v="0"/>
    <n v="339.6"/>
  </r>
  <r>
    <x v="109"/>
    <x v="16"/>
    <s v="Em operação"/>
    <s v="ES 0126"/>
    <x v="2"/>
    <m/>
    <m/>
    <n v="2500"/>
    <n v="171.15942028985506"/>
    <n v="8.3000000000000007"/>
    <n v="6.9"/>
    <n v="1.4"/>
    <n v="16.87"/>
    <s v="565"/>
    <n v="1181"/>
    <n v="2.09"/>
    <n v="9.8699999999999992"/>
    <n v="119.71"/>
    <n v="5.2"/>
    <n v="3.72"/>
    <n v="114.51"/>
    <n v="16.600000000000001"/>
    <n v="1235.3499999999999"/>
    <s v="128272"/>
    <s v="282320"/>
    <n v="0.2"/>
    <s v="0"/>
    <n v="125.2"/>
  </r>
  <r>
    <x v="109"/>
    <x v="16"/>
    <s v="Em operação"/>
    <s v="ES 0099"/>
    <x v="2"/>
    <m/>
    <m/>
    <n v="2500"/>
    <n v="442.66994266994266"/>
    <n v="15.01"/>
    <n v="12.21"/>
    <n v="2.8"/>
    <n v="18.66"/>
    <s v="1515"/>
    <n v="5405"/>
    <n v="3.57"/>
    <n v="13.88"/>
    <n v="389.42"/>
    <n v="16.09"/>
    <n v="5.75"/>
    <n v="373.34"/>
    <n v="30.58"/>
    <n v="8223.67"/>
    <s v="143236"/>
    <s v="426465"/>
    <n v="0.1"/>
    <s v="0"/>
    <s v="259"/>
  </r>
  <r>
    <x v="109"/>
    <x v="16"/>
    <s v="Em operação"/>
    <s v="ES 0101"/>
    <x v="7"/>
    <m/>
    <m/>
    <m/>
    <n v="209.11602209944752"/>
    <n v="5.37"/>
    <n v="3.62"/>
    <n v="1.75"/>
    <n v="32.6"/>
    <s v="185"/>
    <n v="757"/>
    <n v="4.09"/>
    <n v="6.2"/>
    <n v="122.08"/>
    <n v="8.99"/>
    <n v="5.14"/>
    <n v="113.09"/>
    <n v="31.26"/>
    <n v="6804.46"/>
    <s v="439590"/>
    <s v="1599191"/>
    <s v="0"/>
    <s v="0"/>
    <n v="49.7"/>
  </r>
  <r>
    <x v="109"/>
    <x v="16"/>
    <s v="Em operação"/>
    <s v="ES 0116"/>
    <x v="2"/>
    <m/>
    <m/>
    <n v="2500"/>
    <n v="523.05389221556891"/>
    <n v="5.24"/>
    <n v="3.34"/>
    <n v="1.9"/>
    <n v="36.22"/>
    <s v="479"/>
    <n v="1747"/>
    <n v="3.65"/>
    <n v="12.11"/>
    <n v="144.32"/>
    <n v="8.99"/>
    <n v="4.7300000000000004"/>
    <n v="135.33000000000001"/>
    <n v="40.46"/>
    <n v="2139.64"/>
    <s v="210483"/>
    <s v="708602"/>
    <s v="0"/>
    <s v="0"/>
    <n v="5.7"/>
  </r>
  <r>
    <x v="110"/>
    <x v="16"/>
    <s v="Em operação"/>
    <s v="ES 0096"/>
    <x v="2"/>
    <m/>
    <m/>
    <n v="3000"/>
    <n v="326.59409020217731"/>
    <n v="8.0299999999999994"/>
    <n v="6.43"/>
    <n v="1.6"/>
    <n v="19.93"/>
    <s v="945"/>
    <n v="2100"/>
    <n v="1.72"/>
    <n v="13.5"/>
    <n v="120.19"/>
    <n v="6.62"/>
    <n v="4.1399999999999997"/>
    <n v="113.56"/>
    <n v="17.670000000000002"/>
    <n v="9381.56"/>
    <s v="106823"/>
    <s v="161692"/>
    <n v="0.1"/>
    <s v="0"/>
    <s v="293"/>
  </r>
  <r>
    <x v="110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"/>
    <x v="16"/>
    <s v="Em operação"/>
    <s v="ES 0135"/>
    <x v="6"/>
    <m/>
    <m/>
    <m/>
    <n v="139.19308357348703"/>
    <n v="8.39"/>
    <n v="6.94"/>
    <n v="1.45"/>
    <n v="17.28"/>
    <s v="612"/>
    <n v="966"/>
    <n v="1.58"/>
    <n v="8.5399999999999991"/>
    <n v="113.09"/>
    <n v="5.2"/>
    <n v="3.59"/>
    <n v="107.88"/>
    <n v="15.54"/>
    <n v="806.01"/>
    <s v="79288"/>
    <s v="157501"/>
    <n v="1.3"/>
    <s v="0"/>
    <n v="79.5"/>
  </r>
  <r>
    <x v="110"/>
    <x v="16"/>
    <s v="Em operação"/>
    <s v="ES 0110"/>
    <x v="2"/>
    <m/>
    <m/>
    <n v="3000"/>
    <n v="381.55136268343819"/>
    <n v="6.47"/>
    <n v="4.7699999999999996"/>
    <n v="1.7"/>
    <n v="26.29"/>
    <s v="826"/>
    <n v="1820"/>
    <n v="2.2000000000000002"/>
    <n v="17.97"/>
    <n v="101.26"/>
    <n v="6.15"/>
    <n v="3.62"/>
    <n v="95.11"/>
    <n v="19.95"/>
    <n v="2632.04"/>
    <s v="184031"/>
    <s v="354824"/>
    <s v="0"/>
    <s v="0"/>
    <n v="339.6"/>
  </r>
  <r>
    <x v="110"/>
    <x v="16"/>
    <s v="Em operação"/>
    <s v="ES 0126"/>
    <x v="2"/>
    <m/>
    <m/>
    <n v="3000"/>
    <n v="156.46153846153845"/>
    <n v="7.5"/>
    <n v="6.5"/>
    <s v="1"/>
    <n v="13.34"/>
    <s v="615"/>
    <n v="1017"/>
    <n v="1.65"/>
    <n v="7.12"/>
    <n v="142.9"/>
    <n v="3.79"/>
    <n v="3.79"/>
    <n v="139.11000000000001"/>
    <n v="21.41"/>
    <n v="1242.8499999999999"/>
    <s v="129060"/>
    <s v="283696"/>
    <n v="0.4"/>
    <s v="0"/>
    <n v="125.6"/>
  </r>
  <r>
    <x v="110"/>
    <x v="16"/>
    <s v="Em operação"/>
    <s v="ES 0099"/>
    <x v="2"/>
    <m/>
    <m/>
    <n v="3000"/>
    <n v="437.74551665243376"/>
    <n v="13.86"/>
    <n v="11.71"/>
    <n v="2.15"/>
    <n v="15.51"/>
    <s v="1328"/>
    <n v="5126"/>
    <n v="3.86"/>
    <n v="14.2"/>
    <n v="361.03"/>
    <n v="12.78"/>
    <n v="5.94"/>
    <n v="348.26"/>
    <n v="29.74"/>
    <n v="8237.5400000000009"/>
    <s v="144564"/>
    <s v="431591"/>
    <n v="0.1"/>
    <s v="0"/>
    <n v="259.10000000000002"/>
  </r>
  <r>
    <x v="110"/>
    <x v="16"/>
    <s v="Em operação"/>
    <s v="ES 0101"/>
    <x v="7"/>
    <m/>
    <m/>
    <m/>
    <n v="127.30263157894737"/>
    <n v="5.34"/>
    <n v="3.04"/>
    <n v="2.2999999999999998"/>
    <n v="43.11"/>
    <s v="123"/>
    <n v="387"/>
    <n v="3.15"/>
    <n v="3.82"/>
    <n v="101.26"/>
    <n v="13.25"/>
    <n v="5.76"/>
    <n v="88.01"/>
    <s v="29"/>
    <n v="6809.79"/>
    <s v="439713"/>
    <s v="1599578"/>
    <n v="0.1"/>
    <s v="0"/>
    <n v="49.8"/>
  </r>
  <r>
    <x v="110"/>
    <x v="16"/>
    <s v="Em operação"/>
    <s v="ES 0116"/>
    <x v="2"/>
    <m/>
    <m/>
    <n v="3000"/>
    <n v="477.53086419753089"/>
    <n v="5.65"/>
    <n v="4.05"/>
    <n v="1.6"/>
    <n v="28.33"/>
    <s v="615"/>
    <n v="1934"/>
    <n v="3.14"/>
    <n v="11.2"/>
    <n v="172.71"/>
    <n v="7.1"/>
    <n v="4.4400000000000004"/>
    <n v="165.61"/>
    <n v="40.92"/>
    <n v="2145.29"/>
    <s v="211098"/>
    <s v="710536"/>
    <s v="0"/>
    <s v="0"/>
    <n v="5.7"/>
  </r>
  <r>
    <x v="111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m/>
    <m/>
    <m/>
    <m/>
    <m/>
    <m/>
  </r>
  <r>
    <x v="111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m/>
    <m/>
    <m/>
    <m/>
    <m/>
    <m/>
  </r>
  <r>
    <x v="111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"/>
    <x v="1"/>
    <s v="Não operacional"/>
    <s v="ES 0110"/>
    <x v="2"/>
    <m/>
    <m/>
    <m/>
    <n v="0"/>
    <s v="0"/>
    <s v="0"/>
    <s v="0"/>
    <s v=""/>
    <s v=""/>
    <s v=""/>
    <s v=""/>
    <s v=""/>
    <s v="0"/>
    <s v="0"/>
    <s v=""/>
    <s v="0"/>
    <s v=""/>
    <m/>
    <s v=""/>
    <s v=""/>
    <s v="0"/>
    <s v=""/>
    <m/>
  </r>
  <r>
    <x v="111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m/>
    <m/>
    <m/>
    <m/>
    <m/>
    <m/>
  </r>
  <r>
    <x v="111"/>
    <x v="1"/>
    <s v="Não operacional"/>
    <s v="ES 0101"/>
    <x v="7"/>
    <m/>
    <m/>
    <m/>
    <n v="0"/>
    <s v="0"/>
    <s v="0"/>
    <s v="0"/>
    <s v=""/>
    <s v="0"/>
    <n v="0"/>
    <s v=""/>
    <s v=""/>
    <s v="0"/>
    <s v="0"/>
    <s v=""/>
    <s v="0"/>
    <s v=""/>
    <m/>
    <m/>
    <m/>
    <m/>
    <m/>
    <m/>
  </r>
  <r>
    <x v="111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"/>
    <x v="17"/>
    <s v="Em operação"/>
    <s v="ES 0096"/>
    <x v="2"/>
    <m/>
    <m/>
    <n v="2142.8571428571427"/>
    <n v="175.52083333333334"/>
    <n v="4.17"/>
    <n v="1.92"/>
    <n v="2.25"/>
    <s v="54"/>
    <s v="217"/>
    <n v="337"/>
    <n v="1.55"/>
    <n v="7.58"/>
    <n v="44.48"/>
    <n v="8.52"/>
    <n v="3.79"/>
    <n v="35.96"/>
    <n v="18.77"/>
    <n v="9385.73"/>
    <s v="107040"/>
    <s v="162029"/>
    <n v="0.1"/>
    <s v="0"/>
    <n v="293.10000000000002"/>
  </r>
  <r>
    <x v="112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"/>
    <x v="17"/>
    <s v="Em operação"/>
    <s v="ES 0135"/>
    <x v="2"/>
    <m/>
    <m/>
    <n v="2142.8571428571427"/>
    <n v="109.44881889763781"/>
    <n v="8.4"/>
    <n v="6.35"/>
    <n v="2.0499999999999998"/>
    <n v="24.41"/>
    <s v="559"/>
    <n v="695"/>
    <n v="1.65"/>
    <n v="7.23"/>
    <n v="127.28"/>
    <n v="7.1"/>
    <n v="3.46"/>
    <n v="120.19"/>
    <n v="18.93"/>
    <n v="814.41"/>
    <s v="79900"/>
    <s v="158471"/>
    <s v="1"/>
    <s v="0"/>
    <n v="80.5"/>
  </r>
  <r>
    <x v="112"/>
    <x v="17"/>
    <s v="Em operação"/>
    <s v="ES 0135"/>
    <x v="6"/>
    <m/>
    <m/>
    <m/>
    <n v="0"/>
    <m/>
    <m/>
    <m/>
    <m/>
    <m/>
    <n v="225"/>
    <m/>
    <m/>
    <m/>
    <m/>
    <m/>
    <m/>
    <m/>
    <m/>
    <m/>
    <m/>
    <m/>
    <m/>
    <m/>
  </r>
  <r>
    <x v="112"/>
    <x v="17"/>
    <s v="Em operação"/>
    <s v="ES 0110"/>
    <x v="2"/>
    <m/>
    <m/>
    <n v="2142.8571428571427"/>
    <n v="210.57401812688821"/>
    <n v="8.07"/>
    <n v="6.62"/>
    <n v="1.45"/>
    <n v="17.97"/>
    <s v="752"/>
    <n v="1394"/>
    <n v="1.85"/>
    <n v="10.09"/>
    <n v="138.16999999999999"/>
    <n v="6.15"/>
    <n v="4.24"/>
    <n v="132.02000000000001"/>
    <n v="19.95"/>
    <n v="2640.11"/>
    <s v="184783"/>
    <s v="356218"/>
    <n v="1.4"/>
    <s v="0"/>
    <s v="341"/>
  </r>
  <r>
    <x v="112"/>
    <x v="17"/>
    <s v="Em operação"/>
    <s v="ES 0126"/>
    <x v="2"/>
    <m/>
    <m/>
    <n v="2142.8571428571427"/>
    <n v="297.70992366412213"/>
    <n v="13.33"/>
    <n v="10.48"/>
    <n v="2.85"/>
    <n v="21.39"/>
    <s v="1408"/>
    <n v="3120"/>
    <n v="2.2200000000000002"/>
    <n v="13.54"/>
    <n v="230.44"/>
    <n v="10.41"/>
    <n v="3.65"/>
    <n v="220.03"/>
    <s v="21"/>
    <n v="1256.17"/>
    <s v="130468"/>
    <s v="286816"/>
    <s v="0"/>
    <s v="0"/>
    <n v="125.6"/>
  </r>
  <r>
    <x v="112"/>
    <x v="17"/>
    <s v="Em operação"/>
    <s v="ES 0099"/>
    <x v="2"/>
    <m/>
    <m/>
    <n v="2142.8571428571427"/>
    <n v="420.24336283185846"/>
    <n v="11.59"/>
    <n v="9.0399999999999991"/>
    <n v="2.5499999999999998"/>
    <s v="22"/>
    <s v="1070"/>
    <n v="3799"/>
    <n v="3.55"/>
    <n v="12.85"/>
    <n v="295.74"/>
    <n v="15.61"/>
    <n v="6.12"/>
    <n v="280.12"/>
    <n v="30.99"/>
    <n v="8249.1299999999992"/>
    <s v="145634"/>
    <s v="435390"/>
    <n v="0.1"/>
    <s v="0"/>
    <n v="259.2"/>
  </r>
  <r>
    <x v="112"/>
    <x v="17"/>
    <s v="Em operação"/>
    <s v="ES 0101"/>
    <x v="2"/>
    <m/>
    <m/>
    <n v="2142.8571428571427"/>
    <n v="499.24012158054711"/>
    <n v="7.23"/>
    <n v="6.58"/>
    <n v="0.65"/>
    <n v="8.99"/>
    <s v="741"/>
    <n v="3285"/>
    <n v="4.43"/>
    <n v="13.12"/>
    <n v="250.31"/>
    <n v="4.26"/>
    <n v="6.55"/>
    <n v="246.05"/>
    <n v="37.4"/>
    <n v="6817.02"/>
    <s v="440454"/>
    <s v="1602863"/>
    <s v="0"/>
    <s v="0"/>
    <n v="49.8"/>
  </r>
  <r>
    <x v="112"/>
    <x v="17"/>
    <s v="Em operação"/>
    <s v="ES 0116"/>
    <x v="2"/>
    <m/>
    <m/>
    <n v="2142.8571428571427"/>
    <n v="550.64599483204131"/>
    <n v="5.77"/>
    <n v="3.87"/>
    <n v="1.9"/>
    <n v="32.92"/>
    <s v="580"/>
    <n v="2131"/>
    <n v="3.76"/>
    <n v="12.95"/>
    <n v="168.45"/>
    <n v="8.52"/>
    <n v="4.4800000000000004"/>
    <n v="159.93"/>
    <n v="41.31"/>
    <n v="2151.06"/>
    <s v="211680"/>
    <s v="712726"/>
    <s v="0"/>
    <s v="0"/>
    <n v="5.7"/>
  </r>
  <r>
    <x v="112"/>
    <x v="17"/>
    <s v="Em operação"/>
    <s v="ES 0116"/>
    <x v="6"/>
    <m/>
    <m/>
    <m/>
    <n v="0"/>
    <m/>
    <m/>
    <m/>
    <m/>
    <m/>
    <n v="50"/>
    <m/>
    <m/>
    <m/>
    <m/>
    <m/>
    <m/>
    <m/>
    <m/>
    <m/>
    <m/>
    <m/>
    <m/>
    <m/>
  </r>
  <r>
    <x v="113"/>
    <x v="1"/>
    <s v="Não operacional"/>
    <s v="ES 0096"/>
    <x v="2"/>
    <m/>
    <s v="Na oficina"/>
    <m/>
    <n v="0"/>
    <n v="0.08"/>
    <n v="0.03"/>
    <n v="0.05"/>
    <n v="64.27"/>
    <s v="0"/>
    <n v="0"/>
    <s v=""/>
    <s v="0"/>
    <n v="0.47"/>
    <n v="0.47"/>
    <n v="9.4600000000000009"/>
    <s v="0"/>
    <s v="0"/>
    <n v="9385.7999999999993"/>
    <s v="107040"/>
    <s v="162029"/>
    <s v="0"/>
    <s v=""/>
    <n v="293.10000000000002"/>
  </r>
  <r>
    <x v="113"/>
    <x v="1"/>
    <s v="Não operacional"/>
    <s v="ES 0097"/>
    <x v="7"/>
    <m/>
    <s v="Na oficina"/>
    <m/>
    <n v="0"/>
    <n v="1.08"/>
    <n v="0.57999999999999996"/>
    <n v="0.5"/>
    <n v="46.3"/>
    <s v=""/>
    <s v=""/>
    <s v=""/>
    <s v=""/>
    <n v="12.3"/>
    <n v="1.89"/>
    <n v="3.79"/>
    <n v="10.41"/>
    <n v="17.95"/>
    <n v="8942.2000000000007"/>
    <s v=""/>
    <s v=""/>
    <s v="0"/>
    <s v=""/>
    <n v="266.3"/>
  </r>
  <r>
    <x v="113"/>
    <x v="17"/>
    <s v="Em operação"/>
    <s v="ES 0135"/>
    <x v="2"/>
    <m/>
    <m/>
    <n v="3000"/>
    <n v="241.92592592592592"/>
    <n v="7.85"/>
    <n v="6.75"/>
    <n v="1.1000000000000001"/>
    <n v="14.02"/>
    <s v="925"/>
    <n v="1633"/>
    <n v="1.77"/>
    <n v="13.48"/>
    <n v="121.13"/>
    <n v="3.79"/>
    <n v="3.44"/>
    <n v="117.35"/>
    <n v="17.39"/>
    <n v="822.26"/>
    <s v="80825"/>
    <s v="160104"/>
    <n v="1.6"/>
    <s v="0"/>
    <n v="82.3"/>
  </r>
  <r>
    <x v="113"/>
    <x v="17"/>
    <s v="Em operação"/>
    <s v="ES 0110"/>
    <x v="2"/>
    <m/>
    <m/>
    <n v="3000"/>
    <n v="303.19888734353265"/>
    <n v="8.44"/>
    <n v="7.19"/>
    <n v="1.25"/>
    <n v="14.81"/>
    <s v="1018"/>
    <n v="2180"/>
    <n v="2.44"/>
    <n v="16.329999999999998"/>
    <n v="151.88999999999999"/>
    <n v="4.7300000000000004"/>
    <n v="3.79"/>
    <n v="147.16"/>
    <n v="20.46"/>
    <n v="2648.55"/>
    <s v="185801"/>
    <s v="358698"/>
    <n v="0.3"/>
    <s v="0"/>
    <n v="341.3"/>
  </r>
  <r>
    <x v="113"/>
    <x v="17"/>
    <s v="Em operação"/>
    <s v="ES 0110"/>
    <x v="6"/>
    <m/>
    <m/>
    <m/>
    <m/>
    <m/>
    <m/>
    <m/>
    <m/>
    <m/>
    <n v="300"/>
    <m/>
    <m/>
    <m/>
    <m/>
    <m/>
    <m/>
    <m/>
    <m/>
    <m/>
    <m/>
    <m/>
    <m/>
    <m/>
  </r>
  <r>
    <x v="113"/>
    <x v="17"/>
    <s v="Em operação"/>
    <s v="ES 0126"/>
    <x v="2"/>
    <m/>
    <m/>
    <n v="3000"/>
    <n v="158.07926829268294"/>
    <n v="8.9600000000000009"/>
    <n v="6.56"/>
    <n v="2.4"/>
    <n v="26.78"/>
    <s v="428"/>
    <n v="1037"/>
    <n v="2.42"/>
    <n v="9.65"/>
    <n v="107.41"/>
    <n v="8.99"/>
    <n v="3.75"/>
    <n v="98.42"/>
    <s v="15"/>
    <n v="1265.1400000000001"/>
    <s v="130896"/>
    <s v="287853"/>
    <n v="0.8"/>
    <s v="0"/>
    <n v="126.4"/>
  </r>
  <r>
    <x v="113"/>
    <x v="17"/>
    <s v="Em operação"/>
    <s v="ES 0099"/>
    <x v="2"/>
    <m/>
    <m/>
    <n v="3000"/>
    <n v="415.74212893553226"/>
    <n v="16.739999999999998"/>
    <n v="13.34"/>
    <n v="3.4"/>
    <n v="20.309999999999999"/>
    <s v="1452"/>
    <n v="5546"/>
    <n v="3.82"/>
    <n v="13.29"/>
    <n v="417.34"/>
    <n v="19.399999999999999"/>
    <n v="5.71"/>
    <n v="397.94"/>
    <n v="29.83"/>
    <n v="8265.86"/>
    <s v="147086"/>
    <s v="440936"/>
    <n v="0.1"/>
    <s v="0"/>
    <n v="259.3"/>
  </r>
  <r>
    <x v="113"/>
    <x v="17"/>
    <s v="Em operação"/>
    <s v="ES 0101"/>
    <x v="0"/>
    <n v="1899"/>
    <m/>
    <n v="4000"/>
    <n v="396.38554216867465"/>
    <n v="9.1999999999999993"/>
    <n v="8.3000000000000007"/>
    <n v="0.9"/>
    <n v="9.7799999999999994"/>
    <s v="873"/>
    <n v="3290"/>
    <n v="3.77"/>
    <n v="10.199999999999999"/>
    <n v="322.70999999999998"/>
    <n v="5.2"/>
    <n v="5.78"/>
    <n v="317.5"/>
    <n v="38.25"/>
    <n v="6826.22"/>
    <s v="441327"/>
    <s v="1606153"/>
    <s v="0"/>
    <s v="0"/>
    <n v="49.8"/>
  </r>
  <r>
    <x v="113"/>
    <x v="17"/>
    <s v="Em operação"/>
    <s v="ES 0116"/>
    <x v="2"/>
    <m/>
    <m/>
    <n v="3000"/>
    <n v="553.14285714285711"/>
    <n v="4.3499999999999996"/>
    <n v="3.5"/>
    <n v="0.85"/>
    <n v="19.559999999999999"/>
    <s v="523"/>
    <n v="1936"/>
    <n v="3.7"/>
    <n v="13.87"/>
    <n v="139.59"/>
    <n v="5.2"/>
    <n v="6.12"/>
    <n v="134.38"/>
    <n v="38.43"/>
    <n v="2155.41"/>
    <s v="212203"/>
    <s v="714662"/>
    <s v="0"/>
    <s v="0"/>
    <n v="5.7"/>
  </r>
  <r>
    <x v="114"/>
    <x v="17"/>
    <s v="Em operação"/>
    <s v="ES 0096"/>
    <x v="2"/>
    <m/>
    <m/>
    <n v="2500"/>
    <n v="119.78723404255318"/>
    <n v="5.5"/>
    <n v="4.7"/>
    <n v="0.8"/>
    <n v="14.54"/>
    <s v="453"/>
    <n v="563"/>
    <n v="1.24"/>
    <n v="6.13"/>
    <n v="91.8"/>
    <n v="3.31"/>
    <n v="4.1399999999999997"/>
    <n v="88.48"/>
    <n v="18.82"/>
    <n v="9391.31"/>
    <s v="107493"/>
    <s v="162592"/>
    <s v="0"/>
    <s v="0"/>
    <n v="293.10000000000002"/>
  </r>
  <r>
    <x v="114"/>
    <x v="17"/>
    <s v="Em operação"/>
    <s v="ES 0097"/>
    <x v="6"/>
    <m/>
    <m/>
    <m/>
    <n v="135.13513513513513"/>
    <n v="7.97"/>
    <n v="5.92"/>
    <n v="2.0499999999999998"/>
    <n v="25.74"/>
    <s v=""/>
    <n v="800"/>
    <s v=""/>
    <s v=""/>
    <n v="130.6"/>
    <n v="8.52"/>
    <n v="4.1500000000000004"/>
    <n v="122.08"/>
    <n v="20.64"/>
    <n v="8950.25"/>
    <s v=""/>
    <s v=""/>
    <n v="0.2"/>
    <s v=""/>
    <n v="266.5"/>
  </r>
  <r>
    <x v="114"/>
    <x v="17"/>
    <s v="Em operação"/>
    <s v="ES 0135"/>
    <x v="2"/>
    <m/>
    <m/>
    <n v="2500"/>
    <n v="319.50146627565982"/>
    <n v="9.02"/>
    <n v="6.82"/>
    <n v="2.2000000000000002"/>
    <n v="24.38"/>
    <s v="1194"/>
    <n v="2179"/>
    <n v="1.82"/>
    <n v="14.3"/>
    <n v="152.36000000000001"/>
    <n v="7.1"/>
    <n v="3.23"/>
    <n v="145.27000000000001"/>
    <n v="21.29"/>
    <n v="831.28"/>
    <s v="82293"/>
    <s v="162738"/>
    <n v="0.4"/>
    <s v="0"/>
    <n v="82.7"/>
  </r>
  <r>
    <x v="114"/>
    <x v="17"/>
    <s v="Em operação"/>
    <s v="ES 0110"/>
    <x v="2"/>
    <m/>
    <m/>
    <n v="2500"/>
    <n v="337.7204884667571"/>
    <n v="8.32"/>
    <n v="7.37"/>
    <n v="0.95"/>
    <n v="11.42"/>
    <s v="1224"/>
    <n v="2489"/>
    <n v="2.3199999999999998"/>
    <n v="17.86"/>
    <n v="158.99"/>
    <n v="3.79"/>
    <n v="3.98"/>
    <n v="155.19999999999999"/>
    <n v="21.06"/>
    <n v="2656.87"/>
    <s v="187025"/>
    <s v="361537"/>
    <n v="0.1"/>
    <s v="0"/>
    <n v="341.4"/>
  </r>
  <r>
    <x v="114"/>
    <x v="17"/>
    <s v="Em operação"/>
    <s v="ES 0110"/>
    <x v="6"/>
    <m/>
    <m/>
    <m/>
    <n v="0"/>
    <m/>
    <m/>
    <m/>
    <m/>
    <m/>
    <n v="350"/>
    <m/>
    <m/>
    <m/>
    <m/>
    <m/>
    <m/>
    <m/>
    <m/>
    <m/>
    <m/>
    <m/>
    <m/>
    <m/>
  </r>
  <r>
    <x v="114"/>
    <x v="17"/>
    <s v="Em operação"/>
    <s v="ES 0126"/>
    <x v="2"/>
    <m/>
    <m/>
    <n v="2500"/>
    <n v="96.989528795811523"/>
    <n v="9.64"/>
    <n v="7.64"/>
    <s v="2"/>
    <n v="20.74"/>
    <s v="357"/>
    <n v="741"/>
    <n v="2.08"/>
    <n v="5.67"/>
    <n v="130.6"/>
    <n v="7.57"/>
    <n v="3.79"/>
    <n v="123.03"/>
    <n v="16.100000000000001"/>
    <n v="1274.78"/>
    <s v="131293"/>
    <s v="288652"/>
    <s v="0"/>
    <s v="0"/>
    <n v="126.5"/>
  </r>
  <r>
    <x v="114"/>
    <x v="17"/>
    <s v="Em operação"/>
    <s v="ES 0099"/>
    <x v="2"/>
    <m/>
    <m/>
    <n v="2500"/>
    <n v="385.15283842794759"/>
    <n v="16.739999999999998"/>
    <n v="13.74"/>
    <s v="3"/>
    <n v="17.920000000000002"/>
    <s v="1468"/>
    <n v="5292"/>
    <n v="3.6"/>
    <n v="12.06"/>
    <n v="438.63"/>
    <n v="18.45"/>
    <n v="6.15"/>
    <n v="420.18"/>
    <n v="30.57"/>
    <n v="8282.61"/>
    <s v="148554"/>
    <s v="446228"/>
    <n v="0.1"/>
    <s v="0"/>
    <n v="259.39999999999998"/>
  </r>
  <r>
    <x v="114"/>
    <x v="17"/>
    <s v="Em operação"/>
    <s v="ES 0101"/>
    <x v="0"/>
    <n v="4058"/>
    <m/>
    <n v="4000"/>
    <n v="524.15130940834138"/>
    <n v="11.06"/>
    <n v="10.31"/>
    <n v="0.75"/>
    <n v="6.78"/>
    <s v="1253"/>
    <n v="5404"/>
    <n v="4.3099999999999996"/>
    <n v="13.08"/>
    <n v="413.08"/>
    <n v="4.26"/>
    <n v="5.68"/>
    <n v="408.82"/>
    <n v="39.659999999999997"/>
    <n v="6837.28"/>
    <s v="442580"/>
    <s v="1611557"/>
    <n v="0.1"/>
    <s v="0"/>
    <n v="49.9"/>
  </r>
  <r>
    <x v="114"/>
    <x v="17"/>
    <s v="Em operação"/>
    <s v="ES 0116"/>
    <x v="2"/>
    <m/>
    <m/>
    <n v="2500"/>
    <n v="416.54501216545009"/>
    <n v="4.8099999999999996"/>
    <n v="4.1100000000000003"/>
    <n v="0.7"/>
    <n v="14.55"/>
    <s v="561"/>
    <n v="1712"/>
    <n v="3.05"/>
    <n v="10.19"/>
    <n v="167.98"/>
    <n v="3.31"/>
    <n v="4.7300000000000004"/>
    <n v="164.67"/>
    <n v="40.04"/>
    <n v="2160.2199999999998"/>
    <s v="212764"/>
    <s v="716374"/>
    <s v="0"/>
    <s v="0"/>
    <n v="5.7"/>
  </r>
  <r>
    <x v="115"/>
    <x v="17"/>
    <s v="Em operação"/>
    <s v="ES 0096"/>
    <x v="2"/>
    <m/>
    <m/>
    <n v="2500"/>
    <n v="312.8621089223638"/>
    <n v="9.83"/>
    <n v="8.6300000000000008"/>
    <n v="1.2"/>
    <n v="12.21"/>
    <s v="1069"/>
    <n v="2700"/>
    <n v="1.33"/>
    <n v="8.4700000000000006"/>
    <n v="167.5"/>
    <n v="5.2"/>
    <n v="4.34"/>
    <n v="162.30000000000001"/>
    <n v="18.809999999999999"/>
    <n v="9401.14"/>
    <s v="108562"/>
    <s v="164010"/>
    <n v="0.3"/>
    <s v="0"/>
    <n v="293.39999999999998"/>
  </r>
  <r>
    <x v="115"/>
    <x v="17"/>
    <s v="Em operação"/>
    <s v="ES 0097"/>
    <x v="6"/>
    <m/>
    <m/>
    <m/>
    <n v="137.14733542319749"/>
    <n v="8.6300000000000008"/>
    <n v="6.38"/>
    <n v="2.25"/>
    <n v="26.08"/>
    <s v=""/>
    <n v="875"/>
    <s v=""/>
    <s v=""/>
    <n v="136.75"/>
    <n v="9.4600000000000009"/>
    <n v="4.21"/>
    <n v="127.28"/>
    <n v="19.96"/>
    <n v="8958.89"/>
    <s v=""/>
    <s v=""/>
    <n v="0.2"/>
    <s v=""/>
    <n v="266.7"/>
  </r>
  <r>
    <x v="115"/>
    <x v="17"/>
    <s v="Em operação"/>
    <s v="ES 0135"/>
    <x v="2"/>
    <m/>
    <m/>
    <n v="2500"/>
    <n v="272.93103448275861"/>
    <n v="8.4"/>
    <n v="5.8"/>
    <n v="2.6"/>
    <n v="30.95"/>
    <s v="732"/>
    <n v="1583"/>
    <n v="2.16"/>
    <n v="16.079999999999998"/>
    <n v="98.42"/>
    <n v="8.52"/>
    <n v="3.28"/>
    <n v="89.9"/>
    <n v="15.5"/>
    <n v="839.68"/>
    <s v="83025"/>
    <s v="164321"/>
    <n v="0.3"/>
    <s v="0"/>
    <s v="83"/>
  </r>
  <r>
    <x v="115"/>
    <x v="17"/>
    <s v="Em operação"/>
    <s v="ES 0110"/>
    <x v="2"/>
    <m/>
    <m/>
    <n v="2500"/>
    <n v="370.64896755162238"/>
    <n v="7.78"/>
    <n v="6.78"/>
    <s v="1"/>
    <n v="12.86"/>
    <s v="1184"/>
    <n v="2513"/>
    <n v="2.12"/>
    <n v="16.91"/>
    <n v="148.58000000000001"/>
    <n v="3.79"/>
    <n v="3.79"/>
    <n v="144.79"/>
    <n v="21.36"/>
    <n v="2664.65"/>
    <s v="188209"/>
    <s v="364050"/>
    <n v="0.4"/>
    <s v="0"/>
    <n v="341.8"/>
  </r>
  <r>
    <x v="115"/>
    <x v="17"/>
    <s v="Em operação"/>
    <s v="ES 0126"/>
    <x v="2"/>
    <m/>
    <m/>
    <n v="2500"/>
    <n v="179.22636103151862"/>
    <n v="8.23"/>
    <n v="6.98"/>
    <n v="1.25"/>
    <n v="15.19"/>
    <s v="548"/>
    <n v="1251"/>
    <n v="2.2799999999999998"/>
    <n v="11.16"/>
    <n v="112.14"/>
    <n v="4.7300000000000004"/>
    <n v="3.79"/>
    <n v="107.41"/>
    <n v="15.39"/>
    <n v="1283.01"/>
    <s v="131894"/>
    <s v="289953"/>
    <s v="0"/>
    <s v="0"/>
    <n v="126.6"/>
  </r>
  <r>
    <x v="115"/>
    <x v="17"/>
    <s v="Em operação"/>
    <s v="ES 0099"/>
    <x v="2"/>
    <m/>
    <m/>
    <n v="2500"/>
    <n v="338.35125448028674"/>
    <n v="17.100000000000001"/>
    <n v="13.95"/>
    <n v="3.15"/>
    <n v="18.420000000000002"/>
    <s v="1519"/>
    <n v="4720"/>
    <n v="3.11"/>
    <n v="10.58"/>
    <n v="446.21"/>
    <n v="18.45"/>
    <n v="5.86"/>
    <n v="427.75"/>
    <n v="30.66"/>
    <n v="8299.7099999999991"/>
    <s v="150073"/>
    <s v="450948"/>
    <n v="0.1"/>
    <s v="0"/>
    <n v="259.5"/>
  </r>
  <r>
    <x v="115"/>
    <x v="17"/>
    <s v="Em operação"/>
    <s v="ES 0101"/>
    <x v="0"/>
    <n v="3342"/>
    <m/>
    <n v="4000"/>
    <n v="446.51162790697674"/>
    <n v="9.65"/>
    <n v="8.6"/>
    <n v="1.05"/>
    <n v="10.88"/>
    <s v="907"/>
    <n v="3840"/>
    <n v="4.2300000000000004"/>
    <n v="11.56"/>
    <n v="332.17"/>
    <n v="6.62"/>
    <n v="6.31"/>
    <n v="325.55"/>
    <n v="37.86"/>
    <n v="6846.93"/>
    <s v="443487"/>
    <s v="1615397"/>
    <s v="0"/>
    <s v="0"/>
    <n v="49.9"/>
  </r>
  <r>
    <x v="115"/>
    <x v="17"/>
    <s v="Em operação"/>
    <s v="ES 0116"/>
    <x v="2"/>
    <m/>
    <m/>
    <n v="2500"/>
    <n v="363.08139534883719"/>
    <n v="5.89"/>
    <n v="3.44"/>
    <n v="2.4500000000000002"/>
    <n v="41.56"/>
    <s v="373"/>
    <n v="1249"/>
    <n v="3.35"/>
    <n v="8.9499999999999993"/>
    <n v="139.59"/>
    <n v="9.94"/>
    <n v="4.0599999999999996"/>
    <n v="129.65"/>
    <n v="37.64"/>
    <n v="2166.11"/>
    <s v="213137"/>
    <s v="717623"/>
    <n v="0.1"/>
    <s v="0"/>
    <n v="5.8"/>
  </r>
  <r>
    <x v="116"/>
    <x v="17"/>
    <s v="Em operação"/>
    <s v="ES 0096"/>
    <x v="2"/>
    <m/>
    <m/>
    <n v="2500"/>
    <n v="386.3346104725415"/>
    <n v="8.98"/>
    <n v="7.83"/>
    <n v="1.1499999999999999"/>
    <n v="12.8"/>
    <s v="1245"/>
    <n v="3025"/>
    <n v="1.46"/>
    <n v="12.01"/>
    <n v="150.94"/>
    <n v="4.26"/>
    <n v="3.7"/>
    <n v="146.68"/>
    <n v="18.73"/>
    <n v="9410.1200000000008"/>
    <s v="109807"/>
    <s v="165823"/>
    <n v="0.2"/>
    <s v="0"/>
    <n v="293.60000000000002"/>
  </r>
  <r>
    <x v="116"/>
    <x v="17"/>
    <s v="Em operação"/>
    <s v="ES 0097"/>
    <x v="6"/>
    <m/>
    <m/>
    <m/>
    <n v="121.29380053908356"/>
    <n v="7.51"/>
    <n v="3.71"/>
    <n v="3.8"/>
    <n v="50.57"/>
    <s v=""/>
    <n v="450"/>
    <s v=""/>
    <s v=""/>
    <n v="90.85"/>
    <n v="16.559999999999999"/>
    <n v="4.3600000000000003"/>
    <n v="74.290000000000006"/>
    <s v="20"/>
    <n v="8966.43"/>
    <s v=""/>
    <s v=""/>
    <n v="0.1"/>
    <s v=""/>
    <n v="266.8"/>
  </r>
  <r>
    <x v="116"/>
    <x v="17"/>
    <s v="Em operação"/>
    <s v="ES 0135"/>
    <x v="2"/>
    <m/>
    <m/>
    <n v="2500"/>
    <n v="218.53146853146853"/>
    <n v="8.02"/>
    <n v="5.72"/>
    <n v="2.2999999999999998"/>
    <n v="28.67"/>
    <s v="694"/>
    <n v="1250"/>
    <n v="1.8"/>
    <n v="9.93"/>
    <n v="125.86"/>
    <n v="7.57"/>
    <n v="3.29"/>
    <n v="118.29"/>
    <n v="20.68"/>
    <n v="847.7"/>
    <s v="83920"/>
    <s v="166048"/>
    <n v="0.5"/>
    <s v="0"/>
    <n v="83.5"/>
  </r>
  <r>
    <x v="116"/>
    <x v="17"/>
    <s v="Em operação"/>
    <s v="ES 0110"/>
    <x v="2"/>
    <m/>
    <m/>
    <n v="2500"/>
    <n v="143.11512415349887"/>
    <n v="5.03"/>
    <n v="4.43"/>
    <n v="0.6"/>
    <n v="11.92"/>
    <s v="340"/>
    <n v="634"/>
    <n v="1.86"/>
    <n v="7.7"/>
    <n v="82.33"/>
    <n v="2.84"/>
    <n v="4.7300000000000004"/>
    <n v="79.489999999999995"/>
    <n v="17.93"/>
    <n v="2669.69"/>
    <s v="188549"/>
    <s v="364684"/>
    <n v="0.3"/>
    <s v="0"/>
    <n v="342.1"/>
  </r>
  <r>
    <x v="116"/>
    <x v="17"/>
    <s v="Em operação"/>
    <s v="ES 0126"/>
    <x v="2"/>
    <m/>
    <m/>
    <n v="2500"/>
    <n v="298.71086556169433"/>
    <n v="13.26"/>
    <n v="10.86"/>
    <n v="2.4"/>
    <n v="18.100000000000001"/>
    <s v="1521"/>
    <n v="3244"/>
    <n v="2.13"/>
    <n v="13.85"/>
    <n v="234.22"/>
    <n v="9.4600000000000009"/>
    <n v="3.94"/>
    <n v="224.76"/>
    <n v="20.7"/>
    <n v="1296.27"/>
    <s v="133575"/>
    <s v="293581"/>
    <s v="0"/>
    <s v="0"/>
    <n v="126.6"/>
  </r>
  <r>
    <x v="116"/>
    <x v="17"/>
    <s v="Em operação"/>
    <s v="ES 0099"/>
    <x v="2"/>
    <m/>
    <m/>
    <n v="2500"/>
    <n v="263.98046398046398"/>
    <n v="10.24"/>
    <n v="8.19"/>
    <n v="2.0499999999999998"/>
    <n v="20.03"/>
    <s v="631"/>
    <n v="2162"/>
    <n v="3.43"/>
    <n v="8.43"/>
    <n v="256.45999999999998"/>
    <n v="12.78"/>
    <n v="6.23"/>
    <n v="243.69"/>
    <n v="29.77"/>
    <n v="8309.94"/>
    <s v="150704"/>
    <s v="453110"/>
    <n v="0.2"/>
    <s v="0"/>
    <n v="259.7"/>
  </r>
  <r>
    <x v="116"/>
    <x v="17"/>
    <s v="Em operação"/>
    <s v="ES 0101"/>
    <x v="0"/>
    <n v="3879"/>
    <m/>
    <n v="4000"/>
    <n v="590.3769841269841"/>
    <n v="11.23"/>
    <n v="10.08"/>
    <n v="1.1499999999999999"/>
    <n v="10.24"/>
    <s v="1299"/>
    <n v="5951"/>
    <n v="4.58"/>
    <n v="15.32"/>
    <n v="388.48"/>
    <n v="7.1"/>
    <n v="6.17"/>
    <n v="381.38"/>
    <n v="37.83"/>
    <n v="6858.16"/>
    <s v="444786"/>
    <s v="1621348"/>
    <s v="0"/>
    <s v="0"/>
    <n v="49.9"/>
  </r>
  <r>
    <x v="116"/>
    <x v="17"/>
    <s v="Em operação"/>
    <s v="ES 0116"/>
    <x v="2"/>
    <m/>
    <m/>
    <n v="2500"/>
    <n v="445.26315789473688"/>
    <n v="4.8"/>
    <n v="3.8"/>
    <s v="1"/>
    <n v="20.83"/>
    <s v="535"/>
    <n v="1692"/>
    <n v="3.16"/>
    <n v="11.35"/>
    <n v="149.05000000000001"/>
    <n v="5.2"/>
    <n v="5.2"/>
    <n v="143.85"/>
    <n v="37.85"/>
    <n v="2170.91"/>
    <s v="213677"/>
    <s v="719340"/>
    <s v="0"/>
    <s v="0"/>
    <n v="5.8"/>
  </r>
  <r>
    <x v="117"/>
    <x v="17"/>
    <s v="Em operação"/>
    <s v="ES 0096"/>
    <x v="2"/>
    <m/>
    <m/>
    <n v="2500"/>
    <n v="274.12008281573497"/>
    <n v="6.38"/>
    <n v="4.83"/>
    <n v="1.55"/>
    <n v="24.3"/>
    <s v="774"/>
    <n v="1324"/>
    <n v="1.71"/>
    <n v="13.39"/>
    <n v="98.89"/>
    <n v="6.62"/>
    <n v="4.2699999999999996"/>
    <n v="92.27"/>
    <n v="19.11"/>
    <n v="9416.5"/>
    <s v="110581"/>
    <s v="167147"/>
    <s v="0"/>
    <s v="0"/>
    <n v="293.60000000000002"/>
  </r>
  <r>
    <x v="117"/>
    <x v="17"/>
    <s v="Em operação"/>
    <s v="ES 0097"/>
    <x v="7"/>
    <m/>
    <m/>
    <m/>
    <n v="0"/>
    <n v="3.87"/>
    <n v="1.82"/>
    <n v="2.0499999999999998"/>
    <n v="52.98"/>
    <s v=""/>
    <s v=""/>
    <s v=""/>
    <s v=""/>
    <n v="45.9"/>
    <n v="8.0399999999999991"/>
    <n v="3.92"/>
    <n v="37.85"/>
    <n v="20.8"/>
    <n v="8970.3700000000008"/>
    <s v=""/>
    <s v=""/>
    <n v="0.9"/>
    <s v=""/>
    <n v="267.7"/>
  </r>
  <r>
    <x v="117"/>
    <x v="17"/>
    <s v="Em operação"/>
    <s v="ES 0135"/>
    <x v="2"/>
    <m/>
    <m/>
    <n v="2500"/>
    <n v="278.78228782287823"/>
    <n v="6.87"/>
    <n v="5.42"/>
    <n v="1.45"/>
    <n v="21.12"/>
    <s v="713"/>
    <n v="1511"/>
    <n v="2.12"/>
    <n v="12.19"/>
    <n v="123.97"/>
    <n v="4.7300000000000004"/>
    <n v="3.26"/>
    <n v="119.24"/>
    <n v="22.02"/>
    <n v="854.57"/>
    <s v="84633"/>
    <s v="167559"/>
    <n v="1.4"/>
    <s v="0"/>
    <n v="84.9"/>
  </r>
  <r>
    <x v="117"/>
    <x v="17"/>
    <s v="Em operação"/>
    <s v="ES 0110"/>
    <x v="2"/>
    <m/>
    <m/>
    <n v="2500"/>
    <n v="478.11158798283259"/>
    <n v="5.56"/>
    <n v="4.66"/>
    <n v="0.9"/>
    <n v="16.2"/>
    <s v="1004"/>
    <n v="2228"/>
    <n v="2.2200000000000002"/>
    <n v="21.02"/>
    <n v="105.99"/>
    <n v="3.31"/>
    <n v="3.68"/>
    <n v="102.68"/>
    <n v="22.06"/>
    <n v="2675.24"/>
    <s v="189553"/>
    <s v="366912"/>
    <s v="0"/>
    <s v="0"/>
    <n v="342.1"/>
  </r>
  <r>
    <x v="117"/>
    <x v="17"/>
    <s v="Em operação"/>
    <s v="ES 0126"/>
    <x v="2"/>
    <m/>
    <m/>
    <n v="2500"/>
    <n v="281.46655922643032"/>
    <n v="13.96"/>
    <n v="12.41"/>
    <n v="1.55"/>
    <n v="11.1"/>
    <s v="1540"/>
    <n v="3493"/>
    <n v="2.27"/>
    <n v="16.55"/>
    <n v="211.04"/>
    <n v="6.15"/>
    <n v="3.97"/>
    <n v="204.89"/>
    <n v="16.510000000000002"/>
    <n v="1310.23"/>
    <s v="135115"/>
    <s v="297074"/>
    <s v="0"/>
    <s v="0"/>
    <n v="126.6"/>
  </r>
  <r>
    <x v="117"/>
    <x v="17"/>
    <s v="Em operação"/>
    <s v="ES 0099"/>
    <x v="2"/>
    <m/>
    <m/>
    <n v="2500"/>
    <n v="250.83798882681563"/>
    <n v="6.23"/>
    <n v="3.58"/>
    <n v="2.65"/>
    <n v="42.55"/>
    <s v="251"/>
    <n v="898"/>
    <n v="3.58"/>
    <n v="7.62"/>
    <n v="117.82"/>
    <n v="14.67"/>
    <n v="5.54"/>
    <n v="103.15"/>
    <n v="28.83"/>
    <n v="8316.17"/>
    <s v="150955"/>
    <s v="454008"/>
    <s v="0"/>
    <s v="0"/>
    <n v="259.7"/>
  </r>
  <r>
    <x v="117"/>
    <x v="17"/>
    <s v="Em operação"/>
    <s v="ES 0101"/>
    <x v="0"/>
    <n v="3190"/>
    <m/>
    <n v="4000"/>
    <n v="570.57182705718276"/>
    <n v="8.02"/>
    <n v="7.17"/>
    <n v="0.85"/>
    <n v="10.6"/>
    <s v="829"/>
    <n v="4091"/>
    <n v="4.93"/>
    <n v="14.86"/>
    <n v="275.39"/>
    <n v="5.2"/>
    <n v="6.12"/>
    <n v="270.18"/>
    <n v="37.68"/>
    <n v="6866.18"/>
    <s v="445615"/>
    <s v="1625439"/>
    <s v="0"/>
    <s v="0"/>
    <n v="49.9"/>
  </r>
  <r>
    <x v="117"/>
    <x v="17"/>
    <s v="Em operação"/>
    <s v="ES 0116"/>
    <x v="2"/>
    <m/>
    <m/>
    <n v="2500"/>
    <n v="186.84210526315789"/>
    <n v="6.85"/>
    <n v="5.7"/>
    <n v="1.1499999999999999"/>
    <n v="16.79"/>
    <s v="386"/>
    <n v="1065"/>
    <n v="2.76"/>
    <n v="5.13"/>
    <n v="207.72"/>
    <n v="5.68"/>
    <n v="4.9400000000000004"/>
    <n v="202.05"/>
    <n v="35.46"/>
    <n v="2177.7600000000002"/>
    <s v="214064"/>
    <s v="720405"/>
    <n v="0.1"/>
    <s v="0"/>
    <n v="5.9"/>
  </r>
  <r>
    <x v="118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416.5"/>
    <s v="110581"/>
    <s v="167147"/>
    <s v="0"/>
    <s v=""/>
    <n v="293.60000000000002"/>
  </r>
  <r>
    <x v="118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n v="8970.3700000000008"/>
    <s v=""/>
    <s v=""/>
    <s v="0"/>
    <s v=""/>
    <n v="267.7"/>
  </r>
  <r>
    <x v="118"/>
    <x v="1"/>
    <s v="Não operacional"/>
    <s v="ES 0135"/>
    <x v="2"/>
    <m/>
    <m/>
    <m/>
    <n v="0"/>
    <s v="0"/>
    <s v="0"/>
    <s v="0"/>
    <s v=""/>
    <s v="0"/>
    <n v="0"/>
    <s v=""/>
    <s v=""/>
    <s v="0"/>
    <s v="0"/>
    <s v=""/>
    <s v="0"/>
    <s v=""/>
    <n v="854.57"/>
    <s v="84633"/>
    <s v="167559"/>
    <s v="0"/>
    <s v=""/>
    <n v="84.9"/>
  </r>
  <r>
    <x v="118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n v="2675.24"/>
    <s v="189553"/>
    <s v="366912"/>
    <s v="0"/>
    <s v=""/>
    <n v="342.1"/>
  </r>
  <r>
    <x v="118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316.17"/>
    <s v="150955"/>
    <s v="454008"/>
    <s v="0"/>
    <s v=""/>
    <n v="259.7"/>
  </r>
  <r>
    <x v="118"/>
    <x v="17"/>
    <s v="Em operação"/>
    <s v="ES 0101"/>
    <x v="0"/>
    <n v="1693"/>
    <m/>
    <n v="4000"/>
    <n v="595.97315436241615"/>
    <n v="3.28"/>
    <n v="2.98"/>
    <n v="0.3"/>
    <n v="9.16"/>
    <s v="402"/>
    <n v="1776"/>
    <n v="4.42"/>
    <n v="15.97"/>
    <n v="111.2"/>
    <n v="2.37"/>
    <n v="7.89"/>
    <n v="108.83"/>
    <n v="36.56"/>
    <n v="6869.46"/>
    <s v="446017"/>
    <s v="1627215"/>
    <s v="0"/>
    <s v="0"/>
    <n v="49.9"/>
  </r>
  <r>
    <x v="118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"/>
    <x v="18"/>
    <s v="Em operação"/>
    <s v="ES 0096"/>
    <x v="2"/>
    <m/>
    <m/>
    <n v="2500"/>
    <n v="217.39130434782609"/>
    <n v="5.93"/>
    <n v="4.83"/>
    <n v="1.1000000000000001"/>
    <n v="18.54"/>
    <s v="570"/>
    <n v="1050"/>
    <n v="1.73"/>
    <n v="9.83"/>
    <n v="100.31"/>
    <n v="3.79"/>
    <n v="3.44"/>
    <n v="96.53"/>
    <n v="19.97"/>
    <n v="9422.43"/>
    <s v="111151"/>
    <s v="168133"/>
    <s v="0"/>
    <s v="0"/>
    <n v="293.60000000000002"/>
  </r>
  <r>
    <x v="119"/>
    <x v="18"/>
    <s v="Em operação"/>
    <s v="ES 0097"/>
    <x v="7"/>
    <m/>
    <m/>
    <m/>
    <n v="0"/>
    <n v="6.18"/>
    <n v="3.23"/>
    <n v="2.95"/>
    <n v="47.74"/>
    <s v=""/>
    <s v=""/>
    <s v=""/>
    <s v=""/>
    <n v="79.489999999999995"/>
    <n v="11.83"/>
    <n v="4.01"/>
    <n v="67.66"/>
    <n v="20.95"/>
    <n v="8976.5499999999993"/>
    <s v=""/>
    <s v=""/>
    <n v="0.5"/>
    <s v=""/>
    <n v="268.2"/>
  </r>
  <r>
    <x v="119"/>
    <x v="18"/>
    <s v="Em operação"/>
    <s v="ES 0135"/>
    <x v="2"/>
    <m/>
    <m/>
    <n v="2500"/>
    <n v="84.688346883468839"/>
    <n v="8.33"/>
    <n v="7.38"/>
    <n v="0.95"/>
    <n v="11.41"/>
    <s v="341"/>
    <n v="625"/>
    <n v="1.83"/>
    <n v="5.0199999999999996"/>
    <n v="124.45"/>
    <n v="3.79"/>
    <n v="3.98"/>
    <n v="120.66"/>
    <n v="16.350000000000001"/>
    <n v="862.9"/>
    <s v="84974"/>
    <s v="168184"/>
    <n v="1.1000000000000001"/>
    <s v="0"/>
    <s v="86"/>
  </r>
  <r>
    <x v="119"/>
    <x v="18"/>
    <s v="Em operação"/>
    <s v="ES 0110"/>
    <x v="2"/>
    <m/>
    <m/>
    <n v="2500"/>
    <n v="429.92831541218635"/>
    <n v="6.78"/>
    <n v="5.58"/>
    <n v="1.2"/>
    <n v="17.690000000000001"/>
    <s v="1175"/>
    <n v="2399"/>
    <n v="2.04"/>
    <n v="18.850000000000001"/>
    <n v="127.28"/>
    <n v="3.79"/>
    <n v="3.15"/>
    <n v="123.5"/>
    <n v="22.11"/>
    <n v="2682.03"/>
    <s v="190728"/>
    <s v="369311"/>
    <s v="0"/>
    <s v="0"/>
    <n v="342.1"/>
  </r>
  <r>
    <x v="119"/>
    <x v="18"/>
    <s v="Em operação"/>
    <s v="ES 0126"/>
    <x v="2"/>
    <m/>
    <m/>
    <n v="2500"/>
    <n v="348.07302231237327"/>
    <n v="11.41"/>
    <n v="9.86"/>
    <n v="1.55"/>
    <n v="13.59"/>
    <s v="1568"/>
    <n v="3432"/>
    <n v="2.19"/>
    <n v="16.12"/>
    <n v="212.93"/>
    <n v="6.15"/>
    <n v="3.97"/>
    <n v="206.78"/>
    <n v="20.98"/>
    <n v="1321.63"/>
    <s v="137161"/>
    <s v="301522"/>
    <s v="0"/>
    <s v="0"/>
    <n v="126.6"/>
  </r>
  <r>
    <x v="119"/>
    <x v="18"/>
    <s v="Em operação"/>
    <s v="ES 0099"/>
    <x v="2"/>
    <m/>
    <m/>
    <n v="2500"/>
    <n v="263.42281879194633"/>
    <n v="7.46"/>
    <n v="5.96"/>
    <n v="1.5"/>
    <n v="20.11"/>
    <s v="467"/>
    <n v="1570"/>
    <n v="3.36"/>
    <n v="8.92"/>
    <n v="176.02"/>
    <n v="10.41"/>
    <n v="6.94"/>
    <n v="165.61"/>
    <n v="27.79"/>
    <n v="8323.6299999999992"/>
    <s v="151422"/>
    <s v="455578"/>
    <s v="0"/>
    <s v="0"/>
    <n v="259.7"/>
  </r>
  <r>
    <x v="119"/>
    <x v="18"/>
    <s v="Em operação"/>
    <s v="ES 0101"/>
    <x v="0"/>
    <n v="2905"/>
    <m/>
    <n v="3428.5714285714284"/>
    <n v="558.97129186602876"/>
    <n v="9.01"/>
    <n v="8.36"/>
    <n v="0.65"/>
    <n v="7.21"/>
    <s v="1004"/>
    <n v="4673"/>
    <n v="4.6500000000000004"/>
    <n v="13.7"/>
    <n v="341.16"/>
    <n v="3.79"/>
    <n v="5.82"/>
    <n v="337.37"/>
    <n v="40.36"/>
    <n v="6878.47"/>
    <s v="447021"/>
    <s v="1631888"/>
    <n v="0.1"/>
    <s v="0"/>
    <s v="50"/>
  </r>
  <r>
    <x v="119"/>
    <x v="18"/>
    <s v="Em operação"/>
    <s v="ES 0116"/>
    <x v="2"/>
    <m/>
    <m/>
    <n v="2500"/>
    <n v="189.82035928143713"/>
    <n v="3.69"/>
    <n v="3.34"/>
    <n v="0.35"/>
    <n v="9.48"/>
    <s v="245"/>
    <s v="634"/>
    <n v="2.59"/>
    <n v="6.35"/>
    <n v="99.84"/>
    <n v="1.89"/>
    <n v="5.41"/>
    <n v="97.95"/>
    <n v="29.32"/>
    <n v="2181.4499999999998"/>
    <s v="214309"/>
    <s v="721039"/>
    <s v="0"/>
    <s v="0"/>
    <n v="5.9"/>
  </r>
  <r>
    <x v="120"/>
    <x v="18"/>
    <s v="Em operação"/>
    <s v="ES 0096"/>
    <x v="2"/>
    <m/>
    <m/>
    <n v="2500"/>
    <n v="47.692307692307693"/>
    <n v="6.3"/>
    <n v="4.55"/>
    <n v="1.75"/>
    <n v="27.76"/>
    <n v="187"/>
    <n v="217"/>
    <n v="1.1599999999999999"/>
    <n v="2.34"/>
    <n v="92.74"/>
    <n v="7.1"/>
    <n v="4.0599999999999996"/>
    <n v="85.64"/>
    <n v="18.8"/>
    <n v="9428.74"/>
    <n v="111338"/>
    <n v="168350"/>
    <n v="0.1"/>
    <n v="0"/>
    <n v="293.7"/>
  </r>
  <r>
    <x v="120"/>
    <x v="18"/>
    <s v="Em operação"/>
    <s v="ES 0097"/>
    <x v="6"/>
    <m/>
    <m/>
    <m/>
    <n v="155.70934256055364"/>
    <n v="7.83"/>
    <n v="5.78"/>
    <n v="2.0499999999999998"/>
    <n v="26.18"/>
    <s v=""/>
    <n v="900"/>
    <s v=""/>
    <s v=""/>
    <n v="128.69999999999999"/>
    <n v="8.99"/>
    <n v="4.3899999999999997"/>
    <n v="119.71"/>
    <n v="20.71"/>
    <n v="8984.4"/>
    <s v=""/>
    <s v=""/>
    <n v="0.1"/>
    <s v=""/>
    <n v="268.3"/>
  </r>
  <r>
    <x v="120"/>
    <x v="18"/>
    <s v="Em operação"/>
    <s v="ES 0135"/>
    <x v="2"/>
    <m/>
    <m/>
    <n v="2500"/>
    <n v="256.35103926096997"/>
    <n v="6.08"/>
    <n v="4.33"/>
    <n v="1.75"/>
    <n v="28.8"/>
    <s v="676"/>
    <n v="1110"/>
    <n v="1.64"/>
    <n v="11.85"/>
    <n v="93.69"/>
    <n v="5.68"/>
    <n v="3.24"/>
    <n v="88.01"/>
    <n v="20.34"/>
    <n v="868.97"/>
    <s v="85815"/>
    <s v="169571"/>
    <n v="0.5"/>
    <s v="0"/>
    <n v="86.9"/>
  </r>
  <r>
    <x v="120"/>
    <x v="18"/>
    <s v="Em operação"/>
    <s v="ES 0110"/>
    <x v="2"/>
    <m/>
    <m/>
    <n v="2500"/>
    <n v="406.05226960110042"/>
    <n v="8.4700000000000006"/>
    <n v="7.27"/>
    <n v="1.2"/>
    <n v="14.16"/>
    <s v="1503"/>
    <n v="2952"/>
    <n v="1.96"/>
    <n v="17.48"/>
    <n v="168.92"/>
    <n v="5.2"/>
    <n v="4.34"/>
    <n v="163.72"/>
    <n v="22.51"/>
    <n v="2690.5"/>
    <s v="192231"/>
    <s v="372263"/>
    <n v="0.9"/>
    <s v="0"/>
    <s v="343"/>
  </r>
  <r>
    <x v="120"/>
    <x v="18"/>
    <s v="Em operação"/>
    <s v="ES 0126"/>
    <x v="2"/>
    <m/>
    <m/>
    <n v="2500"/>
    <n v="153.33333333333334"/>
    <n v="14.55"/>
    <n v="12.9"/>
    <n v="1.65"/>
    <n v="11.34"/>
    <s v="1180"/>
    <n v="1978"/>
    <n v="1.68"/>
    <n v="8.8000000000000007"/>
    <n v="224.76"/>
    <n v="5.2"/>
    <n v="3.15"/>
    <n v="219.55"/>
    <n v="17.02"/>
    <n v="1336.18"/>
    <s v="138341"/>
    <s v="303500"/>
    <n v="0.1"/>
    <s v="0"/>
    <n v="126.7"/>
  </r>
  <r>
    <x v="120"/>
    <x v="18"/>
    <s v="Em operação"/>
    <s v="ES 0099"/>
    <x v="2"/>
    <m/>
    <m/>
    <n v="2500"/>
    <n v="412.86127167630059"/>
    <n v="8.3699999999999992"/>
    <n v="6.92"/>
    <n v="1.45"/>
    <n v="17.329999999999998"/>
    <s v="754"/>
    <n v="2857"/>
    <n v="3.79"/>
    <n v="13.15"/>
    <n v="217.19"/>
    <n v="8.99"/>
    <n v="6.2"/>
    <n v="208.2"/>
    <n v="30.1"/>
    <s v="8332"/>
    <s v="152176"/>
    <s v="458435"/>
    <n v="0.1"/>
    <s v="0"/>
    <n v="259.8"/>
  </r>
  <r>
    <x v="120"/>
    <x v="18"/>
    <s v="Em operação"/>
    <s v="ES 0101"/>
    <x v="0"/>
    <n v="2789"/>
    <m/>
    <n v="3428.5714285714284"/>
    <n v="524.62908011869433"/>
    <n v="7.89"/>
    <n v="6.74"/>
    <n v="1.1499999999999999"/>
    <n v="14.58"/>
    <s v="784"/>
    <n v="3536"/>
    <n v="4.51"/>
    <n v="14.29"/>
    <n v="247.47"/>
    <n v="7.1"/>
    <n v="6.17"/>
    <n v="240.37"/>
    <n v="35.67"/>
    <n v="6886.36"/>
    <s v="447805"/>
    <s v="1635424"/>
    <n v="0.1"/>
    <s v="0"/>
    <n v="50.1"/>
  </r>
  <r>
    <x v="120"/>
    <x v="18"/>
    <s v="Em operação"/>
    <s v="ES 0116"/>
    <x v="2"/>
    <m/>
    <m/>
    <n v="2500"/>
    <n v="314.06896551724139"/>
    <n v="7.95"/>
    <n v="7.25"/>
    <n v="0.7"/>
    <n v="8.81"/>
    <s v="850"/>
    <n v="2277"/>
    <n v="2.68"/>
    <n v="7.65"/>
    <n v="297.63"/>
    <n v="2.84"/>
    <n v="4.0599999999999996"/>
    <n v="294.79000000000002"/>
    <n v="40.67"/>
    <n v="2189.4"/>
    <s v="215249"/>
    <s v="723534"/>
    <n v="0.1"/>
    <s v="0"/>
    <s v="6"/>
  </r>
  <r>
    <x v="121"/>
    <x v="18"/>
    <s v="Em operação"/>
    <s v="ES 0096"/>
    <x v="2"/>
    <m/>
    <m/>
    <n v="2500"/>
    <n v="131.01952277657267"/>
    <n v="5.91"/>
    <n v="4.6100000000000003"/>
    <n v="1.3"/>
    <s v="22"/>
    <s v="394"/>
    <n v="604"/>
    <n v="1.53"/>
    <n v="6.35"/>
    <n v="95.11"/>
    <n v="4.7300000000000004"/>
    <n v="3.64"/>
    <n v="90.38"/>
    <n v="19.61"/>
    <n v="9434.65"/>
    <s v="111732"/>
    <s v="168954"/>
    <s v="1"/>
    <s v="0"/>
    <n v="294.7"/>
  </r>
  <r>
    <x v="121"/>
    <x v="18"/>
    <s v="Em operação"/>
    <s v="ES 0097"/>
    <x v="6"/>
    <m/>
    <m/>
    <m/>
    <n v="166.0682226211849"/>
    <n v="7.47"/>
    <n v="5.57"/>
    <n v="1.9"/>
    <n v="25.42"/>
    <s v=""/>
    <n v="925"/>
    <s v=""/>
    <s v=""/>
    <n v="123.5"/>
    <n v="8.0399999999999991"/>
    <n v="4.2300000000000004"/>
    <n v="115.46"/>
    <n v="20.72"/>
    <n v="8991.8700000000008"/>
    <s v=""/>
    <s v=""/>
    <n v="0.5"/>
    <s v=""/>
    <n v="268.8"/>
  </r>
  <r>
    <x v="121"/>
    <x v="18"/>
    <s v="Em operação"/>
    <s v="ES 0135"/>
    <x v="2"/>
    <m/>
    <m/>
    <n v="2500"/>
    <n v="207.38636363636363"/>
    <n v="6.93"/>
    <n v="5.28"/>
    <n v="1.65"/>
    <n v="23.8"/>
    <s v="838"/>
    <n v="1095"/>
    <n v="1.31"/>
    <n v="9.89"/>
    <n v="110.72"/>
    <n v="5.68"/>
    <n v="3.44"/>
    <n v="105.05"/>
    <n v="19.88"/>
    <n v="875.91"/>
    <s v="86653"/>
    <s v="170666"/>
    <n v="1.8"/>
    <s v="0"/>
    <n v="88.7"/>
  </r>
  <r>
    <x v="121"/>
    <x v="18"/>
    <s v="Em operação"/>
    <s v="ES 0110"/>
    <x v="2"/>
    <m/>
    <m/>
    <n v="2500"/>
    <n v="445.32871972318338"/>
    <n v="6.73"/>
    <n v="5.78"/>
    <n v="0.95"/>
    <n v="14.11"/>
    <s v="1171"/>
    <n v="2574"/>
    <n v="2.2000000000000002"/>
    <n v="19.57"/>
    <n v="131.54"/>
    <n v="2.84"/>
    <n v="2.99"/>
    <n v="128.69999999999999"/>
    <n v="22.26"/>
    <n v="2697.23"/>
    <s v="193402"/>
    <s v="374837"/>
    <n v="1.1000000000000001"/>
    <s v="0"/>
    <n v="344.1"/>
  </r>
  <r>
    <x v="121"/>
    <x v="18"/>
    <s v="Em operação"/>
    <s v="ES 0126"/>
    <x v="2"/>
    <m/>
    <m/>
    <n v="2500"/>
    <n v="161.43410852713177"/>
    <n v="11.77"/>
    <n v="10.32"/>
    <n v="1.45"/>
    <n v="12.32"/>
    <s v="1119"/>
    <n v="1666"/>
    <n v="1.49"/>
    <n v="7.32"/>
    <n v="227.6"/>
    <n v="4.7300000000000004"/>
    <n v="3.26"/>
    <n v="222.87"/>
    <n v="21.59"/>
    <n v="1347.95"/>
    <s v="139731"/>
    <s v="305647"/>
    <s v="0"/>
    <s v="0"/>
    <n v="126.7"/>
  </r>
  <r>
    <x v="121"/>
    <x v="18"/>
    <s v="Em operação"/>
    <s v="ES 0099"/>
    <x v="2"/>
    <m/>
    <m/>
    <n v="2500"/>
    <n v="275.87354409317805"/>
    <n v="6.61"/>
    <n v="6.01"/>
    <n v="0.6"/>
    <n v="9.08"/>
    <s v="514"/>
    <n v="1658"/>
    <n v="3.23"/>
    <n v="8.7200000000000006"/>
    <n v="190.22"/>
    <n v="3.79"/>
    <n v="6.31"/>
    <n v="186.43"/>
    <n v="31.03"/>
    <n v="8338.61"/>
    <s v="152690"/>
    <s v="460093"/>
    <n v="0.1"/>
    <s v="0"/>
    <n v="259.89999999999998"/>
  </r>
  <r>
    <x v="121"/>
    <x v="18"/>
    <s v="Em operação"/>
    <s v="ES 0101"/>
    <x v="0"/>
    <n v="2348"/>
    <m/>
    <n v="3428.5714285714284"/>
    <n v="537.60479041916165"/>
    <n v="9.25"/>
    <n v="8.35"/>
    <n v="0.9"/>
    <n v="9.73"/>
    <s v="1044"/>
    <n v="4489"/>
    <n v="4.3"/>
    <n v="13.34"/>
    <n v="336.43"/>
    <n v="5.2"/>
    <n v="5.78"/>
    <n v="331.22"/>
    <n v="39.659999999999997"/>
    <n v="6895.61"/>
    <s v="448849"/>
    <s v="1639913"/>
    <s v="0"/>
    <s v="0"/>
    <n v="50.1"/>
  </r>
  <r>
    <x v="121"/>
    <x v="18"/>
    <s v="Em operação"/>
    <s v="ES 0116"/>
    <x v="2"/>
    <m/>
    <m/>
    <n v="2500"/>
    <n v="406.86015831134563"/>
    <n v="4.29"/>
    <n v="3.79"/>
    <n v="0.5"/>
    <n v="11.66"/>
    <s v="684"/>
    <n v="1542"/>
    <n v="2.25"/>
    <n v="9.64"/>
    <n v="159.93"/>
    <n v="2.37"/>
    <n v="4.7300000000000004"/>
    <n v="157.57"/>
    <n v="41.61"/>
    <n v="2193.69"/>
    <s v="215933"/>
    <s v="725076"/>
    <s v="0"/>
    <s v="0"/>
    <s v="6"/>
  </r>
  <r>
    <x v="122"/>
    <x v="18"/>
    <s v="Em operação"/>
    <s v="ES 0096"/>
    <x v="2"/>
    <m/>
    <m/>
    <n v="2500"/>
    <n v="267.49116607773851"/>
    <n v="8.81"/>
    <n v="5.66"/>
    <n v="3.15"/>
    <n v="35.770000000000003"/>
    <s v="815"/>
    <n v="1514"/>
    <n v="1.86"/>
    <n v="12.8"/>
    <n v="118.29"/>
    <n v="12.3"/>
    <n v="3.91"/>
    <n v="105.99"/>
    <n v="18.739999999999998"/>
    <n v="9443.4500000000007"/>
    <s v="112547"/>
    <s v="170468"/>
    <n v="0.1"/>
    <s v="0"/>
    <n v="294.8"/>
  </r>
  <r>
    <x v="122"/>
    <x v="18"/>
    <s v="Em operação"/>
    <s v="ES 0097"/>
    <x v="6"/>
    <m/>
    <m/>
    <m/>
    <n v="75.406032482598619"/>
    <n v="7.21"/>
    <n v="4.3099999999999996"/>
    <n v="2.9"/>
    <n v="40.22"/>
    <s v=""/>
    <n v="325"/>
    <s v=""/>
    <s v=""/>
    <n v="90.38"/>
    <n v="13.25"/>
    <n v="4.57"/>
    <n v="77.13"/>
    <n v="17.899999999999999"/>
    <n v="8999.08"/>
    <s v=""/>
    <s v=""/>
    <n v="0.2"/>
    <s v=""/>
    <s v="269"/>
  </r>
  <r>
    <x v="122"/>
    <x v="18"/>
    <s v="Em operação"/>
    <s v="ES 0135"/>
    <x v="2"/>
    <m/>
    <m/>
    <n v="2500"/>
    <n v="290"/>
    <n v="13.5"/>
    <n v="12.2"/>
    <n v="1.3"/>
    <n v="9.6300000000000008"/>
    <s v="1920"/>
    <n v="3538"/>
    <n v="1.84"/>
    <n v="13.67"/>
    <n v="258.83"/>
    <n v="4.26"/>
    <n v="3.28"/>
    <n v="254.57"/>
    <n v="20.86"/>
    <n v="889.41"/>
    <s v="88573"/>
    <s v="174204"/>
    <n v="1.5"/>
    <s v="0"/>
    <n v="90.2"/>
  </r>
  <r>
    <x v="122"/>
    <x v="18"/>
    <s v="Em operação"/>
    <s v="ES 0110"/>
    <x v="2"/>
    <m/>
    <m/>
    <n v="2500"/>
    <n v="473.00435413642964"/>
    <n v="7.94"/>
    <n v="6.89"/>
    <n v="1.05"/>
    <n v="13.22"/>
    <s v="1475"/>
    <n v="3259"/>
    <n v="2.21"/>
    <n v="21.26"/>
    <n v="153.31"/>
    <n v="4.7300000000000004"/>
    <n v="4.51"/>
    <n v="148.58000000000001"/>
    <n v="21.56"/>
    <n v="2705.17"/>
    <s v="194877"/>
    <s v="378096"/>
    <s v="1"/>
    <s v="0"/>
    <n v="345.1"/>
  </r>
  <r>
    <x v="122"/>
    <x v="18"/>
    <s v="Em operação"/>
    <s v="ES 0126"/>
    <x v="2"/>
    <m/>
    <m/>
    <n v="2500"/>
    <n v="231.78217821782178"/>
    <n v="10.95"/>
    <n v="10.1"/>
    <n v="0.85"/>
    <n v="7.76"/>
    <s v="1256"/>
    <n v="2341"/>
    <n v="1.86"/>
    <n v="10.85"/>
    <n v="215.77"/>
    <n v="3.31"/>
    <n v="3.9"/>
    <n v="212.46"/>
    <n v="21.03"/>
    <n v="1358.91"/>
    <s v="140987"/>
    <s v="307988"/>
    <n v="2.7"/>
    <s v="0"/>
    <n v="129.4"/>
  </r>
  <r>
    <x v="122"/>
    <x v="18"/>
    <s v="Em operação"/>
    <s v="ES 0099"/>
    <x v="2"/>
    <m/>
    <m/>
    <n v="2500"/>
    <n v="59.770114942528735"/>
    <n v="3.11"/>
    <n v="2.61"/>
    <n v="0.5"/>
    <n v="16.079999999999998"/>
    <s v="65"/>
    <n v="156"/>
    <n v="2.4"/>
    <n v="1.87"/>
    <n v="83.28"/>
    <n v="2.37"/>
    <n v="4.7300000000000004"/>
    <n v="80.91"/>
    <s v="31"/>
    <n v="8341.7199999999993"/>
    <s v="152755"/>
    <s v="460249"/>
    <n v="0.1"/>
    <s v="0"/>
    <s v="260"/>
  </r>
  <r>
    <x v="122"/>
    <x v="18"/>
    <s v="Em operação"/>
    <s v="ES 0101"/>
    <x v="0"/>
    <n v="5165"/>
    <m/>
    <n v="3428.5714285714284"/>
    <n v="606.9838056680162"/>
    <n v="10.78"/>
    <n v="9.8800000000000008"/>
    <n v="0.9"/>
    <n v="8.35"/>
    <s v="1283"/>
    <n v="5997"/>
    <n v="4.67"/>
    <n v="15.2"/>
    <n v="394.63"/>
    <n v="5.2"/>
    <n v="5.78"/>
    <n v="389.42"/>
    <n v="39.409999999999997"/>
    <n v="6906.39"/>
    <s v="450132"/>
    <s v="1645910"/>
    <n v="0.1"/>
    <s v="0"/>
    <n v="50.2"/>
  </r>
  <r>
    <x v="122"/>
    <x v="18"/>
    <s v="Em operação"/>
    <s v="ES 0116"/>
    <x v="2"/>
    <m/>
    <m/>
    <n v="2500"/>
    <n v="338.77551020408163"/>
    <n v="0.84"/>
    <n v="0.49"/>
    <n v="0.35"/>
    <n v="41.72"/>
    <s v="62"/>
    <n v="166"/>
    <n v="2.68"/>
    <n v="6.75"/>
    <n v="24.61"/>
    <n v="1.89"/>
    <n v="5.41"/>
    <n v="22.71"/>
    <n v="46.46"/>
    <n v="2194.5300000000002"/>
    <s v="215995"/>
    <s v="725242"/>
    <s v="0"/>
    <s v="0"/>
    <s v="6"/>
  </r>
  <r>
    <x v="123"/>
    <x v="18"/>
    <s v="Em operação"/>
    <s v="ES 0096"/>
    <x v="2"/>
    <m/>
    <m/>
    <n v="2500"/>
    <n v="185.33685601056803"/>
    <n v="8.67"/>
    <n v="7.57"/>
    <n v="1.1000000000000001"/>
    <n v="12.69"/>
    <s v="926"/>
    <n v="1403"/>
    <n v="1.52"/>
    <n v="9.3800000000000008"/>
    <n v="149.52000000000001"/>
    <n v="4.26"/>
    <n v="3.87"/>
    <n v="145.26"/>
    <n v="19.190000000000001"/>
    <n v="9452.1200000000008"/>
    <s v="113473"/>
    <s v="171871"/>
    <s v="0"/>
    <s v="0"/>
    <n v="294.8"/>
  </r>
  <r>
    <x v="123"/>
    <x v="18"/>
    <s v="Em operação"/>
    <s v="ES 0097"/>
    <x v="6"/>
    <m/>
    <m/>
    <m/>
    <n v="12.626262626262626"/>
    <n v="5.31"/>
    <n v="3.96"/>
    <n v="1.35"/>
    <n v="25.41"/>
    <s v=""/>
    <n v="50"/>
    <s v=""/>
    <s v=""/>
    <n v="81.86"/>
    <n v="5.2"/>
    <n v="3.86"/>
    <n v="76.650000000000006"/>
    <n v="19.34"/>
    <n v="9004.39"/>
    <s v=""/>
    <s v=""/>
    <s v="0"/>
    <s v=""/>
    <s v="269"/>
  </r>
  <r>
    <x v="123"/>
    <x v="18"/>
    <s v="Em operação"/>
    <s v="ES 0135"/>
    <x v="2"/>
    <m/>
    <m/>
    <n v="2500"/>
    <n v="265.1260504201681"/>
    <n v="12.62"/>
    <n v="9.52"/>
    <n v="3.1"/>
    <n v="24.57"/>
    <s v="1347"/>
    <n v="2524"/>
    <n v="1.87"/>
    <n v="12.61"/>
    <n v="200.15"/>
    <n v="9.94"/>
    <n v="3.21"/>
    <n v="190.22"/>
    <n v="19.989999999999998"/>
    <n v="902.02"/>
    <s v="89920"/>
    <s v="176728"/>
    <n v="1.1000000000000001"/>
    <s v="0"/>
    <n v="91.3"/>
  </r>
  <r>
    <x v="123"/>
    <x v="18"/>
    <s v="Em operação"/>
    <s v="ES 0110"/>
    <x v="2"/>
    <m/>
    <m/>
    <n v="2500"/>
    <n v="452.7363184079602"/>
    <n v="6.93"/>
    <n v="6.03"/>
    <n v="0.9"/>
    <n v="12.98"/>
    <s v="1227"/>
    <n v="2730"/>
    <n v="2.2200000000000002"/>
    <n v="22.11"/>
    <n v="123.5"/>
    <n v="3.31"/>
    <n v="3.68"/>
    <n v="120.19"/>
    <n v="19.93"/>
    <n v="2712.1"/>
    <s v="196104"/>
    <s v="380826"/>
    <s v="0"/>
    <s v="0"/>
    <n v="345.1"/>
  </r>
  <r>
    <x v="123"/>
    <x v="18"/>
    <s v="Em operação"/>
    <s v="ES 0126"/>
    <x v="2"/>
    <m/>
    <m/>
    <n v="2500"/>
    <n v="234.69785575048732"/>
    <n v="12.46"/>
    <n v="10.26"/>
    <n v="2.2000000000000002"/>
    <n v="17.66"/>
    <s v="1307"/>
    <n v="2408"/>
    <n v="1.84"/>
    <n v="11.14"/>
    <n v="216.24"/>
    <n v="7.57"/>
    <n v="3.44"/>
    <n v="208.67"/>
    <n v="20.34"/>
    <n v="1371.37"/>
    <s v="142294"/>
    <s v="310396"/>
    <s v="0"/>
    <s v="0"/>
    <n v="129.4"/>
  </r>
  <r>
    <x v="123"/>
    <x v="18"/>
    <s v="Em operação"/>
    <s v="ES 0099"/>
    <x v="2"/>
    <m/>
    <m/>
    <n v="2500"/>
    <n v="230.86913086913088"/>
    <n v="11.61"/>
    <n v="10.01"/>
    <n v="1.6"/>
    <n v="13.78"/>
    <s v="896"/>
    <n v="2311"/>
    <n v="2.58"/>
    <n v="7.41"/>
    <n v="311.82"/>
    <n v="9.94"/>
    <n v="6.21"/>
    <n v="301.89"/>
    <n v="30.15"/>
    <n v="8353.33"/>
    <s v="153651"/>
    <s v="462560"/>
    <n v="0.1"/>
    <s v="0"/>
    <n v="260.10000000000002"/>
  </r>
  <r>
    <x v="123"/>
    <x v="18"/>
    <s v="Em operação"/>
    <s v="ES 0101"/>
    <x v="0"/>
    <n v="5306"/>
    <m/>
    <n v="3428.5714285714284"/>
    <n v="681.40417457305512"/>
    <n v="11.49"/>
    <n v="10.54"/>
    <n v="0.95"/>
    <n v="8.27"/>
    <s v="1492"/>
    <n v="7182"/>
    <n v="4.8099999999999996"/>
    <n v="16.86"/>
    <n v="425.86"/>
    <n v="5.68"/>
    <n v="5.98"/>
    <n v="420.18"/>
    <n v="39.85"/>
    <n v="6917.88"/>
    <s v="451624"/>
    <s v="1653092"/>
    <s v="0"/>
    <s v="0"/>
    <n v="50.2"/>
  </r>
  <r>
    <x v="123"/>
    <x v="18"/>
    <s v="Em operação"/>
    <s v="ES 0116"/>
    <x v="2"/>
    <m/>
    <m/>
    <n v="2500"/>
    <n v="294.42307692307691"/>
    <n v="6.6"/>
    <n v="5.2"/>
    <n v="1.4"/>
    <n v="21.2"/>
    <s v="638"/>
    <n v="1531"/>
    <n v="2.4"/>
    <n v="7.54"/>
    <n v="202.99"/>
    <n v="6.15"/>
    <n v="4.3899999999999997"/>
    <n v="196.84"/>
    <n v="37.840000000000003"/>
    <n v="2201.13"/>
    <s v="216633"/>
    <s v="726773"/>
    <s v="0"/>
    <s v="0"/>
    <s v="6"/>
  </r>
  <r>
    <x v="124"/>
    <x v="18"/>
    <s v="Em operação"/>
    <s v="ES 0096"/>
    <x v="2"/>
    <m/>
    <m/>
    <n v="2142.8571428571427"/>
    <n v="0"/>
    <n v="0.3"/>
    <n v="0.3"/>
    <s v="0"/>
    <s v="0"/>
    <s v="1"/>
    <n v="0"/>
    <s v="0"/>
    <s v="0"/>
    <n v="4.26"/>
    <s v="0"/>
    <s v=""/>
    <n v="4.26"/>
    <n v="14.09"/>
    <n v="9452.43"/>
    <s v="113474"/>
    <s v="171871"/>
    <n v="0.2"/>
    <n v="0.2"/>
    <s v="295"/>
  </r>
  <r>
    <x v="124"/>
    <x v="18"/>
    <s v="Em operação"/>
    <s v="ES 0097"/>
    <x v="2"/>
    <m/>
    <m/>
    <n v="2142.8571428571427"/>
    <n v="0"/>
    <n v="0.3"/>
    <n v="0.3"/>
    <s v="0"/>
    <s v="0"/>
    <s v="1"/>
    <n v="0"/>
    <s v="0"/>
    <s v="0"/>
    <n v="4.26"/>
    <s v="0"/>
    <s v=""/>
    <n v="4.26"/>
    <n v="14.09"/>
    <n v="9452.43"/>
    <s v="113474"/>
    <s v="171871"/>
    <n v="0.2"/>
    <n v="0.2"/>
    <s v="295"/>
  </r>
  <r>
    <x v="124"/>
    <x v="18"/>
    <s v="Em operação"/>
    <s v="ES 0135"/>
    <x v="2"/>
    <m/>
    <m/>
    <n v="2142.8571428571427"/>
    <n v="232.36994219653178"/>
    <n v="3.91"/>
    <n v="3.46"/>
    <n v="0.45"/>
    <n v="11.51"/>
    <s v="448"/>
    <n v="804"/>
    <n v="1.79"/>
    <n v="11.4"/>
    <n v="70.5"/>
    <n v="1.42"/>
    <n v="3.15"/>
    <n v="69.08"/>
    <n v="19.96"/>
    <n v="905.93"/>
    <s v="90368"/>
    <s v="177532"/>
    <n v="1.6"/>
    <s v="0"/>
    <n v="92.9"/>
  </r>
  <r>
    <x v="124"/>
    <x v="18"/>
    <s v="Em operação"/>
    <s v="ES 0110"/>
    <x v="2"/>
    <m/>
    <m/>
    <n v="2142.8571428571427"/>
    <n v="0"/>
    <s v="0"/>
    <s v="0"/>
    <s v="0"/>
    <s v=""/>
    <s v="0"/>
    <n v="0"/>
    <s v=""/>
    <s v=""/>
    <s v="0"/>
    <s v="0"/>
    <s v=""/>
    <s v="0"/>
    <s v=""/>
    <n v="2712.1"/>
    <s v="196104"/>
    <s v="380826"/>
    <s v="0"/>
    <s v=""/>
    <n v="345.1"/>
  </r>
  <r>
    <x v="124"/>
    <x v="18"/>
    <s v="Em operação"/>
    <s v="ES 0126"/>
    <x v="2"/>
    <m/>
    <m/>
    <n v="2142.8571428571427"/>
    <n v="58.029197080291965"/>
    <n v="6.88"/>
    <n v="5.48"/>
    <n v="1.4"/>
    <n v="20.350000000000001"/>
    <s v="194"/>
    <n v="318"/>
    <n v="1.64"/>
    <n v="3.38"/>
    <n v="94.16"/>
    <n v="6.15"/>
    <n v="4.3899999999999997"/>
    <n v="88.01"/>
    <n v="16.059999999999999"/>
    <n v="1378.25"/>
    <s v="142488"/>
    <s v="310714"/>
    <n v="1.4"/>
    <n v="0.01"/>
    <n v="130.80000000000001"/>
  </r>
  <r>
    <x v="124"/>
    <x v="18"/>
    <s v="Em operação"/>
    <s v="ES 0099"/>
    <x v="2"/>
    <m/>
    <m/>
    <n v="2142.8571428571427"/>
    <n v="69.631901840490798"/>
    <n v="3.46"/>
    <n v="3.26"/>
    <n v="0.2"/>
    <n v="5.78"/>
    <s v="247"/>
    <n v="227"/>
    <n v="0.92"/>
    <n v="2.35"/>
    <n v="96.53"/>
    <n v="2.37"/>
    <n v="11.83"/>
    <n v="94.16"/>
    <n v="28.9"/>
    <n v="8356.7900000000009"/>
    <s v="153898"/>
    <s v="462787"/>
    <n v="0.1"/>
    <s v="0"/>
    <n v="260.2"/>
  </r>
  <r>
    <x v="124"/>
    <x v="18"/>
    <s v="Em operação"/>
    <s v="ES 0101"/>
    <x v="0"/>
    <n v="5306"/>
    <m/>
    <n v="3428.5714285714284"/>
    <n v="762.71186440677968"/>
    <n v="2.57"/>
    <n v="1.77"/>
    <n v="0.8"/>
    <n v="31.12"/>
    <s v="260"/>
    <n v="1350"/>
    <n v="5.19"/>
    <n v="19.02"/>
    <n v="70.98"/>
    <n v="4.7300000000000004"/>
    <n v="5.91"/>
    <n v="66.239999999999995"/>
    <n v="37.409999999999997"/>
    <n v="6920.45"/>
    <s v="451884"/>
    <s v="1654442"/>
    <s v="0"/>
    <s v="0"/>
    <n v="50.2"/>
  </r>
  <r>
    <x v="124"/>
    <x v="18"/>
    <s v="Em operação"/>
    <s v="ES 0116"/>
    <x v="2"/>
    <m/>
    <m/>
    <n v="2142.8571428571427"/>
    <n v="285.14851485148517"/>
    <n v="3.42"/>
    <n v="2.02"/>
    <n v="1.4"/>
    <n v="40.92"/>
    <s v="215"/>
    <n v="576"/>
    <n v="2.68"/>
    <n v="6.54"/>
    <n v="88.01"/>
    <n v="6.62"/>
    <n v="4.7300000000000004"/>
    <n v="81.39"/>
    <n v="40.270000000000003"/>
    <n v="2204.5500000000002"/>
    <s v="216848"/>
    <s v="727349"/>
    <s v="0"/>
    <s v="0"/>
    <s v="6"/>
  </r>
  <r>
    <x v="125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452.43"/>
    <s v="113474"/>
    <s v="171871"/>
    <s v="0"/>
    <s v=""/>
    <s v="295"/>
  </r>
  <r>
    <x v="125"/>
    <x v="1"/>
    <s v="Não operacional"/>
    <s v="ES 0097"/>
    <x v="2"/>
    <m/>
    <m/>
    <m/>
    <n v="0"/>
    <s v="0"/>
    <s v="0"/>
    <s v="0"/>
    <s v=""/>
    <s v="0"/>
    <n v="0"/>
    <s v=""/>
    <s v=""/>
    <s v="0"/>
    <s v="0"/>
    <s v=""/>
    <s v="0"/>
    <s v=""/>
    <n v="9452.43"/>
    <s v="113474"/>
    <s v="171871"/>
    <s v="0"/>
    <s v=""/>
    <s v="295"/>
  </r>
  <r>
    <x v="125"/>
    <x v="1"/>
    <s v="Não operacional"/>
    <s v="ES 0135"/>
    <x v="2"/>
    <m/>
    <m/>
    <m/>
    <n v="213.63636363636363"/>
    <n v="2.0099999999999998"/>
    <n v="1.76"/>
    <n v="0.25"/>
    <n v="12.41"/>
    <s v="168"/>
    <n v="376"/>
    <n v="2.2400000000000002"/>
    <n v="9.69"/>
    <n v="38.799999999999997"/>
    <n v="0.95"/>
    <n v="3.79"/>
    <n v="37.85"/>
    <n v="21.45"/>
    <n v="907.95"/>
    <s v="90536"/>
    <s v="177908"/>
    <s v="1"/>
    <n v="0.01"/>
    <n v="93.9"/>
  </r>
  <r>
    <x v="125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n v="2712.1"/>
    <s v="196104"/>
    <s v="380826"/>
    <s v="0"/>
    <s v=""/>
    <n v="345.1"/>
  </r>
  <r>
    <x v="125"/>
    <x v="1"/>
    <s v="Não operacional"/>
    <s v="ES 0126"/>
    <x v="2"/>
    <m/>
    <m/>
    <m/>
    <n v="0"/>
    <n v="0.04"/>
    <n v="0.04"/>
    <s v="0"/>
    <s v="0"/>
    <s v="0"/>
    <n v="0"/>
    <s v=""/>
    <s v=""/>
    <s v="0"/>
    <s v="0"/>
    <s v=""/>
    <s v="0"/>
    <s v="0"/>
    <n v="1378.29"/>
    <s v="142488"/>
    <s v="310714"/>
    <s v="0"/>
    <s v=""/>
    <n v="130.80000000000001"/>
  </r>
  <r>
    <x v="125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356.7900000000009"/>
    <s v="153898"/>
    <s v="462787"/>
    <s v="0"/>
    <s v=""/>
    <n v="260.2"/>
  </r>
  <r>
    <x v="125"/>
    <x v="18"/>
    <s v="Em operação"/>
    <s v="ES 0101"/>
    <x v="0"/>
    <n v="3271"/>
    <m/>
    <n v="3428.5714285714284"/>
    <n v="645.46703296703299"/>
    <n v="7.98"/>
    <n v="7.28"/>
    <n v="0.7"/>
    <n v="8.77"/>
    <s v="990"/>
    <n v="4699"/>
    <n v="4.75"/>
    <n v="15.84"/>
    <n v="296.68"/>
    <n v="4.7300000000000004"/>
    <n v="6.76"/>
    <n v="291.95"/>
    <n v="40.08"/>
    <n v="6928.44"/>
    <s v="452874"/>
    <s v="1659141"/>
    <n v="0.1"/>
    <s v="0"/>
    <n v="50.3"/>
  </r>
  <r>
    <x v="125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1">
  <r>
    <x v="0"/>
    <x v="0"/>
    <s v="Em operação"/>
    <s v="ES 0075"/>
    <x v="0"/>
    <n v="4279.07"/>
    <m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Em operação"/>
    <s v="ES 0096"/>
    <x v="1"/>
    <n v="0"/>
    <s v="Pesagem distorcida"/>
    <s v="-"/>
    <m/>
    <n v="7.94"/>
    <n v="5.19"/>
    <n v="2.75"/>
    <n v="34.65"/>
    <n v="627"/>
    <m/>
    <n v="2247941.5"/>
    <n v="13122113.380000001"/>
    <n v="107.41"/>
    <n v="10.41"/>
    <n v="3.79"/>
    <n v="97"/>
    <n v="18.71"/>
    <n v="8845.2199999999993"/>
    <n v="51513"/>
    <n v="1409530176"/>
    <n v="0.2"/>
    <n v="0"/>
    <n v="254.5"/>
  </r>
  <r>
    <x v="0"/>
    <x v="0"/>
    <s v="Em operação"/>
    <s v="ES 0097"/>
    <x v="1"/>
    <n v="0"/>
    <s v="Não está emitindo pesagem"/>
    <s v="-"/>
    <n v="0"/>
    <n v="6.42"/>
    <n v="5.57"/>
    <n v="0.85"/>
    <n v="13.24"/>
    <n v="0"/>
    <n v="0"/>
    <s v=""/>
    <n v="0"/>
    <n v="111.2"/>
    <n v="2.84"/>
    <n v="3.34"/>
    <n v="108.36"/>
    <n v="19.45"/>
    <n v="8451.2999999999993"/>
    <n v="58208"/>
    <n v="95660"/>
    <n v="0.2"/>
    <s v=""/>
    <n v="196.7"/>
  </r>
  <r>
    <x v="0"/>
    <x v="0"/>
    <s v="Em operação"/>
    <s v="ES 0099"/>
    <x v="2"/>
    <n v="0"/>
    <m/>
    <n v="3000"/>
    <n v="307.5"/>
    <n v="8.9499999999999993"/>
    <n v="6"/>
    <n v="2.95"/>
    <n v="32.979999999999997"/>
    <n v="564"/>
    <n v="1845"/>
    <n v="3.27"/>
    <n v="8.7799999999999994"/>
    <n v="210.09"/>
    <n v="23.66"/>
    <n v="8.02"/>
    <n v="186.43"/>
    <n v="31.09"/>
    <n v="7422.78"/>
    <n v="83730"/>
    <n v="243518"/>
    <n v="0.2"/>
    <n v="0"/>
    <n v="230"/>
  </r>
  <r>
    <x v="0"/>
    <x v="0"/>
    <s v="Em operação"/>
    <s v="ES 0101"/>
    <x v="2"/>
    <n v="0"/>
    <m/>
    <n v="3000"/>
    <n v="451.39240506329111"/>
    <n v="4.7"/>
    <n v="3.95"/>
    <n v="0.75"/>
    <n v="15.96"/>
    <n v="396"/>
    <n v="1783"/>
    <n v="4.5"/>
    <n v="11.92"/>
    <n v="149.52000000000001"/>
    <n v="4.7300000000000004"/>
    <n v="6.31"/>
    <n v="144.79"/>
    <n v="36.67"/>
    <n v="6045.88"/>
    <n v="368312"/>
    <n v="1277307"/>
    <n v="0"/>
    <n v="0"/>
    <n v="42.5"/>
  </r>
  <r>
    <x v="0"/>
    <x v="0"/>
    <s v="Em operação"/>
    <s v="ES 0116"/>
    <x v="2"/>
    <n v="0"/>
    <m/>
    <n v="3000"/>
    <n v="547.02602230483274"/>
    <n v="7.38"/>
    <n v="5.38"/>
    <n v="2"/>
    <n v="27.11"/>
    <n v="866"/>
    <n v="2943"/>
    <n v="3.4"/>
    <n v="13.01"/>
    <n v="226.18"/>
    <n v="9.4600000000000009"/>
    <n v="4.7300000000000004"/>
    <n v="216.71"/>
    <n v="40.31"/>
    <n v="1467.81"/>
    <n v="138212"/>
    <n v="470759"/>
    <n v="0"/>
    <n v="0"/>
    <n v="4.2"/>
  </r>
  <r>
    <x v="0"/>
    <x v="0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0"/>
    <x v="0"/>
    <s v="Em operação"/>
    <s v="ES 0110"/>
    <x v="3"/>
    <n v="0"/>
    <m/>
    <n v="3000"/>
    <n v="291.91489361702128"/>
    <n v="8.65"/>
    <n v="7.05"/>
    <n v="1.6"/>
    <n v="18.489999999999998"/>
    <n v="1019"/>
    <n v="2058"/>
    <n v="2.02"/>
    <n v="13.47"/>
    <n v="152.84"/>
    <n v="6.15"/>
    <n v="3.84"/>
    <n v="146.68"/>
    <n v="20.8"/>
    <n v="1963.99"/>
    <n v="115865"/>
    <n v="215238"/>
    <n v="0.3"/>
    <n v="0"/>
    <n v="269.2"/>
  </r>
  <r>
    <x v="0"/>
    <x v="0"/>
    <s v="Em operação"/>
    <s v="ES 0126"/>
    <x v="3"/>
    <n v="0"/>
    <m/>
    <n v="3000"/>
    <n v="149.25373134328356"/>
    <n v="9.23"/>
    <n v="6.03"/>
    <n v="3.2"/>
    <n v="34.659999999999997"/>
    <n v="486"/>
    <n v="900"/>
    <n v="1.85"/>
    <n v="6.65"/>
    <n v="135.33000000000001"/>
    <n v="12.3"/>
    <n v="3.84"/>
    <n v="123.03"/>
    <n v="20.39"/>
    <n v="406.05"/>
    <n v="37555"/>
    <n v="75598"/>
    <n v="0.1"/>
    <n v="0"/>
    <n v="20.9"/>
  </r>
  <r>
    <x v="1"/>
    <x v="0"/>
    <s v="Em operação"/>
    <s v="ES 0096"/>
    <x v="1"/>
    <n v="0"/>
    <m/>
    <s v="-"/>
    <n v="0"/>
    <n v="8.0500000000000007"/>
    <n v="5.3"/>
    <n v="2.75"/>
    <n v="34.17"/>
    <n v="504"/>
    <n v="0"/>
    <n v="0"/>
    <n v="0"/>
    <n v="107.88"/>
    <n v="9.94"/>
    <n v="3.61"/>
    <n v="97.95"/>
    <n v="18.489999999999998"/>
    <n v="8853.26"/>
    <n v="52017"/>
    <n v="72506"/>
    <n v="0.2"/>
    <n v="0"/>
    <n v="254.7"/>
  </r>
  <r>
    <x v="1"/>
    <x v="0"/>
    <s v="Em operação"/>
    <s v="ES 0097"/>
    <x v="1"/>
    <n v="0"/>
    <s v="Não está emitindo pesagem"/>
    <s v="-"/>
    <n v="0"/>
    <n v="7.54"/>
    <n v="6.49"/>
    <n v="1.05"/>
    <n v="13.92"/>
    <n v="0"/>
    <n v="0"/>
    <s v=""/>
    <n v="0"/>
    <n v="144.79"/>
    <n v="4.7300000000000004"/>
    <n v="4.51"/>
    <n v="140.06"/>
    <n v="21.57"/>
    <n v="8458.84"/>
    <n v="58208"/>
    <n v="95660"/>
    <n v="0.6"/>
    <s v=""/>
    <n v="197.3"/>
  </r>
  <r>
    <x v="1"/>
    <x v="0"/>
    <s v="Em operação"/>
    <s v="ES 0099"/>
    <x v="2"/>
    <n v="0"/>
    <m/>
    <n v="3000"/>
    <n v="444.34931506849318"/>
    <n v="8.5399999999999991"/>
    <n v="5.84"/>
    <n v="2.7"/>
    <n v="31.6"/>
    <n v="679"/>
    <n v="2595"/>
    <n v="3.82"/>
    <n v="12.9"/>
    <n v="201.1"/>
    <n v="20.350000000000001"/>
    <n v="7.54"/>
    <n v="180.75"/>
    <n v="30.93"/>
    <n v="7431.33"/>
    <n v="84409"/>
    <n v="246113"/>
    <n v="0.5"/>
    <n v="0"/>
    <n v="230.5"/>
  </r>
  <r>
    <x v="1"/>
    <x v="0"/>
    <s v="Em operação"/>
    <s v="ES 0116"/>
    <x v="2"/>
    <n v="0"/>
    <m/>
    <n v="3000"/>
    <n v="516.380655226209"/>
    <n v="8.91"/>
    <n v="6.41"/>
    <n v="2.5"/>
    <n v="28.06"/>
    <n v="1033"/>
    <n v="3310"/>
    <n v="3.2"/>
    <n v="12.21"/>
    <n v="271.13"/>
    <n v="10.41"/>
    <n v="4.16"/>
    <n v="260.72000000000003"/>
    <n v="40.67"/>
    <n v="1476.72"/>
    <n v="139245"/>
    <n v="474069"/>
    <n v="0.1"/>
    <n v="0"/>
    <n v="4.3"/>
  </r>
  <r>
    <x v="1"/>
    <x v="0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1"/>
    <x v="0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1"/>
    <x v="0"/>
    <s v="Em operação"/>
    <s v="ES 0101"/>
    <x v="0"/>
    <n v="3690.24"/>
    <m/>
    <n v="4000"/>
    <n v="695.25065963060683"/>
    <n v="8.8800000000000008"/>
    <n v="7.58"/>
    <n v="1.3"/>
    <n v="14.64"/>
    <n v="1085"/>
    <n v="5270"/>
    <n v="4.8600000000000003"/>
    <n v="17.46"/>
    <n v="301.89"/>
    <n v="6.62"/>
    <n v="5.0999999999999996"/>
    <n v="295.26"/>
    <n v="38.96"/>
    <n v="6054.76"/>
    <n v="369397"/>
    <n v="1282577"/>
    <n v="0.1"/>
    <n v="0"/>
    <n v="42.6"/>
  </r>
  <r>
    <x v="1"/>
    <x v="0"/>
    <s v="Em operação"/>
    <s v="ES 0110"/>
    <x v="3"/>
    <n v="0"/>
    <m/>
    <n v="3000"/>
    <n v="168.12030075187968"/>
    <n v="8.3000000000000007"/>
    <n v="6.65"/>
    <n v="1.65"/>
    <n v="19.88"/>
    <n v="559"/>
    <n v="1118"/>
    <n v="2"/>
    <n v="7.62"/>
    <n v="146.68"/>
    <n v="6.15"/>
    <n v="3.73"/>
    <n v="140.53"/>
    <n v="21.14"/>
    <n v="1972.29"/>
    <n v="116424"/>
    <n v="216356"/>
    <n v="3"/>
    <n v="0.01"/>
    <n v="272.2"/>
  </r>
  <r>
    <x v="1"/>
    <x v="0"/>
    <s v="Em operação"/>
    <s v="ES 0126"/>
    <x v="3"/>
    <n v="0"/>
    <m/>
    <n v="3000"/>
    <n v="44.283121597096191"/>
    <n v="9.01"/>
    <n v="5.51"/>
    <n v="3.5"/>
    <n v="38.86"/>
    <n v="193"/>
    <n v="244"/>
    <n v="1.26"/>
    <n v="2.2799999999999998"/>
    <n v="106.94"/>
    <n v="13.72"/>
    <n v="3.92"/>
    <n v="93.22"/>
    <n v="16.93"/>
    <n v="415.05"/>
    <n v="37748"/>
    <n v="75842"/>
    <n v="0.6"/>
    <n v="0"/>
    <n v="21.5"/>
  </r>
  <r>
    <x v="2"/>
    <x v="0"/>
    <s v="Em operação"/>
    <s v="ES 0096"/>
    <x v="1"/>
    <n v="0"/>
    <m/>
    <s v="-"/>
    <n v="174.66666666666666"/>
    <n v="9.35"/>
    <n v="7.5"/>
    <n v="1.85"/>
    <n v="19.79"/>
    <n v="799"/>
    <n v="1310"/>
    <n v="1.64"/>
    <n v="8.93"/>
    <n v="146.68"/>
    <n v="7.57"/>
    <n v="4.09"/>
    <n v="139.11000000000001"/>
    <n v="18.559999999999999"/>
    <n v="8862.61"/>
    <n v="52816"/>
    <n v="73816"/>
    <n v="0.8"/>
    <n v="0"/>
    <n v="255.5"/>
  </r>
  <r>
    <x v="2"/>
    <x v="0"/>
    <s v="Em operação"/>
    <s v="ES 0097"/>
    <x v="1"/>
    <n v="0"/>
    <s v="Não está emitindo pesagem"/>
    <s v="-"/>
    <n v="100.44843049327355"/>
    <n v="5.38"/>
    <n v="2.23"/>
    <n v="3.15"/>
    <n v="58.57"/>
    <n v="133"/>
    <n v="224"/>
    <n v="1.68"/>
    <n v="4.42"/>
    <n v="50.63"/>
    <n v="12.3"/>
    <n v="3.91"/>
    <n v="38.33"/>
    <n v="17.2"/>
    <n v="4745.57"/>
    <n v="219836"/>
    <n v="411187"/>
    <n v="0.4"/>
    <n v="0"/>
    <n v="242.6"/>
  </r>
  <r>
    <x v="2"/>
    <x v="0"/>
    <s v="Em operação"/>
    <s v="ES 0099"/>
    <x v="2"/>
    <n v="0"/>
    <m/>
    <n v="3000"/>
    <n v="394.15670650730408"/>
    <n v="8.83"/>
    <n v="7.53"/>
    <n v="1.3"/>
    <n v="14.72"/>
    <n v="887"/>
    <n v="2968"/>
    <n v="3.35"/>
    <n v="11.77"/>
    <n v="252.2"/>
    <n v="9.4600000000000009"/>
    <n v="7.28"/>
    <n v="242.74"/>
    <n v="32.229999999999997"/>
    <n v="7440.16"/>
    <n v="85296"/>
    <n v="249081"/>
    <n v="0.1"/>
    <n v="0"/>
    <n v="230.6"/>
  </r>
  <r>
    <x v="2"/>
    <x v="0"/>
    <s v="Em operação"/>
    <s v="ES 0116"/>
    <x v="2"/>
    <n v="0"/>
    <m/>
    <n v="3000"/>
    <n v="220.86167800453515"/>
    <n v="5.0599999999999996"/>
    <n v="4.41"/>
    <n v="0.65"/>
    <n v="12.84"/>
    <n v="325"/>
    <n v="974"/>
    <n v="3"/>
    <n v="5.66"/>
    <n v="172.24"/>
    <n v="3.31"/>
    <n v="5.0999999999999996"/>
    <n v="168.92"/>
    <n v="38.270000000000003"/>
    <n v="1481.78"/>
    <n v="139570"/>
    <n v="475043"/>
    <n v="0"/>
    <n v="0"/>
    <n v="4.3"/>
  </r>
  <r>
    <x v="2"/>
    <x v="0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2"/>
    <x v="0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2"/>
    <x v="0"/>
    <s v="Em operação"/>
    <s v="ES 0101"/>
    <x v="0"/>
    <n v="3706.69"/>
    <m/>
    <n v="4000"/>
    <n v="590.51819184123485"/>
    <n v="11.27"/>
    <n v="9.07"/>
    <n v="2.2000000000000002"/>
    <n v="19.52"/>
    <n v="1072"/>
    <n v="5356"/>
    <n v="5"/>
    <n v="14.95"/>
    <n v="358.19"/>
    <n v="11.36"/>
    <n v="5.16"/>
    <n v="346.84"/>
    <n v="38.229999999999997"/>
    <n v="6066.03"/>
    <n v="370469"/>
    <n v="1287933"/>
    <n v="0.1"/>
    <n v="0"/>
    <n v="42.7"/>
  </r>
  <r>
    <x v="2"/>
    <x v="0"/>
    <s v="Em operação"/>
    <s v="ES 0110"/>
    <x v="3"/>
    <n v="0"/>
    <m/>
    <n v="3000"/>
    <n v="215.73948439620082"/>
    <n v="8.92"/>
    <n v="7.37"/>
    <n v="1.55"/>
    <n v="17.37"/>
    <n v="831"/>
    <n v="1590"/>
    <n v="1.91"/>
    <n v="9.8800000000000008"/>
    <n v="160.88"/>
    <n v="6.62"/>
    <n v="4.2699999999999996"/>
    <n v="154.26"/>
    <n v="20.93"/>
    <n v="1981.21"/>
    <n v="117255"/>
    <n v="217946"/>
    <n v="3.5"/>
    <n v="0"/>
    <n v="275.7"/>
  </r>
  <r>
    <x v="2"/>
    <x v="0"/>
    <s v="Em operação"/>
    <s v="ES 0126"/>
    <x v="3"/>
    <n v="0"/>
    <m/>
    <n v="3000"/>
    <n v="70.135746606334848"/>
    <n v="7.02"/>
    <n v="4.42"/>
    <n v="2.6"/>
    <n v="37.04"/>
    <n v="204"/>
    <n v="310"/>
    <n v="1.52"/>
    <n v="3.52"/>
    <n v="88.01"/>
    <n v="9.94"/>
    <n v="3.82"/>
    <n v="78.069999999999993"/>
    <n v="17.670000000000002"/>
    <n v="422.07"/>
    <n v="37952"/>
    <n v="76152"/>
    <n v="0.2"/>
    <n v="0"/>
    <n v="21.7"/>
  </r>
  <r>
    <x v="3"/>
    <x v="0"/>
    <s v="Em operação"/>
    <s v="ES 0096"/>
    <x v="1"/>
    <n v="0"/>
    <m/>
    <s v="-"/>
    <n v="160.53811659192826"/>
    <n v="6.56"/>
    <n v="4.46"/>
    <n v="2.1"/>
    <n v="32.01"/>
    <n v="463"/>
    <n v="716"/>
    <n v="1.55"/>
    <n v="7.84"/>
    <n v="91.32"/>
    <n v="8.0399999999999991"/>
    <n v="3.83"/>
    <n v="83.28"/>
    <n v="18.670000000000002"/>
    <n v="8869.17"/>
    <n v="53279"/>
    <n v="74532"/>
    <n v="0"/>
    <n v="0"/>
    <n v="255.5"/>
  </r>
  <r>
    <x v="3"/>
    <x v="0"/>
    <s v="Em operação"/>
    <s v="ES 0097"/>
    <x v="1"/>
    <n v="0"/>
    <s v="Não está emitindo pesagem"/>
    <s v="-"/>
    <n v="106.640625"/>
    <n v="9.2200000000000006"/>
    <n v="5.12"/>
    <n v="4.0999999999999996"/>
    <n v="44.48"/>
    <n v="386"/>
    <n v="546"/>
    <n v="1.41"/>
    <n v="5.55"/>
    <n v="98.42"/>
    <n v="16.09"/>
    <n v="3.92"/>
    <n v="82.33"/>
    <n v="16.09"/>
    <n v="4754.78"/>
    <n v="220222"/>
    <n v="411733"/>
    <n v="0.9"/>
    <n v="0"/>
    <n v="243.5"/>
  </r>
  <r>
    <x v="3"/>
    <x v="0"/>
    <s v="Em operação"/>
    <s v="ES 0099"/>
    <x v="2"/>
    <n v="0"/>
    <m/>
    <n v="3000"/>
    <n v="316.87631027253673"/>
    <n v="10.99"/>
    <n v="9.5399999999999991"/>
    <n v="1.45"/>
    <n v="13.19"/>
    <n v="1046"/>
    <n v="3023"/>
    <n v="2.89"/>
    <n v="9.86"/>
    <n v="306.62"/>
    <n v="9.94"/>
    <n v="6.85"/>
    <n v="296.68"/>
    <n v="31.1"/>
    <n v="7451.15"/>
    <n v="86342"/>
    <n v="252104"/>
    <n v="0.1"/>
    <n v="0"/>
    <n v="230.7"/>
  </r>
  <r>
    <x v="3"/>
    <x v="0"/>
    <s v="Em operação"/>
    <s v="ES 0116"/>
    <x v="2"/>
    <n v="0"/>
    <m/>
    <n v="3000"/>
    <n v="285.44194107452341"/>
    <n v="6.92"/>
    <n v="5.77"/>
    <n v="1.1499999999999999"/>
    <n v="16.61"/>
    <n v="550"/>
    <n v="1647"/>
    <n v="2.99"/>
    <n v="7.36"/>
    <n v="223.81"/>
    <n v="4.7300000000000004"/>
    <n v="4.1100000000000003"/>
    <n v="219.08"/>
    <n v="37.94"/>
    <n v="1488.71"/>
    <n v="140120"/>
    <n v="476690"/>
    <n v="0"/>
    <n v="0"/>
    <n v="4.3"/>
  </r>
  <r>
    <x v="3"/>
    <x v="0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3"/>
    <x v="0"/>
    <s v="Em operação"/>
    <s v="ES 0101"/>
    <x v="0"/>
    <n v="3158.1"/>
    <m/>
    <n v="4000"/>
    <n v="426.33228840125389"/>
    <n v="10.97"/>
    <n v="9.57"/>
    <n v="1.4"/>
    <n v="12.76"/>
    <n v="875"/>
    <n v="4080"/>
    <n v="4.66"/>
    <n v="10.58"/>
    <n v="385.64"/>
    <n v="7.57"/>
    <n v="5.41"/>
    <n v="378.07"/>
    <n v="39.49"/>
    <n v="6077.01"/>
    <n v="371344"/>
    <n v="1292013"/>
    <n v="0.1"/>
    <n v="0"/>
    <n v="42.8"/>
  </r>
  <r>
    <x v="3"/>
    <x v="0"/>
    <s v="Em operação"/>
    <s v="ES 0110"/>
    <x v="3"/>
    <n v="0"/>
    <m/>
    <n v="3000"/>
    <n v="347.29344729344729"/>
    <n v="8.1199999999999992"/>
    <n v="7.02"/>
    <n v="1.1000000000000001"/>
    <n v="13.55"/>
    <n v="943"/>
    <n v="2438"/>
    <n v="2.59"/>
    <n v="16.100000000000001"/>
    <n v="151.41999999999999"/>
    <n v="4.7300000000000004"/>
    <n v="4.3"/>
    <n v="146.68"/>
    <n v="20.91"/>
    <n v="1989.32"/>
    <n v="118198"/>
    <n v="220384"/>
    <n v="0.2"/>
    <n v="0"/>
    <n v="275.89999999999998"/>
  </r>
  <r>
    <x v="3"/>
    <x v="0"/>
    <s v="Em operação"/>
    <s v="ES 0126"/>
    <x v="3"/>
    <n v="0"/>
    <m/>
    <n v="3000"/>
    <n v="101.26353790613719"/>
    <n v="8.24"/>
    <n v="5.54"/>
    <n v="2.7"/>
    <n v="32.76"/>
    <n v="334"/>
    <n v="561"/>
    <n v="1.68"/>
    <n v="4.9000000000000004"/>
    <n v="114.51"/>
    <n v="10.41"/>
    <n v="3.86"/>
    <n v="104.1"/>
    <n v="18.79"/>
    <n v="430.31"/>
    <n v="38286"/>
    <n v="76713"/>
    <n v="1.1000000000000001"/>
    <n v="0"/>
    <n v="22.8"/>
  </r>
  <r>
    <x v="4"/>
    <x v="0"/>
    <s v="Em operação"/>
    <s v="ES 0096"/>
    <x v="1"/>
    <n v="0"/>
    <m/>
    <s v="-"/>
    <n v="221.21212121212122"/>
    <n v="9.3699999999999992"/>
    <n v="7.92"/>
    <n v="1.45"/>
    <n v="15.47"/>
    <n v="954"/>
    <n v="1752"/>
    <n v="1.84"/>
    <n v="10.99"/>
    <n v="159.46"/>
    <n v="6.15"/>
    <n v="4.24"/>
    <n v="153.31"/>
    <n v="19.350000000000001"/>
    <n v="8878.5400000000009"/>
    <n v="54233"/>
    <n v="76284"/>
    <n v="0.4"/>
    <n v="0"/>
    <n v="255.9"/>
  </r>
  <r>
    <x v="4"/>
    <x v="0"/>
    <s v="Em operação"/>
    <s v="ES 0097"/>
    <x v="1"/>
    <n v="0"/>
    <s v="Não está emitindo pesagem"/>
    <s v="-"/>
    <n v="122.66462480857579"/>
    <n v="8.43"/>
    <n v="6.53"/>
    <n v="1.9"/>
    <n v="22.54"/>
    <n v="533"/>
    <n v="801"/>
    <n v="1.5"/>
    <n v="6.16"/>
    <n v="130.12"/>
    <n v="7.57"/>
    <n v="3.98"/>
    <n v="122.55"/>
    <n v="18.77"/>
    <n v="4763.21"/>
    <n v="220755"/>
    <n v="412534"/>
    <n v="1.5"/>
    <n v="0"/>
    <n v="245"/>
  </r>
  <r>
    <x v="4"/>
    <x v="0"/>
    <s v="Em operação"/>
    <s v="ES 0099"/>
    <x v="2"/>
    <n v="0"/>
    <m/>
    <n v="3000"/>
    <n v="295.05300353356887"/>
    <n v="7.21"/>
    <n v="5.66"/>
    <n v="1.55"/>
    <n v="21.5"/>
    <n v="676"/>
    <n v="1670"/>
    <n v="2.4700000000000002"/>
    <n v="9.4600000000000009"/>
    <n v="176.49"/>
    <n v="9.4600000000000009"/>
    <n v="6.11"/>
    <n v="167.03"/>
    <n v="29.52"/>
    <n v="7458.36"/>
    <n v="87018"/>
    <n v="253774"/>
    <n v="0.1"/>
    <n v="0"/>
    <n v="230.8"/>
  </r>
  <r>
    <x v="4"/>
    <x v="0"/>
    <s v="Em operação"/>
    <s v="ES 0116"/>
    <x v="2"/>
    <n v="0"/>
    <m/>
    <n v="3000"/>
    <n v="462.68320180383319"/>
    <n v="9.82"/>
    <n v="8.8699999999999992"/>
    <n v="0.95"/>
    <n v="9.67"/>
    <n v="1220"/>
    <n v="4104"/>
    <n v="3.36"/>
    <n v="10.71"/>
    <n v="383.27"/>
    <n v="5.68"/>
    <n v="5.98"/>
    <n v="377.59"/>
    <n v="42.57"/>
    <n v="1498.53"/>
    <n v="141340"/>
    <n v="480794"/>
    <n v="0"/>
    <n v="0"/>
    <n v="4.3"/>
  </r>
  <r>
    <x v="4"/>
    <x v="0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4"/>
    <x v="0"/>
    <s v="Em operação"/>
    <s v="ES 0101"/>
    <x v="0"/>
    <n v="2483.33"/>
    <m/>
    <n v="4000"/>
    <n v="315.74724172517551"/>
    <n v="11.37"/>
    <n v="9.9700000000000006"/>
    <n v="1.4"/>
    <n v="12.31"/>
    <n v="656"/>
    <n v="3148"/>
    <n v="4.8"/>
    <n v="7.9"/>
    <n v="398.41"/>
    <n v="7.57"/>
    <n v="5.41"/>
    <n v="390.84"/>
    <n v="39.200000000000003"/>
    <n v="6088.38"/>
    <n v="372000"/>
    <n v="1295161"/>
    <n v="0.2"/>
    <n v="0"/>
    <n v="43"/>
  </r>
  <r>
    <x v="4"/>
    <x v="0"/>
    <s v="Em Manutenção"/>
    <s v="ES 0110"/>
    <x v="3"/>
    <n v="0"/>
    <m/>
    <n v="3000"/>
    <n v="0"/>
    <n v="1.18"/>
    <n v="0.48"/>
    <n v="0.7"/>
    <n v="59.45"/>
    <n v="9"/>
    <n v="0"/>
    <n v="0"/>
    <n v="0"/>
    <n v="7.57"/>
    <n v="2.84"/>
    <n v="4.0599999999999996"/>
    <n v="4.7300000000000004"/>
    <n v="9.91"/>
    <n v="1990.5"/>
    <n v="118207"/>
    <n v="220384"/>
    <n v="0"/>
    <n v="0"/>
    <n v="275.89999999999998"/>
  </r>
  <r>
    <x v="4"/>
    <x v="0"/>
    <s v="Em operação"/>
    <s v="ES 0126"/>
    <x v="3"/>
    <n v="0"/>
    <m/>
    <n v="3000"/>
    <n v="155.95238095238096"/>
    <n v="8.7799999999999994"/>
    <n v="5.88"/>
    <n v="2.9"/>
    <n v="33.03"/>
    <n v="462"/>
    <n v="917"/>
    <n v="1.98"/>
    <n v="7.34"/>
    <n v="124.92"/>
    <n v="11.36"/>
    <n v="3.92"/>
    <n v="113.56"/>
    <n v="19.32"/>
    <n v="439.09"/>
    <n v="38748"/>
    <n v="77630"/>
    <n v="1.6"/>
    <n v="0"/>
    <n v="24.4"/>
  </r>
  <r>
    <x v="5"/>
    <x v="0"/>
    <s v="Em operação"/>
    <s v="ES 0096"/>
    <x v="1"/>
    <n v="0"/>
    <m/>
    <s v="-"/>
    <n v="172.03703703703704"/>
    <n v="7.6"/>
    <n v="5.4"/>
    <n v="2.2000000000000002"/>
    <n v="28.97"/>
    <n v="586"/>
    <n v="929"/>
    <n v="1.59"/>
    <n v="8.35"/>
    <n v="111.2"/>
    <n v="8.0399999999999991"/>
    <n v="3.66"/>
    <n v="103.15"/>
    <n v="19.12"/>
    <n v="8886.14"/>
    <n v="54819"/>
    <n v="77213"/>
    <n v="0.5"/>
    <n v="0"/>
    <n v="256.39999999999998"/>
  </r>
  <r>
    <x v="5"/>
    <x v="0"/>
    <s v="Em operação"/>
    <s v="ES 0097"/>
    <x v="1"/>
    <n v="0"/>
    <s v="Não está emitindo pesagem"/>
    <s v="-"/>
    <n v="68.403908794788279"/>
    <n v="4.7699999999999996"/>
    <n v="3.07"/>
    <n v="1.7"/>
    <n v="35.67"/>
    <n v="140"/>
    <n v="210"/>
    <n v="1.5"/>
    <n v="3.41"/>
    <n v="61.51"/>
    <n v="7.57"/>
    <n v="4.45"/>
    <n v="53.94"/>
    <n v="17.59"/>
    <n v="4767.9799999999996"/>
    <n v="220895"/>
    <n v="412744"/>
    <n v="1.1000000000000001"/>
    <n v="0.01"/>
    <n v="246.1"/>
  </r>
  <r>
    <x v="5"/>
    <x v="0"/>
    <s v="Em operação"/>
    <s v="ES 0099"/>
    <x v="2"/>
    <n v="0"/>
    <m/>
    <n v="3000"/>
    <n v="199.46308724832215"/>
    <n v="8.75"/>
    <n v="7.45"/>
    <n v="1.3"/>
    <n v="14.86"/>
    <n v="882"/>
    <n v="1486"/>
    <n v="1.68"/>
    <n v="6.38"/>
    <n v="232.8"/>
    <n v="8.52"/>
    <n v="6.55"/>
    <n v="224.29"/>
    <n v="30.1"/>
    <n v="7467.11"/>
    <n v="87900"/>
    <n v="255260"/>
    <n v="0.3"/>
    <n v="0"/>
    <n v="231.1"/>
  </r>
  <r>
    <x v="5"/>
    <x v="0"/>
    <s v="Em operação"/>
    <s v="ES 0116"/>
    <x v="2"/>
    <n v="0"/>
    <m/>
    <n v="3000"/>
    <n v="358.4664536741214"/>
    <n v="7.11"/>
    <n v="6.26"/>
    <n v="0.85"/>
    <n v="11.96"/>
    <n v="742"/>
    <n v="2244"/>
    <n v="3.02"/>
    <n v="9.0500000000000007"/>
    <n v="247.94"/>
    <n v="3.31"/>
    <n v="3.9"/>
    <n v="244.63"/>
    <n v="39.090000000000003"/>
    <n v="1505.64"/>
    <n v="142082"/>
    <n v="483038"/>
    <n v="0"/>
    <n v="0"/>
    <n v="4.3"/>
  </r>
  <r>
    <x v="5"/>
    <x v="0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5"/>
    <x v="0"/>
    <s v="Em operação"/>
    <s v="ES 0101"/>
    <x v="0"/>
    <n v="2746.58"/>
    <m/>
    <n v="4000"/>
    <n v="401.6519823788546"/>
    <n v="11.03"/>
    <n v="9.08"/>
    <n v="1.95"/>
    <n v="17.68"/>
    <n v="835"/>
    <n v="3647"/>
    <n v="4.37"/>
    <n v="9.9700000000000006"/>
    <n v="365.77"/>
    <n v="9.94"/>
    <n v="5.0999999999999996"/>
    <n v="355.83"/>
    <n v="39.200000000000003"/>
    <n v="6099.4"/>
    <n v="372835"/>
    <n v="1298808"/>
    <n v="0.2"/>
    <n v="0"/>
    <n v="43.2"/>
  </r>
  <r>
    <x v="5"/>
    <x v="0"/>
    <s v="Em operação"/>
    <s v="ES 0110"/>
    <x v="4"/>
    <n v="0"/>
    <m/>
    <s v="-"/>
    <n v="139.55773955773955"/>
    <n v="4.87"/>
    <n v="4.07"/>
    <n v="0.8"/>
    <n v="16.440000000000001"/>
    <n v="305"/>
    <n v="568"/>
    <n v="1.86"/>
    <n v="7.28"/>
    <n v="78.069999999999993"/>
    <n v="2.84"/>
    <n v="3.55"/>
    <n v="75.239999999999995"/>
    <n v="18.5"/>
    <n v="1995.37"/>
    <n v="118512"/>
    <n v="220952"/>
    <n v="0.3"/>
    <n v="0"/>
    <n v="276.2"/>
  </r>
  <r>
    <x v="5"/>
    <x v="0"/>
    <s v="Em operação"/>
    <s v="ES 0126"/>
    <x v="3"/>
    <n v="0"/>
    <m/>
    <n v="3000"/>
    <n v="264.61988304093569"/>
    <n v="8.74"/>
    <n v="6.84"/>
    <n v="1.9"/>
    <n v="21.74"/>
    <n v="924"/>
    <n v="1810"/>
    <n v="1.96"/>
    <n v="12.34"/>
    <n v="146.68"/>
    <n v="7.1"/>
    <n v="3.74"/>
    <n v="139.59"/>
    <n v="20.399999999999999"/>
    <n v="447.83"/>
    <n v="39672"/>
    <n v="79440"/>
    <n v="1.3"/>
    <n v="0"/>
    <n v="25.7"/>
  </r>
  <r>
    <x v="6"/>
    <x v="1"/>
    <s v="Não operacional"/>
    <s v="ES 0096"/>
    <x v="1"/>
    <n v="0"/>
    <m/>
    <m/>
    <n v="0"/>
    <n v="0"/>
    <n v="0"/>
    <n v="0"/>
    <s v=""/>
    <n v="0"/>
    <n v="0"/>
    <s v=""/>
    <s v=""/>
    <n v="0"/>
    <n v="0"/>
    <s v=""/>
    <n v="0"/>
    <s v=""/>
    <n v="8886.14"/>
    <n v="54819"/>
    <n v="77213"/>
    <n v="0"/>
    <s v=""/>
    <n v="256.39999999999998"/>
  </r>
  <r>
    <x v="6"/>
    <x v="1"/>
    <s v="Não operacional"/>
    <s v="ES 0097"/>
    <x v="1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1"/>
    <s v="Não operacional"/>
    <s v="ES 0099"/>
    <x v="2"/>
    <n v="0"/>
    <m/>
    <m/>
    <n v="0"/>
    <n v="0"/>
    <n v="0"/>
    <n v="0"/>
    <s v=""/>
    <n v="0"/>
    <n v="0"/>
    <s v=""/>
    <s v=""/>
    <n v="0"/>
    <n v="0"/>
    <s v=""/>
    <n v="0"/>
    <s v=""/>
    <n v="7467.11"/>
    <n v="87900"/>
    <n v="255260"/>
    <n v="0"/>
    <s v=""/>
    <n v="231.1"/>
  </r>
  <r>
    <x v="6"/>
    <x v="2"/>
    <s v="Em operação"/>
    <s v="ES 0101"/>
    <x v="0"/>
    <n v="2961.82"/>
    <m/>
    <n v="3428.5714285714284"/>
    <n v="531.11455108359132"/>
    <n v="7.66"/>
    <n v="6.46"/>
    <n v="1.2"/>
    <n v="15.67"/>
    <n v="722"/>
    <n v="3431"/>
    <n v="4.75"/>
    <n v="13.73"/>
    <n v="249.84"/>
    <n v="6.62"/>
    <n v="5.52"/>
    <n v="243.21"/>
    <n v="37.659999999999997"/>
    <n v="6107.06"/>
    <n v="373557"/>
    <n v="1302239"/>
    <n v="0"/>
    <n v="0"/>
    <n v="43.2"/>
  </r>
  <r>
    <x v="6"/>
    <x v="1"/>
    <s v="Não operacional"/>
    <s v="ES 0110"/>
    <x v="5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1"/>
    <s v="Não operacional"/>
    <s v="ES 0116"/>
    <x v="5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1"/>
    <s v="Não operacional"/>
    <s v="ES 0126"/>
    <x v="5"/>
    <n v="0"/>
    <m/>
    <m/>
    <n v="0"/>
    <n v="0"/>
    <n v="0"/>
    <n v="0"/>
    <s v=""/>
    <n v="0"/>
    <n v="0"/>
    <s v=""/>
    <s v=""/>
    <n v="0"/>
    <n v="0"/>
    <s v=""/>
    <n v="0"/>
    <s v=""/>
    <n v="447.83"/>
    <n v="39672"/>
    <n v="79440"/>
    <n v="0"/>
    <s v=""/>
    <n v="25.7"/>
  </r>
  <r>
    <x v="7"/>
    <x v="2"/>
    <s v="Em operação"/>
    <s v="ES 0096"/>
    <x v="1"/>
    <n v="0"/>
    <m/>
    <s v="-"/>
    <n v="155.41601255886971"/>
    <n v="9.02"/>
    <n v="6.37"/>
    <n v="2.65"/>
    <n v="29.37"/>
    <n v="663"/>
    <n v="990"/>
    <n v="1.49"/>
    <n v="7.69"/>
    <n v="128.69999999999999"/>
    <n v="9.94"/>
    <n v="3.75"/>
    <n v="118.77"/>
    <n v="18.64"/>
    <n v="8895.16"/>
    <n v="55482"/>
    <n v="78203"/>
    <n v="0.2"/>
    <n v="0"/>
    <n v="256.60000000000002"/>
  </r>
  <r>
    <x v="7"/>
    <x v="2"/>
    <s v="Em operação"/>
    <s v="ES 0097"/>
    <x v="1"/>
    <n v="0"/>
    <s v="Não está emitindo pesagem"/>
    <s v="-"/>
    <n v="77.634961439588693"/>
    <n v="6.44"/>
    <n v="3.89"/>
    <n v="2.5499999999999998"/>
    <n v="39.590000000000003"/>
    <n v="198"/>
    <n v="302"/>
    <n v="1.53"/>
    <n v="4.07"/>
    <n v="74.290000000000006"/>
    <n v="8.99"/>
    <n v="3.53"/>
    <n v="65.3"/>
    <n v="16.78"/>
    <n v="4774.42"/>
    <n v="221093"/>
    <n v="413046"/>
    <n v="0.9"/>
    <n v="0"/>
    <n v="247"/>
  </r>
  <r>
    <x v="7"/>
    <x v="2"/>
    <s v="Em operação"/>
    <s v="ES 0099"/>
    <x v="2"/>
    <n v="0"/>
    <m/>
    <n v="3000"/>
    <n v="266.66666666666669"/>
    <n v="9.64"/>
    <n v="8.49"/>
    <n v="1.1499999999999999"/>
    <n v="11.93"/>
    <n v="930"/>
    <n v="2264"/>
    <n v="2.4300000000000002"/>
    <n v="8.15"/>
    <n v="277.75"/>
    <n v="8.52"/>
    <n v="7.41"/>
    <n v="269.24"/>
    <n v="31.71"/>
    <n v="7476.75"/>
    <n v="88830"/>
    <n v="257524"/>
    <n v="0.3"/>
    <n v="0"/>
    <n v="231.4"/>
  </r>
  <r>
    <x v="7"/>
    <x v="2"/>
    <s v="Em operação"/>
    <s v="ES 0116"/>
    <x v="2"/>
    <n v="0"/>
    <m/>
    <n v="3000"/>
    <n v="349.0956072351421"/>
    <n v="4.72"/>
    <n v="3.87"/>
    <n v="0.85"/>
    <n v="17.989999999999998"/>
    <n v="421"/>
    <n v="1351"/>
    <n v="3.21"/>
    <n v="9.49"/>
    <n v="142.43"/>
    <n v="4.26"/>
    <n v="5.01"/>
    <n v="138.16999999999999"/>
    <n v="35.659999999999997"/>
    <n v="1510.36"/>
    <n v="142503"/>
    <n v="484389"/>
    <n v="0.1"/>
    <n v="0"/>
    <n v="4.4000000000000004"/>
  </r>
  <r>
    <x v="7"/>
    <x v="2"/>
    <s v="Em operação"/>
    <s v="ES 0101"/>
    <x v="0"/>
    <n v="3839.92"/>
    <m/>
    <n v="3428.5714285714284"/>
    <n v="514.36651583710409"/>
    <n v="10.54"/>
    <n v="8.84"/>
    <n v="1.7"/>
    <n v="16.12"/>
    <n v="958"/>
    <n v="4547"/>
    <n v="4.75"/>
    <n v="13.27"/>
    <n v="342.58"/>
    <n v="8.52"/>
    <n v="5.01"/>
    <n v="334.06"/>
    <n v="37.770000000000003"/>
    <n v="6117.61"/>
    <n v="374515"/>
    <n v="1306786"/>
    <n v="0.1"/>
    <n v="0"/>
    <n v="43.3"/>
  </r>
  <r>
    <x v="7"/>
    <x v="2"/>
    <s v="Em operação"/>
    <s v="ES 0110"/>
    <x v="4"/>
    <n v="0"/>
    <m/>
    <s v="-"/>
    <n v="89.247311827956992"/>
    <n v="8.11"/>
    <n v="6.51"/>
    <n v="1.6"/>
    <n v="19.73"/>
    <n v="308"/>
    <n v="581"/>
    <n v="1.89"/>
    <n v="4.43"/>
    <n v="131.07"/>
    <n v="7.1"/>
    <n v="4.4400000000000004"/>
    <n v="123.97"/>
    <n v="19.04"/>
    <n v="2003.48"/>
    <n v="118820"/>
    <n v="221533"/>
    <n v="0.9"/>
    <n v="0"/>
    <n v="277.10000000000002"/>
  </r>
  <r>
    <x v="7"/>
    <x v="2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7"/>
    <x v="2"/>
    <s v="Em operação"/>
    <s v="ES 0126"/>
    <x v="3"/>
    <n v="0"/>
    <m/>
    <n v="3000"/>
    <n v="211.77117711771177"/>
    <n v="10.94"/>
    <n v="9.09"/>
    <n v="1.85"/>
    <n v="16.91"/>
    <n v="1004"/>
    <n v="1925"/>
    <n v="1.92"/>
    <n v="10.050000000000001"/>
    <n v="191.64"/>
    <n v="7.1"/>
    <n v="3.84"/>
    <n v="184.54"/>
    <n v="20.3"/>
    <n v="458.77"/>
    <n v="40676"/>
    <n v="81365"/>
    <n v="1.4"/>
    <n v="0"/>
    <n v="27.1"/>
  </r>
  <r>
    <x v="8"/>
    <x v="2"/>
    <s v="Em operação"/>
    <s v="ES 0096"/>
    <x v="1"/>
    <n v="0"/>
    <m/>
    <s v="-"/>
    <n v="239.8852223816356"/>
    <n v="8.9700000000000006"/>
    <n v="6.97"/>
    <n v="2"/>
    <n v="22.3"/>
    <n v="1005"/>
    <n v="1672"/>
    <n v="1.66"/>
    <n v="11.55"/>
    <n v="144.79"/>
    <n v="7.57"/>
    <n v="3.79"/>
    <n v="137.22"/>
    <n v="19.690000000000001"/>
    <n v="8904.1299999999992"/>
    <n v="56487"/>
    <n v="79875"/>
    <n v="0.8"/>
    <n v="0"/>
    <n v="257.39999999999998"/>
  </r>
  <r>
    <x v="8"/>
    <x v="2"/>
    <s v="Em operação"/>
    <s v="ES 0097"/>
    <x v="1"/>
    <n v="0"/>
    <s v="Não está emitindo pesagem"/>
    <s v="-"/>
    <n v="0"/>
    <n v="4.43"/>
    <n v="3.78"/>
    <n v="0.65"/>
    <n v="14.66"/>
    <n v="0"/>
    <n v="0"/>
    <s v=""/>
    <n v="0"/>
    <n v="83.28"/>
    <n v="1.89"/>
    <n v="2.91"/>
    <n v="81.39"/>
    <n v="21.51"/>
    <n v="8503.33"/>
    <n v="58208"/>
    <n v="95660"/>
    <n v="1.1000000000000001"/>
    <s v=""/>
    <n v="208.5"/>
  </r>
  <r>
    <x v="8"/>
    <x v="2"/>
    <s v="Em operação"/>
    <s v="ES 0101"/>
    <x v="0"/>
    <n v="3257.79"/>
    <m/>
    <n v="3428.5714285714284"/>
    <n v="515.8730158730159"/>
    <n v="10.45"/>
    <n v="9.4499999999999993"/>
    <n v="1"/>
    <n v="9.57"/>
    <n v="1029"/>
    <n v="4875"/>
    <n v="4.74"/>
    <n v="13.66"/>
    <n v="356.77"/>
    <n v="6.62"/>
    <n v="6.62"/>
    <n v="350.15"/>
    <n v="37.04"/>
    <n v="6128.06"/>
    <n v="375544"/>
    <n v="1311661"/>
    <n v="0.1"/>
    <n v="0"/>
    <n v="43.4"/>
  </r>
  <r>
    <x v="8"/>
    <x v="2"/>
    <s v="Em operação"/>
    <s v="ES 0110"/>
    <x v="4"/>
    <n v="0"/>
    <m/>
    <s v="-"/>
    <n v="133.76623376623377"/>
    <n v="8.41"/>
    <n v="6.16"/>
    <n v="2.25"/>
    <n v="26.74"/>
    <n v="428"/>
    <n v="824"/>
    <n v="1.93"/>
    <n v="6.43"/>
    <n v="128.22999999999999"/>
    <n v="8.99"/>
    <n v="4"/>
    <n v="119.24"/>
    <n v="19.350000000000001"/>
    <n v="2011.89"/>
    <n v="119248"/>
    <n v="222357"/>
    <n v="0.3"/>
    <n v="0"/>
    <n v="277.39999999999998"/>
  </r>
  <r>
    <x v="8"/>
    <x v="2"/>
    <s v="Em operação"/>
    <s v="ES 0099"/>
    <x v="2"/>
    <n v="0"/>
    <m/>
    <n v="3000"/>
    <n v="295.17241379310349"/>
    <n v="7.15"/>
    <n v="4.3499999999999996"/>
    <n v="2.8"/>
    <n v="39.159999999999997"/>
    <n v="399"/>
    <n v="1284"/>
    <n v="3.22"/>
    <n v="9.02"/>
    <n v="142.43"/>
    <n v="15.61"/>
    <n v="5.58"/>
    <n v="126.81"/>
    <n v="29.15"/>
    <n v="7483.9"/>
    <n v="89229"/>
    <n v="258808"/>
    <n v="0.1"/>
    <n v="0"/>
    <n v="231.5"/>
  </r>
  <r>
    <x v="8"/>
    <x v="2"/>
    <s v="Em operação"/>
    <s v="ES 0116"/>
    <x v="2"/>
    <n v="0"/>
    <m/>
    <n v="3000"/>
    <n v="538.38028169014092"/>
    <n v="6.98"/>
    <n v="5.68"/>
    <n v="1.3"/>
    <n v="18.62"/>
    <n v="740"/>
    <n v="3058"/>
    <n v="4.13"/>
    <n v="13.33"/>
    <n v="229.49"/>
    <n v="5.68"/>
    <n v="4.37"/>
    <n v="223.81"/>
    <n v="39.39"/>
    <n v="1517.34"/>
    <n v="143243"/>
    <n v="487447"/>
    <n v="0"/>
    <n v="0"/>
    <n v="4.4000000000000004"/>
  </r>
  <r>
    <x v="8"/>
    <x v="2"/>
    <s v="Em operação"/>
    <s v="ES 0126"/>
    <x v="2"/>
    <n v="0"/>
    <m/>
    <n v="3000"/>
    <n v="234.94152046783626"/>
    <n v="8.49"/>
    <n v="6.84"/>
    <n v="1.65"/>
    <n v="19.440000000000001"/>
    <n v="757"/>
    <n v="1607"/>
    <n v="2.12"/>
    <n v="11.25"/>
    <n v="142.9"/>
    <n v="7.1"/>
    <n v="4.3"/>
    <n v="135.80000000000001"/>
    <n v="19.86"/>
    <n v="467.26"/>
    <n v="41433"/>
    <n v="82972"/>
    <n v="1.4"/>
    <n v="0"/>
    <n v="28.5"/>
  </r>
  <r>
    <x v="8"/>
    <x v="2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9"/>
    <x v="1"/>
    <s v="Não operacional"/>
    <s v="ES 0096"/>
    <x v="1"/>
    <n v="0"/>
    <m/>
    <s v="-"/>
    <n v="0"/>
    <n v="0"/>
    <n v="0"/>
    <n v="0"/>
    <s v=""/>
    <n v="0"/>
    <n v="0"/>
    <s v=""/>
    <s v=""/>
    <n v="0"/>
    <n v="0"/>
    <s v=""/>
    <n v="0"/>
    <s v=""/>
    <n v="8904.1299999999992"/>
    <n v="56487"/>
    <n v="79875"/>
    <n v="0"/>
    <s v=""/>
    <n v="257.39999999999998"/>
  </r>
  <r>
    <x v="9"/>
    <x v="1"/>
    <s v="Não operacional"/>
    <s v="ES 0097"/>
    <x v="1"/>
    <n v="0"/>
    <s v="Em Manutenção"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2"/>
    <s v="Em operação"/>
    <s v="ES 0101"/>
    <x v="0"/>
    <n v="3337.78"/>
    <m/>
    <n v="3428.5714285714284"/>
    <n v="519.4723618090452"/>
    <n v="9.4600000000000009"/>
    <n v="7.96"/>
    <n v="1.5"/>
    <n v="15.85"/>
    <n v="927"/>
    <n v="4135"/>
    <n v="4.46"/>
    <n v="13.78"/>
    <n v="299.99"/>
    <n v="8.0399999999999991"/>
    <n v="5.36"/>
    <n v="291.95"/>
    <n v="36.659999999999997"/>
    <n v="6137.53"/>
    <n v="376471"/>
    <n v="1315796"/>
    <n v="0.1"/>
    <n v="0"/>
    <n v="43.5"/>
  </r>
  <r>
    <x v="9"/>
    <x v="1"/>
    <s v="Não operacional"/>
    <s v="ES 0110"/>
    <x v="1"/>
    <n v="0"/>
    <m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1"/>
    <s v="Não operacional"/>
    <s v="ES 0099"/>
    <x v="2"/>
    <n v="0"/>
    <m/>
    <n v="3000"/>
    <n v="0"/>
    <n v="0"/>
    <n v="0"/>
    <n v="0"/>
    <s v=""/>
    <n v="0"/>
    <n v="0"/>
    <s v=""/>
    <s v=""/>
    <n v="0"/>
    <n v="0"/>
    <s v=""/>
    <n v="0"/>
    <s v=""/>
    <n v="7483.9"/>
    <n v="89229"/>
    <n v="258808"/>
    <n v="0"/>
    <s v=""/>
    <n v="231.5"/>
  </r>
  <r>
    <x v="9"/>
    <x v="1"/>
    <s v="Não operacional"/>
    <s v="ES 0116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1"/>
    <s v="Não operacional"/>
    <s v="ES 0126"/>
    <x v="2"/>
    <n v="0"/>
    <m/>
    <n v="3000"/>
    <n v="0"/>
    <n v="0"/>
    <n v="0"/>
    <n v="0"/>
    <s v=""/>
    <n v="0"/>
    <n v="0"/>
    <s v=""/>
    <s v=""/>
    <n v="0"/>
    <n v="0"/>
    <s v=""/>
    <n v="0"/>
    <s v=""/>
    <n v="467.26"/>
    <n v="41433"/>
    <n v="82972"/>
    <n v="0"/>
    <s v=""/>
    <n v="28.5"/>
  </r>
  <r>
    <x v="10"/>
    <x v="2"/>
    <s v="Em operação"/>
    <s v="ES 0096"/>
    <x v="1"/>
    <n v="0"/>
    <m/>
    <s v="-"/>
    <n v="144.71153846153845"/>
    <n v="7.34"/>
    <n v="6.24"/>
    <n v="1.1000000000000001"/>
    <n v="14.98"/>
    <n v="783"/>
    <n v="903"/>
    <n v="1.1499999999999999"/>
    <n v="7.31"/>
    <n v="123.5"/>
    <n v="4.26"/>
    <n v="3.87"/>
    <n v="119.24"/>
    <n v="19.100000000000001"/>
    <n v="8911.4699999999993"/>
    <n v="57270"/>
    <n v="80778"/>
    <n v="0.2"/>
    <n v="0"/>
    <n v="257.60000000000002"/>
  </r>
  <r>
    <x v="10"/>
    <x v="1"/>
    <s v="Não operacional"/>
    <s v="ES 0097"/>
    <x v="1"/>
    <n v="0"/>
    <s v="Em Manutenção"/>
    <s v="-"/>
    <n v="0"/>
    <n v="0.28000000000000003"/>
    <n v="0.08"/>
    <n v="0.2"/>
    <n v="71.150000000000006"/>
    <n v="0"/>
    <n v="0"/>
    <s v=""/>
    <n v="0"/>
    <n v="1.42"/>
    <n v="1.89"/>
    <n v="9.4600000000000009"/>
    <s v=""/>
    <s v=""/>
    <n v="8503.61"/>
    <n v="58208"/>
    <n v="95660"/>
    <n v="0"/>
    <s v=""/>
    <n v="208.5"/>
  </r>
  <r>
    <x v="10"/>
    <x v="2"/>
    <s v="Em operação"/>
    <s v="ES 0101"/>
    <x v="0"/>
    <n v="2566.6"/>
    <m/>
    <n v="3428.5714285714284"/>
    <n v="475.83979328165373"/>
    <n v="9.94"/>
    <n v="7.74"/>
    <n v="2.2000000000000002"/>
    <n v="22.12"/>
    <n v="843"/>
    <n v="3683"/>
    <n v="4.37"/>
    <n v="12.64"/>
    <n v="291.48"/>
    <n v="11.36"/>
    <n v="5.16"/>
    <n v="280.12"/>
    <n v="36.17"/>
    <n v="6147.47"/>
    <n v="377314"/>
    <n v="1319479"/>
    <n v="0"/>
    <n v="0"/>
    <n v="43.5"/>
  </r>
  <r>
    <x v="10"/>
    <x v="2"/>
    <s v="Em operação"/>
    <s v="ES 0110"/>
    <x v="1"/>
    <n v="0"/>
    <m/>
    <s v="-"/>
    <n v="120.60491493383743"/>
    <n v="7.69"/>
    <n v="5.29"/>
    <n v="2.4"/>
    <n v="31.21"/>
    <n v="354"/>
    <n v="638"/>
    <n v="1.8"/>
    <n v="5.89"/>
    <n v="108.36"/>
    <n v="9.4600000000000009"/>
    <n v="3.94"/>
    <n v="98.89"/>
    <n v="18.7"/>
    <n v="2019.58"/>
    <n v="119602"/>
    <n v="222995"/>
    <n v="0.5"/>
    <n v="0"/>
    <n v="277.89999999999998"/>
  </r>
  <r>
    <x v="10"/>
    <x v="2"/>
    <s v="Em operação"/>
    <s v="ES 0099"/>
    <x v="2"/>
    <n v="0"/>
    <m/>
    <n v="3000"/>
    <n v="377.37226277372258"/>
    <n v="8.1300000000000008"/>
    <n v="5.48"/>
    <n v="2.65"/>
    <n v="32.590000000000003"/>
    <n v="621"/>
    <n v="2068"/>
    <n v="3.33"/>
    <n v="11.09"/>
    <n v="186.43"/>
    <n v="15.14"/>
    <n v="5.71"/>
    <n v="171.29"/>
    <n v="31.25"/>
    <n v="7492.03"/>
    <n v="89850"/>
    <n v="260876"/>
    <n v="0.5"/>
    <n v="0"/>
    <n v="232"/>
  </r>
  <r>
    <x v="10"/>
    <x v="2"/>
    <s v="Em operação"/>
    <s v="ES 0116"/>
    <x v="2"/>
    <n v="0"/>
    <m/>
    <n v="3000"/>
    <n v="458.88888888888886"/>
    <n v="6.9"/>
    <n v="5.4"/>
    <n v="1.5"/>
    <n v="21.74"/>
    <n v="599"/>
    <n v="2478"/>
    <n v="4.1399999999999997"/>
    <n v="11.9"/>
    <n v="208.2"/>
    <n v="7.1"/>
    <n v="4.7300000000000004"/>
    <n v="201.1"/>
    <n v="37.25"/>
    <n v="1524.24"/>
    <n v="143842"/>
    <n v="489925"/>
    <n v="0"/>
    <n v="0"/>
    <n v="4.4000000000000004"/>
  </r>
  <r>
    <x v="10"/>
    <x v="2"/>
    <s v="Em operação"/>
    <s v="ES 0126"/>
    <x v="2"/>
    <n v="0"/>
    <m/>
    <n v="3000"/>
    <n v="318.02656546489567"/>
    <n v="7.97"/>
    <n v="5.27"/>
    <n v="2.7"/>
    <n v="33.89"/>
    <n v="675"/>
    <n v="1676"/>
    <n v="2.48"/>
    <n v="15.07"/>
    <n v="111.2"/>
    <n v="9.94"/>
    <n v="3.68"/>
    <n v="101.26"/>
    <n v="19.22"/>
    <n v="475.23"/>
    <n v="42108"/>
    <n v="84648"/>
    <n v="0.4"/>
    <n v="0"/>
    <n v="28.9"/>
  </r>
  <r>
    <x v="10"/>
    <x v="2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1"/>
    <x v="2"/>
    <s v="Em operação"/>
    <s v="ES 0096"/>
    <x v="1"/>
    <n v="0"/>
    <m/>
    <s v="-"/>
    <n v="145.18072289156626"/>
    <n v="7.13"/>
    <n v="4.9800000000000004"/>
    <n v="2.15"/>
    <n v="30.17"/>
    <n v="427"/>
    <n v="723"/>
    <n v="1.69"/>
    <n v="7.24"/>
    <n v="99.84"/>
    <n v="8.52"/>
    <n v="3.96"/>
    <n v="91.32"/>
    <n v="18.350000000000001"/>
    <n v="8918.6"/>
    <n v="57697"/>
    <n v="81501"/>
    <n v="0"/>
    <n v="0"/>
    <n v="257.60000000000002"/>
  </r>
  <r>
    <x v="11"/>
    <x v="1"/>
    <s v="Não operacional"/>
    <s v="ES 0097"/>
    <x v="1"/>
    <n v="0"/>
    <s v="Em Manutenção"/>
    <s v="-"/>
    <n v="0"/>
    <n v="1.48"/>
    <n v="0.38"/>
    <n v="1.1000000000000001"/>
    <n v="74.510000000000005"/>
    <n v="0"/>
    <n v="0"/>
    <s v=""/>
    <n v="0"/>
    <n v="10.88"/>
    <n v="5.68"/>
    <n v="5.16"/>
    <n v="5.2"/>
    <n v="13.83"/>
    <n v="8505.08"/>
    <n v="58208"/>
    <n v="95660"/>
    <n v="0"/>
    <s v=""/>
    <n v="208.5"/>
  </r>
  <r>
    <x v="11"/>
    <x v="2"/>
    <s v="Em operação"/>
    <s v="ES 0101"/>
    <x v="0"/>
    <n v="1856.48"/>
    <m/>
    <n v="3428.5714285714284"/>
    <n v="452.63157894736844"/>
    <n v="5.5"/>
    <n v="4.75"/>
    <n v="0.75"/>
    <n v="13.64"/>
    <n v="526"/>
    <n v="2150"/>
    <n v="4.09"/>
    <n v="12.15"/>
    <n v="176.97"/>
    <n v="4.26"/>
    <n v="5.68"/>
    <n v="172.71"/>
    <n v="36.36"/>
    <n v="6152.97"/>
    <n v="377840"/>
    <n v="1321629"/>
    <n v="0.1"/>
    <n v="0"/>
    <n v="43.6"/>
  </r>
  <r>
    <x v="11"/>
    <x v="2"/>
    <s v="Em operação"/>
    <s v="ES 0110"/>
    <x v="1"/>
    <n v="0"/>
    <m/>
    <s v="-"/>
    <n v="60.294117647058819"/>
    <n v="0.83"/>
    <n v="0.68"/>
    <n v="0.15"/>
    <n v="18.02"/>
    <n v="26"/>
    <n v="41"/>
    <n v="1.58"/>
    <n v="3.33"/>
    <n v="12.3"/>
    <n v="0.95"/>
    <n v="6.31"/>
    <n v="11.36"/>
    <n v="16.64"/>
    <n v="2020.42"/>
    <n v="119628"/>
    <n v="223036"/>
    <n v="0.1"/>
    <n v="0"/>
    <n v="278"/>
  </r>
  <r>
    <x v="11"/>
    <x v="2"/>
    <s v="Em operação"/>
    <s v="ES 0099"/>
    <x v="2"/>
    <n v="0"/>
    <m/>
    <n v="3000"/>
    <n v="390.33112582781456"/>
    <n v="7.9"/>
    <n v="7.55"/>
    <n v="0.35"/>
    <n v="4.43"/>
    <n v="903"/>
    <n v="2947"/>
    <n v="3.26"/>
    <n v="12.16"/>
    <n v="242.27"/>
    <n v="3.79"/>
    <n v="10.82"/>
    <n v="238.48"/>
    <n v="31.61"/>
    <n v="7499.93"/>
    <n v="90753"/>
    <n v="263823"/>
    <n v="0.4"/>
    <n v="0"/>
    <n v="232.4"/>
  </r>
  <r>
    <x v="11"/>
    <x v="2"/>
    <s v="Em operação"/>
    <s v="ES 0116"/>
    <x v="2"/>
    <n v="0"/>
    <m/>
    <n v="3000"/>
    <n v="449.29078014184398"/>
    <n v="7.29"/>
    <n v="5.64"/>
    <n v="1.65"/>
    <n v="22.62"/>
    <n v="636"/>
    <n v="2534"/>
    <n v="3.98"/>
    <n v="11.44"/>
    <n v="221.45"/>
    <n v="7.57"/>
    <n v="4.59"/>
    <n v="213.88"/>
    <n v="37.9"/>
    <n v="1531.54"/>
    <n v="144478"/>
    <n v="492459"/>
    <n v="0"/>
    <n v="0"/>
    <n v="4.4000000000000004"/>
  </r>
  <r>
    <x v="11"/>
    <x v="2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11"/>
    <x v="2"/>
    <s v="Em operação"/>
    <s v="ES 0126"/>
    <x v="1"/>
    <n v="0"/>
    <m/>
    <s v="-"/>
    <n v="164.77541371158389"/>
    <n v="5.78"/>
    <n v="4.2300000000000004"/>
    <n v="1.55"/>
    <n v="26.82"/>
    <n v="384"/>
    <n v="697"/>
    <n v="1.82"/>
    <n v="7.63"/>
    <n v="91.32"/>
    <n v="5.68"/>
    <n v="3.66"/>
    <n v="85.64"/>
    <n v="20.260000000000002"/>
    <n v="481.01"/>
    <n v="42492"/>
    <n v="85345"/>
    <n v="1.5"/>
    <n v="0"/>
    <n v="30.4"/>
  </r>
  <r>
    <x v="12"/>
    <x v="2"/>
    <s v="Em operação"/>
    <s v="ES 0096"/>
    <x v="1"/>
    <n v="0"/>
    <m/>
    <s v="-"/>
    <n v="79.039301310043669"/>
    <n v="2.89"/>
    <n v="2.29"/>
    <n v="0.6"/>
    <n v="20.78"/>
    <n v="154"/>
    <n v="181"/>
    <n v="1.18"/>
    <n v="3.94"/>
    <n v="45.9"/>
    <n v="1.89"/>
    <n v="3.15"/>
    <n v="44.01"/>
    <n v="19.239999999999998"/>
    <n v="8921.49"/>
    <n v="57851"/>
    <n v="81682"/>
    <n v="0.9"/>
    <n v="0.01"/>
    <n v="258.5"/>
  </r>
  <r>
    <x v="12"/>
    <x v="1"/>
    <s v="Não operacional"/>
    <s v="ES 0097"/>
    <x v="1"/>
    <n v="0"/>
    <s v="Em Manutenção"/>
    <s v="-"/>
    <n v="0"/>
    <n v="0"/>
    <n v="0"/>
    <n v="0"/>
    <s v=""/>
    <n v="0"/>
    <n v="0"/>
    <s v=""/>
    <s v=""/>
    <n v="0"/>
    <n v="0"/>
    <s v=""/>
    <n v="0"/>
    <s v=""/>
    <n v="8505.08"/>
    <n v="58208"/>
    <n v="95660"/>
    <n v="0"/>
    <s v=""/>
    <n v="208.5"/>
  </r>
  <r>
    <x v="12"/>
    <x v="2"/>
    <s v="Em operação"/>
    <s v="ES 0101"/>
    <x v="0"/>
    <n v="2286.91"/>
    <m/>
    <n v="3428.5714285714284"/>
    <n v="543.29896907216494"/>
    <n v="4.83"/>
    <n v="3.88"/>
    <n v="0.95"/>
    <n v="19.68"/>
    <n v="529"/>
    <n v="2108"/>
    <n v="3.98"/>
    <n v="14.05"/>
    <n v="150"/>
    <n v="5.2"/>
    <n v="5.48"/>
    <n v="144.79"/>
    <n v="37.340000000000003"/>
    <n v="6157.8"/>
    <n v="378369"/>
    <n v="1323737"/>
    <n v="0"/>
    <n v="0"/>
    <n v="43.6"/>
  </r>
  <r>
    <x v="12"/>
    <x v="2"/>
    <s v="Em operação"/>
    <s v="ES 0110"/>
    <x v="4"/>
    <n v="0"/>
    <m/>
    <s v="-"/>
    <n v="33.950617283950614"/>
    <n v="2.72"/>
    <n v="1.62"/>
    <n v="1.1000000000000001"/>
    <n v="40.51"/>
    <n v="49"/>
    <n v="55"/>
    <n v="1.1200000000000001"/>
    <n v="2.08"/>
    <n v="26.5"/>
    <n v="4.26"/>
    <n v="3.87"/>
    <n v="22.24"/>
    <n v="13.77"/>
    <n v="2023.13"/>
    <n v="119677"/>
    <n v="223091"/>
    <n v="0.4"/>
    <n v="0.01"/>
    <n v="278.39999999999998"/>
  </r>
  <r>
    <x v="12"/>
    <x v="2"/>
    <s v="Em operação"/>
    <s v="ES 0099"/>
    <x v="2"/>
    <n v="0"/>
    <m/>
    <n v="3000"/>
    <n v="454.1044776119403"/>
    <n v="3.78"/>
    <n v="2.68"/>
    <n v="1.1000000000000001"/>
    <n v="29.08"/>
    <n v="363"/>
    <n v="1217"/>
    <n v="3.35"/>
    <n v="13.61"/>
    <n v="89.43"/>
    <n v="7.57"/>
    <n v="6.88"/>
    <n v="81.86"/>
    <n v="30.52"/>
    <n v="7503.71"/>
    <n v="91116"/>
    <n v="265040"/>
    <n v="0.3"/>
    <n v="0"/>
    <n v="232.7"/>
  </r>
  <r>
    <x v="12"/>
    <x v="2"/>
    <s v="Em operação"/>
    <s v="ES 0116"/>
    <x v="2"/>
    <n v="0"/>
    <m/>
    <n v="3000"/>
    <n v="522.97297297297291"/>
    <n v="2.77"/>
    <n v="2.2200000000000002"/>
    <n v="0.55000000000000004"/>
    <n v="19.86"/>
    <n v="248"/>
    <n v="1161"/>
    <n v="4.68"/>
    <n v="13.26"/>
    <n v="87.54"/>
    <n v="1.89"/>
    <n v="3.44"/>
    <n v="85.64"/>
    <n v="38.590000000000003"/>
    <n v="1534.31"/>
    <n v="144726"/>
    <n v="493620"/>
    <n v="0"/>
    <n v="0"/>
    <n v="4.4000000000000004"/>
  </r>
  <r>
    <x v="12"/>
    <x v="2"/>
    <m/>
    <m/>
    <x v="2"/>
    <n v="0"/>
    <m/>
    <n v="9000"/>
    <m/>
    <m/>
    <m/>
    <m/>
    <m/>
    <m/>
    <m/>
    <m/>
    <m/>
    <m/>
    <m/>
    <m/>
    <m/>
    <m/>
    <m/>
    <m/>
    <m/>
    <m/>
    <m/>
    <m/>
  </r>
  <r>
    <x v="12"/>
    <x v="2"/>
    <s v="Em operação"/>
    <s v="ES 0126"/>
    <x v="1"/>
    <n v="0"/>
    <m/>
    <s v="-"/>
    <n v="104.76190476190476"/>
    <n v="4.1100000000000003"/>
    <n v="2.31"/>
    <n v="1.8"/>
    <n v="43.8"/>
    <n v="182"/>
    <n v="242"/>
    <n v="1.33"/>
    <n v="4.87"/>
    <n v="49.68"/>
    <n v="7.57"/>
    <n v="4.21"/>
    <n v="42.11"/>
    <n v="18.23"/>
    <n v="485.12"/>
    <n v="42674"/>
    <n v="85587"/>
    <n v="0.8"/>
    <n v="0"/>
    <n v="31.2"/>
  </r>
  <r>
    <x v="13"/>
    <x v="1"/>
    <s v="Não operacional"/>
    <s v="ES 0096"/>
    <x v="1"/>
    <n v="0"/>
    <m/>
    <s v="-"/>
    <n v="0"/>
    <n v="0"/>
    <n v="0"/>
    <n v="0"/>
    <s v=""/>
    <n v="0"/>
    <n v="0"/>
    <s v=""/>
    <s v=""/>
    <n v="0"/>
    <n v="0"/>
    <s v=""/>
    <n v="0"/>
    <s v=""/>
    <n v="8921.49"/>
    <n v="57851"/>
    <n v="81682"/>
    <n v="0"/>
    <s v=""/>
    <n v="258.5"/>
  </r>
  <r>
    <x v="13"/>
    <x v="1"/>
    <s v="Não operacional"/>
    <s v="ES 0097"/>
    <x v="1"/>
    <n v="0"/>
    <s v="Em Manutenção"/>
    <s v="-"/>
    <n v="0"/>
    <n v="0"/>
    <n v="0"/>
    <n v="0"/>
    <s v=""/>
    <n v="0"/>
    <n v="0"/>
    <s v=""/>
    <s v=""/>
    <n v="0"/>
    <n v="0"/>
    <s v=""/>
    <n v="0"/>
    <s v=""/>
    <n v="8505.08"/>
    <n v="58208"/>
    <n v="95660"/>
    <n v="0"/>
    <s v=""/>
    <n v="208.5"/>
  </r>
  <r>
    <x v="13"/>
    <x v="3"/>
    <s v="Em operação"/>
    <s v="ES 0101"/>
    <x v="0"/>
    <n v="3030.59"/>
    <m/>
    <n v="3000"/>
    <n v="447.05014749262534"/>
    <n v="8.08"/>
    <n v="6.78"/>
    <n v="1.3"/>
    <n v="16.079999999999998"/>
    <n v="761"/>
    <n v="3031"/>
    <n v="3.98"/>
    <n v="11.4"/>
    <n v="265.93"/>
    <n v="7.1"/>
    <n v="5.46"/>
    <n v="258.83"/>
    <n v="38.15"/>
    <n v="6165.88"/>
    <n v="379130"/>
    <n v="1326768"/>
    <n v="0.1"/>
    <n v="0"/>
    <n v="43.7"/>
  </r>
  <r>
    <x v="13"/>
    <x v="1"/>
    <s v="Não operacional"/>
    <s v="ES 0110"/>
    <x v="1"/>
    <n v="0"/>
    <m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1"/>
    <s v="Não operacional"/>
    <s v="ES 0099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1"/>
    <s v="Não operacional"/>
    <s v="ES 0116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1"/>
    <s v="Não operacional"/>
    <s v="ES 0126"/>
    <x v="2"/>
    <n v="0"/>
    <m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"/>
    <x v="3"/>
    <s v="Em operação"/>
    <s v="ES 0096"/>
    <x v="1"/>
    <n v="0"/>
    <m/>
    <s v="-"/>
    <n v="182.03389830508473"/>
    <n v="7.15"/>
    <n v="5.9"/>
    <n v="1.25"/>
    <n v="17.489999999999998"/>
    <n v="694"/>
    <n v="1074"/>
    <n v="1.55"/>
    <n v="8.73"/>
    <n v="123.03"/>
    <n v="5.2"/>
    <n v="4.16"/>
    <n v="117.82"/>
    <n v="19.98"/>
    <n v="8928.6299999999992"/>
    <n v="58545"/>
    <n v="82756"/>
    <n v="0.3"/>
    <n v="0"/>
    <n v="258.8"/>
  </r>
  <r>
    <x v="14"/>
    <x v="1"/>
    <s v="Não operacional"/>
    <s v="ES 0097"/>
    <x v="1"/>
    <n v="0"/>
    <s v="Em Manutenção"/>
    <s v="-"/>
    <n v="0"/>
    <n v="0"/>
    <n v="0"/>
    <n v="0"/>
    <s v=""/>
    <n v="0"/>
    <n v="0"/>
    <s v=""/>
    <s v=""/>
    <n v="0"/>
    <n v="0"/>
    <s v=""/>
    <n v="0"/>
    <s v=""/>
    <n v="8505.08"/>
    <n v="58208"/>
    <n v="95660"/>
    <n v="0"/>
    <s v=""/>
    <n v="208.5"/>
  </r>
  <r>
    <x v="14"/>
    <x v="3"/>
    <s v="Em operação"/>
    <s v="ES 0101"/>
    <x v="0"/>
    <n v="1215.1400000000001"/>
    <m/>
    <n v="3000"/>
    <n v="287.6521739130435"/>
    <n v="7"/>
    <n v="5.75"/>
    <n v="1.25"/>
    <n v="17.850000000000001"/>
    <n v="440"/>
    <n v="1654"/>
    <n v="3.76"/>
    <n v="7.33"/>
    <n v="225.7"/>
    <n v="7.1"/>
    <n v="5.68"/>
    <n v="218.61"/>
    <n v="38"/>
    <n v="6172.89"/>
    <n v="379570"/>
    <n v="1328422"/>
    <n v="0.1"/>
    <n v="0"/>
    <n v="43.8"/>
  </r>
  <r>
    <x v="14"/>
    <x v="3"/>
    <s v="Em operação"/>
    <s v="ES 0110"/>
    <x v="1"/>
    <n v="0"/>
    <m/>
    <s v="-"/>
    <n v="82.173913043478265"/>
    <n v="6.7"/>
    <n v="4.5999999999999996"/>
    <n v="2.1"/>
    <n v="31.32"/>
    <n v="267"/>
    <n v="378"/>
    <n v="1.42"/>
    <n v="4.0599999999999996"/>
    <n v="93.22"/>
    <n v="8.52"/>
    <n v="4.0599999999999996"/>
    <n v="84.7"/>
    <n v="18.39"/>
    <n v="2029.84"/>
    <n v="119944"/>
    <n v="223469"/>
    <n v="1.1000000000000001"/>
    <n v="0"/>
    <n v="279.5"/>
  </r>
  <r>
    <x v="14"/>
    <x v="3"/>
    <s v="Em operação"/>
    <s v="ES 0099"/>
    <x v="2"/>
    <n v="0"/>
    <s v="Emitiu pesagem incorreta"/>
    <n v="3000"/>
    <n v="0"/>
    <n v="6.89"/>
    <n v="5.24"/>
    <n v="1.65"/>
    <n v="23.93"/>
    <n v="449"/>
    <n v="0"/>
    <n v="3472631.41"/>
    <n v="8930089.5999999996"/>
    <n v="174.6"/>
    <n v="14.2"/>
    <n v="8.6"/>
    <n v="160.41"/>
    <n v="30.59"/>
    <n v="7510.6"/>
    <n v="91565"/>
    <n v="1559476544"/>
    <n v="0.3"/>
    <n v="0"/>
    <n v="233"/>
  </r>
  <r>
    <x v="14"/>
    <x v="3"/>
    <s v="Em operação"/>
    <s v="ES 0116"/>
    <x v="2"/>
    <n v="0"/>
    <m/>
    <n v="3000"/>
    <n v="459.56632653061223"/>
    <n v="8.94"/>
    <n v="7.84"/>
    <n v="1.1000000000000001"/>
    <n v="12.3"/>
    <n v="1125"/>
    <n v="3603"/>
    <n v="3.2"/>
    <n v="11.45"/>
    <n v="314.66000000000003"/>
    <n v="5.68"/>
    <n v="5.16"/>
    <n v="308.98"/>
    <n v="39.409999999999997"/>
    <n v="1543.25"/>
    <n v="145851"/>
    <n v="497223"/>
    <n v="0"/>
    <n v="0"/>
    <n v="4.4000000000000004"/>
  </r>
  <r>
    <x v="14"/>
    <x v="3"/>
    <s v="Em operação"/>
    <s v="ES 0126"/>
    <x v="2"/>
    <n v="0"/>
    <m/>
    <n v="3000"/>
    <n v="167.05685618729095"/>
    <n v="7.78"/>
    <n v="5.98"/>
    <n v="1.8"/>
    <n v="23.14"/>
    <n v="659"/>
    <n v="999"/>
    <n v="1.52"/>
    <n v="7.51"/>
    <n v="132.96"/>
    <n v="7.1"/>
    <n v="3.94"/>
    <n v="125.86"/>
    <n v="21.05"/>
    <n v="492.9"/>
    <n v="43333"/>
    <n v="86586"/>
    <n v="0.6"/>
    <n v="0"/>
    <n v="31.8"/>
  </r>
  <r>
    <x v="14"/>
    <x v="3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5"/>
    <x v="3"/>
    <s v="Em operação"/>
    <s v="ES 0096"/>
    <x v="1"/>
    <n v="0"/>
    <m/>
    <s v="-"/>
    <n v="117.30769230769231"/>
    <n v="2.58"/>
    <n v="2.08"/>
    <n v="0.5"/>
    <n v="19.420000000000002"/>
    <n v="152"/>
    <n v="244"/>
    <n v="1.61"/>
    <n v="5.93"/>
    <n v="41.17"/>
    <n v="1.89"/>
    <n v="3.79"/>
    <n v="39.270000000000003"/>
    <n v="18.93"/>
    <n v="8931.2099999999991"/>
    <n v="58697"/>
    <n v="83000"/>
    <n v="0.1"/>
    <n v="0"/>
    <n v="258.89999999999998"/>
  </r>
  <r>
    <x v="15"/>
    <x v="1"/>
    <s v="Não operacional"/>
    <s v="ES 0097"/>
    <x v="1"/>
    <n v="0"/>
    <s v="Em Manutenção"/>
    <s v="-"/>
    <n v="0"/>
    <n v="1.52"/>
    <n v="0.67"/>
    <n v="0.85"/>
    <n v="55.94"/>
    <n v="0"/>
    <n v="0"/>
    <s v=""/>
    <n v="0"/>
    <n v="12.78"/>
    <n v="4.26"/>
    <n v="5.01"/>
    <n v="8.52"/>
    <n v="12.72"/>
    <n v="8506.6"/>
    <n v="58208"/>
    <n v="95660"/>
    <n v="0"/>
    <s v=""/>
    <n v="208.5"/>
  </r>
  <r>
    <x v="15"/>
    <x v="3"/>
    <s v="Em operação"/>
    <s v="ES 0101"/>
    <x v="0"/>
    <n v="2851.57"/>
    <m/>
    <n v="3000"/>
    <n v="421.7021276595745"/>
    <n v="8"/>
    <n v="7.05"/>
    <n v="0.95"/>
    <n v="11.88"/>
    <n v="731"/>
    <n v="2973"/>
    <n v="4.07"/>
    <n v="11"/>
    <n v="270.18"/>
    <n v="5.68"/>
    <n v="5.98"/>
    <n v="264.51"/>
    <n v="37.53"/>
    <n v="6180.88"/>
    <n v="380301"/>
    <n v="1331395"/>
    <n v="0.1"/>
    <n v="0"/>
    <n v="43.9"/>
  </r>
  <r>
    <x v="15"/>
    <x v="3"/>
    <s v="Em operação"/>
    <s v="ES 0110"/>
    <x v="1"/>
    <n v="0"/>
    <m/>
    <s v="-"/>
    <n v="108.41584158415841"/>
    <n v="6.29"/>
    <n v="4.04"/>
    <n v="2.25"/>
    <n v="35.78"/>
    <n v="295"/>
    <n v="438"/>
    <n v="1.48"/>
    <n v="5.0599999999999996"/>
    <n v="86.59"/>
    <n v="8.52"/>
    <n v="3.79"/>
    <n v="78.069999999999993"/>
    <n v="19.329999999999998"/>
    <n v="2036.12"/>
    <n v="120239"/>
    <n v="223907"/>
    <n v="0.8"/>
    <n v="0"/>
    <n v="280.3"/>
  </r>
  <r>
    <x v="15"/>
    <x v="3"/>
    <s v="Em operação"/>
    <s v="ES 0099"/>
    <x v="2"/>
    <n v="0"/>
    <s v="Não emitiu pesagem"/>
    <n v="3000"/>
    <n v="0"/>
    <n v="7.6"/>
    <n v="5.95"/>
    <n v="1.65"/>
    <n v="21.71"/>
    <n v="656"/>
    <n v="0"/>
    <n v="0"/>
    <n v="0"/>
    <n v="197.31"/>
    <n v="12.3"/>
    <n v="7.46"/>
    <n v="185.01"/>
    <n v="31.09"/>
    <n v="7518.2"/>
    <n v="92221"/>
    <n v="267075"/>
    <n v="0.4"/>
    <n v="0"/>
    <n v="233.4"/>
  </r>
  <r>
    <x v="15"/>
    <x v="3"/>
    <s v="Em operação"/>
    <s v="ES 0116"/>
    <x v="2"/>
    <n v="0"/>
    <m/>
    <n v="3000"/>
    <n v="451.54185022026434"/>
    <n v="7.71"/>
    <n v="6.81"/>
    <n v="0.9"/>
    <n v="11.67"/>
    <n v="1053"/>
    <n v="3075"/>
    <n v="2.92"/>
    <n v="11.15"/>
    <n v="275.86"/>
    <n v="3.79"/>
    <n v="4.21"/>
    <n v="272.08"/>
    <n v="39.93"/>
    <n v="1550.96"/>
    <n v="146904"/>
    <n v="500298"/>
    <n v="0.1"/>
    <n v="0"/>
    <n v="4.5"/>
  </r>
  <r>
    <x v="15"/>
    <x v="3"/>
    <s v="Em operação"/>
    <s v="ES 0126"/>
    <x v="2"/>
    <n v="0"/>
    <m/>
    <n v="3000"/>
    <n v="261.74957118353342"/>
    <n v="7.93"/>
    <n v="5.83"/>
    <n v="2.1"/>
    <n v="26.5"/>
    <n v="853"/>
    <n v="1526"/>
    <n v="1.79"/>
    <n v="11.24"/>
    <n v="135.80000000000001"/>
    <n v="7.57"/>
    <n v="3.61"/>
    <n v="128.22999999999999"/>
    <n v="22.01"/>
    <n v="500.82"/>
    <n v="44186"/>
    <n v="88112"/>
    <n v="0.9"/>
    <n v="0"/>
    <n v="32.700000000000003"/>
  </r>
  <r>
    <x v="15"/>
    <x v="3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6"/>
    <x v="3"/>
    <s v="Em operação"/>
    <s v="ES 0096"/>
    <x v="1"/>
    <n v="0"/>
    <m/>
    <s v="-"/>
    <n v="152.47524752475249"/>
    <n v="3.28"/>
    <n v="3.03"/>
    <n v="0.25"/>
    <n v="7.63"/>
    <n v="342"/>
    <n v="462"/>
    <n v="1.35"/>
    <n v="7.57"/>
    <n v="61.04"/>
    <n v="0.95"/>
    <n v="3.79"/>
    <n v="60.09"/>
    <n v="19.86"/>
    <n v="8934.48"/>
    <n v="59039"/>
    <n v="83462"/>
    <n v="0.2"/>
    <n v="0"/>
    <n v="259.10000000000002"/>
  </r>
  <r>
    <x v="16"/>
    <x v="1"/>
    <s v="Não operacional"/>
    <s v="ES 0097"/>
    <x v="1"/>
    <n v="0"/>
    <s v="Em Manutenção"/>
    <s v="-"/>
    <n v="0"/>
    <n v="5.36"/>
    <n v="4.3600000000000003"/>
    <n v="1"/>
    <n v="18.649999999999999"/>
    <n v="0"/>
    <n v="0"/>
    <s v=""/>
    <n v="0"/>
    <n v="91.8"/>
    <n v="3.79"/>
    <n v="3.79"/>
    <n v="88.01"/>
    <n v="20.18"/>
    <n v="8511.9599999999991"/>
    <n v="58208"/>
    <n v="95660"/>
    <n v="0.5"/>
    <s v=""/>
    <n v="209"/>
  </r>
  <r>
    <x v="16"/>
    <x v="3"/>
    <s v="Em operação"/>
    <s v="ES 0101"/>
    <x v="0"/>
    <n v="3210"/>
    <m/>
    <n v="3000"/>
    <n v="492.71523178807945"/>
    <n v="10.16"/>
    <n v="9.06"/>
    <n v="1.1000000000000001"/>
    <n v="10.83"/>
    <n v="1167"/>
    <n v="4464"/>
    <n v="3.83"/>
    <n v="12.89"/>
    <n v="346.36"/>
    <n v="6.15"/>
    <n v="5.59"/>
    <n v="340.21"/>
    <n v="37.56"/>
    <n v="6191.04"/>
    <n v="381468"/>
    <n v="1335859"/>
    <n v="0"/>
    <n v="0"/>
    <n v="43.9"/>
  </r>
  <r>
    <x v="16"/>
    <x v="3"/>
    <s v="Em operação"/>
    <s v="ES 0110"/>
    <x v="1"/>
    <n v="0"/>
    <m/>
    <s v="-"/>
    <n v="104.56852791878173"/>
    <n v="3.87"/>
    <n v="1.97"/>
    <n v="1.9"/>
    <n v="49.09"/>
    <n v="154"/>
    <n v="206"/>
    <n v="1.34"/>
    <n v="5"/>
    <n v="41.17"/>
    <n v="6.62"/>
    <n v="3.49"/>
    <n v="34.54"/>
    <n v="17.53"/>
    <n v="2040"/>
    <n v="120393"/>
    <n v="224113"/>
    <n v="0.2"/>
    <n v="0"/>
    <n v="280.5"/>
  </r>
  <r>
    <x v="16"/>
    <x v="3"/>
    <s v="Em operação"/>
    <s v="ES 0099"/>
    <x v="2"/>
    <n v="0"/>
    <m/>
    <n v="3000"/>
    <n v="199.07918968692451"/>
    <n v="6.98"/>
    <n v="5.43"/>
    <n v="1.55"/>
    <n v="22.22"/>
    <n v="645"/>
    <n v="1081"/>
    <n v="1.68"/>
    <n v="6.04"/>
    <n v="178.86"/>
    <n v="9.4600000000000009"/>
    <n v="6.11"/>
    <n v="169.4"/>
    <n v="31.22"/>
    <n v="7525.18"/>
    <n v="92866"/>
    <n v="268156"/>
    <n v="0.2"/>
    <n v="0"/>
    <n v="233.6"/>
  </r>
  <r>
    <x v="16"/>
    <x v="3"/>
    <s v="Em operação"/>
    <s v="ES 0116"/>
    <x v="2"/>
    <n v="0"/>
    <m/>
    <n v="3000"/>
    <n v="292.13114754098365"/>
    <n v="7"/>
    <n v="6.1"/>
    <n v="0.9"/>
    <n v="12.86"/>
    <n v="533"/>
    <n v="1782"/>
    <n v="3.34"/>
    <n v="10.1"/>
    <n v="176.49"/>
    <n v="4.26"/>
    <n v="4.7300000000000004"/>
    <n v="172.24"/>
    <n v="28.24"/>
    <n v="1557.96"/>
    <n v="147437"/>
    <n v="502080"/>
    <n v="0"/>
    <n v="0"/>
    <n v="4.5"/>
  </r>
  <r>
    <x v="16"/>
    <x v="3"/>
    <s v="Em operação"/>
    <s v="ES 0126"/>
    <x v="2"/>
    <n v="0"/>
    <m/>
    <n v="3000"/>
    <n v="255.8303886925795"/>
    <n v="4.63"/>
    <n v="2.83"/>
    <n v="1.8"/>
    <n v="38.909999999999997"/>
    <n v="368"/>
    <n v="724"/>
    <n v="1.97"/>
    <n v="11.33"/>
    <n v="63.88"/>
    <n v="6.62"/>
    <n v="3.68"/>
    <n v="57.25"/>
    <n v="20.260000000000002"/>
    <n v="505.45"/>
    <n v="44554"/>
    <n v="88836"/>
    <n v="0.9"/>
    <n v="0"/>
    <n v="33.6"/>
  </r>
  <r>
    <x v="16"/>
    <x v="3"/>
    <m/>
    <m/>
    <x v="2"/>
    <n v="0"/>
    <m/>
    <n v="6000"/>
    <m/>
    <m/>
    <m/>
    <m/>
    <m/>
    <m/>
    <m/>
    <m/>
    <m/>
    <m/>
    <m/>
    <m/>
    <m/>
    <m/>
    <m/>
    <m/>
    <m/>
    <m/>
    <m/>
    <m/>
  </r>
  <r>
    <x v="17"/>
    <x v="3"/>
    <s v="Em operação"/>
    <s v="ES 0096"/>
    <x v="6"/>
    <n v="0"/>
    <m/>
    <n v="3000"/>
    <n v="155.49295774647888"/>
    <n v="8.35"/>
    <n v="7.1"/>
    <n v="1.25"/>
    <n v="14.98"/>
    <n v="794"/>
    <n v="1104"/>
    <n v="1.39"/>
    <n v="7.55"/>
    <n v="146.21"/>
    <n v="5.2"/>
    <n v="4.16"/>
    <n v="141.01"/>
    <n v="19.87"/>
    <n v="8942.83"/>
    <n v="59833"/>
    <n v="84566"/>
    <n v="7.9"/>
    <n v="0.01"/>
    <n v="267"/>
  </r>
  <r>
    <x v="17"/>
    <x v="3"/>
    <s v="Em operação"/>
    <s v="ES 0101"/>
    <x v="0"/>
    <n v="129.52000000000001"/>
    <m/>
    <n v="3000"/>
    <n v="298"/>
    <n v="1.85"/>
    <n v="1.5"/>
    <n v="0.35"/>
    <n v="18.940000000000001"/>
    <n v="155"/>
    <n v="447"/>
    <n v="2.88"/>
    <n v="7.94"/>
    <n v="56.31"/>
    <n v="2.84"/>
    <n v="8.11"/>
    <n v="53.47"/>
    <n v="35.700000000000003"/>
    <n v="6192.89"/>
    <n v="381623"/>
    <n v="1336306"/>
    <n v="0.1"/>
    <n v="0"/>
    <n v="44"/>
  </r>
  <r>
    <x v="17"/>
    <x v="3"/>
    <s v="Em operação"/>
    <s v="ES 0110"/>
    <x v="1"/>
    <n v="0"/>
    <m/>
    <s v="-"/>
    <n v="130.05464480874318"/>
    <n v="6.44"/>
    <n v="5.49"/>
    <n v="0.95"/>
    <n v="14.74"/>
    <n v="428"/>
    <n v="714"/>
    <n v="1.67"/>
    <n v="6.5"/>
    <n v="109.78"/>
    <n v="4.26"/>
    <n v="4.4800000000000004"/>
    <n v="105.52"/>
    <n v="19.2"/>
    <n v="2046.44"/>
    <n v="120821"/>
    <n v="224827"/>
    <n v="0.9"/>
    <n v="0"/>
    <n v="281.39999999999998"/>
  </r>
  <r>
    <x v="17"/>
    <x v="3"/>
    <s v="Em operação"/>
    <s v="ES 0097"/>
    <x v="2"/>
    <n v="0"/>
    <s v="Não emitiu pesagem"/>
    <n v="3000"/>
    <n v="0"/>
    <n v="7.85"/>
    <n v="6.2"/>
    <n v="1.65"/>
    <n v="21.03"/>
    <n v="0"/>
    <n v="0"/>
    <s v=""/>
    <n v="0"/>
    <n v="137.22"/>
    <n v="6.15"/>
    <n v="3.73"/>
    <n v="131.07"/>
    <n v="21.15"/>
    <n v="8519.81"/>
    <n v="58208"/>
    <n v="95660"/>
    <n v="0.9"/>
    <s v=""/>
    <n v="209.9"/>
  </r>
  <r>
    <x v="17"/>
    <x v="1"/>
    <s v="Não operacional"/>
    <s v="ES 0099"/>
    <x v="2"/>
    <n v="0"/>
    <m/>
    <s v="-"/>
    <n v="170.87033747779751"/>
    <n v="7.88"/>
    <n v="5.63"/>
    <n v="2.25"/>
    <n v="28.57"/>
    <n v="419"/>
    <n v="962"/>
    <n v="2.2999999999999998"/>
    <n v="5.04"/>
    <n v="190.69"/>
    <n v="16.559999999999999"/>
    <n v="7.36"/>
    <n v="174.13"/>
    <n v="30.95"/>
    <n v="7533.06"/>
    <n v="93285"/>
    <n v="269118"/>
    <n v="0.2"/>
    <n v="0"/>
    <n v="233.8"/>
  </r>
  <r>
    <x v="17"/>
    <x v="1"/>
    <s v="Não operacional"/>
    <s v="ES 0116"/>
    <x v="2"/>
    <n v="0"/>
    <m/>
    <s v="-"/>
    <n v="374.48186528497411"/>
    <n v="8.82"/>
    <n v="7.72"/>
    <n v="1.1000000000000001"/>
    <n v="12.48"/>
    <n v="903"/>
    <n v="2891"/>
    <n v="3.2"/>
    <n v="9.1199999999999992"/>
    <n v="317.02999999999997"/>
    <n v="4.7300000000000004"/>
    <n v="4.3"/>
    <n v="312.3"/>
    <n v="40.47"/>
    <n v="1566.78"/>
    <n v="148480"/>
    <n v="505407"/>
    <n v="0"/>
    <n v="0"/>
    <n v="4.5"/>
  </r>
  <r>
    <x v="17"/>
    <x v="1"/>
    <s v="Não operacional"/>
    <s v="ES 0126"/>
    <x v="2"/>
    <n v="0"/>
    <s v="Em Manutenção"/>
    <s v="-"/>
    <n v="0"/>
    <n v="0.28999999999999998"/>
    <n v="0.09"/>
    <n v="0.2"/>
    <n v="69.040000000000006"/>
    <n v="0"/>
    <n v="0"/>
    <s v=""/>
    <n v="0"/>
    <n v="1.42"/>
    <n v="0.95"/>
    <n v="4.7300000000000004"/>
    <n v="0.47"/>
    <n v="5.28"/>
    <n v="505.74"/>
    <n v="44554"/>
    <n v="88836"/>
    <n v="0"/>
    <s v=""/>
    <n v="33.6"/>
  </r>
  <r>
    <x v="17"/>
    <x v="3"/>
    <m/>
    <m/>
    <x v="2"/>
    <n v="0"/>
    <m/>
    <n v="12000"/>
    <m/>
    <m/>
    <m/>
    <m/>
    <m/>
    <m/>
    <m/>
    <m/>
    <m/>
    <m/>
    <m/>
    <m/>
    <m/>
    <m/>
    <m/>
    <m/>
    <m/>
    <m/>
    <m/>
    <m/>
  </r>
  <r>
    <x v="18"/>
    <x v="3"/>
    <s v="Em operação"/>
    <s v="ES 0096"/>
    <x v="6"/>
    <n v="0"/>
    <m/>
    <n v="2500"/>
    <n v="85.641025641025649"/>
    <n v="9.65"/>
    <n v="7.8"/>
    <n v="1.85"/>
    <n v="19.16"/>
    <n v="640"/>
    <n v="668"/>
    <n v="1.04"/>
    <n v="4.1500000000000004"/>
    <n v="160.88"/>
    <n v="6.62"/>
    <n v="3.58"/>
    <n v="154.26"/>
    <n v="19.77"/>
    <n v="8952.48"/>
    <n v="60473"/>
    <n v="85234"/>
    <n v="1"/>
    <n v="0"/>
    <n v="268"/>
  </r>
  <r>
    <x v="18"/>
    <x v="3"/>
    <s v="Em operação"/>
    <s v="ES 0101"/>
    <x v="0"/>
    <n v="1484"/>
    <m/>
    <n v="3000"/>
    <n v="406.17469879518075"/>
    <n v="7.74"/>
    <n v="6.64"/>
    <n v="1.1000000000000001"/>
    <n v="14.21"/>
    <n v="717"/>
    <n v="2697"/>
    <n v="3.76"/>
    <n v="10.75"/>
    <n v="250.78"/>
    <n v="6.15"/>
    <n v="5.59"/>
    <n v="244.63"/>
    <n v="36.840000000000003"/>
    <n v="6200.63"/>
    <n v="382340"/>
    <n v="1339003"/>
    <n v="0.1"/>
    <n v="0"/>
    <n v="44.1"/>
  </r>
  <r>
    <x v="18"/>
    <x v="3"/>
    <s v="Em operação"/>
    <s v="ES 0097"/>
    <x v="2"/>
    <n v="0"/>
    <s v="Não emitiu pesagem"/>
    <n v="3000"/>
    <n v="265.15151515151518"/>
    <n v="8.35"/>
    <n v="6.6"/>
    <n v="1.75"/>
    <n v="20.96"/>
    <m/>
    <n v="1750"/>
    <s v=""/>
    <n v="0"/>
    <n v="148.58000000000001"/>
    <n v="6.62"/>
    <n v="3.79"/>
    <n v="141.94999999999999"/>
    <n v="21.51"/>
    <n v="8528.16"/>
    <n v="58208"/>
    <n v="95660"/>
    <n v="1.5"/>
    <s v=""/>
    <n v="211.4"/>
  </r>
  <r>
    <x v="18"/>
    <x v="3"/>
    <s v="Em operação"/>
    <s v="ES 0099"/>
    <x v="2"/>
    <n v="0"/>
    <m/>
    <n v="3000"/>
    <n v="138.04347826086956"/>
    <n v="1.52"/>
    <n v="0.92"/>
    <n v="0.6"/>
    <n v="39.36"/>
    <n v="62"/>
    <n v="127"/>
    <n v="2.0499999999999998"/>
    <n v="3.95"/>
    <n v="32.18"/>
    <n v="3.79"/>
    <n v="6.31"/>
    <n v="28.39"/>
    <n v="30.72"/>
    <n v="7534.58"/>
    <n v="93347"/>
    <n v="269245"/>
    <n v="0.2"/>
    <n v="0"/>
    <n v="234"/>
  </r>
  <r>
    <x v="18"/>
    <x v="3"/>
    <s v="Em operação"/>
    <s v="ES 0110"/>
    <x v="2"/>
    <n v="0"/>
    <m/>
    <n v="3000"/>
    <n v="225.0351617440225"/>
    <n v="8.26"/>
    <n v="7.11"/>
    <n v="1.1499999999999999"/>
    <n v="13.93"/>
    <n v="783"/>
    <n v="1600"/>
    <n v="2.04"/>
    <n v="10.37"/>
    <n v="154.26"/>
    <n v="4.26"/>
    <n v="3.7"/>
    <n v="150"/>
    <n v="21.11"/>
    <n v="2054.6999999999998"/>
    <n v="121604"/>
    <n v="226427"/>
    <n v="1.7"/>
    <n v="0"/>
    <n v="283.10000000000002"/>
  </r>
  <r>
    <x v="18"/>
    <x v="3"/>
    <s v="Em operação"/>
    <s v="ES 0116"/>
    <x v="2"/>
    <n v="0"/>
    <m/>
    <n v="3000"/>
    <n v="391.1764705882353"/>
    <n v="8.35"/>
    <n v="6.8"/>
    <n v="1.55"/>
    <n v="18.559999999999999"/>
    <n v="807"/>
    <n v="2660"/>
    <n v="3.3"/>
    <n v="9.69"/>
    <n v="274.44"/>
    <n v="6.15"/>
    <n v="3.97"/>
    <n v="268.29000000000002"/>
    <n v="39.450000000000003"/>
    <n v="1575.13"/>
    <n v="149287"/>
    <n v="508067"/>
    <n v="0"/>
    <n v="0"/>
    <n v="4.5"/>
  </r>
  <r>
    <x v="18"/>
    <x v="3"/>
    <s v="Em operação"/>
    <s v="ES 0126"/>
    <x v="2"/>
    <n v="0"/>
    <m/>
    <n v="3000"/>
    <n v="83.932853717026376"/>
    <n v="5.07"/>
    <n v="4.17"/>
    <n v="0.9"/>
    <n v="17.77"/>
    <n v="320"/>
    <n v="350"/>
    <n v="1.0900000000000001"/>
    <n v="3.85"/>
    <n v="90.85"/>
    <n v="3.31"/>
    <n v="3.68"/>
    <n v="87.54"/>
    <n v="21.02"/>
    <n v="510.8"/>
    <n v="44874"/>
    <n v="89186"/>
    <n v="0.5"/>
    <n v="0"/>
    <n v="34.1"/>
  </r>
  <r>
    <x v="18"/>
    <x v="3"/>
    <m/>
    <m/>
    <x v="2"/>
    <n v="0"/>
    <m/>
    <n v="0"/>
    <m/>
    <m/>
    <m/>
    <m/>
    <m/>
    <m/>
    <m/>
    <m/>
    <m/>
    <m/>
    <m/>
    <m/>
    <m/>
    <m/>
    <m/>
    <m/>
    <m/>
    <m/>
    <m/>
    <m/>
  </r>
  <r>
    <x v="19"/>
    <x v="3"/>
    <s v="Em operação"/>
    <s v="ES 0096"/>
    <x v="6"/>
    <n v="0"/>
    <m/>
    <n v="2500"/>
    <n v="179.10112359550561"/>
    <n v="6.1"/>
    <n v="4.45"/>
    <n v="1.65"/>
    <n v="27.06"/>
    <n v="413"/>
    <n v="797"/>
    <n v="1.93"/>
    <n v="8.3800000000000008"/>
    <n v="95.11"/>
    <n v="6.15"/>
    <n v="3.73"/>
    <n v="88.96"/>
    <n v="20"/>
    <n v="8958.58"/>
    <n v="60886"/>
    <n v="86031"/>
    <n v="2"/>
    <n v="0"/>
    <n v="270"/>
  </r>
  <r>
    <x v="19"/>
    <x v="3"/>
    <s v="Em operação"/>
    <s v="ES 0099"/>
    <x v="2"/>
    <n v="0"/>
    <m/>
    <n v="3000"/>
    <n v="207.98969072164948"/>
    <n v="5.83"/>
    <n v="3.88"/>
    <n v="1.95"/>
    <n v="33.42"/>
    <n v="318"/>
    <n v="807"/>
    <n v="2.54"/>
    <n v="6.16"/>
    <n v="131.07"/>
    <n v="13.25"/>
    <n v="6.79"/>
    <n v="117.82"/>
    <n v="30.33"/>
    <n v="7540.42"/>
    <n v="93665"/>
    <n v="270052"/>
    <n v="0.3"/>
    <n v="0"/>
    <n v="234.3"/>
  </r>
  <r>
    <x v="19"/>
    <x v="3"/>
    <s v="Em operação"/>
    <s v="ES 0101"/>
    <x v="0"/>
    <n v="1811"/>
    <m/>
    <n v="3000"/>
    <n v="393.55638166047089"/>
    <n v="9.32"/>
    <n v="8.07"/>
    <n v="1.25"/>
    <n v="13.41"/>
    <n v="805"/>
    <n v="3176"/>
    <n v="3.95"/>
    <n v="10.41"/>
    <n v="305.2"/>
    <n v="6.62"/>
    <n v="5.3"/>
    <n v="298.57"/>
    <n v="36.99"/>
    <n v="6209.95"/>
    <n v="383145"/>
    <n v="1342179"/>
    <n v="0.2"/>
    <n v="0"/>
    <n v="44.3"/>
  </r>
  <r>
    <x v="19"/>
    <x v="3"/>
    <s v="Em operação"/>
    <s v="ES 0097"/>
    <x v="2"/>
    <n v="0"/>
    <s v="Não emitiu pesagem"/>
    <n v="3000"/>
    <n v="336.70033670033666"/>
    <n v="7.09"/>
    <n v="5.94"/>
    <n v="1.1499999999999999"/>
    <n v="16.21"/>
    <m/>
    <n v="2000"/>
    <s v=""/>
    <n v="0"/>
    <n v="132.02000000000001"/>
    <n v="4.26"/>
    <n v="3.7"/>
    <n v="127.76"/>
    <n v="21.5"/>
    <n v="8535.25"/>
    <n v="58208"/>
    <n v="95660"/>
    <n v="0.9"/>
    <s v=""/>
    <n v="212.3"/>
  </r>
  <r>
    <x v="19"/>
    <x v="3"/>
    <s v="Em operação"/>
    <s v="ES 0110"/>
    <x v="2"/>
    <n v="0"/>
    <m/>
    <n v="3000"/>
    <n v="266.39004149377593"/>
    <n v="6.22"/>
    <n v="4.82"/>
    <n v="1.4"/>
    <n v="22.51"/>
    <n v="587"/>
    <n v="1284"/>
    <n v="2.19"/>
    <n v="12.39"/>
    <n v="103.63"/>
    <n v="6.15"/>
    <n v="4.3899999999999997"/>
    <n v="97.47"/>
    <n v="20.23"/>
    <n v="2060.92"/>
    <n v="122191"/>
    <n v="227711"/>
    <n v="0.4"/>
    <n v="0"/>
    <n v="283.5"/>
  </r>
  <r>
    <x v="19"/>
    <x v="3"/>
    <s v="Em operação"/>
    <s v="ES 0116"/>
    <x v="2"/>
    <n v="0"/>
    <m/>
    <n v="3000"/>
    <n v="450.75757575757575"/>
    <n v="6.28"/>
    <n v="5.28"/>
    <n v="1"/>
    <n v="15.92"/>
    <n v="632"/>
    <n v="2380"/>
    <n v="3.77"/>
    <n v="13.06"/>
    <n v="182.17"/>
    <n v="5.2"/>
    <n v="5.2"/>
    <n v="176.97"/>
    <n v="33.51"/>
    <n v="1581.41"/>
    <n v="149919"/>
    <n v="510447"/>
    <n v="0"/>
    <n v="0"/>
    <n v="4.5"/>
  </r>
  <r>
    <x v="19"/>
    <x v="3"/>
    <s v="Em operação"/>
    <s v="ES 0126"/>
    <x v="2"/>
    <n v="0"/>
    <m/>
    <n v="3000"/>
    <n v="273.65853658536588"/>
    <n v="6.1"/>
    <n v="4.0999999999999996"/>
    <n v="2"/>
    <n v="32.81"/>
    <n v="563"/>
    <n v="1122"/>
    <n v="1.99"/>
    <n v="11.86"/>
    <n v="94.64"/>
    <n v="7.57"/>
    <n v="3.79"/>
    <n v="87.06"/>
    <n v="21.25"/>
    <n v="516.9"/>
    <n v="45437"/>
    <n v="90308"/>
    <n v="0.5"/>
    <n v="0"/>
    <n v="34.6"/>
  </r>
  <r>
    <x v="19"/>
    <x v="3"/>
    <m/>
    <m/>
    <x v="2"/>
    <n v="0"/>
    <m/>
    <m/>
    <m/>
    <m/>
    <m/>
    <m/>
    <m/>
    <m/>
    <m/>
    <m/>
    <m/>
    <m/>
    <m/>
    <m/>
    <m/>
    <m/>
    <m/>
    <m/>
    <m/>
    <m/>
    <m/>
    <m/>
  </r>
  <r>
    <x v="20"/>
    <x v="1"/>
    <s v="Não operacional"/>
    <s v="ES 0096"/>
    <x v="6"/>
    <n v="0"/>
    <m/>
    <s v="-"/>
    <n v="0"/>
    <n v="0"/>
    <n v="0"/>
    <n v="0"/>
    <s v=""/>
    <n v="0"/>
    <n v="0"/>
    <s v=""/>
    <s v=""/>
    <n v="0"/>
    <n v="0"/>
    <s v=""/>
    <n v="0"/>
    <s v=""/>
    <n v="8958.58"/>
    <n v="60886"/>
    <n v="86031"/>
    <n v="0"/>
    <s v=""/>
    <n v="270"/>
  </r>
  <r>
    <x v="20"/>
    <x v="1"/>
    <s v="Não operacional"/>
    <s v="ES 0099"/>
    <x v="2"/>
    <n v="0"/>
    <m/>
    <s v="-"/>
    <n v="0"/>
    <n v="0"/>
    <n v="0"/>
    <n v="0"/>
    <s v=""/>
    <n v="0"/>
    <n v="0"/>
    <s v=""/>
    <s v=""/>
    <n v="0"/>
    <n v="0"/>
    <s v=""/>
    <n v="0"/>
    <s v=""/>
    <n v="7540.42"/>
    <n v="93665"/>
    <n v="270052"/>
    <n v="0"/>
    <s v=""/>
    <n v="234.3"/>
  </r>
  <r>
    <x v="20"/>
    <x v="3"/>
    <s v="Em operação"/>
    <s v="ES 0101"/>
    <x v="0"/>
    <n v="2329"/>
    <m/>
    <n v="3000"/>
    <n v="430.33707865168537"/>
    <n v="8.6199999999999992"/>
    <n v="7.12"/>
    <n v="1.5"/>
    <n v="17.399999999999999"/>
    <n v="779"/>
    <n v="3064"/>
    <n v="3.93"/>
    <n v="11.28"/>
    <n v="271.60000000000002"/>
    <n v="8.52"/>
    <n v="5.68"/>
    <n v="263.08999999999997"/>
    <n v="36.93"/>
    <n v="6218.57"/>
    <n v="383924"/>
    <n v="1345243"/>
    <n v="0.1"/>
    <n v="0"/>
    <n v="44.4"/>
  </r>
  <r>
    <x v="20"/>
    <x v="1"/>
    <s v="Não operacional"/>
    <s v="ES 0097"/>
    <x v="2"/>
    <n v="0"/>
    <s v="Não emitiu pesagem"/>
    <s v="-"/>
    <n v="0"/>
    <n v="0"/>
    <n v="0"/>
    <n v="0"/>
    <s v=""/>
    <n v="0"/>
    <n v="0"/>
    <s v=""/>
    <s v=""/>
    <n v="0"/>
    <n v="0"/>
    <s v=""/>
    <n v="0"/>
    <s v=""/>
    <n v="8535.25"/>
    <n v="58208"/>
    <n v="95660"/>
    <n v="0"/>
    <s v=""/>
    <n v="212.3"/>
  </r>
  <r>
    <x v="20"/>
    <x v="1"/>
    <s v="Não operacional"/>
    <s v="ES 0110"/>
    <x v="2"/>
    <n v="0"/>
    <m/>
    <s v="-"/>
    <n v="0"/>
    <n v="0.42"/>
    <n v="0.37"/>
    <n v="0.05"/>
    <n v="12.03"/>
    <n v="35"/>
    <n v="0"/>
    <n v="1.83"/>
    <n v="7.12"/>
    <n v="8.99"/>
    <n v="0"/>
    <n v="0"/>
    <n v="8.99"/>
    <n v="24.58"/>
    <n v="2061.33"/>
    <n v="122226"/>
    <n v="227775"/>
    <n v="0"/>
    <n v="0"/>
    <n v="283.5"/>
  </r>
  <r>
    <x v="20"/>
    <x v="1"/>
    <s v="Não operacional"/>
    <s v="ES 0116"/>
    <x v="2"/>
    <n v="0"/>
    <m/>
    <s v="-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"/>
    <x v="1"/>
    <s v="Não operacional"/>
    <s v="ES 0126"/>
    <x v="2"/>
    <n v="0"/>
    <m/>
    <s v="-"/>
    <n v="0"/>
    <n v="0"/>
    <n v="0"/>
    <n v="0"/>
    <s v=""/>
    <n v="0"/>
    <n v="0"/>
    <s v=""/>
    <s v=""/>
    <n v="0"/>
    <n v="0"/>
    <s v=""/>
    <n v="0"/>
    <s v=""/>
    <n v="516.9"/>
    <n v="45437"/>
    <n v="90308"/>
    <n v="0"/>
    <s v=""/>
    <n v="34.6"/>
  </r>
  <r>
    <x v="21"/>
    <x v="4"/>
    <s v="Em operação"/>
    <s v="ES 0096"/>
    <x v="2"/>
    <n v="0"/>
    <m/>
    <n v="3000"/>
    <n v="285.2480417754569"/>
    <n v="8.16"/>
    <n v="7.66"/>
    <n v="0.5"/>
    <n v="6.13"/>
    <n v="1138"/>
    <n v="2185"/>
    <n v="1.92"/>
    <n v="13.16"/>
    <n v="166.08"/>
    <n v="1.89"/>
    <n v="3.79"/>
    <n v="164.19"/>
    <n v="21.43"/>
    <n v="8966.75"/>
    <n v="62024"/>
    <n v="88216"/>
    <n v="1"/>
    <n v="0"/>
    <n v="271"/>
  </r>
  <r>
    <x v="21"/>
    <x v="4"/>
    <s v="Em operação"/>
    <s v="ES 0097"/>
    <x v="2"/>
    <n v="0"/>
    <m/>
    <n v="3000"/>
    <n v="417.6610978520286"/>
    <n v="4.99"/>
    <n v="4.1900000000000004"/>
    <n v="0.8"/>
    <m/>
    <m/>
    <n v="1750"/>
    <m/>
    <m/>
    <m/>
    <m/>
    <m/>
    <m/>
    <m/>
    <n v="8540.25"/>
    <m/>
    <m/>
    <n v="1.6"/>
    <s v=""/>
    <n v="213.9"/>
  </r>
  <r>
    <x v="21"/>
    <x v="4"/>
    <s v="Em operação"/>
    <s v="ES 0099"/>
    <x v="6"/>
    <n v="0"/>
    <m/>
    <m/>
    <n v="144.38502673796791"/>
    <n v="8.07"/>
    <n v="1.87"/>
    <n v="6.2"/>
    <n v="76.86"/>
    <n v="139"/>
    <n v="270"/>
    <n v="1.94"/>
    <n v="3.14"/>
    <n v="86.12"/>
    <n v="29.34"/>
    <n v="4.7300000000000004"/>
    <n v="56.78"/>
    <n v="30.42"/>
    <n v="7548.48"/>
    <n v="93804"/>
    <n v="270322"/>
    <n v="0.1"/>
    <n v="0"/>
    <n v="234.4"/>
  </r>
  <r>
    <x v="21"/>
    <x v="4"/>
    <s v="Em operação"/>
    <s v="ES 0101"/>
    <x v="0"/>
    <n v="2810"/>
    <m/>
    <n v="3428.5714285714284"/>
    <n v="461.09510086455327"/>
    <n v="8.49"/>
    <n v="6.94"/>
    <n v="1.55"/>
    <n v="18.25"/>
    <n v="727"/>
    <n v="3200"/>
    <n v="4.4000000000000004"/>
    <n v="11.99"/>
    <n v="266.87"/>
    <n v="8.52"/>
    <n v="5.49"/>
    <n v="258.35000000000002"/>
    <n v="37.21"/>
    <n v="6227.07"/>
    <n v="384651"/>
    <n v="1348443"/>
    <n v="0.1"/>
    <n v="0"/>
    <n v="44.5"/>
  </r>
  <r>
    <x v="21"/>
    <x v="4"/>
    <s v="Em operação"/>
    <s v="ES 0110"/>
    <x v="2"/>
    <n v="0"/>
    <m/>
    <n v="3000"/>
    <n v="262.40310077519376"/>
    <n v="8.99"/>
    <n v="7.74"/>
    <n v="1.25"/>
    <n v="13.9"/>
    <n v="1005"/>
    <n v="2031"/>
    <n v="2.02"/>
    <n v="12.09"/>
    <n v="167.98"/>
    <n v="4.7300000000000004"/>
    <n v="3.79"/>
    <n v="163.25"/>
    <n v="21.08"/>
    <n v="2070.33"/>
    <n v="123231"/>
    <n v="229806"/>
    <n v="1.8"/>
    <n v="0"/>
    <n v="285.3"/>
  </r>
  <r>
    <x v="21"/>
    <x v="4"/>
    <s v="Em operação"/>
    <s v="ES 0116"/>
    <x v="2"/>
    <n v="0"/>
    <m/>
    <n v="3000"/>
    <n v="621.2311557788945"/>
    <n v="9.26"/>
    <n v="7.96"/>
    <n v="1.3"/>
    <n v="14.03"/>
    <n v="1152"/>
    <n v="4945"/>
    <n v="4.29"/>
    <n v="14.76"/>
    <n v="335.01"/>
    <n v="6.15"/>
    <n v="4.7300000000000004"/>
    <n v="328.86"/>
    <n v="41.29"/>
    <n v="1590.67"/>
    <n v="151140"/>
    <n v="515618"/>
    <n v="0.1"/>
    <n v="0"/>
    <n v="4.5999999999999996"/>
  </r>
  <r>
    <x v="21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1"/>
    <x v="4"/>
    <s v="Em operação"/>
    <s v="ES 0116"/>
    <x v="2"/>
    <n v="0"/>
    <m/>
    <n v="3000"/>
    <n v="185.47619047619048"/>
    <n v="5.7"/>
    <n v="4.2"/>
    <n v="1.5"/>
    <n v="26.32"/>
    <n v="466"/>
    <n v="779"/>
    <n v="1.67"/>
    <n v="8.6199999999999992"/>
    <n v="90.38"/>
    <n v="5.68"/>
    <n v="3.79"/>
    <n v="84.7"/>
    <n v="20.18"/>
    <n v="522.6"/>
    <n v="45903"/>
    <n v="91087"/>
    <n v="0.7"/>
    <n v="0"/>
    <n v="35.299999999999997"/>
  </r>
  <r>
    <x v="22"/>
    <x v="4"/>
    <s v="Em operação"/>
    <s v="ES 0096"/>
    <x v="2"/>
    <n v="0"/>
    <m/>
    <n v="3000"/>
    <n v="268.65869853917661"/>
    <n v="8.08"/>
    <n v="7.53"/>
    <n v="0.55000000000000004"/>
    <n v="6.81"/>
    <n v="996"/>
    <n v="2023"/>
    <n v="2.0299999999999998"/>
    <n v="12.39"/>
    <n v="163.25"/>
    <n v="2.37"/>
    <n v="4.3"/>
    <n v="160.88"/>
    <n v="21.37"/>
    <n v="8974.82"/>
    <n v="63020"/>
    <n v="90239"/>
    <n v="2.5"/>
    <n v="0"/>
    <n v="273.5"/>
  </r>
  <r>
    <x v="22"/>
    <x v="4"/>
    <s v="Em operação"/>
    <s v="ES 0099"/>
    <x v="6"/>
    <n v="0"/>
    <m/>
    <m/>
    <n v="136.69724770642202"/>
    <n v="2.29"/>
    <n v="1.0900000000000001"/>
    <n v="1.2"/>
    <n v="52.42"/>
    <n v="77"/>
    <n v="149"/>
    <n v="1.94"/>
    <n v="3.7"/>
    <n v="40.22"/>
    <n v="6.62"/>
    <n v="5.52"/>
    <n v="33.6"/>
    <n v="30.84"/>
    <n v="7550.77"/>
    <n v="93881"/>
    <n v="270471"/>
    <n v="0.1"/>
    <n v="0"/>
    <n v="234.5"/>
  </r>
  <r>
    <x v="22"/>
    <x v="4"/>
    <s v="Em operação"/>
    <s v="ES 0101"/>
    <x v="0"/>
    <n v="2994"/>
    <m/>
    <n v="3428.5714285714284"/>
    <n v="537.53213367609249"/>
    <n v="9.18"/>
    <n v="7.78"/>
    <n v="1.4"/>
    <n v="15.24"/>
    <n v="966"/>
    <n v="4182"/>
    <n v="4.33"/>
    <n v="13.53"/>
    <n v="308.98"/>
    <n v="7.57"/>
    <n v="5.41"/>
    <n v="301.41000000000003"/>
    <n v="38.72"/>
    <n v="6236.25"/>
    <n v="385617"/>
    <n v="1352625"/>
    <n v="0.1"/>
    <n v="0"/>
    <n v="44.6"/>
  </r>
  <r>
    <x v="22"/>
    <x v="4"/>
    <s v="Em operação"/>
    <s v="ES 0097"/>
    <x v="2"/>
    <n v="0"/>
    <m/>
    <n v="3000"/>
    <n v="234.58445040214477"/>
    <n v="8.06"/>
    <n v="7.46"/>
    <n v="0.6"/>
    <m/>
    <m/>
    <n v="1750"/>
    <m/>
    <m/>
    <m/>
    <m/>
    <m/>
    <m/>
    <m/>
    <n v="8548.2999999999993"/>
    <m/>
    <m/>
    <n v="1.7"/>
    <s v=""/>
    <n v="215.6"/>
  </r>
  <r>
    <x v="22"/>
    <x v="4"/>
    <s v="Em operação"/>
    <s v="ES 0110"/>
    <x v="2"/>
    <n v="0"/>
    <m/>
    <n v="3000"/>
    <n v="100.00000000000001"/>
    <n v="5.4"/>
    <n v="4.0999999999999996"/>
    <n v="1.3"/>
    <n v="24.08"/>
    <n v="179"/>
    <n v="410"/>
    <n v="2.29"/>
    <n v="4.58"/>
    <n v="89.43"/>
    <n v="5.2"/>
    <n v="4"/>
    <n v="84.23"/>
    <n v="20.55"/>
    <n v="2075.73"/>
    <n v="123410"/>
    <n v="230216"/>
    <n v="0.8"/>
    <n v="0"/>
    <n v="286.10000000000002"/>
  </r>
  <r>
    <x v="22"/>
    <x v="4"/>
    <s v="Em operação"/>
    <s v="ES 0116"/>
    <x v="2"/>
    <n v="0"/>
    <m/>
    <n v="3000"/>
    <n v="632.66563944530049"/>
    <n v="7.84"/>
    <n v="6.49"/>
    <n v="1.35"/>
    <n v="17.22"/>
    <n v="895"/>
    <n v="4106"/>
    <n v="4.59"/>
    <n v="15.07"/>
    <n v="272.55"/>
    <n v="6.15"/>
    <n v="4.5599999999999996"/>
    <n v="266.39999999999998"/>
    <n v="41.06"/>
    <n v="1598.51"/>
    <n v="152035"/>
    <n v="519724"/>
    <n v="0"/>
    <n v="0"/>
    <n v="4.5999999999999996"/>
  </r>
  <r>
    <x v="22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2"/>
    <x v="4"/>
    <s v="Em operação"/>
    <s v="ES 0116"/>
    <x v="2"/>
    <n v="0"/>
    <m/>
    <n v="3000"/>
    <n v="227.63157894736841"/>
    <n v="6.72"/>
    <n v="5.32"/>
    <n v="1.4"/>
    <n v="20.84"/>
    <n v="648"/>
    <n v="1211"/>
    <n v="1.87"/>
    <n v="9.69"/>
    <n v="124.92"/>
    <n v="5.68"/>
    <n v="4.0599999999999996"/>
    <n v="119.24"/>
    <n v="22.42"/>
    <n v="529.32000000000005"/>
    <n v="46551"/>
    <n v="92298"/>
    <n v="0.9"/>
    <n v="0"/>
    <n v="36.200000000000003"/>
  </r>
  <r>
    <x v="23"/>
    <x v="4"/>
    <s v="Em operação"/>
    <s v="ES 0097"/>
    <x v="6"/>
    <n v="0"/>
    <m/>
    <m/>
    <n v="0"/>
    <n v="6.24"/>
    <n v="4.79"/>
    <n v="1.45"/>
    <m/>
    <m/>
    <n v="0"/>
    <m/>
    <m/>
    <m/>
    <m/>
    <m/>
    <m/>
    <m/>
    <n v="8554.5400000000009"/>
    <m/>
    <m/>
    <n v="1.1000000000000001"/>
    <s v=""/>
    <n v="216.7"/>
  </r>
  <r>
    <x v="23"/>
    <x v="4"/>
    <s v="Em operação"/>
    <s v="ES 0099"/>
    <x v="4"/>
    <n v="0"/>
    <m/>
    <m/>
    <n v="0.83333333333333337"/>
    <n v="3.05"/>
    <n v="1.2"/>
    <n v="1.85"/>
    <n v="60.59"/>
    <n v="5"/>
    <n v="1"/>
    <n v="0.2"/>
    <n v="0.02"/>
    <n v="44.48"/>
    <n v="8.99"/>
    <n v="4.8600000000000003"/>
    <n v="35.49"/>
    <n v="29.5"/>
    <n v="7553.82"/>
    <n v="93886"/>
    <n v="270472"/>
    <n v="0.2"/>
    <n v="0.04"/>
    <n v="234.7"/>
  </r>
  <r>
    <x v="23"/>
    <x v="4"/>
    <s v="Em operação"/>
    <s v="ES 0101"/>
    <x v="0"/>
    <n v="3615"/>
    <m/>
    <n v="3428.5714285714284"/>
    <n v="523.83679312813172"/>
    <n v="15.52"/>
    <n v="13.97"/>
    <n v="1.55"/>
    <n v="9.99"/>
    <n v="1858"/>
    <n v="7318"/>
    <n v="3.94"/>
    <n v="13.29"/>
    <n v="550.78"/>
    <n v="8.99"/>
    <n v="5.8"/>
    <n v="541.79"/>
    <n v="38.78"/>
    <n v="6251.77"/>
    <n v="387475"/>
    <n v="1359943"/>
    <n v="0.1"/>
    <n v="0"/>
    <n v="44.7"/>
  </r>
  <r>
    <x v="23"/>
    <x v="4"/>
    <s v="Em operação"/>
    <s v="ES 0096"/>
    <x v="2"/>
    <n v="0"/>
    <m/>
    <n v="3000"/>
    <n v="285.83617747440269"/>
    <n v="6.76"/>
    <n v="5.86"/>
    <n v="0.9"/>
    <n v="13.31"/>
    <n v="939"/>
    <n v="1675"/>
    <n v="1.78"/>
    <n v="13.06"/>
    <n v="128.22999999999999"/>
    <n v="4.26"/>
    <n v="4.7300000000000004"/>
    <n v="123.97"/>
    <n v="21.15"/>
    <n v="8981.59"/>
    <n v="63959"/>
    <n v="91914"/>
    <n v="0"/>
    <n v="0"/>
    <n v="273.5"/>
  </r>
  <r>
    <x v="23"/>
    <x v="4"/>
    <s v="Em operação"/>
    <s v="ES 0110"/>
    <x v="2"/>
    <n v="0"/>
    <m/>
    <n v="3000"/>
    <n v="300.36363636363637"/>
    <n v="7.8"/>
    <n v="5.5"/>
    <n v="2.2999999999999998"/>
    <n v="29.49"/>
    <n v="762"/>
    <n v="1652"/>
    <n v="2.17"/>
    <n v="12.93"/>
    <n v="127.76"/>
    <n v="8.52"/>
    <n v="3.7"/>
    <n v="119.24"/>
    <n v="21.68"/>
    <n v="2083.5300000000002"/>
    <n v="124172"/>
    <n v="231868"/>
    <n v="1.3"/>
    <n v="0"/>
    <n v="287.39999999999998"/>
  </r>
  <r>
    <x v="23"/>
    <x v="4"/>
    <s v="Em operação"/>
    <s v="ES 0116"/>
    <x v="2"/>
    <n v="0"/>
    <m/>
    <n v="3000"/>
    <n v="496.56019656019652"/>
    <n v="5.57"/>
    <n v="4.07"/>
    <n v="1.5"/>
    <n v="26.95"/>
    <n v="534"/>
    <n v="2021"/>
    <n v="3.78"/>
    <n v="11.93"/>
    <n v="169.4"/>
    <n v="7.57"/>
    <n v="5.05"/>
    <n v="161.83000000000001"/>
    <n v="39.81"/>
    <n v="1604.08"/>
    <n v="152569"/>
    <n v="521745"/>
    <n v="0"/>
    <n v="0"/>
    <n v="4.5999999999999996"/>
  </r>
  <r>
    <x v="23"/>
    <x v="4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23"/>
    <x v="4"/>
    <s v="Em operação"/>
    <s v="ES 0116"/>
    <x v="2"/>
    <n v="0"/>
    <m/>
    <n v="3000"/>
    <n v="292.02363367799114"/>
    <n v="8.32"/>
    <n v="6.77"/>
    <n v="1.55"/>
    <n v="18.63"/>
    <n v="912"/>
    <n v="1977"/>
    <n v="2.17"/>
    <n v="12.82"/>
    <n v="154.26"/>
    <n v="6.15"/>
    <n v="3.97"/>
    <n v="148.1"/>
    <n v="21.88"/>
    <n v="537.64"/>
    <n v="47463"/>
    <n v="94275"/>
    <n v="1.8"/>
    <n v="0"/>
    <n v="38"/>
  </r>
  <r>
    <x v="24"/>
    <x v="4"/>
    <s v="Em operação"/>
    <s v="ES 0097"/>
    <x v="4"/>
    <n v="0"/>
    <m/>
    <m/>
    <n v="0"/>
    <n v="6.49"/>
    <n v="5.69"/>
    <n v="0.8"/>
    <m/>
    <m/>
    <n v="0"/>
    <m/>
    <m/>
    <m/>
    <m/>
    <m/>
    <m/>
    <m/>
    <n v="8561.0300000000007"/>
    <m/>
    <m/>
    <n v="0.4"/>
    <s v=""/>
    <n v="217.1"/>
  </r>
  <r>
    <x v="24"/>
    <x v="4"/>
    <s v="Em operação"/>
    <s v="ES 0099"/>
    <x v="1"/>
    <n v="0"/>
    <m/>
    <m/>
    <n v="1.2987012987012987"/>
    <n v="1.97"/>
    <n v="0.77"/>
    <n v="1.2"/>
    <n v="60.92"/>
    <n v="5"/>
    <n v="1"/>
    <n v="0.2"/>
    <n v="0.03"/>
    <n v="30.28"/>
    <n v="5.2"/>
    <n v="4.34"/>
    <n v="25.08"/>
    <n v="32.58"/>
    <n v="7555.79"/>
    <n v="93891"/>
    <n v="270473"/>
    <n v="0"/>
    <n v="0"/>
    <n v="234.7"/>
  </r>
  <r>
    <x v="24"/>
    <x v="4"/>
    <s v="Em operação"/>
    <s v="ES 0101"/>
    <x v="0"/>
    <n v="3359"/>
    <m/>
    <n v="3428.5714285714284"/>
    <n v="544.27570093457939"/>
    <n v="9.81"/>
    <n v="8.56"/>
    <n v="1.25"/>
    <n v="12.74"/>
    <n v="1052"/>
    <n v="4659"/>
    <n v="4.43"/>
    <n v="13.6"/>
    <n v="342.58"/>
    <n v="6.62"/>
    <n v="5.3"/>
    <n v="335.96"/>
    <n v="39.25"/>
    <n v="6261.58"/>
    <n v="388527"/>
    <n v="1364602"/>
    <n v="0.1"/>
    <n v="0"/>
    <n v="44.8"/>
  </r>
  <r>
    <x v="24"/>
    <x v="4"/>
    <s v="Em operação"/>
    <s v="ES 0096"/>
    <x v="2"/>
    <n v="0"/>
    <m/>
    <n v="3000"/>
    <n v="409.19689119170988"/>
    <n v="8.7200000000000006"/>
    <n v="7.72"/>
    <n v="1"/>
    <n v="11.47"/>
    <n v="1536"/>
    <n v="3159"/>
    <n v="2.06"/>
    <n v="17.899999999999999"/>
    <n v="176.49"/>
    <n v="3.79"/>
    <n v="3.79"/>
    <n v="172.71"/>
    <n v="22.37"/>
    <n v="8990.31"/>
    <n v="65495"/>
    <n v="95073"/>
    <n v="0.2"/>
    <n v="0"/>
    <n v="273.7"/>
  </r>
  <r>
    <x v="24"/>
    <x v="4"/>
    <s v="Em operação"/>
    <s v="ES 0110"/>
    <x v="2"/>
    <n v="0"/>
    <m/>
    <n v="3000"/>
    <n v="302.83842794759823"/>
    <n v="7.88"/>
    <n v="4.58"/>
    <n v="3.3"/>
    <n v="41.87"/>
    <n v="590"/>
    <n v="1387"/>
    <n v="2.35"/>
    <n v="12.58"/>
    <n v="110.25"/>
    <n v="11.83"/>
    <n v="3.58"/>
    <n v="98.42"/>
    <n v="21.49"/>
    <n v="2091.41"/>
    <n v="124762"/>
    <n v="233255"/>
    <n v="1.2"/>
    <n v="0"/>
    <n v="288.60000000000002"/>
  </r>
  <r>
    <x v="24"/>
    <x v="4"/>
    <s v="Em operação"/>
    <s v="ES 0116"/>
    <x v="2"/>
    <n v="0"/>
    <m/>
    <n v="3000"/>
    <n v="397.53954305799647"/>
    <n v="7.94"/>
    <n v="5.69"/>
    <n v="2.25"/>
    <n v="28.35"/>
    <n v="788"/>
    <n v="2262"/>
    <n v="2.87"/>
    <n v="9.7799999999999994"/>
    <n v="231.38"/>
    <n v="9.4600000000000009"/>
    <n v="4.21"/>
    <n v="221.92"/>
    <n v="39.03"/>
    <n v="1612.01"/>
    <n v="153357"/>
    <n v="524007"/>
    <n v="0"/>
    <n v="0"/>
    <n v="4.5999999999999996"/>
  </r>
  <r>
    <x v="24"/>
    <x v="4"/>
    <m/>
    <m/>
    <x v="2"/>
    <n v="0"/>
    <m/>
    <n v="3000"/>
    <m/>
    <m/>
    <m/>
    <m/>
    <m/>
    <m/>
    <m/>
    <m/>
    <m/>
    <m/>
    <m/>
    <m/>
    <m/>
    <m/>
    <m/>
    <m/>
    <m/>
    <m/>
    <m/>
    <m/>
  </r>
  <r>
    <x v="24"/>
    <x v="4"/>
    <s v="Em operação"/>
    <s v="ES 0116"/>
    <x v="2"/>
    <n v="0"/>
    <m/>
    <n v="3000"/>
    <n v="300.88105726872249"/>
    <n v="8.91"/>
    <n v="6.81"/>
    <n v="2.1"/>
    <n v="23.56"/>
    <n v="1028"/>
    <n v="2049"/>
    <n v="1.99"/>
    <n v="13.16"/>
    <n v="155.68"/>
    <n v="8.52"/>
    <n v="4.0599999999999996"/>
    <n v="147.16"/>
    <n v="21.6"/>
    <n v="546.54999999999995"/>
    <n v="48491"/>
    <n v="96324"/>
    <n v="2.2999999999999998"/>
    <n v="0"/>
    <n v="40.299999999999997"/>
  </r>
  <r>
    <x v="25"/>
    <x v="4"/>
    <s v="Em operação"/>
    <s v="ES 0097"/>
    <x v="4"/>
    <n v="0"/>
    <m/>
    <m/>
    <n v="0"/>
    <n v="6.68"/>
    <n v="5.88"/>
    <n v="0.8"/>
    <m/>
    <m/>
    <s v=""/>
    <m/>
    <m/>
    <m/>
    <m/>
    <m/>
    <m/>
    <m/>
    <n v="8567.7099999999991"/>
    <m/>
    <m/>
    <n v="1.7"/>
    <s v=""/>
    <n v="218.8"/>
  </r>
  <r>
    <x v="25"/>
    <x v="4"/>
    <s v="Em operação"/>
    <s v="ES 0101"/>
    <x v="0"/>
    <n v="4007"/>
    <m/>
    <n v="3428.5714285714284"/>
    <n v="563.20093457943926"/>
    <n v="9.56"/>
    <n v="8.56"/>
    <n v="1"/>
    <n v="10.46"/>
    <n v="1136"/>
    <n v="4821"/>
    <n v="4.24"/>
    <n v="14.07"/>
    <n v="342.58"/>
    <n v="6.15"/>
    <n v="6.15"/>
    <n v="336.43"/>
    <n v="39.31"/>
    <n v="6271.14"/>
    <n v="389663"/>
    <n v="1369423"/>
    <n v="0.1"/>
    <n v="0"/>
    <n v="44.9"/>
  </r>
  <r>
    <x v="25"/>
    <x v="4"/>
    <s v="Em operação"/>
    <s v="ES 0096"/>
    <x v="2"/>
    <n v="0"/>
    <m/>
    <n v="3000"/>
    <n v="257.74473358116478"/>
    <n v="8.57"/>
    <n v="8.07"/>
    <n v="0.5"/>
    <n v="5.84"/>
    <n v="1154"/>
    <n v="2080"/>
    <n v="1.8"/>
    <n v="11.98"/>
    <n v="173.66"/>
    <n v="2.37"/>
    <n v="4.7300000000000004"/>
    <n v="171.29"/>
    <n v="21.23"/>
    <n v="8998.8700000000008"/>
    <n v="66649"/>
    <n v="97153"/>
    <n v="0.4"/>
    <n v="0"/>
    <n v="274.10000000000002"/>
  </r>
  <r>
    <x v="25"/>
    <x v="4"/>
    <s v="Em operação"/>
    <s v="ES 0099"/>
    <x v="2"/>
    <n v="0"/>
    <m/>
    <n v="3000"/>
    <n v="264.87294469357249"/>
    <n v="9.44"/>
    <n v="6.69"/>
    <n v="2.75"/>
    <n v="29.13"/>
    <n v="700"/>
    <n v="1772"/>
    <n v="2.5299999999999998"/>
    <n v="8.1199999999999992"/>
    <n v="218.13"/>
    <n v="17.03"/>
    <n v="6.19"/>
    <n v="201.1"/>
    <n v="30.05"/>
    <n v="7565.24"/>
    <n v="94591"/>
    <n v="272245"/>
    <n v="0.2"/>
    <n v="0"/>
    <n v="234.9"/>
  </r>
  <r>
    <x v="25"/>
    <x v="4"/>
    <s v="Em operação"/>
    <s v="ES 0110"/>
    <x v="2"/>
    <n v="0"/>
    <m/>
    <n v="3000"/>
    <n v="113.03370786516854"/>
    <n v="5.5"/>
    <n v="4.45"/>
    <n v="1.05"/>
    <n v="19.09"/>
    <n v="249"/>
    <n v="503"/>
    <n v="2.02"/>
    <n v="5.59"/>
    <n v="89.9"/>
    <n v="4.7300000000000004"/>
    <n v="4.51"/>
    <n v="85.17"/>
    <n v="19.14"/>
    <n v="2096.91"/>
    <n v="125011"/>
    <n v="233758"/>
    <n v="1.7"/>
    <n v="0.01"/>
    <n v="290.3"/>
  </r>
  <r>
    <x v="25"/>
    <x v="4"/>
    <s v="Em operação"/>
    <s v="ES 0116"/>
    <x v="2"/>
    <n v="0"/>
    <m/>
    <n v="3000"/>
    <n v="458.57418111753367"/>
    <n v="7.69"/>
    <n v="5.19"/>
    <n v="2.5"/>
    <n v="32.49"/>
    <n v="759"/>
    <n v="2380"/>
    <n v="3.14"/>
    <n v="10.86"/>
    <n v="219.08"/>
    <n v="9.94"/>
    <n v="3.97"/>
    <n v="209.14"/>
    <n v="40.270000000000003"/>
    <n v="1619.71"/>
    <n v="154116"/>
    <n v="526387"/>
    <n v="0"/>
    <n v="0"/>
    <n v="4.5999999999999996"/>
  </r>
  <r>
    <x v="25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5"/>
    <x v="4"/>
    <s v="Em operação"/>
    <s v="ES 0116"/>
    <x v="2"/>
    <n v="0"/>
    <m/>
    <n v="3000"/>
    <n v="353.20197044334975"/>
    <n v="8.19"/>
    <n v="6.09"/>
    <n v="2.1"/>
    <n v="25.66"/>
    <n v="981"/>
    <n v="2151"/>
    <n v="2.19"/>
    <n v="15.57"/>
    <n v="138.16999999999999"/>
    <n v="8.0399999999999991"/>
    <n v="3.83"/>
    <n v="130.12"/>
    <n v="21.38"/>
    <n v="554.73"/>
    <n v="49472"/>
    <n v="98475"/>
    <n v="0.9"/>
    <n v="0"/>
    <n v="41.2"/>
  </r>
  <r>
    <x v="26"/>
    <x v="4"/>
    <s v="Em operação"/>
    <s v="ES 0097"/>
    <x v="1"/>
    <n v="0"/>
    <m/>
    <m/>
    <n v="0"/>
    <n v="3.79"/>
    <n v="3.14"/>
    <n v="0.65"/>
    <m/>
    <m/>
    <s v=""/>
    <m/>
    <m/>
    <m/>
    <m/>
    <m/>
    <m/>
    <m/>
    <n v="8571.5"/>
    <m/>
    <m/>
    <n v="1.3"/>
    <s v=""/>
    <n v="220.1"/>
  </r>
  <r>
    <x v="26"/>
    <x v="4"/>
    <s v="Em operação"/>
    <s v="ES 0101"/>
    <x v="0"/>
    <n v="3824"/>
    <m/>
    <n v="3428.5714285714284"/>
    <n v="513.16685584562993"/>
    <n v="9.61"/>
    <n v="8.81"/>
    <n v="0.8"/>
    <n v="8.32"/>
    <n v="1030"/>
    <n v="4521"/>
    <n v="4.3899999999999997"/>
    <n v="12.84"/>
    <n v="352.04"/>
    <n v="4.7300000000000004"/>
    <n v="5.91"/>
    <n v="347.31"/>
    <n v="39.409999999999997"/>
    <n v="6280.75"/>
    <n v="390693"/>
    <n v="1373944"/>
    <n v="0.1"/>
    <n v="0"/>
    <n v="45"/>
  </r>
  <r>
    <x v="26"/>
    <x v="4"/>
    <s v="Em operação"/>
    <s v="ES 0096"/>
    <x v="2"/>
    <n v="0"/>
    <m/>
    <n v="3000"/>
    <n v="197.26027397260273"/>
    <n v="5.96"/>
    <n v="5.1100000000000003"/>
    <n v="0.85"/>
    <n v="14.26"/>
    <n v="770"/>
    <n v="1008"/>
    <n v="1.31"/>
    <n v="9.07"/>
    <n v="111.2"/>
    <n v="2.84"/>
    <n v="3.34"/>
    <n v="108.36"/>
    <n v="21.2"/>
    <n v="9004.83"/>
    <n v="67419"/>
    <n v="98161"/>
    <n v="0.3"/>
    <n v="0"/>
    <n v="274.39999999999998"/>
  </r>
  <r>
    <x v="26"/>
    <x v="4"/>
    <s v="Em operação"/>
    <s v="ES 0099"/>
    <x v="2"/>
    <n v="0"/>
    <m/>
    <n v="3000"/>
    <n v="369.11447084233259"/>
    <n v="6.38"/>
    <n v="4.63"/>
    <n v="1.75"/>
    <n v="27.41"/>
    <n v="669"/>
    <n v="1709"/>
    <n v="2.5499999999999998"/>
    <n v="10.75"/>
    <n v="158.99"/>
    <n v="14.67"/>
    <n v="8.3800000000000008"/>
    <n v="144.32"/>
    <n v="31.14"/>
    <n v="7571.62"/>
    <n v="95260"/>
    <n v="273954"/>
    <n v="0.2"/>
    <n v="0"/>
    <n v="235.1"/>
  </r>
  <r>
    <x v="26"/>
    <x v="4"/>
    <s v="Em operação"/>
    <s v="ES 0110"/>
    <x v="2"/>
    <n v="0"/>
    <m/>
    <n v="3000"/>
    <n v="287.94567062818339"/>
    <n v="7.04"/>
    <n v="5.89"/>
    <n v="1.1499999999999999"/>
    <n v="16.34"/>
    <n v="799"/>
    <n v="1696"/>
    <n v="2.12"/>
    <n v="14.57"/>
    <n v="116.4"/>
    <n v="4.26"/>
    <n v="3.7"/>
    <n v="112.14"/>
    <n v="19.04"/>
    <n v="2103.9499999999998"/>
    <n v="125810"/>
    <n v="235454"/>
    <n v="0.5"/>
    <n v="0"/>
    <n v="290.8"/>
  </r>
  <r>
    <x v="26"/>
    <x v="4"/>
    <s v="Em operação"/>
    <s v="ES 0116"/>
    <x v="2"/>
    <n v="0"/>
    <m/>
    <n v="3000"/>
    <n v="391.12426035502961"/>
    <n v="4.99"/>
    <n v="3.38"/>
    <n v="1.6"/>
    <n v="32.1"/>
    <n v="411"/>
    <n v="1322"/>
    <n v="3.22"/>
    <n v="9.5"/>
    <n v="139.11000000000001"/>
    <n v="7.57"/>
    <n v="4.7300000000000004"/>
    <n v="131.54"/>
    <n v="38.86"/>
    <n v="1624.69"/>
    <n v="154527"/>
    <n v="527709"/>
    <n v="0"/>
    <n v="0"/>
    <n v="4.5999999999999996"/>
  </r>
  <r>
    <x v="26"/>
    <x v="4"/>
    <m/>
    <m/>
    <x v="2"/>
    <n v="0"/>
    <m/>
    <m/>
    <m/>
    <m/>
    <m/>
    <m/>
    <m/>
    <m/>
    <m/>
    <m/>
    <m/>
    <m/>
    <m/>
    <m/>
    <m/>
    <m/>
    <m/>
    <m/>
    <m/>
    <m/>
    <m/>
    <m/>
  </r>
  <r>
    <x v="26"/>
    <x v="4"/>
    <s v="Em operação"/>
    <s v="ES 0116"/>
    <x v="2"/>
    <n v="0"/>
    <m/>
    <n v="3000"/>
    <n v="341.23711340206188"/>
    <n v="6.2"/>
    <n v="4.8499999999999996"/>
    <n v="1.35"/>
    <n v="21.79"/>
    <n v="724"/>
    <n v="1655"/>
    <n v="2.29"/>
    <n v="16.739999999999998"/>
    <n v="98.89"/>
    <n v="5.68"/>
    <n v="4.21"/>
    <n v="93.22"/>
    <n v="19.23"/>
    <n v="560.92999999999995"/>
    <n v="50196"/>
    <n v="100130"/>
    <n v="1.1000000000000001"/>
    <n v="0"/>
    <n v="42.3"/>
  </r>
  <r>
    <x v="27"/>
    <x v="1"/>
    <s v="Não operacional"/>
    <s v="ES 0097"/>
    <x v="1"/>
    <n v="0"/>
    <m/>
    <m/>
    <n v="0"/>
    <n v="0"/>
    <n v="0"/>
    <n v="0"/>
    <m/>
    <m/>
    <s v=""/>
    <m/>
    <m/>
    <m/>
    <m/>
    <m/>
    <m/>
    <m/>
    <n v="8571.5"/>
    <m/>
    <m/>
    <n v="0"/>
    <s v=""/>
    <n v="220.1"/>
  </r>
  <r>
    <x v="27"/>
    <x v="4"/>
    <s v="Em operação"/>
    <s v="ES 0101"/>
    <x v="0"/>
    <n v="4305"/>
    <m/>
    <n v="3428.5714285714284"/>
    <n v="122.69326683291771"/>
    <n v="4.16"/>
    <n v="4.01"/>
    <n v="0.15"/>
    <n v="3.61"/>
    <n v="201"/>
    <n v="492"/>
    <n v="2.4500000000000002"/>
    <n v="3.16"/>
    <n v="155.68"/>
    <n v="1.42"/>
    <n v="9.4600000000000009"/>
    <n v="154.26"/>
    <n v="38.51"/>
    <n v="6284.91"/>
    <n v="390894"/>
    <n v="1374436"/>
    <n v="0"/>
    <n v="0"/>
    <n v="45"/>
  </r>
  <r>
    <x v="27"/>
    <x v="1"/>
    <s v="Não operacional"/>
    <s v="ES 0096"/>
    <x v="2"/>
    <n v="0"/>
    <m/>
    <n v="0"/>
    <n v="0"/>
    <n v="0"/>
    <n v="0"/>
    <n v="0"/>
    <s v=""/>
    <n v="0"/>
    <n v="0"/>
    <s v=""/>
    <s v=""/>
    <n v="0"/>
    <n v="0"/>
    <s v=""/>
    <n v="0"/>
    <s v=""/>
    <n v="9004.83"/>
    <n v="67419"/>
    <n v="98161"/>
    <n v="0"/>
    <s v=""/>
    <n v="274.39999999999998"/>
  </r>
  <r>
    <x v="27"/>
    <x v="1"/>
    <s v="Não operacional"/>
    <s v="ES 0099"/>
    <x v="2"/>
    <n v="0"/>
    <m/>
    <m/>
    <n v="0"/>
    <n v="0"/>
    <n v="0"/>
    <n v="0"/>
    <s v=""/>
    <n v="0"/>
    <n v="0"/>
    <s v=""/>
    <s v=""/>
    <n v="0"/>
    <n v="0"/>
    <s v=""/>
    <n v="0"/>
    <s v=""/>
    <n v="7571.62"/>
    <n v="95260"/>
    <n v="273954"/>
    <n v="0"/>
    <s v=""/>
    <n v="235.1"/>
  </r>
  <r>
    <x v="27"/>
    <x v="1"/>
    <s v="Não operacional"/>
    <s v="ES 0110"/>
    <x v="2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16"/>
    <x v="2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16"/>
    <x v="2"/>
    <n v="0"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096"/>
    <x v="1"/>
    <n v="0"/>
    <m/>
    <m/>
    <n v="0"/>
    <n v="0"/>
    <n v="0"/>
    <n v="0"/>
    <s v=""/>
    <n v="0"/>
    <n v="0"/>
    <s v=""/>
    <s v=""/>
    <n v="0"/>
    <n v="0"/>
    <s v=""/>
    <n v="0"/>
    <s v=""/>
    <n v="9004.83"/>
    <n v="67419"/>
    <n v="98161"/>
    <n v="0"/>
    <s v=""/>
    <n v="274.39999999999998"/>
  </r>
  <r>
    <x v="27"/>
    <x v="1"/>
    <s v="Não operacional"/>
    <s v="ES 0097"/>
    <x v="1"/>
    <m/>
    <m/>
    <m/>
    <n v="0"/>
    <n v="0"/>
    <n v="0"/>
    <n v="0"/>
    <s v=""/>
    <s v=""/>
    <s v=""/>
    <s v=""/>
    <s v=""/>
    <n v="0"/>
    <n v="0"/>
    <s v=""/>
    <n v="0"/>
    <s v=""/>
    <n v="8571.5"/>
    <s v=""/>
    <s v=""/>
    <n v="0"/>
    <s v=""/>
    <n v="220.1"/>
  </r>
  <r>
    <x v="27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571.62"/>
    <n v="95260"/>
    <n v="273954"/>
    <n v="0"/>
    <s v=""/>
    <n v="235.1"/>
  </r>
  <r>
    <x v="27"/>
    <x v="1"/>
    <s v="Não operacional"/>
    <s v="ES 0101"/>
    <x v="0"/>
    <m/>
    <s v="Arrumou a praça"/>
    <n v="3000"/>
    <n v="122.69326683291771"/>
    <n v="4.16"/>
    <n v="4.01"/>
    <n v="0.15"/>
    <n v="3.61"/>
    <n v="201"/>
    <n v="492"/>
    <n v="2.4500000000000002"/>
    <n v="3.16"/>
    <n v="155.68"/>
    <n v="1.42"/>
    <n v="9.4600000000000009"/>
    <n v="154.26"/>
    <n v="38.51"/>
    <n v="6284.91"/>
    <n v="390894"/>
    <n v="1374436"/>
    <n v="0"/>
    <n v="0"/>
    <n v="45"/>
  </r>
  <r>
    <x v="27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"/>
    <x v="5"/>
    <s v="Em operação"/>
    <s v="ES 0096"/>
    <x v="1"/>
    <n v="0"/>
    <m/>
    <m/>
    <n v="82.899628252788105"/>
    <n v="2.99"/>
    <n v="2.69"/>
    <n v="0.3"/>
    <n v="10.02"/>
    <n v="337"/>
    <n v="223"/>
    <n v="0.66"/>
    <n v="3.68"/>
    <n v="60.57"/>
    <n v="1.89"/>
    <n v="6.31"/>
    <n v="58.67"/>
    <n v="21.78"/>
    <n v="9007.83"/>
    <n v="67756"/>
    <n v="98384"/>
    <n v="0.5"/>
    <n v="0"/>
    <n v="274.89999999999998"/>
  </r>
  <r>
    <x v="28"/>
    <x v="5"/>
    <s v="Em operação"/>
    <s v="ES 0097"/>
    <x v="1"/>
    <m/>
    <m/>
    <m/>
    <n v="0"/>
    <n v="4.18"/>
    <n v="3.28"/>
    <n v="0.9"/>
    <n v="21.53"/>
    <s v=""/>
    <s v=""/>
    <s v=""/>
    <s v=""/>
    <n v="66.239999999999995"/>
    <n v="3.31"/>
    <n v="3.68"/>
    <n v="62.93"/>
    <n v="19.18"/>
    <n v="8575.68"/>
    <s v=""/>
    <s v=""/>
    <n v="1"/>
    <s v=""/>
    <n v="221.1"/>
  </r>
  <r>
    <x v="28"/>
    <x v="5"/>
    <s v="Em operação"/>
    <s v="ES 0099"/>
    <x v="2"/>
    <m/>
    <m/>
    <n v="3000"/>
    <n v="432.00589970501471"/>
    <n v="7.98"/>
    <n v="6.78"/>
    <n v="1.2"/>
    <n v="15.03"/>
    <n v="1062"/>
    <n v="2929"/>
    <n v="2.76"/>
    <n v="13.11"/>
    <n v="223.34"/>
    <n v="10.88"/>
    <n v="9.07"/>
    <n v="212.46"/>
    <n v="31.32"/>
    <n v="7579.6"/>
    <n v="96322"/>
    <n v="276883"/>
    <n v="0"/>
    <n v="0"/>
    <n v="235.1"/>
  </r>
  <r>
    <x v="28"/>
    <x v="5"/>
    <s v="Em operação"/>
    <s v="ES 0101"/>
    <x v="0"/>
    <n v="4305"/>
    <m/>
    <n v="3428.5714285714284"/>
    <n v="523.76514445479961"/>
    <n v="12.03"/>
    <n v="10.73"/>
    <n v="1.3"/>
    <n v="10.81"/>
    <n v="1250"/>
    <n v="5620"/>
    <n v="4.5"/>
    <n v="13.59"/>
    <n v="413.56"/>
    <n v="7.1"/>
    <n v="5.46"/>
    <n v="406.46"/>
    <n v="37.880000000000003"/>
    <n v="6296.94"/>
    <n v="392144"/>
    <n v="1380056"/>
    <n v="0.1"/>
    <n v="0"/>
    <n v="45.1"/>
  </r>
  <r>
    <x v="28"/>
    <x v="5"/>
    <s v="Em operação"/>
    <s v="ES 0110"/>
    <x v="2"/>
    <m/>
    <m/>
    <n v="3000"/>
    <n v="283.84279475982532"/>
    <n v="8.48"/>
    <n v="4.58"/>
    <n v="3.9"/>
    <n v="46.01"/>
    <n v="598"/>
    <n v="1300"/>
    <n v="2.17"/>
    <n v="12.72"/>
    <n v="102.21"/>
    <n v="15.14"/>
    <n v="3.88"/>
    <n v="87.06"/>
    <n v="19.03"/>
    <n v="2112.42"/>
    <n v="126408"/>
    <n v="236754"/>
    <n v="0.1"/>
    <n v="0"/>
    <n v="290.89999999999998"/>
  </r>
  <r>
    <x v="28"/>
    <x v="5"/>
    <s v="Em operação"/>
    <s v="ES 0116"/>
    <x v="2"/>
    <m/>
    <m/>
    <n v="3000"/>
    <n v="426.06557377049182"/>
    <n v="8.5500000000000007"/>
    <n v="6.1"/>
    <n v="2.4500000000000002"/>
    <n v="28.65"/>
    <n v="864"/>
    <n v="2599"/>
    <n v="3.01"/>
    <n v="10.4"/>
    <n v="249.84"/>
    <n v="10.41"/>
    <n v="4.25"/>
    <n v="239.43"/>
    <n v="39.24"/>
    <n v="1633.24"/>
    <n v="155391"/>
    <n v="530308"/>
    <n v="0.1"/>
    <n v="0"/>
    <n v="4.7"/>
  </r>
  <r>
    <x v="28"/>
    <x v="5"/>
    <s v="Em operação"/>
    <s v="ES 0126"/>
    <x v="2"/>
    <m/>
    <m/>
    <n v="3000"/>
    <n v="312.73792093704247"/>
    <n v="8.48"/>
    <n v="6.83"/>
    <n v="1.65"/>
    <n v="19.46"/>
    <n v="1059"/>
    <n v="2136"/>
    <n v="2.02"/>
    <n v="14.2"/>
    <n v="150.47"/>
    <n v="6.62"/>
    <n v="4.01"/>
    <n v="143.85"/>
    <n v="21.06"/>
    <n v="569.41"/>
    <n v="51255"/>
    <n v="102266"/>
    <n v="1.8"/>
    <n v="0"/>
    <n v="44.1"/>
  </r>
  <r>
    <x v="28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29"/>
    <x v="5"/>
    <s v="Em operação"/>
    <s v="ES 0096"/>
    <x v="1"/>
    <n v="0"/>
    <m/>
    <m/>
    <n v="34.050179211469533"/>
    <n v="3.19"/>
    <n v="2.79"/>
    <n v="0.4"/>
    <n v="12.53"/>
    <n v="105"/>
    <n v="95"/>
    <n v="0.9"/>
    <n v="1.81"/>
    <n v="52.52"/>
    <n v="1.42"/>
    <n v="3.55"/>
    <n v="51.1"/>
    <n v="18.309999999999999"/>
    <n v="9011.02"/>
    <n v="67861"/>
    <n v="98479"/>
    <n v="0"/>
    <n v="0"/>
    <n v="274.89999999999998"/>
  </r>
  <r>
    <x v="29"/>
    <x v="5"/>
    <s v="Em operação"/>
    <s v="ES 0097"/>
    <x v="1"/>
    <m/>
    <m/>
    <m/>
    <n v="0"/>
    <n v="5.55"/>
    <n v="4.8"/>
    <n v="0.75"/>
    <n v="13.5"/>
    <s v=""/>
    <s v=""/>
    <s v=""/>
    <s v=""/>
    <n v="103.63"/>
    <n v="2.84"/>
    <n v="3.79"/>
    <n v="100.79"/>
    <n v="20.98"/>
    <n v="8581.24"/>
    <s v=""/>
    <s v=""/>
    <n v="1.1000000000000001"/>
    <s v=""/>
    <n v="222.2"/>
  </r>
  <r>
    <x v="29"/>
    <x v="5"/>
    <s v="Em operação"/>
    <s v="ES 0099"/>
    <x v="2"/>
    <m/>
    <m/>
    <n v="3000"/>
    <n v="434.23295454545456"/>
    <n v="8.09"/>
    <n v="7.04"/>
    <n v="1.05"/>
    <n v="12.98"/>
    <n v="1110"/>
    <n v="3057"/>
    <n v="2.75"/>
    <n v="13.49"/>
    <n v="226.65"/>
    <n v="6.15"/>
    <n v="5.86"/>
    <n v="220.5"/>
    <n v="31.33"/>
    <n v="7587.69"/>
    <n v="97432"/>
    <n v="279940"/>
    <n v="0.1"/>
    <n v="0"/>
    <n v="235.2"/>
  </r>
  <r>
    <x v="29"/>
    <x v="5"/>
    <s v="Em operação"/>
    <s v="ES 0101"/>
    <x v="0"/>
    <n v="3307"/>
    <m/>
    <n v="3428.5714285714284"/>
    <n v="468.06282722513083"/>
    <n v="12.66"/>
    <n v="11.46"/>
    <n v="1.2"/>
    <n v="9.48"/>
    <n v="1385"/>
    <n v="5364"/>
    <n v="3.87"/>
    <n v="12.57"/>
    <n v="426.8"/>
    <n v="6.62"/>
    <n v="5.52"/>
    <n v="420.18"/>
    <n v="36.68"/>
    <n v="6309.59"/>
    <n v="393529"/>
    <n v="1385420"/>
    <n v="0.1"/>
    <n v="0"/>
    <n v="45.2"/>
  </r>
  <r>
    <x v="29"/>
    <x v="5"/>
    <s v="Em operação"/>
    <s v="ES 0110"/>
    <x v="2"/>
    <m/>
    <m/>
    <n v="3000"/>
    <n v="229.42206654991244"/>
    <n v="8.61"/>
    <n v="5.71"/>
    <n v="2.9"/>
    <n v="33.67"/>
    <n v="754"/>
    <n v="1310"/>
    <n v="1.74"/>
    <n v="10.37"/>
    <n v="126.34"/>
    <n v="9.94"/>
    <n v="3.43"/>
    <n v="116.4"/>
    <n v="20.37"/>
    <n v="2121.04"/>
    <n v="127162"/>
    <n v="238064"/>
    <n v="0.4"/>
    <n v="0"/>
    <n v="291.3"/>
  </r>
  <r>
    <x v="29"/>
    <x v="5"/>
    <s v="Em operação"/>
    <s v="ES 0116"/>
    <x v="2"/>
    <m/>
    <m/>
    <n v="3000"/>
    <n v="533.98692810457521"/>
    <n v="7.29"/>
    <n v="4.59"/>
    <n v="2.7"/>
    <n v="37.04"/>
    <n v="682"/>
    <n v="2451"/>
    <n v="3.59"/>
    <n v="12.82"/>
    <n v="191.16"/>
    <n v="11.83"/>
    <n v="4.38"/>
    <n v="179.33"/>
    <n v="39.08"/>
    <n v="1640.53"/>
    <n v="156073"/>
    <n v="532759"/>
    <n v="0"/>
    <n v="0"/>
    <n v="4.7"/>
  </r>
  <r>
    <x v="29"/>
    <x v="5"/>
    <s v="Em operação"/>
    <s v="ES 0126"/>
    <x v="2"/>
    <m/>
    <m/>
    <n v="3000"/>
    <n v="429.55882352941177"/>
    <n v="8.4499999999999993"/>
    <n v="6.8"/>
    <n v="1.65"/>
    <n v="19.53"/>
    <n v="1221"/>
    <n v="2921"/>
    <n v="2.39"/>
    <n v="19.05"/>
    <n v="153.31"/>
    <n v="7.1"/>
    <n v="4.3"/>
    <n v="146.21"/>
    <n v="21.51"/>
    <n v="577.86"/>
    <n v="52476"/>
    <n v="105187"/>
    <n v="1.2"/>
    <n v="0"/>
    <n v="45.3"/>
  </r>
  <r>
    <x v="29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0"/>
    <x v="5"/>
    <s v="Em operação"/>
    <s v="ES 0096"/>
    <x v="1"/>
    <n v="0"/>
    <m/>
    <m/>
    <n v="160.09852216748769"/>
    <n v="6.94"/>
    <n v="6.09"/>
    <n v="0.85"/>
    <n v="12.25"/>
    <n v="565"/>
    <n v="975"/>
    <n v="1.73"/>
    <n v="8.73"/>
    <n v="111.67"/>
    <n v="3.79"/>
    <n v="4.45"/>
    <n v="107.88"/>
    <n v="17.71"/>
    <n v="9017.9599999999991"/>
    <n v="68426"/>
    <n v="99454"/>
    <n v="2.4"/>
    <n v="0"/>
    <n v="277.3"/>
  </r>
  <r>
    <x v="30"/>
    <x v="5"/>
    <s v="Em operação"/>
    <s v="ES 0097"/>
    <x v="1"/>
    <m/>
    <m/>
    <m/>
    <n v="0"/>
    <n v="3.07"/>
    <n v="2.12"/>
    <n v="0.95"/>
    <n v="30.94"/>
    <s v=""/>
    <s v=""/>
    <s v=""/>
    <s v=""/>
    <n v="42.11"/>
    <n v="4.7300000000000004"/>
    <n v="4.9800000000000004"/>
    <n v="37.380000000000003"/>
    <n v="17.63"/>
    <n v="8584.31"/>
    <s v=""/>
    <s v=""/>
    <n v="0.1"/>
    <s v=""/>
    <n v="222.3"/>
  </r>
  <r>
    <x v="30"/>
    <x v="5"/>
    <s v="Em operação"/>
    <s v="ES 0099"/>
    <x v="2"/>
    <m/>
    <m/>
    <n v="3000"/>
    <n v="284.44444444444446"/>
    <n v="6.1"/>
    <n v="3.15"/>
    <n v="2.95"/>
    <n v="48.33"/>
    <n v="387"/>
    <n v="896"/>
    <n v="2.3199999999999998"/>
    <n v="8.09"/>
    <n v="110.72"/>
    <n v="14.67"/>
    <n v="4.97"/>
    <n v="96.05"/>
    <n v="30.46"/>
    <n v="7593.8"/>
    <n v="97819"/>
    <n v="280836"/>
    <n v="0"/>
    <n v="0"/>
    <n v="235.2"/>
  </r>
  <r>
    <x v="30"/>
    <x v="5"/>
    <s v="Em operação"/>
    <s v="ES 0101"/>
    <x v="0"/>
    <n v="1244"/>
    <m/>
    <n v="3428.5714285714284"/>
    <n v="361.29753914988817"/>
    <n v="5.12"/>
    <n v="4.47"/>
    <n v="0.65"/>
    <n v="12.68"/>
    <n v="360"/>
    <n v="1615"/>
    <n v="4.49"/>
    <n v="9.56"/>
    <n v="168.92"/>
    <n v="4.7300000000000004"/>
    <n v="7.28"/>
    <n v="164.19"/>
    <n v="36.69"/>
    <n v="6314.72"/>
    <n v="393889"/>
    <n v="1387035"/>
    <n v="0"/>
    <n v="0"/>
    <n v="45.2"/>
  </r>
  <r>
    <x v="30"/>
    <x v="5"/>
    <s v="Em operação"/>
    <s v="ES 0110"/>
    <x v="2"/>
    <m/>
    <m/>
    <n v="3000"/>
    <n v="153.08641975308643"/>
    <n v="5.55"/>
    <n v="4.05"/>
    <n v="1.5"/>
    <n v="27.04"/>
    <n v="313"/>
    <n v="620"/>
    <n v="1.98"/>
    <n v="6.86"/>
    <n v="90.38"/>
    <n v="6.15"/>
    <n v="4.0999999999999996"/>
    <n v="84.23"/>
    <n v="20.81"/>
    <n v="2126.58"/>
    <n v="127475"/>
    <n v="238684"/>
    <n v="3.1"/>
    <n v="0.01"/>
    <n v="294.39999999999998"/>
  </r>
  <r>
    <x v="30"/>
    <x v="5"/>
    <s v="Em operação"/>
    <s v="ES 0116"/>
    <x v="2"/>
    <m/>
    <m/>
    <n v="3000"/>
    <n v="497.97421731123393"/>
    <n v="7.48"/>
    <n v="5.43"/>
    <n v="2.0499999999999998"/>
    <n v="27.42"/>
    <n v="744"/>
    <n v="2704"/>
    <n v="3.63"/>
    <n v="12.06"/>
    <n v="224.29"/>
    <n v="8.99"/>
    <n v="4.3899999999999997"/>
    <n v="215.3"/>
    <n v="39.68"/>
    <n v="1648.01"/>
    <n v="156817"/>
    <n v="535463"/>
    <n v="0"/>
    <n v="0"/>
    <n v="4.7"/>
  </r>
  <r>
    <x v="30"/>
    <x v="5"/>
    <s v="Em operação"/>
    <s v="ES 0126"/>
    <x v="2"/>
    <m/>
    <m/>
    <n v="3000"/>
    <n v="403.58255451713399"/>
    <n v="8.3699999999999992"/>
    <n v="6.42"/>
    <n v="1.95"/>
    <n v="23.29"/>
    <n v="1123"/>
    <n v="2591"/>
    <n v="2.31"/>
    <n v="17.329999999999998"/>
    <n v="149.52000000000001"/>
    <n v="8.0399999999999991"/>
    <n v="4.13"/>
    <n v="141.47999999999999"/>
    <n v="22.03"/>
    <n v="586.23"/>
    <n v="53599"/>
    <n v="107778"/>
    <n v="1.4"/>
    <n v="0"/>
    <n v="46.7"/>
  </r>
  <r>
    <x v="30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1"/>
    <x v="5"/>
    <s v="Em operação"/>
    <s v="ES 0096"/>
    <x v="2"/>
    <n v="0"/>
    <m/>
    <n v="3000"/>
    <n v="315.64537157757496"/>
    <n v="8.82"/>
    <n v="7.67"/>
    <n v="1.1499999999999999"/>
    <n v="13.04"/>
    <n v="1241"/>
    <n v="2421"/>
    <n v="1.95"/>
    <n v="14.21"/>
    <n v="170.34"/>
    <n v="4.7300000000000004"/>
    <n v="4.1100000000000003"/>
    <n v="165.61"/>
    <n v="21.59"/>
    <n v="9026.7800000000007"/>
    <n v="69667"/>
    <n v="101875"/>
    <n v="2.2000000000000002"/>
    <n v="0"/>
    <n v="279.5"/>
  </r>
  <r>
    <x v="31"/>
    <x v="5"/>
    <s v="Em operação"/>
    <s v="ES 0097"/>
    <x v="1"/>
    <m/>
    <m/>
    <m/>
    <n v="0"/>
    <n v="4.5999999999999996"/>
    <n v="3.55"/>
    <n v="1.05"/>
    <n v="22.81"/>
    <s v=""/>
    <s v=""/>
    <s v=""/>
    <s v=""/>
    <n v="69.56"/>
    <n v="4.26"/>
    <n v="4.0599999999999996"/>
    <n v="65.3"/>
    <n v="18.38"/>
    <n v="8588.91"/>
    <s v=""/>
    <s v=""/>
    <n v="1.8"/>
    <s v=""/>
    <n v="224.1"/>
  </r>
  <r>
    <x v="31"/>
    <x v="5"/>
    <s v="Em operação"/>
    <s v="ES 0099"/>
    <x v="0"/>
    <n v="2867"/>
    <m/>
    <n v="3428.5714285714284"/>
    <n v="428.86363636363632"/>
    <n v="10.35"/>
    <n v="8.8000000000000007"/>
    <n v="1.55"/>
    <n v="14.98"/>
    <n v="987"/>
    <n v="3774"/>
    <n v="3.82"/>
    <n v="14.17"/>
    <n v="266.39999999999998"/>
    <n v="9.4600000000000009"/>
    <n v="6.11"/>
    <n v="256.93"/>
    <n v="29.2"/>
    <n v="7604.14"/>
    <n v="98806"/>
    <n v="284610"/>
    <n v="0.2"/>
    <n v="0"/>
    <n v="235.4"/>
  </r>
  <r>
    <x v="31"/>
    <x v="1"/>
    <s v="Não operacional"/>
    <s v="ES 0101"/>
    <x v="0"/>
    <s v="Em manutenção"/>
    <m/>
    <m/>
    <n v="15.384615384615383"/>
    <n v="0.85"/>
    <n v="0.65"/>
    <n v="0.2"/>
    <n v="23.66"/>
    <n v="7"/>
    <n v="10"/>
    <n v="1.43"/>
    <n v="0.56000000000000005"/>
    <n v="17.98"/>
    <n v="1.42"/>
    <n v="7.1"/>
    <n v="16.559999999999999"/>
    <n v="25.66"/>
    <n v="6315.56"/>
    <n v="393896"/>
    <n v="1387045"/>
    <n v="0.1"/>
    <n v="0.01"/>
    <n v="45.3"/>
  </r>
  <r>
    <x v="31"/>
    <x v="5"/>
    <s v="Em operação"/>
    <s v="ES 0110"/>
    <x v="6"/>
    <m/>
    <m/>
    <m/>
    <n v="2.7065527065527069"/>
    <n v="8.02"/>
    <n v="7.02"/>
    <n v="1"/>
    <n v="12.47"/>
    <n v="34"/>
    <n v="19"/>
    <n v="0.56000000000000005"/>
    <n v="0.12"/>
    <n v="153.31"/>
    <n v="3.31"/>
    <n v="3.31"/>
    <n v="150"/>
    <n v="21.36"/>
    <n v="2134.6"/>
    <n v="127509"/>
    <n v="238703"/>
    <n v="0.9"/>
    <n v="0.03"/>
    <n v="295.3"/>
  </r>
  <r>
    <x v="31"/>
    <x v="5"/>
    <s v="Em operação"/>
    <s v="ES 0116"/>
    <x v="2"/>
    <m/>
    <m/>
    <n v="3000"/>
    <n v="482.6309067688378"/>
    <n v="9.2799999999999994"/>
    <n v="7.83"/>
    <n v="1.45"/>
    <n v="15.63"/>
    <n v="895"/>
    <n v="3779"/>
    <n v="4.22"/>
    <n v="11.74"/>
    <n v="321.76"/>
    <n v="6.15"/>
    <n v="4.24"/>
    <n v="315.61"/>
    <n v="40.32"/>
    <n v="1657.29"/>
    <n v="157712"/>
    <n v="539242"/>
    <n v="0"/>
    <n v="0"/>
    <n v="4.7"/>
  </r>
  <r>
    <x v="31"/>
    <x v="5"/>
    <s v="Em operação"/>
    <s v="ES 0126"/>
    <x v="2"/>
    <m/>
    <m/>
    <n v="3000"/>
    <n v="379.91513437057989"/>
    <n v="8.52"/>
    <n v="7.07"/>
    <n v="1.45"/>
    <n v="17.010000000000002"/>
    <n v="1100"/>
    <n v="2686"/>
    <n v="2.44"/>
    <n v="16.940000000000001"/>
    <n v="158.51"/>
    <n v="5.68"/>
    <n v="3.92"/>
    <n v="152.84"/>
    <n v="21.61"/>
    <n v="594.75"/>
    <n v="54699"/>
    <n v="110464"/>
    <n v="2.4"/>
    <n v="0"/>
    <n v="49.1"/>
  </r>
  <r>
    <x v="31"/>
    <x v="5"/>
    <s v="Em operação"/>
    <m/>
    <x v="2"/>
    <m/>
    <m/>
    <n v="6000"/>
    <m/>
    <m/>
    <m/>
    <m/>
    <m/>
    <m/>
    <m/>
    <m/>
    <m/>
    <m/>
    <m/>
    <m/>
    <m/>
    <m/>
    <m/>
    <m/>
    <m/>
    <m/>
    <m/>
    <m/>
  </r>
  <r>
    <x v="32"/>
    <x v="5"/>
    <s v="Em operação"/>
    <s v="ES 0096"/>
    <x v="2"/>
    <n v="0"/>
    <m/>
    <n v="3000"/>
    <n v="300.84507042253523"/>
    <n v="8.3000000000000007"/>
    <n v="7.1"/>
    <n v="1.2"/>
    <n v="14.46"/>
    <n v="1155"/>
    <n v="2136"/>
    <n v="1.85"/>
    <n v="13.68"/>
    <n v="156.15"/>
    <n v="5.2"/>
    <n v="4.34"/>
    <n v="150.94"/>
    <n v="21.26"/>
    <n v="9035.08"/>
    <n v="70822"/>
    <n v="104011"/>
    <n v="1.4"/>
    <n v="0"/>
    <n v="280.89999999999998"/>
  </r>
  <r>
    <x v="32"/>
    <x v="5"/>
    <s v="Em operação"/>
    <s v="ES 0097"/>
    <x v="1"/>
    <m/>
    <m/>
    <m/>
    <n v="0"/>
    <n v="3.62"/>
    <n v="2.92"/>
    <n v="0.7"/>
    <n v="19.309999999999999"/>
    <s v=""/>
    <s v=""/>
    <s v=""/>
    <s v=""/>
    <n v="57.25"/>
    <n v="3.79"/>
    <n v="5.41"/>
    <n v="53.47"/>
    <n v="18.28"/>
    <n v="8592.5300000000007"/>
    <s v=""/>
    <s v=""/>
    <n v="0.5"/>
    <s v=""/>
    <n v="224.6"/>
  </r>
  <r>
    <x v="32"/>
    <x v="5"/>
    <s v="Em operação"/>
    <s v="ES 0099"/>
    <x v="0"/>
    <n v="2807"/>
    <m/>
    <n v="3428.5714285714284"/>
    <n v="336.83148335015136"/>
    <n v="10.86"/>
    <n v="9.91"/>
    <n v="0.95"/>
    <n v="8.75"/>
    <n v="1062"/>
    <n v="3338"/>
    <n v="3.14"/>
    <n v="11.53"/>
    <n v="289.58"/>
    <n v="6.15"/>
    <n v="6.48"/>
    <n v="283.43"/>
    <n v="28.61"/>
    <n v="7615"/>
    <n v="99868"/>
    <n v="287948"/>
    <n v="0.3"/>
    <n v="0"/>
    <n v="235.7"/>
  </r>
  <r>
    <x v="32"/>
    <x v="1"/>
    <s v="Não operacional"/>
    <s v="ES 0101"/>
    <x v="0"/>
    <s v="Em manutenção"/>
    <m/>
    <m/>
    <n v="0"/>
    <n v="1.79"/>
    <n v="0.69"/>
    <n v="1.1000000000000001"/>
    <n v="61.59"/>
    <n v="5"/>
    <n v="0"/>
    <n v="0"/>
    <n v="0"/>
    <n v="18.45"/>
    <n v="5.2"/>
    <n v="4.7300000000000004"/>
    <n v="13.25"/>
    <n v="19.309999999999999"/>
    <n v="6317.35"/>
    <n v="393901"/>
    <n v="1387045"/>
    <n v="0"/>
    <n v="0"/>
    <n v="45.3"/>
  </r>
  <r>
    <x v="32"/>
    <x v="5"/>
    <s v="Em operação"/>
    <s v="ES 0110"/>
    <x v="6"/>
    <m/>
    <m/>
    <m/>
    <n v="27.311522048364154"/>
    <n v="7.48"/>
    <n v="7.03"/>
    <n v="0.45"/>
    <n v="6.02"/>
    <n v="109"/>
    <n v="192"/>
    <n v="1.76"/>
    <n v="3.79"/>
    <n v="50.63"/>
    <n v="2.84"/>
    <n v="6.31"/>
    <n v="47.79"/>
    <n v="6.8"/>
    <n v="2142.08"/>
    <n v="127618"/>
    <n v="238895"/>
    <n v="2.1"/>
    <n v="0.02"/>
    <n v="297.39999999999998"/>
  </r>
  <r>
    <x v="32"/>
    <x v="5"/>
    <s v="Em operação"/>
    <s v="ES 0116"/>
    <x v="2"/>
    <m/>
    <m/>
    <n v="3000"/>
    <n v="562.63345195729539"/>
    <n v="10.029999999999999"/>
    <n v="8.43"/>
    <n v="1.6"/>
    <n v="15.95"/>
    <n v="1068"/>
    <n v="4743"/>
    <n v="4.4400000000000004"/>
    <n v="13.84"/>
    <n v="342.58"/>
    <n v="8.0399999999999991"/>
    <n v="5.03"/>
    <n v="334.54"/>
    <n v="39.69"/>
    <n v="1667.32"/>
    <n v="158780"/>
    <n v="543985"/>
    <n v="0"/>
    <n v="0"/>
    <n v="4.7"/>
  </r>
  <r>
    <x v="32"/>
    <x v="5"/>
    <s v="Em operação"/>
    <s v="ES 0126"/>
    <x v="2"/>
    <m/>
    <m/>
    <n v="3000"/>
    <n v="411.74825174825173"/>
    <n v="8.4499999999999993"/>
    <n v="7.15"/>
    <n v="1.3"/>
    <n v="15.39"/>
    <n v="1227"/>
    <n v="2944"/>
    <n v="2.4"/>
    <n v="17.98"/>
    <n v="163.72"/>
    <n v="5.2"/>
    <n v="4"/>
    <n v="158.51"/>
    <n v="22.18"/>
    <n v="603.20000000000005"/>
    <n v="55926"/>
    <n v="113408"/>
    <n v="1.5"/>
    <n v="0"/>
    <n v="50.6"/>
  </r>
  <r>
    <x v="32"/>
    <x v="5"/>
    <s v="Em operação"/>
    <m/>
    <x v="2"/>
    <m/>
    <m/>
    <n v="6000"/>
    <m/>
    <m/>
    <m/>
    <m/>
    <m/>
    <m/>
    <m/>
    <m/>
    <m/>
    <m/>
    <m/>
    <m/>
    <m/>
    <m/>
    <m/>
    <m/>
    <m/>
    <m/>
    <m/>
    <m/>
  </r>
  <r>
    <x v="33"/>
    <x v="5"/>
    <s v="Em operação"/>
    <s v="ES 0096"/>
    <x v="2"/>
    <n v="0"/>
    <m/>
    <n v="3000"/>
    <n v="318.63117870722436"/>
    <n v="5.71"/>
    <n v="5.26"/>
    <n v="0.45"/>
    <n v="7.88"/>
    <n v="875"/>
    <n v="1676"/>
    <n v="1.92"/>
    <n v="14.46"/>
    <n v="115.93"/>
    <n v="1.89"/>
    <n v="4.21"/>
    <n v="114.04"/>
    <n v="21.68"/>
    <n v="9040.7900000000009"/>
    <n v="71697"/>
    <n v="105687"/>
    <n v="0.2"/>
    <n v="0"/>
    <n v="281.10000000000002"/>
  </r>
  <r>
    <x v="33"/>
    <x v="5"/>
    <s v="Em operação"/>
    <s v="ES 0097"/>
    <x v="1"/>
    <m/>
    <m/>
    <m/>
    <n v="0"/>
    <n v="6.19"/>
    <n v="5.04"/>
    <n v="1.1499999999999999"/>
    <n v="18.57"/>
    <s v=""/>
    <s v=""/>
    <s v=""/>
    <s v=""/>
    <n v="102.68"/>
    <n v="5.2"/>
    <n v="4.53"/>
    <n v="97.47"/>
    <n v="19.32"/>
    <n v="8598.73"/>
    <s v=""/>
    <s v=""/>
    <n v="0.3"/>
    <s v=""/>
    <n v="224.9"/>
  </r>
  <r>
    <x v="33"/>
    <x v="1"/>
    <s v="Não operacional"/>
    <s v="ES 0099"/>
    <x v="2"/>
    <s v="Em manutenção"/>
    <m/>
    <m/>
    <n v="0"/>
    <n v="0.76"/>
    <n v="0.46"/>
    <n v="0.3"/>
    <n v="39.49"/>
    <n v="1"/>
    <n v="0"/>
    <n v="0"/>
    <n v="0"/>
    <n v="13.72"/>
    <n v="1.89"/>
    <n v="6.31"/>
    <n v="11.83"/>
    <n v="25.73"/>
    <n v="7615.76"/>
    <n v="99869"/>
    <n v="287948"/>
    <n v="0.2"/>
    <n v="0.2"/>
    <n v="235.9"/>
  </r>
  <r>
    <x v="33"/>
    <x v="5"/>
    <s v="Em operação"/>
    <s v="ES 0101"/>
    <x v="0"/>
    <n v="1294"/>
    <m/>
    <n v="3428.5714285714284"/>
    <n v="479.0322580645161"/>
    <n v="3.6"/>
    <n v="3.1"/>
    <n v="0.5"/>
    <n v="13.88"/>
    <n v="327"/>
    <n v="1485"/>
    <n v="4.54"/>
    <n v="12.36"/>
    <n v="120.19"/>
    <n v="2.84"/>
    <n v="5.68"/>
    <n v="117.35"/>
    <n v="37.83"/>
    <n v="6320.95"/>
    <n v="394228"/>
    <n v="1388530"/>
    <n v="0.1"/>
    <n v="0"/>
    <n v="45.4"/>
  </r>
  <r>
    <x v="33"/>
    <x v="5"/>
    <s v="Em operação"/>
    <s v="ES 0110"/>
    <x v="2"/>
    <m/>
    <m/>
    <n v="3000"/>
    <n v="329.38144329896903"/>
    <n v="5.82"/>
    <n v="5.82"/>
    <n v="0"/>
    <n v="0"/>
    <n v="0"/>
    <n v="1917"/>
    <s v=""/>
    <s v=""/>
    <n v="0"/>
    <n v="0"/>
    <s v=""/>
    <n v="0"/>
    <n v="0"/>
    <n v="2147.91"/>
    <n v="127618"/>
    <n v="238895"/>
    <n v="1.2"/>
    <s v=""/>
    <n v="298.60000000000002"/>
  </r>
  <r>
    <x v="33"/>
    <x v="5"/>
    <s v="Em operação"/>
    <s v="ES 0116"/>
    <x v="2"/>
    <m/>
    <m/>
    <n v="3000"/>
    <n v="520.12987012987014"/>
    <n v="7.21"/>
    <n v="6.16"/>
    <n v="1.05"/>
    <n v="14.55"/>
    <n v="741"/>
    <n v="3204"/>
    <n v="4.32"/>
    <n v="13.02"/>
    <n v="246.05"/>
    <n v="5.68"/>
    <n v="5.41"/>
    <n v="240.37"/>
    <n v="39"/>
    <n v="1674.53"/>
    <n v="159521"/>
    <n v="547189"/>
    <n v="0"/>
    <n v="0"/>
    <n v="4.7"/>
  </r>
  <r>
    <x v="33"/>
    <x v="5"/>
    <s v="Em operação"/>
    <s v="ES 0126"/>
    <x v="2"/>
    <m/>
    <m/>
    <n v="3000"/>
    <n v="388.00738007380073"/>
    <n v="6.22"/>
    <n v="5.42"/>
    <n v="0.8"/>
    <n v="12.85"/>
    <n v="945"/>
    <n v="2103"/>
    <n v="2.23"/>
    <n v="17.16"/>
    <n v="122.55"/>
    <n v="3.79"/>
    <n v="4.7300000000000004"/>
    <n v="118.77"/>
    <n v="21.9"/>
    <n v="609.42999999999995"/>
    <n v="56871"/>
    <n v="115511"/>
    <n v="1.7"/>
    <n v="0"/>
    <n v="52.3"/>
  </r>
  <r>
    <x v="33"/>
    <x v="5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4"/>
    <x v="1"/>
    <s v="Não operacional"/>
    <s v="ES 0096"/>
    <x v="2"/>
    <n v="0"/>
    <m/>
    <m/>
    <m/>
    <m/>
    <m/>
    <m/>
    <m/>
    <m/>
    <m/>
    <m/>
    <m/>
    <m/>
    <m/>
    <m/>
    <m/>
    <m/>
    <n v="9042.49"/>
    <n v="71719"/>
    <n v="105692"/>
    <n v="1.2"/>
    <n v="0.05"/>
    <n v="282.3"/>
  </r>
  <r>
    <x v="34"/>
    <x v="1"/>
    <s v="Não operacional"/>
    <s v="ES 0097"/>
    <x v="1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615.76"/>
    <n v="99869"/>
    <n v="287948"/>
    <n v="0"/>
    <s v=""/>
    <n v="235.9"/>
  </r>
  <r>
    <x v="34"/>
    <x v="5"/>
    <s v="Em operação"/>
    <s v="ES 0101"/>
    <x v="0"/>
    <n v="1152"/>
    <m/>
    <n v="3428.5714285714284"/>
    <n v="309.7713097713098"/>
    <n v="5.96"/>
    <n v="4.8099999999999996"/>
    <n v="1.1499999999999999"/>
    <n v="19.29"/>
    <n v="381"/>
    <n v="1490"/>
    <n v="3.91"/>
    <n v="8.16"/>
    <n v="182.65"/>
    <n v="6.62"/>
    <n v="5.76"/>
    <n v="176.02"/>
    <n v="36.58"/>
    <n v="6326.91"/>
    <n v="394609"/>
    <n v="1390020"/>
    <n v="0.1"/>
    <n v="0"/>
    <n v="45.5"/>
  </r>
  <r>
    <x v="34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s v="Não operacional"/>
    <s v="ES 0126"/>
    <x v="2"/>
    <m/>
    <m/>
    <m/>
    <n v="0"/>
    <n v="0"/>
    <n v="0"/>
    <n v="0"/>
    <s v=""/>
    <n v="0"/>
    <n v="0"/>
    <s v=""/>
    <s v=""/>
    <n v="0"/>
    <n v="0"/>
    <s v=""/>
    <n v="0"/>
    <s v=""/>
    <n v="609.42999999999995"/>
    <n v="56871"/>
    <n v="115511"/>
    <n v="0"/>
    <s v=""/>
    <n v="52.3"/>
  </r>
  <r>
    <x v="35"/>
    <x v="1"/>
    <s v="Não operacional"/>
    <s v="ES 0097"/>
    <x v="2"/>
    <m/>
    <s v="Em Manutenção"/>
    <m/>
    <n v="0"/>
    <n v="7.16"/>
    <n v="5.66"/>
    <n v="1.5"/>
    <n v="20.96"/>
    <s v=""/>
    <s v="-"/>
    <s v=""/>
    <s v=""/>
    <n v="115.93"/>
    <n v="6.62"/>
    <n v="4.42"/>
    <n v="109.3"/>
    <n v="19.32"/>
    <n v="8605.89"/>
    <s v=""/>
    <s v=""/>
    <n v="0.6"/>
    <s v=""/>
    <n v="225.5"/>
  </r>
  <r>
    <x v="35"/>
    <x v="6"/>
    <s v="Em operação"/>
    <s v="ES 0096"/>
    <x v="1"/>
    <m/>
    <m/>
    <m/>
    <n v="87.914230019493175"/>
    <n v="6.03"/>
    <n v="5.13"/>
    <n v="0.9"/>
    <n v="14.93"/>
    <n v="242"/>
    <n v="451"/>
    <n v="1.86"/>
    <n v="4.84"/>
    <n v="93.22"/>
    <n v="3.79"/>
    <n v="4.21"/>
    <n v="89.43"/>
    <n v="17.440000000000001"/>
    <n v="9048.52"/>
    <n v="71961"/>
    <n v="106143"/>
    <n v="1"/>
    <n v="0"/>
    <n v="283.3"/>
  </r>
  <r>
    <x v="35"/>
    <x v="6"/>
    <s v="Em operação"/>
    <s v="ES 0110"/>
    <x v="2"/>
    <m/>
    <m/>
    <n v="3000"/>
    <n v="170.82728592162556"/>
    <n v="8.64"/>
    <n v="6.89"/>
    <n v="1.75"/>
    <n v="20.260000000000002"/>
    <n v="697"/>
    <n v="1177"/>
    <n v="1.69"/>
    <n v="8"/>
    <n v="147.16"/>
    <n v="6.62"/>
    <n v="3.79"/>
    <n v="140.53"/>
    <n v="20.41"/>
    <n v="2156.54"/>
    <n v="129624"/>
    <n v="243036"/>
    <n v="0.2"/>
    <n v="0"/>
    <n v="298.89999999999998"/>
  </r>
  <r>
    <x v="35"/>
    <x v="6"/>
    <s v="Em operação"/>
    <s v="ES 0126"/>
    <x v="2"/>
    <m/>
    <m/>
    <n v="3000"/>
    <n v="419.9728260869565"/>
    <n v="8.41"/>
    <n v="7.36"/>
    <n v="1.05"/>
    <n v="12.48"/>
    <n v="1259"/>
    <n v="3091"/>
    <n v="2.46"/>
    <n v="18.350000000000001"/>
    <n v="168.45"/>
    <n v="4.7300000000000004"/>
    <n v="4.51"/>
    <n v="163.72"/>
    <n v="22.24"/>
    <n v="617.84"/>
    <n v="58130"/>
    <n v="118602"/>
    <n v="2"/>
    <n v="0"/>
    <n v="54.3"/>
  </r>
  <r>
    <x v="35"/>
    <x v="6"/>
    <s v="Em operação"/>
    <s v="ES 0099"/>
    <x v="2"/>
    <m/>
    <m/>
    <n v="3000"/>
    <n v="0"/>
    <n v="0.24"/>
    <n v="0.19"/>
    <n v="0.05"/>
    <n v="20.43"/>
    <n v="2"/>
    <n v="0"/>
    <n v="0"/>
    <n v="0"/>
    <n v="3.31"/>
    <n v="0.95"/>
    <n v="18.93"/>
    <n v="2.37"/>
    <n v="12.15"/>
    <n v="7616.01"/>
    <n v="99871"/>
    <n v="287948"/>
    <n v="0"/>
    <n v="0"/>
    <n v="235.9"/>
  </r>
  <r>
    <x v="35"/>
    <x v="6"/>
    <s v="Em operação"/>
    <s v="ES 0101"/>
    <x v="0"/>
    <n v="1875"/>
    <m/>
    <n v="4000"/>
    <n v="320.59496567505721"/>
    <n v="10.54"/>
    <n v="8.74"/>
    <n v="1.8"/>
    <n v="17.079999999999998"/>
    <n v="744"/>
    <n v="2802"/>
    <n v="3.77"/>
    <n v="8.57"/>
    <n v="326.95999999999998"/>
    <n v="9.4600000000000009"/>
    <n v="5.26"/>
    <n v="317.5"/>
    <n v="36.33"/>
    <n v="6337.45"/>
    <n v="395353"/>
    <n v="1392822"/>
    <n v="0.1"/>
    <n v="0"/>
    <n v="45.6"/>
  </r>
  <r>
    <x v="35"/>
    <x v="6"/>
    <s v="Em operação"/>
    <s v="ES 0116"/>
    <x v="2"/>
    <m/>
    <m/>
    <n v="3000"/>
    <n v="432.6283987915408"/>
    <n v="8.4700000000000006"/>
    <n v="6.62"/>
    <n v="1.85"/>
    <n v="21.84"/>
    <n v="882"/>
    <n v="2864"/>
    <n v="3.25"/>
    <n v="10.53"/>
    <n v="272.08"/>
    <n v="8.52"/>
    <n v="4.5999999999999996"/>
    <n v="263.56"/>
    <n v="39.81"/>
    <n v="1683"/>
    <n v="160403"/>
    <n v="550053"/>
    <n v="0.1"/>
    <n v="0"/>
    <n v="4.8"/>
  </r>
  <r>
    <x v="35"/>
    <x v="6"/>
    <s v="Em operação"/>
    <m/>
    <x v="2"/>
    <m/>
    <m/>
    <m/>
    <m/>
    <m/>
    <m/>
    <m/>
    <m/>
    <m/>
    <m/>
    <m/>
    <m/>
    <m/>
    <m/>
    <m/>
    <m/>
    <m/>
    <m/>
    <m/>
    <m/>
    <m/>
    <m/>
    <m/>
  </r>
  <r>
    <x v="36"/>
    <x v="6"/>
    <s v="Em operação"/>
    <s v="ES 0097"/>
    <x v="2"/>
    <m/>
    <m/>
    <n v="3000"/>
    <n v="189.4736842105263"/>
    <n v="6.45"/>
    <n v="5.7"/>
    <n v="0.75"/>
    <n v="11.64"/>
    <s v=""/>
    <n v="1080"/>
    <s v=""/>
    <s v=""/>
    <n v="122.08"/>
    <n v="3.79"/>
    <n v="5.05"/>
    <n v="118.29"/>
    <n v="20.77"/>
    <n v="8612.33"/>
    <s v=""/>
    <s v=""/>
    <n v="1.3"/>
    <s v=""/>
    <n v="226.8"/>
  </r>
  <r>
    <x v="36"/>
    <x v="6"/>
    <s v="Em operação"/>
    <s v="ES 0096"/>
    <x v="1"/>
    <m/>
    <m/>
    <m/>
    <n v="120.78313253012048"/>
    <n v="4.37"/>
    <n v="3.32"/>
    <n v="1.05"/>
    <n v="24.05"/>
    <n v="330"/>
    <n v="401"/>
    <n v="1.22"/>
    <n v="5.84"/>
    <n v="68.61"/>
    <n v="4.26"/>
    <n v="4.0599999999999996"/>
    <n v="64.349999999999994"/>
    <n v="19.399999999999999"/>
    <n v="9052.8799999999992"/>
    <n v="72291"/>
    <n v="106544"/>
    <n v="0"/>
    <n v="0"/>
    <n v="283.3"/>
  </r>
  <r>
    <x v="36"/>
    <x v="6"/>
    <s v="Em operação"/>
    <s v="ES 0110"/>
    <x v="2"/>
    <m/>
    <m/>
    <n v="3000"/>
    <n v="182.75862068965517"/>
    <n v="1.1299999999999999"/>
    <n v="0.57999999999999996"/>
    <n v="0.55000000000000004"/>
    <n v="48.79"/>
    <n v="60"/>
    <n v="106"/>
    <n v="1.77"/>
    <n v="7.47"/>
    <n v="14.2"/>
    <n v="2.37"/>
    <n v="4.3"/>
    <n v="11.83"/>
    <n v="20.49"/>
    <n v="2157.67"/>
    <n v="129684"/>
    <n v="243142"/>
    <n v="0.2"/>
    <n v="0"/>
    <n v="299.10000000000002"/>
  </r>
  <r>
    <x v="36"/>
    <x v="6"/>
    <s v="Em operação"/>
    <s v="ES 0126"/>
    <x v="2"/>
    <m/>
    <m/>
    <n v="3000"/>
    <n v="421.94805194805195"/>
    <n v="8.8000000000000007"/>
    <n v="7.7"/>
    <n v="1.1000000000000001"/>
    <n v="12.5"/>
    <n v="1369"/>
    <n v="3249"/>
    <n v="2.37"/>
    <n v="18.760000000000002"/>
    <n v="173.18"/>
    <n v="4.7300000000000004"/>
    <n v="4.3"/>
    <n v="168.45"/>
    <n v="21.88"/>
    <n v="626.64"/>
    <n v="59499"/>
    <n v="121851"/>
    <n v="0.8"/>
    <n v="0"/>
    <n v="55.1"/>
  </r>
  <r>
    <x v="36"/>
    <x v="6"/>
    <s v="Em operação"/>
    <s v="ES 0099"/>
    <x v="2"/>
    <m/>
    <m/>
    <n v="3000"/>
    <n v="101.12781954887218"/>
    <n v="3.66"/>
    <n v="2.66"/>
    <n v="1"/>
    <n v="27.33"/>
    <n v="172"/>
    <n v="269"/>
    <n v="1.56"/>
    <n v="3.14"/>
    <n v="85.64"/>
    <n v="4.7300000000000004"/>
    <n v="4.7300000000000004"/>
    <n v="80.91"/>
    <n v="30.43"/>
    <n v="7619.67"/>
    <n v="100043"/>
    <n v="288217"/>
    <n v="0.1"/>
    <n v="0"/>
    <n v="236"/>
  </r>
  <r>
    <x v="36"/>
    <x v="6"/>
    <s v="Em operação"/>
    <s v="ES 0101"/>
    <x v="0"/>
    <n v="2021"/>
    <m/>
    <n v="4000"/>
    <n v="348.21428571428572"/>
    <n v="8.32"/>
    <n v="6.72"/>
    <n v="1.6"/>
    <n v="19.23"/>
    <n v="573"/>
    <n v="2340"/>
    <n v="4.08"/>
    <n v="9.1199999999999992"/>
    <n v="256.45999999999998"/>
    <n v="8.52"/>
    <n v="5.32"/>
    <n v="247.94"/>
    <n v="36.9"/>
    <n v="6345.77"/>
    <n v="395926"/>
    <n v="1395162"/>
    <n v="0.2"/>
    <n v="0"/>
    <n v="45.8"/>
  </r>
  <r>
    <x v="36"/>
    <x v="6"/>
    <s v="Em operação"/>
    <s v="ES 0116"/>
    <x v="2"/>
    <m/>
    <m/>
    <n v="3000"/>
    <n v="485.84905660377359"/>
    <n v="6.9"/>
    <n v="5.3"/>
    <n v="1.6"/>
    <n v="23.18"/>
    <n v="764"/>
    <n v="2575"/>
    <n v="3.37"/>
    <n v="11.83"/>
    <n v="217.66"/>
    <n v="7.57"/>
    <n v="4.7300000000000004"/>
    <n v="210.09"/>
    <n v="39.61"/>
    <n v="1689.9"/>
    <n v="161167"/>
    <n v="552628"/>
    <n v="0"/>
    <n v="0"/>
    <n v="4.8"/>
  </r>
  <r>
    <x v="37"/>
    <x v="1"/>
    <s v="Não operacional"/>
    <s v="ES 0097"/>
    <x v="2"/>
    <m/>
    <s v="Em Manutenção"/>
    <m/>
    <n v="0"/>
    <n v="0.93"/>
    <n v="0.18"/>
    <n v="0.75"/>
    <n v="80.790000000000006"/>
    <s v=""/>
    <n v="0"/>
    <s v=""/>
    <s v=""/>
    <n v="5.68"/>
    <n v="3.31"/>
    <n v="4.42"/>
    <n v="2.37"/>
    <n v="13.27"/>
    <n v="8613.26"/>
    <s v=""/>
    <s v=""/>
    <n v="0"/>
    <s v=""/>
    <n v="226.8"/>
  </r>
  <r>
    <x v="37"/>
    <x v="1"/>
    <s v="Não operacional"/>
    <s v="ES 0096"/>
    <x v="1"/>
    <m/>
    <s v="Em Manutenção"/>
    <m/>
    <n v="0"/>
    <n v="2.68"/>
    <n v="0.57999999999999996"/>
    <n v="2.1"/>
    <n v="78.45"/>
    <n v="19"/>
    <n v="0"/>
    <n v="0"/>
    <n v="0"/>
    <n v="14.67"/>
    <n v="8.0399999999999991"/>
    <n v="3.83"/>
    <n v="6.62"/>
    <n v="11.49"/>
    <n v="9055.56"/>
    <n v="72310"/>
    <n v="106544"/>
    <n v="0"/>
    <n v="0"/>
    <n v="283.3"/>
  </r>
  <r>
    <x v="37"/>
    <x v="6"/>
    <s v="Em operação"/>
    <s v="ES 0110"/>
    <x v="2"/>
    <m/>
    <m/>
    <n v="3000"/>
    <n v="38.84297520661157"/>
    <n v="7.6"/>
    <n v="6.05"/>
    <n v="1.55"/>
    <n v="20.399999999999999"/>
    <n v="133"/>
    <n v="235"/>
    <n v="1.77"/>
    <n v="1.77"/>
    <n v="132.96"/>
    <n v="6.15"/>
    <n v="3.97"/>
    <n v="126.81"/>
    <n v="20.97"/>
    <n v="2165.27"/>
    <n v="129817"/>
    <n v="243377"/>
    <n v="1.4"/>
    <n v="0.01"/>
    <n v="300.5"/>
  </r>
  <r>
    <x v="37"/>
    <x v="6"/>
    <s v="Em operação"/>
    <s v="ES 0126"/>
    <x v="2"/>
    <m/>
    <m/>
    <n v="3000"/>
    <n v="375.58139534883719"/>
    <n v="7.68"/>
    <n v="6.88"/>
    <n v="0.8"/>
    <n v="10.41"/>
    <n v="1054"/>
    <n v="2584"/>
    <n v="2.4500000000000002"/>
    <n v="16.55"/>
    <n v="156.15"/>
    <n v="3.79"/>
    <n v="4.7300000000000004"/>
    <n v="152.36000000000001"/>
    <n v="22.14"/>
    <n v="634.32000000000005"/>
    <n v="60553"/>
    <n v="124435"/>
    <n v="0.5"/>
    <n v="0"/>
    <n v="55.6"/>
  </r>
  <r>
    <x v="37"/>
    <x v="6"/>
    <s v="Em operação"/>
    <s v="ES 0099"/>
    <x v="2"/>
    <m/>
    <m/>
    <n v="3000"/>
    <n v="277.61732851985556"/>
    <n v="9.01"/>
    <n v="8.31"/>
    <n v="0.7"/>
    <n v="7.77"/>
    <n v="894"/>
    <n v="2307"/>
    <n v="2.58"/>
    <n v="8.74"/>
    <n v="264.02999999999997"/>
    <n v="4.7300000000000004"/>
    <n v="6.76"/>
    <n v="259.3"/>
    <n v="31.19"/>
    <n v="7628.68"/>
    <n v="100937"/>
    <n v="290524"/>
    <n v="1.9"/>
    <n v="0"/>
    <n v="237.9"/>
  </r>
  <r>
    <x v="37"/>
    <x v="6"/>
    <s v="Em operação"/>
    <s v="ES 0101"/>
    <x v="0"/>
    <n v="2400"/>
    <m/>
    <n v="4000"/>
    <n v="493.5946462715105"/>
    <n v="11.56"/>
    <n v="10.46"/>
    <n v="1.1000000000000001"/>
    <n v="9.51"/>
    <n v="1339"/>
    <n v="5163"/>
    <n v="3.86"/>
    <n v="12.34"/>
    <n v="418.29"/>
    <n v="6.15"/>
    <n v="5.59"/>
    <n v="412.14"/>
    <n v="39.39"/>
    <n v="6357.33"/>
    <n v="397265"/>
    <n v="1400325"/>
    <n v="0.2"/>
    <n v="0"/>
    <n v="46"/>
  </r>
  <r>
    <x v="37"/>
    <x v="6"/>
    <s v="Em operação"/>
    <s v="ES 0116"/>
    <x v="2"/>
    <m/>
    <m/>
    <n v="3000"/>
    <n v="555.76208178438662"/>
    <n v="9.17"/>
    <n v="8.07"/>
    <n v="1.1000000000000001"/>
    <n v="12"/>
    <n v="1406"/>
    <n v="4485"/>
    <n v="3.19"/>
    <n v="13.28"/>
    <n v="337.85"/>
    <n v="4.26"/>
    <n v="3.87"/>
    <n v="333.59"/>
    <n v="41.35"/>
    <n v="1699.07"/>
    <n v="162573"/>
    <n v="557113"/>
    <n v="0"/>
    <n v="0"/>
    <n v="4.8"/>
  </r>
  <r>
    <x v="37"/>
    <x v="6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8"/>
    <x v="6"/>
    <s v="Em operação"/>
    <s v="ES 0097"/>
    <x v="2"/>
    <m/>
    <m/>
    <n v="3000"/>
    <n v="288.08172531214529"/>
    <n v="9.4600000000000009"/>
    <n v="8.81"/>
    <n v="0.65"/>
    <n v="6.87"/>
    <s v=""/>
    <n v="2538"/>
    <s v=""/>
    <s v=""/>
    <n v="194"/>
    <n v="2.84"/>
    <n v="4.37"/>
    <n v="191.16"/>
    <n v="21.7"/>
    <n v="8622.7199999999993"/>
    <s v=""/>
    <s v=""/>
    <n v="0.1"/>
    <s v=""/>
    <n v="226.9"/>
  </r>
  <r>
    <x v="38"/>
    <x v="1"/>
    <s v="Não operacional"/>
    <s v="ES 0096"/>
    <x v="1"/>
    <m/>
    <s v="Em Manutenção"/>
    <m/>
    <n v="0"/>
    <n v="0.24"/>
    <n v="0.04"/>
    <n v="0.2"/>
    <n v="84.42"/>
    <n v="0"/>
    <n v="0"/>
    <s v=""/>
    <n v="0"/>
    <n v="0.95"/>
    <n v="0.95"/>
    <n v="4.7300000000000004"/>
    <n v="0"/>
    <n v="0"/>
    <n v="9055.7999999999993"/>
    <n v="72310"/>
    <n v="106544"/>
    <n v="0"/>
    <s v=""/>
    <n v="283.3"/>
  </r>
  <r>
    <x v="38"/>
    <x v="6"/>
    <s v="Em operação"/>
    <s v="ES 0110"/>
    <x v="2"/>
    <m/>
    <m/>
    <n v="3000"/>
    <n v="380.96723868954757"/>
    <n v="7.16"/>
    <n v="6.41"/>
    <n v="0.75"/>
    <n v="10.48"/>
    <n v="1527"/>
    <n v="2442"/>
    <n v="1.6"/>
    <n v="17.8"/>
    <n v="137.22"/>
    <n v="2.37"/>
    <n v="3.15"/>
    <n v="134.86000000000001"/>
    <n v="21.05"/>
    <n v="2172.42"/>
    <n v="131344"/>
    <n v="245819"/>
    <n v="0.3"/>
    <n v="0"/>
    <n v="300.8"/>
  </r>
  <r>
    <x v="38"/>
    <x v="6"/>
    <s v="Em operação"/>
    <s v="ES 0126"/>
    <x v="2"/>
    <m/>
    <m/>
    <n v="3000"/>
    <n v="399.8783454987834"/>
    <n v="8.9700000000000006"/>
    <n v="8.2200000000000006"/>
    <n v="0.75"/>
    <n v="8.36"/>
    <n v="1307"/>
    <n v="3287"/>
    <n v="2.5099999999999998"/>
    <n v="18.62"/>
    <n v="176.49"/>
    <n v="2.37"/>
    <n v="3.15"/>
    <n v="174.13"/>
    <n v="21.19"/>
    <n v="643.28"/>
    <n v="61860"/>
    <n v="127722"/>
    <n v="0.7"/>
    <n v="0"/>
    <n v="56.3"/>
  </r>
  <r>
    <x v="38"/>
    <x v="6"/>
    <s v="Em operação"/>
    <s v="ES 0099"/>
    <x v="2"/>
    <m/>
    <m/>
    <n v="3000"/>
    <n v="416.46778042959426"/>
    <n v="6.84"/>
    <n v="4.1900000000000004"/>
    <n v="2.65"/>
    <n v="38.74"/>
    <n v="516"/>
    <n v="1745"/>
    <n v="3.38"/>
    <n v="12.63"/>
    <n v="138.16999999999999"/>
    <n v="13.25"/>
    <n v="5"/>
    <n v="124.92"/>
    <n v="29.81"/>
    <n v="7635.52"/>
    <n v="101453"/>
    <n v="292269"/>
    <n v="0"/>
    <n v="0"/>
    <n v="237.9"/>
  </r>
  <r>
    <x v="38"/>
    <x v="6"/>
    <s v="Em operação"/>
    <s v="ES 0101"/>
    <x v="0"/>
    <n v="2120"/>
    <m/>
    <n v="4000"/>
    <n v="390.89692101740297"/>
    <n v="9.4700000000000006"/>
    <n v="7.47"/>
    <n v="2"/>
    <n v="21.11"/>
    <n v="733"/>
    <n v="2920"/>
    <n v="3.98"/>
    <n v="10.02"/>
    <n v="291.48"/>
    <n v="10.41"/>
    <n v="5.2"/>
    <n v="281.07"/>
    <n v="37.6"/>
    <n v="6366.81"/>
    <n v="397998"/>
    <n v="1403245"/>
    <n v="0.2"/>
    <n v="0"/>
    <n v="46.2"/>
  </r>
  <r>
    <x v="38"/>
    <x v="6"/>
    <s v="Em operação"/>
    <s v="ES 0116"/>
    <x v="2"/>
    <m/>
    <m/>
    <n v="3000"/>
    <n v="601.62337662337666"/>
    <n v="10.34"/>
    <n v="9.24"/>
    <n v="1.1000000000000001"/>
    <n v="10.63"/>
    <n v="1446"/>
    <n v="5559"/>
    <n v="3.84"/>
    <n v="14.52"/>
    <n v="382.8"/>
    <n v="5.68"/>
    <n v="5.16"/>
    <n v="377.12"/>
    <n v="40.799999999999997"/>
    <n v="1709.42"/>
    <n v="164019"/>
    <n v="562672"/>
    <n v="0"/>
    <n v="0"/>
    <n v="4.8"/>
  </r>
  <r>
    <x v="39"/>
    <x v="1"/>
    <s v="Não operacional"/>
    <s v="ES 0097"/>
    <x v="2"/>
    <m/>
    <s v="Em Manutenção"/>
    <m/>
    <n v="0"/>
    <n v="5.86"/>
    <n v="5.01"/>
    <n v="0.85"/>
    <n v="14.5"/>
    <s v=""/>
    <n v="0"/>
    <s v=""/>
    <s v=""/>
    <n v="106.94"/>
    <n v="3.31"/>
    <n v="3.9"/>
    <n v="103.63"/>
    <n v="20.67"/>
    <n v="8628.58"/>
    <s v=""/>
    <s v=""/>
    <n v="0.4"/>
    <s v=""/>
    <n v="227.3"/>
  </r>
  <r>
    <x v="39"/>
    <x v="1"/>
    <s v="Não operacional"/>
    <s v="ES 0096"/>
    <x v="1"/>
    <m/>
    <s v="Em Manutenção"/>
    <m/>
    <n v="0"/>
    <n v="2.6"/>
    <n v="1.35"/>
    <n v="1.25"/>
    <n v="47.99"/>
    <n v="4"/>
    <n v="0"/>
    <n v="0"/>
    <n v="0"/>
    <n v="26.02"/>
    <n v="4.7300000000000004"/>
    <n v="3.79"/>
    <n v="21.29"/>
    <n v="15.72"/>
    <n v="9058.4"/>
    <n v="72314"/>
    <n v="106544"/>
    <n v="0.1"/>
    <n v="0.02"/>
    <n v="283.39999999999998"/>
  </r>
  <r>
    <x v="39"/>
    <x v="6"/>
    <s v="Em operação"/>
    <s v="ES 0110"/>
    <x v="2"/>
    <m/>
    <m/>
    <n v="3000"/>
    <n v="169.02887139107611"/>
    <n v="8.77"/>
    <n v="7.62"/>
    <n v="1.1499999999999999"/>
    <n v="13.11"/>
    <n v="773"/>
    <n v="1288"/>
    <n v="1.67"/>
    <n v="7.94"/>
    <n v="162.30000000000001"/>
    <n v="5.2"/>
    <n v="4.53"/>
    <n v="157.09"/>
    <n v="20.62"/>
    <n v="2181.19"/>
    <n v="132117"/>
    <n v="247107"/>
    <n v="1.4"/>
    <n v="0"/>
    <n v="302.2"/>
  </r>
  <r>
    <x v="39"/>
    <x v="6"/>
    <s v="Em operação"/>
    <s v="ES 0126"/>
    <x v="2"/>
    <m/>
    <m/>
    <n v="3000"/>
    <n v="383.29207920792078"/>
    <n v="8.73"/>
    <n v="8.08"/>
    <n v="0.65"/>
    <n v="7.45"/>
    <n v="1186"/>
    <n v="3097"/>
    <n v="2.61"/>
    <n v="17.93"/>
    <n v="172.71"/>
    <n v="2.84"/>
    <n v="4.37"/>
    <n v="169.87"/>
    <n v="21.03"/>
    <n v="652.01"/>
    <n v="63046"/>
    <n v="130819"/>
    <n v="1.1000000000000001"/>
    <n v="0"/>
    <n v="57.4"/>
  </r>
  <r>
    <x v="39"/>
    <x v="6"/>
    <s v="Em operação"/>
    <s v="ES 0099"/>
    <x v="2"/>
    <m/>
    <m/>
    <n v="3000"/>
    <n v="360.81081081081084"/>
    <n v="8.3699999999999992"/>
    <n v="5.92"/>
    <n v="2.4500000000000002"/>
    <n v="29.28"/>
    <n v="729"/>
    <n v="2136"/>
    <n v="2.93"/>
    <n v="11.26"/>
    <n v="189.74"/>
    <n v="11.36"/>
    <n v="4.6399999999999997"/>
    <n v="178.39"/>
    <n v="30.14"/>
    <n v="7643.89"/>
    <n v="102182"/>
    <n v="294405"/>
    <n v="0.5"/>
    <n v="0"/>
    <n v="238.4"/>
  </r>
  <r>
    <x v="39"/>
    <x v="6"/>
    <s v="Em operação"/>
    <s v="ES 0101"/>
    <x v="0"/>
    <n v="2164"/>
    <m/>
    <n v="4000"/>
    <n v="360.1685985247629"/>
    <n v="10.84"/>
    <n v="9.49"/>
    <n v="1.35"/>
    <n v="12.45"/>
    <n v="824"/>
    <n v="3418"/>
    <n v="4.1500000000000004"/>
    <n v="9.2100000000000009"/>
    <n v="370.97"/>
    <n v="7.57"/>
    <n v="5.61"/>
    <n v="363.4"/>
    <n v="38.28"/>
    <n v="6377.65"/>
    <n v="398822"/>
    <n v="1406663"/>
    <n v="0.1"/>
    <n v="0"/>
    <n v="46.3"/>
  </r>
  <r>
    <x v="39"/>
    <x v="6"/>
    <s v="Em operação"/>
    <s v="ES 0116"/>
    <x v="2"/>
    <m/>
    <m/>
    <n v="3000"/>
    <n v="459.07046476761622"/>
    <n v="7.92"/>
    <n v="6.67"/>
    <n v="1.25"/>
    <n v="15.78"/>
    <n v="946"/>
    <n v="3062"/>
    <n v="3.24"/>
    <n v="10.91"/>
    <n v="280.58999999999997"/>
    <n v="4.7300000000000004"/>
    <n v="3.79"/>
    <n v="275.86"/>
    <n v="41.35"/>
    <n v="1717.34"/>
    <n v="164965"/>
    <n v="565734"/>
    <n v="0"/>
    <n v="0"/>
    <n v="4.8"/>
  </r>
  <r>
    <x v="39"/>
    <x v="6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39"/>
    <x v="6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0"/>
    <x v="1"/>
    <s v="Não operacional"/>
    <s v="ES 0096"/>
    <x v="1"/>
    <m/>
    <s v="Em Manutenção"/>
    <m/>
    <n v="0"/>
    <n v="0.44"/>
    <n v="0.28999999999999998"/>
    <n v="0.15"/>
    <n v="33.729999999999997"/>
    <n v="0"/>
    <n v="0"/>
    <s v=""/>
    <n v="0"/>
    <n v="3.31"/>
    <n v="0.95"/>
    <n v="6.31"/>
    <n v="2.37"/>
    <n v="8.0299999999999994"/>
    <n v="9058.85"/>
    <n v="72314"/>
    <n v="106544"/>
    <n v="0"/>
    <s v=""/>
    <n v="283.39999999999998"/>
  </r>
  <r>
    <x v="40"/>
    <x v="6"/>
    <s v="Em operação"/>
    <s v="ES 0097"/>
    <x v="2"/>
    <m/>
    <m/>
    <n v="3000"/>
    <n v="467.70601336302894"/>
    <n v="5.34"/>
    <n v="4.49"/>
    <n v="0.85"/>
    <n v="15.91"/>
    <s v=""/>
    <n v="2100"/>
    <s v=""/>
    <s v=""/>
    <n v="96.53"/>
    <n v="4.26"/>
    <n v="5.01"/>
    <n v="92.27"/>
    <n v="20.54"/>
    <n v="8633.92"/>
    <s v=""/>
    <s v=""/>
    <n v="0.2"/>
    <s v=""/>
    <n v="227.5"/>
  </r>
  <r>
    <x v="40"/>
    <x v="6"/>
    <s v="Em operação"/>
    <s v="ES 0110"/>
    <x v="2"/>
    <m/>
    <m/>
    <n v="3000"/>
    <n v="208.38709677419354"/>
    <n v="5.85"/>
    <n v="4.6500000000000004"/>
    <n v="1.2"/>
    <n v="20.5"/>
    <n v="590"/>
    <n v="969"/>
    <n v="1.64"/>
    <n v="9.66"/>
    <n v="100.31"/>
    <n v="4.7300000000000004"/>
    <n v="3.94"/>
    <n v="95.58"/>
    <n v="20.54"/>
    <n v="2187.0500000000002"/>
    <n v="132707"/>
    <n v="248076"/>
    <n v="0.1"/>
    <n v="0"/>
    <n v="302.3"/>
  </r>
  <r>
    <x v="40"/>
    <x v="6"/>
    <s v="Em operação"/>
    <s v="ES 0126"/>
    <x v="2"/>
    <m/>
    <m/>
    <n v="3000"/>
    <n v="334.50184501845018"/>
    <n v="5.82"/>
    <n v="5.42"/>
    <n v="0.4"/>
    <n v="6.87"/>
    <n v="807"/>
    <n v="1813"/>
    <n v="2.25"/>
    <n v="15.51"/>
    <n v="116.87"/>
    <n v="1.89"/>
    <n v="4.7300000000000004"/>
    <n v="114.98"/>
    <n v="21.21"/>
    <n v="657.83"/>
    <n v="63853"/>
    <n v="132632"/>
    <n v="0.7"/>
    <n v="0"/>
    <n v="58.1"/>
  </r>
  <r>
    <x v="40"/>
    <x v="6"/>
    <s v="Em operação"/>
    <s v="ES 0101"/>
    <x v="0"/>
    <n v="1561"/>
    <m/>
    <n v="4000"/>
    <n v="353.07820299500833"/>
    <n v="7.31"/>
    <n v="6.01"/>
    <n v="1.3"/>
    <n v="17.79"/>
    <n v="514"/>
    <n v="2122"/>
    <n v="4.13"/>
    <n v="9.15"/>
    <n v="231.86"/>
    <n v="7.1"/>
    <n v="5.46"/>
    <n v="224.76"/>
    <n v="37.42"/>
    <n v="6384.96"/>
    <n v="399336"/>
    <n v="1408785"/>
    <n v="0.1"/>
    <n v="0"/>
    <n v="46.4"/>
  </r>
  <r>
    <x v="40"/>
    <x v="6"/>
    <s v="Em operação"/>
    <s v="ES 0099"/>
    <x v="2"/>
    <m/>
    <m/>
    <n v="3000"/>
    <n v="402.33463035019457"/>
    <n v="5.0199999999999996"/>
    <n v="2.57"/>
    <n v="2.4500000000000002"/>
    <n v="48.79"/>
    <n v="337"/>
    <n v="1034"/>
    <n v="3.07"/>
    <n v="12.01"/>
    <n v="86.12"/>
    <n v="13.25"/>
    <n v="5.41"/>
    <n v="72.87"/>
    <n v="28.34"/>
    <n v="7648.91"/>
    <n v="102519"/>
    <n v="295439"/>
    <n v="0"/>
    <n v="0"/>
    <n v="238.4"/>
  </r>
  <r>
    <x v="40"/>
    <x v="6"/>
    <s v="Em operação"/>
    <s v="ES 0116"/>
    <x v="2"/>
    <m/>
    <m/>
    <n v="3000"/>
    <n v="436.32478632478637"/>
    <n v="5.73"/>
    <n v="4.68"/>
    <n v="1.05"/>
    <n v="18.32"/>
    <n v="584"/>
    <n v="2042"/>
    <n v="3.5"/>
    <n v="10.55"/>
    <n v="193.53"/>
    <n v="5.68"/>
    <n v="5.41"/>
    <n v="187.85"/>
    <n v="40.119999999999997"/>
    <n v="1723.07"/>
    <n v="165549"/>
    <n v="567776"/>
    <n v="0"/>
    <n v="0"/>
    <n v="4.8"/>
  </r>
  <r>
    <x v="41"/>
    <x v="1"/>
    <s v="Não operacional"/>
    <s v="ES 0097"/>
    <x v="2"/>
    <m/>
    <s v="Em Manutenção"/>
    <m/>
    <n v="0"/>
    <n v="0"/>
    <n v="0"/>
    <n v="0"/>
    <s v=""/>
    <s v=""/>
    <n v="0"/>
    <s v=""/>
    <s v=""/>
    <n v="0"/>
    <n v="0"/>
    <s v=""/>
    <n v="0"/>
    <s v=""/>
    <n v="8633.92"/>
    <s v=""/>
    <s v=""/>
    <n v="0"/>
    <s v=""/>
    <n v="227.5"/>
  </r>
  <r>
    <x v="41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1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648.91"/>
    <n v="102519"/>
    <n v="295439"/>
    <n v="0"/>
    <s v=""/>
    <n v="238.4"/>
  </r>
  <r>
    <x v="41"/>
    <x v="1"/>
    <s v="Não operacional"/>
    <s v="ES 0101"/>
    <x v="0"/>
    <n v="0"/>
    <m/>
    <n v="0"/>
    <n v="0"/>
    <n v="0"/>
    <n v="0"/>
    <n v="0"/>
    <s v=""/>
    <n v="0"/>
    <n v="0"/>
    <s v=""/>
    <s v=""/>
    <n v="0"/>
    <n v="0"/>
    <s v=""/>
    <n v="0"/>
    <s v=""/>
    <n v="6384.96"/>
    <n v="399336"/>
    <n v="1408785"/>
    <n v="0"/>
    <s v=""/>
    <n v="46.4"/>
  </r>
  <r>
    <x v="41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1"/>
    <s v="Não operacional"/>
    <s v="ES 0135"/>
    <x v="2"/>
    <m/>
    <m/>
    <m/>
    <n v="0"/>
    <n v="0"/>
    <n v="0"/>
    <n v="0"/>
    <s v=""/>
    <n v="0"/>
    <n v="0"/>
    <s v=""/>
    <s v=""/>
    <n v="0"/>
    <n v="0"/>
    <s v=""/>
    <n v="0"/>
    <s v=""/>
    <n v="326.99"/>
    <n v="26032"/>
    <n v="51440"/>
    <n v="0"/>
    <s v=""/>
    <n v="20.8"/>
  </r>
  <r>
    <x v="42"/>
    <x v="1"/>
    <s v="Não operacional"/>
    <s v="ES 0097"/>
    <x v="2"/>
    <m/>
    <m/>
    <m/>
    <n v="278.88446215139442"/>
    <n v="8.33"/>
    <n v="7.53"/>
    <n v="0.8"/>
    <n v="9.6"/>
    <s v=""/>
    <n v="2100"/>
    <s v=""/>
    <s v=""/>
    <n v="161.35"/>
    <n v="2.84"/>
    <n v="3.55"/>
    <n v="158.51"/>
    <n v="21.05"/>
    <n v="8642.25"/>
    <s v=""/>
    <s v=""/>
    <n v="1.2"/>
    <s v=""/>
    <n v="228.7"/>
  </r>
  <r>
    <x v="42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2"/>
    <x v="7"/>
    <s v="Em operação"/>
    <s v="ES 0110"/>
    <x v="2"/>
    <m/>
    <m/>
    <n v="3000"/>
    <n v="266.47564469914039"/>
    <n v="9.18"/>
    <n v="6.98"/>
    <n v="2.2000000000000002"/>
    <n v="23.97"/>
    <n v="898"/>
    <n v="1860"/>
    <n v="2.0699999999999998"/>
    <n v="11.88"/>
    <n v="156.62"/>
    <n v="7.57"/>
    <n v="3.44"/>
    <n v="149.05000000000001"/>
    <n v="21.36"/>
    <n v="2196.2199999999998"/>
    <n v="133605"/>
    <n v="249936"/>
    <n v="0.3"/>
    <n v="0"/>
    <n v="302.60000000000002"/>
  </r>
  <r>
    <x v="42"/>
    <x v="7"/>
    <s v="Em operação"/>
    <s v="ES 0126"/>
    <x v="2"/>
    <m/>
    <m/>
    <n v="3000"/>
    <n v="308.83116883116884"/>
    <n v="8.3000000000000007"/>
    <n v="7.7"/>
    <n v="0.6"/>
    <n v="7.23"/>
    <n v="1041"/>
    <n v="2378"/>
    <n v="2.2799999999999998"/>
    <n v="14.69"/>
    <n v="161.83000000000001"/>
    <n v="2.37"/>
    <n v="3.94"/>
    <n v="159.46"/>
    <n v="20.7"/>
    <n v="666.13"/>
    <n v="64894"/>
    <n v="135010"/>
    <n v="1.1000000000000001"/>
    <n v="0"/>
    <n v="59.2"/>
  </r>
  <r>
    <x v="42"/>
    <x v="7"/>
    <s v="Em operação"/>
    <s v="ES 0101"/>
    <x v="0"/>
    <n v="1447"/>
    <m/>
    <n v="4800"/>
    <n v="395.94742606790794"/>
    <n v="10.58"/>
    <n v="9.1300000000000008"/>
    <n v="1.45"/>
    <n v="13.7"/>
    <n v="1103"/>
    <n v="3615"/>
    <n v="3.28"/>
    <n v="9.91"/>
    <n v="364.82"/>
    <n v="8.0399999999999991"/>
    <n v="5.55"/>
    <n v="356.77"/>
    <n v="39.07"/>
    <n v="6395.54"/>
    <n v="400439"/>
    <n v="1412400"/>
    <n v="0.1"/>
    <n v="0"/>
    <n v="46.5"/>
  </r>
  <r>
    <x v="42"/>
    <x v="7"/>
    <s v="Em operação"/>
    <s v="ES 0099"/>
    <x v="2"/>
    <m/>
    <m/>
    <n v="3000"/>
    <n v="219.41544885177453"/>
    <n v="8.49"/>
    <n v="4.79"/>
    <n v="3.7"/>
    <n v="43.58"/>
    <n v="480"/>
    <n v="1051"/>
    <n v="2.19"/>
    <n v="6.65"/>
    <n v="158.04"/>
    <n v="17.98"/>
    <n v="4.8600000000000003"/>
    <n v="140.06"/>
    <n v="29.24"/>
    <n v="7657.4"/>
    <n v="102999"/>
    <n v="296490"/>
    <n v="0.3"/>
    <n v="0"/>
    <n v="238.7"/>
  </r>
  <r>
    <x v="42"/>
    <x v="7"/>
    <s v="Em operação"/>
    <s v="ES 0116"/>
    <x v="2"/>
    <m/>
    <m/>
    <n v="3000"/>
    <n v="434.24369747899163"/>
    <n v="6.46"/>
    <n v="4.76"/>
    <n v="1.7"/>
    <n v="26.33"/>
    <n v="579"/>
    <n v="2067"/>
    <n v="3.57"/>
    <n v="10.5"/>
    <n v="196.84"/>
    <n v="7.57"/>
    <n v="4.45"/>
    <n v="189.27"/>
    <n v="39.79"/>
    <n v="1729.53"/>
    <n v="166128"/>
    <n v="569843"/>
    <n v="0"/>
    <n v="0"/>
    <n v="4.8"/>
  </r>
  <r>
    <x v="42"/>
    <x v="7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3"/>
    <x v="7"/>
    <s v="Em operação"/>
    <s v="ES 0097"/>
    <x v="2"/>
    <m/>
    <m/>
    <n v="3000"/>
    <n v="294.81132075471697"/>
    <n v="5.04"/>
    <n v="4.24"/>
    <n v="0.8"/>
    <n v="15.86"/>
    <s v=""/>
    <n v="1250"/>
    <s v=""/>
    <s v=""/>
    <n v="93.69"/>
    <n v="3.79"/>
    <n v="4.7300000000000004"/>
    <n v="89.9"/>
    <n v="21.19"/>
    <n v="8647.2999999999993"/>
    <s v=""/>
    <s v=""/>
    <n v="0.7"/>
    <s v=""/>
    <n v="229.4"/>
  </r>
  <r>
    <x v="43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3"/>
    <x v="7"/>
    <s v="Em operação"/>
    <s v="ES 0110"/>
    <x v="2"/>
    <m/>
    <m/>
    <n v="3000"/>
    <n v="283.38108882521487"/>
    <n v="9.08"/>
    <n v="6.98"/>
    <n v="2.1"/>
    <n v="23.13"/>
    <n v="910"/>
    <n v="1978"/>
    <n v="2.17"/>
    <n v="13.19"/>
    <n v="150"/>
    <n v="8.0399999999999991"/>
    <n v="3.83"/>
    <n v="141.94999999999999"/>
    <n v="20.34"/>
    <n v="2205.3000000000002"/>
    <n v="134515"/>
    <n v="251914"/>
    <n v="0.5"/>
    <n v="0"/>
    <n v="303.10000000000002"/>
  </r>
  <r>
    <x v="43"/>
    <x v="7"/>
    <s v="Em operação"/>
    <s v="ES 0126"/>
    <x v="2"/>
    <m/>
    <m/>
    <n v="3000"/>
    <n v="372.43195785776993"/>
    <n v="12.94"/>
    <n v="11.39"/>
    <n v="1.55"/>
    <n v="11.98"/>
    <n v="1675"/>
    <n v="4242"/>
    <n v="2.5299999999999998"/>
    <n v="17.440000000000001"/>
    <n v="243.21"/>
    <n v="6.15"/>
    <n v="3.97"/>
    <n v="237.06"/>
    <n v="20.82"/>
    <n v="679.07"/>
    <n v="66569"/>
    <n v="139252"/>
    <n v="1"/>
    <n v="0"/>
    <n v="60.2"/>
  </r>
  <r>
    <x v="43"/>
    <x v="7"/>
    <s v="Em operação"/>
    <s v="ES 0099"/>
    <x v="2"/>
    <m/>
    <m/>
    <n v="3000"/>
    <n v="408.57142857142861"/>
    <n v="7.45"/>
    <n v="5.6"/>
    <n v="1.85"/>
    <n v="24.83"/>
    <n v="658"/>
    <n v="2288"/>
    <n v="3.48"/>
    <n v="12.24"/>
    <n v="186.9"/>
    <n v="10.41"/>
    <n v="5.63"/>
    <n v="176.49"/>
    <n v="31.51"/>
    <n v="7664.85"/>
    <n v="103657"/>
    <n v="298778"/>
    <n v="0"/>
    <n v="0"/>
    <n v="238.7"/>
  </r>
  <r>
    <x v="43"/>
    <x v="7"/>
    <s v="Em operação"/>
    <s v="ES 0101"/>
    <x v="0"/>
    <n v="1918"/>
    <m/>
    <n v="4800"/>
    <n v="539.38618925831202"/>
    <n v="4.71"/>
    <n v="3.91"/>
    <n v="0.8"/>
    <n v="16.98"/>
    <n v="493"/>
    <n v="2109"/>
    <n v="4.28"/>
    <n v="13.71"/>
    <n v="153.78"/>
    <n v="4.7300000000000004"/>
    <n v="5.91"/>
    <n v="149.05000000000001"/>
    <n v="38.11"/>
    <n v="6400.25"/>
    <n v="400932"/>
    <n v="1414509"/>
    <n v="0.1"/>
    <n v="0"/>
    <n v="46.6"/>
  </r>
  <r>
    <x v="43"/>
    <x v="7"/>
    <s v="Em operação"/>
    <s v="ES 0116"/>
    <x v="2"/>
    <m/>
    <m/>
    <n v="3000"/>
    <n v="463.32767402376913"/>
    <n v="7.64"/>
    <n v="5.89"/>
    <n v="1.75"/>
    <n v="22.9"/>
    <n v="753"/>
    <n v="2729"/>
    <n v="3.62"/>
    <n v="11.4"/>
    <n v="239.43"/>
    <n v="7.57"/>
    <n v="4.33"/>
    <n v="231.86"/>
    <n v="39.340000000000003"/>
    <n v="1737.17"/>
    <n v="166881"/>
    <n v="572572"/>
    <n v="0"/>
    <n v="0"/>
    <n v="4.8"/>
  </r>
  <r>
    <x v="44"/>
    <x v="1"/>
    <s v="Não operacional"/>
    <s v="ES 0097"/>
    <x v="2"/>
    <m/>
    <s v="Sem operador"/>
    <m/>
    <n v="0"/>
    <n v="0"/>
    <n v="0"/>
    <n v="0"/>
    <s v=""/>
    <s v=""/>
    <n v="0"/>
    <s v=""/>
    <s v=""/>
    <n v="0"/>
    <n v="0"/>
    <s v=""/>
    <n v="0"/>
    <s v=""/>
    <n v="8647.2999999999993"/>
    <s v=""/>
    <s v=""/>
    <n v="0"/>
    <s v=""/>
    <n v="229.4"/>
  </r>
  <r>
    <x v="44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58.85"/>
    <n v="72314"/>
    <n v="106544"/>
    <n v="0"/>
    <s v=""/>
    <n v="283.39999999999998"/>
  </r>
  <r>
    <x v="44"/>
    <x v="7"/>
    <s v="Em operação"/>
    <s v="ES 0110"/>
    <x v="2"/>
    <m/>
    <m/>
    <n v="3000"/>
    <n v="147.80141843971631"/>
    <n v="7.9"/>
    <n v="7.05"/>
    <n v="0.85"/>
    <n v="10.76"/>
    <n v="529"/>
    <n v="1042"/>
    <n v="1.97"/>
    <n v="6.92"/>
    <n v="150.47"/>
    <n v="4.26"/>
    <n v="5.01"/>
    <n v="146.21"/>
    <n v="20.74"/>
    <n v="2213.1999999999998"/>
    <n v="135044"/>
    <n v="252956"/>
    <n v="0.1"/>
    <n v="0"/>
    <n v="303.2"/>
  </r>
  <r>
    <x v="44"/>
    <x v="7"/>
    <s v="Em operação"/>
    <s v="ES 0126"/>
    <x v="2"/>
    <m/>
    <m/>
    <n v="3000"/>
    <n v="375.72953736654802"/>
    <n v="15.85"/>
    <n v="14.05"/>
    <n v="1.8"/>
    <n v="11.36"/>
    <n v="2047"/>
    <n v="5279"/>
    <n v="2.58"/>
    <n v="17.16"/>
    <n v="307.56"/>
    <n v="6.62"/>
    <n v="3.68"/>
    <n v="300.94"/>
    <n v="21.42"/>
    <n v="694.92"/>
    <n v="68616"/>
    <n v="144531"/>
    <n v="2.7"/>
    <n v="0"/>
    <n v="62.9"/>
  </r>
  <r>
    <x v="44"/>
    <x v="7"/>
    <s v="Em operação"/>
    <s v="ES 0099"/>
    <x v="2"/>
    <m/>
    <m/>
    <n v="3000"/>
    <n v="321.59763313609466"/>
    <n v="7.96"/>
    <n v="6.76"/>
    <n v="1.2"/>
    <n v="15.08"/>
    <n v="873"/>
    <n v="2174"/>
    <n v="2.4900000000000002"/>
    <n v="10.39"/>
    <n v="209.14"/>
    <n v="6.62"/>
    <n v="5.52"/>
    <n v="202.52"/>
    <n v="29.96"/>
    <n v="7672.81"/>
    <n v="104530"/>
    <n v="300952"/>
    <n v="0.2"/>
    <n v="0"/>
    <n v="238.9"/>
  </r>
  <r>
    <x v="44"/>
    <x v="7"/>
    <s v="Em operação"/>
    <s v="ES 0101"/>
    <x v="0"/>
    <n v="2411"/>
    <m/>
    <n v="4800"/>
    <n v="380.39215686274508"/>
    <n v="10.210000000000001"/>
    <n v="8.16"/>
    <n v="2.0499999999999998"/>
    <n v="20.079999999999998"/>
    <n v="803"/>
    <n v="3104"/>
    <n v="3.87"/>
    <n v="9.56"/>
    <n v="324.60000000000002"/>
    <n v="10.41"/>
    <n v="5.08"/>
    <n v="314.19"/>
    <n v="38.5"/>
    <n v="6410.46"/>
    <n v="401735"/>
    <n v="1417613"/>
    <n v="0.2"/>
    <n v="0"/>
    <n v="46.8"/>
  </r>
  <r>
    <x v="44"/>
    <x v="7"/>
    <s v="Em operação"/>
    <s v="ES 0116"/>
    <x v="2"/>
    <m/>
    <m/>
    <n v="3000"/>
    <n v="463.35403726708068"/>
    <n v="8.9499999999999993"/>
    <n v="8.0500000000000007"/>
    <n v="0.9"/>
    <n v="10.06"/>
    <n v="1095"/>
    <n v="3730"/>
    <n v="3.41"/>
    <n v="10.95"/>
    <n v="340.69"/>
    <n v="4.26"/>
    <n v="4.7300000000000004"/>
    <n v="336.43"/>
    <n v="41.8"/>
    <n v="1746.12"/>
    <n v="167976"/>
    <n v="576302"/>
    <n v="0"/>
    <n v="0"/>
    <n v="4.8"/>
  </r>
  <r>
    <x v="44"/>
    <x v="7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5"/>
    <x v="1"/>
    <s v="Não operacional"/>
    <s v="ES 0097"/>
    <x v="2"/>
    <m/>
    <s v="Sem operador"/>
    <m/>
    <n v="0"/>
    <n v="0.52"/>
    <n v="0.46"/>
    <n v="0.05"/>
    <n v="9.7100000000000009"/>
    <s v=""/>
    <n v="0"/>
    <s v=""/>
    <s v=""/>
    <n v="8.0399999999999991"/>
    <n v="0"/>
    <n v="0"/>
    <n v="8.0399999999999991"/>
    <n v="17.3"/>
    <n v="8647.81"/>
    <s v=""/>
    <s v=""/>
    <n v="0.1"/>
    <s v=""/>
    <n v="229.5"/>
  </r>
  <r>
    <x v="45"/>
    <x v="1"/>
    <s v="Não operacional"/>
    <s v="ES 0096"/>
    <x v="1"/>
    <m/>
    <s v="Em Manutenção"/>
    <m/>
    <n v="0"/>
    <n v="7.0000000000000007E-2"/>
    <n v="7.0000000000000007E-2"/>
    <n v="0"/>
    <n v="0"/>
    <n v="0"/>
    <n v="0"/>
    <s v=""/>
    <s v=""/>
    <n v="0"/>
    <n v="0"/>
    <s v=""/>
    <n v="0"/>
    <n v="0"/>
    <n v="9058.92"/>
    <n v="72314"/>
    <n v="106544"/>
    <n v="0"/>
    <s v=""/>
    <n v="283.39999999999998"/>
  </r>
  <r>
    <x v="45"/>
    <x v="7"/>
    <s v="Em operação"/>
    <s v="ES 0110"/>
    <x v="2"/>
    <m/>
    <m/>
    <n v="3000"/>
    <n v="221.78770949720669"/>
    <n v="8.4600000000000009"/>
    <n v="7.16"/>
    <n v="1.3"/>
    <n v="15.37"/>
    <n v="830"/>
    <n v="1588"/>
    <n v="1.91"/>
    <n v="10.14"/>
    <n v="156.62"/>
    <n v="4.7300000000000004"/>
    <n v="3.64"/>
    <n v="151.88999999999999"/>
    <n v="21.21"/>
    <n v="2221.66"/>
    <n v="135874"/>
    <n v="254544"/>
    <n v="0.4"/>
    <n v="0"/>
    <n v="303.60000000000002"/>
  </r>
  <r>
    <x v="45"/>
    <x v="7"/>
    <s v="Em operação"/>
    <s v="ES 0126"/>
    <x v="2"/>
    <m/>
    <m/>
    <n v="3000"/>
    <n v="330.68261787473608"/>
    <n v="15.36"/>
    <n v="14.21"/>
    <n v="1.1499999999999999"/>
    <n v="7.49"/>
    <n v="1935"/>
    <n v="4699"/>
    <n v="2.4300000000000002"/>
    <n v="15.28"/>
    <n v="307.56"/>
    <n v="4.26"/>
    <n v="3.7"/>
    <n v="303.31"/>
    <n v="21.34"/>
    <n v="710.28"/>
    <n v="70551"/>
    <n v="149230"/>
    <n v="2.2999999999999998"/>
    <n v="0"/>
    <n v="65.2"/>
  </r>
  <r>
    <x v="45"/>
    <x v="7"/>
    <s v="Em operação"/>
    <s v="ES 0099"/>
    <x v="2"/>
    <m/>
    <m/>
    <n v="3000"/>
    <n v="191.6030534351145"/>
    <n v="8.1"/>
    <n v="6.55"/>
    <n v="1.55"/>
    <n v="19.14"/>
    <n v="614"/>
    <n v="1255"/>
    <n v="2.04"/>
    <n v="5.96"/>
    <n v="210.56"/>
    <n v="7.57"/>
    <n v="4.88"/>
    <n v="202.99"/>
    <n v="30.99"/>
    <n v="7680.91"/>
    <n v="105144"/>
    <n v="302207"/>
    <n v="0.1"/>
    <n v="0"/>
    <n v="239"/>
  </r>
  <r>
    <x v="45"/>
    <x v="7"/>
    <s v="Em operação"/>
    <s v="ES 0101"/>
    <x v="0"/>
    <n v="818"/>
    <m/>
    <n v="4800"/>
    <n v="403.25581395348837"/>
    <n v="2.6"/>
    <n v="2.15"/>
    <n v="0.45"/>
    <n v="17.32"/>
    <n v="208"/>
    <n v="867"/>
    <n v="4.17"/>
    <n v="10.91"/>
    <n v="79.489999999999995"/>
    <n v="2.84"/>
    <n v="6.31"/>
    <n v="76.650000000000006"/>
    <n v="35.68"/>
    <n v="6413.06"/>
    <n v="401943"/>
    <n v="1418480"/>
    <n v="0.1"/>
    <n v="0"/>
    <n v="46.9"/>
  </r>
  <r>
    <x v="45"/>
    <x v="7"/>
    <s v="Em operação"/>
    <s v="ES 0116"/>
    <x v="2"/>
    <m/>
    <m/>
    <n v="3000"/>
    <n v="424.90066225165566"/>
    <n v="8.9"/>
    <n v="7.55"/>
    <n v="1.35"/>
    <n v="15.16"/>
    <n v="982"/>
    <n v="3208"/>
    <n v="3.27"/>
    <n v="10.51"/>
    <n v="305.2"/>
    <n v="7.1"/>
    <n v="5.26"/>
    <n v="298.10000000000002"/>
    <n v="39.46"/>
    <n v="1755.02"/>
    <n v="168958"/>
    <n v="579510"/>
    <n v="0"/>
    <n v="0"/>
    <n v="4.8"/>
  </r>
  <r>
    <x v="45"/>
    <x v="7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46"/>
    <x v="1"/>
    <s v="Não operacional"/>
    <s v="ES 0096"/>
    <x v="1"/>
    <m/>
    <s v="Em Manutenção"/>
    <m/>
    <n v="0"/>
    <n v="1.29"/>
    <n v="0.34"/>
    <n v="0.95"/>
    <n v="73.47"/>
    <n v="1"/>
    <n v="0"/>
    <n v="0"/>
    <n v="0"/>
    <n v="8.99"/>
    <n v="4.26"/>
    <n v="4.4800000000000004"/>
    <n v="4.7300000000000004"/>
    <n v="13.79"/>
    <n v="9060.2099999999991"/>
    <n v="72315"/>
    <n v="106544"/>
    <n v="0"/>
    <n v="0"/>
    <n v="283.39999999999998"/>
  </r>
  <r>
    <x v="46"/>
    <x v="7"/>
    <s v="Em operação"/>
    <s v="ES 0097"/>
    <x v="2"/>
    <m/>
    <m/>
    <n v="3000"/>
    <n v="498.26689774696712"/>
    <n v="7.47"/>
    <n v="5.77"/>
    <n v="1.7"/>
    <n v="22.75"/>
    <s v=""/>
    <n v="2875"/>
    <s v=""/>
    <s v=""/>
    <n v="130.12"/>
    <n v="6.62"/>
    <n v="3.9"/>
    <n v="123.5"/>
    <n v="21.39"/>
    <n v="8655.2900000000009"/>
    <s v=""/>
    <s v=""/>
    <n v="0"/>
    <s v=""/>
    <n v="229.5"/>
  </r>
  <r>
    <x v="46"/>
    <x v="7"/>
    <s v="Em operação"/>
    <s v="ES 0110"/>
    <x v="2"/>
    <m/>
    <m/>
    <n v="3000"/>
    <n v="275.17241379310343"/>
    <n v="8.0500000000000007"/>
    <n v="5.8"/>
    <n v="2.25"/>
    <n v="27.94"/>
    <n v="828"/>
    <n v="1596"/>
    <n v="1.93"/>
    <n v="12.09"/>
    <n v="132.02000000000001"/>
    <n v="8.52"/>
    <n v="3.79"/>
    <n v="123.5"/>
    <n v="21.28"/>
    <n v="2229.71"/>
    <n v="136702"/>
    <n v="256140"/>
    <n v="0.4"/>
    <n v="0"/>
    <n v="304"/>
  </r>
  <r>
    <x v="46"/>
    <x v="7"/>
    <s v="Em operação"/>
    <s v="ES 0126"/>
    <x v="2"/>
    <m/>
    <m/>
    <n v="3000"/>
    <n v="267.27664155005385"/>
    <n v="10.24"/>
    <n v="9.2899999999999991"/>
    <n v="0.95"/>
    <n v="9.27"/>
    <n v="1084"/>
    <n v="2483"/>
    <n v="2.29"/>
    <n v="12.26"/>
    <n v="202.52"/>
    <n v="3.79"/>
    <n v="3.98"/>
    <n v="198.73"/>
    <n v="21.38"/>
    <n v="720.52"/>
    <n v="71635"/>
    <n v="151713"/>
    <n v="1.5"/>
    <n v="0"/>
    <n v="66.7"/>
  </r>
  <r>
    <x v="46"/>
    <x v="7"/>
    <s v="Em operação"/>
    <s v="ES 0101"/>
    <x v="0"/>
    <n v="2398"/>
    <m/>
    <n v="4800"/>
    <n v="366.8348045397226"/>
    <n v="8.68"/>
    <n v="7.93"/>
    <n v="0.75"/>
    <n v="8.64"/>
    <n v="723"/>
    <n v="2909"/>
    <n v="4.0199999999999996"/>
    <n v="9.18"/>
    <n v="317.02999999999997"/>
    <n v="4.7300000000000004"/>
    <n v="6.31"/>
    <n v="312.3"/>
    <n v="39.4"/>
    <n v="6421.74"/>
    <n v="402666"/>
    <n v="1421389"/>
    <n v="0.1"/>
    <n v="0"/>
    <n v="47"/>
  </r>
  <r>
    <x v="46"/>
    <x v="7"/>
    <s v="Em operação"/>
    <s v="ES 0099"/>
    <x v="2"/>
    <m/>
    <m/>
    <n v="3000"/>
    <n v="326.65549036043586"/>
    <n v="13.78"/>
    <n v="11.93"/>
    <n v="1.85"/>
    <n v="13.42"/>
    <n v="1264"/>
    <n v="3897"/>
    <n v="3.08"/>
    <n v="10.33"/>
    <n v="377.12"/>
    <n v="10.41"/>
    <n v="5.63"/>
    <n v="366.71"/>
    <n v="30.74"/>
    <n v="7694.69"/>
    <n v="106408"/>
    <n v="306104"/>
    <n v="0.2"/>
    <n v="0"/>
    <n v="239.2"/>
  </r>
  <r>
    <x v="46"/>
    <x v="7"/>
    <s v="Em operação"/>
    <s v="ES 0116"/>
    <x v="2"/>
    <m/>
    <m/>
    <n v="3000"/>
    <n v="356.64819944598338"/>
    <n v="8.07"/>
    <n v="7.22"/>
    <n v="0.85"/>
    <n v="10.54"/>
    <n v="825"/>
    <n v="2575"/>
    <n v="3.12"/>
    <n v="10.99"/>
    <n v="234.22"/>
    <n v="3.79"/>
    <n v="4.45"/>
    <n v="230.44"/>
    <n v="31.92"/>
    <n v="1763.09"/>
    <n v="169783"/>
    <n v="582085"/>
    <n v="0"/>
    <n v="0"/>
    <n v="4.8"/>
  </r>
  <r>
    <x v="47"/>
    <x v="1"/>
    <s v="Não operacional"/>
    <s v="ES 0097"/>
    <x v="2"/>
    <m/>
    <s v="Sem operador"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47"/>
    <x v="1"/>
    <s v="Não operacional"/>
    <s v="ES 0096"/>
    <x v="1"/>
    <m/>
    <s v="Em Manutenção"/>
    <m/>
    <n v="0"/>
    <n v="0.74"/>
    <n v="0.04"/>
    <n v="0.7"/>
    <n v="94.67"/>
    <n v="0"/>
    <n v="0"/>
    <s v=""/>
    <n v="0"/>
    <n v="2.37"/>
    <n v="2.37"/>
    <n v="3.38"/>
    <s v=""/>
    <s v=""/>
    <n v="9060.9500000000007"/>
    <n v="72315"/>
    <n v="106544"/>
    <n v="0"/>
    <s v=""/>
    <n v="283.39999999999998"/>
  </r>
  <r>
    <x v="47"/>
    <x v="7"/>
    <s v="Em operação"/>
    <s v="ES 0110"/>
    <x v="2"/>
    <m/>
    <m/>
    <n v="3000"/>
    <n v="79.310344827586206"/>
    <n v="6.05"/>
    <n v="4.3499999999999996"/>
    <n v="1.7"/>
    <n v="28.08"/>
    <n v="161"/>
    <n v="345"/>
    <n v="2.14"/>
    <n v="3.78"/>
    <n v="91.32"/>
    <n v="7.1"/>
    <n v="4.18"/>
    <n v="84.23"/>
    <n v="19.34"/>
    <n v="2235.77"/>
    <n v="136863"/>
    <n v="256485"/>
    <n v="1.5"/>
    <n v="0.01"/>
    <n v="305.5"/>
  </r>
  <r>
    <x v="47"/>
    <x v="7"/>
    <s v="Em operação"/>
    <s v="ES 0126"/>
    <x v="2"/>
    <m/>
    <m/>
    <n v="3000"/>
    <n v="109.09090909090908"/>
    <n v="6.04"/>
    <n v="3.74"/>
    <n v="2.2999999999999998"/>
    <n v="38.06"/>
    <n v="248"/>
    <n v="408"/>
    <n v="1.65"/>
    <n v="5.29"/>
    <n v="77.13"/>
    <n v="8.52"/>
    <n v="3.7"/>
    <n v="68.61"/>
    <n v="18.329999999999998"/>
    <n v="726.56"/>
    <n v="71883"/>
    <n v="152121"/>
    <n v="1.9"/>
    <n v="0.01"/>
    <n v="68.599999999999994"/>
  </r>
  <r>
    <x v="47"/>
    <x v="1"/>
    <s v="Em operação"/>
    <s v="ES 0101"/>
    <x v="0"/>
    <n v="0"/>
    <m/>
    <m/>
    <n v="0"/>
    <n v="0"/>
    <n v="0"/>
    <n v="0"/>
    <s v=""/>
    <n v="0"/>
    <n v="0"/>
    <s v=""/>
    <s v=""/>
    <n v="0"/>
    <n v="0"/>
    <s v=""/>
    <n v="0"/>
    <s v=""/>
    <n v="6421.74"/>
    <n v="402666"/>
    <n v="1421389"/>
    <n v="0"/>
    <s v=""/>
    <n v="47"/>
  </r>
  <r>
    <x v="47"/>
    <x v="7"/>
    <s v="Em operação"/>
    <s v="ES 0099"/>
    <x v="2"/>
    <m/>
    <m/>
    <n v="3000"/>
    <n v="236.86131386861311"/>
    <n v="6.83"/>
    <n v="5.48"/>
    <n v="1.35"/>
    <n v="19.77"/>
    <n v="478"/>
    <n v="1298"/>
    <n v="2.72"/>
    <n v="7.22"/>
    <n v="179.81"/>
    <n v="7.1"/>
    <n v="5.26"/>
    <n v="172.71"/>
    <n v="31.53"/>
    <n v="7701.52"/>
    <n v="106886"/>
    <n v="307402"/>
    <n v="0.2"/>
    <n v="0"/>
    <n v="239.4"/>
  </r>
  <r>
    <x v="47"/>
    <x v="1"/>
    <s v="Não operacional"/>
    <s v="ES 0116"/>
    <x v="2"/>
    <m/>
    <s v="Fator Climático"/>
    <n v="3000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"/>
    <x v="7"/>
    <s v="Em operação"/>
    <m/>
    <x v="2"/>
    <m/>
    <m/>
    <n v="6000"/>
    <n v="0"/>
    <m/>
    <m/>
    <m/>
    <m/>
    <m/>
    <m/>
    <m/>
    <m/>
    <m/>
    <m/>
    <m/>
    <m/>
    <m/>
    <m/>
    <m/>
    <m/>
    <m/>
    <m/>
    <m/>
  </r>
  <r>
    <x v="48"/>
    <x v="1"/>
    <s v="Não operacional"/>
    <s v="ES 0097"/>
    <x v="2"/>
    <m/>
    <s v="Sem operador"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48"/>
    <x v="1"/>
    <s v="Não operacional"/>
    <s v="ES 0096"/>
    <x v="1"/>
    <m/>
    <s v="Em Manutenção"/>
    <m/>
    <n v="0"/>
    <n v="0"/>
    <n v="0"/>
    <n v="0"/>
    <s v=""/>
    <n v="0"/>
    <n v="0"/>
    <s v=""/>
    <s v=""/>
    <n v="0"/>
    <n v="0"/>
    <s v=""/>
    <n v="0"/>
    <s v=""/>
    <n v="9060.9500000000007"/>
    <n v="72315"/>
    <n v="106544"/>
    <n v="0"/>
    <s v=""/>
    <n v="283.39999999999998"/>
  </r>
  <r>
    <x v="48"/>
    <x v="1"/>
    <s v="Não operacional"/>
    <s v="ES 0110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"/>
    <x v="1"/>
    <s v="Não operacional"/>
    <s v="ES 0099"/>
    <x v="2"/>
    <m/>
    <m/>
    <m/>
    <n v="0"/>
    <n v="0"/>
    <n v="0"/>
    <n v="0"/>
    <s v=""/>
    <n v="0"/>
    <n v="0"/>
    <s v=""/>
    <s v=""/>
    <n v="0"/>
    <n v="0"/>
    <s v=""/>
    <n v="0"/>
    <s v=""/>
    <n v="7701.52"/>
    <n v="106886"/>
    <n v="307402"/>
    <n v="0"/>
    <s v=""/>
    <n v="239.4"/>
  </r>
  <r>
    <x v="48"/>
    <x v="1"/>
    <s v="Não operacional"/>
    <s v="ES 0101"/>
    <x v="0"/>
    <n v="0"/>
    <m/>
    <m/>
    <n v="0"/>
    <n v="0"/>
    <n v="0"/>
    <n v="0"/>
    <s v=""/>
    <n v="0"/>
    <n v="0"/>
    <s v=""/>
    <s v=""/>
    <n v="0"/>
    <n v="0"/>
    <s v=""/>
    <n v="0"/>
    <s v=""/>
    <n v="6421.74"/>
    <n v="402666"/>
    <n v="1421389"/>
    <n v="0"/>
    <s v=""/>
    <n v="47"/>
  </r>
  <r>
    <x v="48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"/>
    <x v="8"/>
    <s v="Em operação"/>
    <s v="ES 0097"/>
    <x v="2"/>
    <m/>
    <m/>
    <n v="2500"/>
    <n v="720.55137844611522"/>
    <s v="5,99"/>
    <s v="3,99"/>
    <n v="2"/>
    <s v="33,38"/>
    <m/>
    <n v="2875"/>
    <m/>
    <m/>
    <s v="93,69"/>
    <s v="7,57"/>
    <s v="3,79"/>
    <s v="86,12"/>
    <s v="21,57"/>
    <s v="8663,67"/>
    <m/>
    <m/>
    <n v="0"/>
    <m/>
    <s v="234,8"/>
  </r>
  <r>
    <x v="49"/>
    <x v="8"/>
    <s v="Em operação"/>
    <s v="ES 0099"/>
    <x v="2"/>
    <m/>
    <m/>
    <n v="2500"/>
    <n v="316.28895184135979"/>
    <s v="7,96"/>
    <s v="7,06"/>
    <s v="0,9"/>
    <s v="11,31"/>
    <n v="791"/>
    <n v="2233"/>
    <s v="2,82"/>
    <s v="9,75"/>
    <s v="229,02"/>
    <s v="4,26"/>
    <s v="4,73"/>
    <s v="224,76"/>
    <s v="31,84"/>
    <s v="7709,48"/>
    <n v="107677"/>
    <n v="309635"/>
    <s v="0,1"/>
    <n v="0"/>
    <s v="239,5"/>
  </r>
  <r>
    <x v="49"/>
    <x v="8"/>
    <s v="Em operação"/>
    <s v="ES 0101"/>
    <x v="0"/>
    <n v="2949"/>
    <m/>
    <n v="4000"/>
    <n v="428.50182704019483"/>
    <s v="9,06"/>
    <s v="8,21"/>
    <s v="0,85"/>
    <s v="9,39"/>
    <n v="820"/>
    <n v="3518"/>
    <s v="4,29"/>
    <s v="10,97"/>
    <s v="320,81"/>
    <s v="5,2"/>
    <s v="6,12"/>
    <s v="315,61"/>
    <s v="38,46"/>
    <s v="6430,79"/>
    <n v="403486"/>
    <n v="1424907"/>
    <s v="0,1"/>
    <n v="0"/>
    <s v="47,1"/>
  </r>
  <r>
    <x v="49"/>
    <x v="8"/>
    <s v="Em operação"/>
    <s v="ES 0110"/>
    <x v="2"/>
    <m/>
    <m/>
    <n v="2500"/>
    <n v="137.40573152337859"/>
    <s v="7,73"/>
    <s v="6,63"/>
    <s v="1,1"/>
    <s v="14,22"/>
    <n v="453"/>
    <n v="911"/>
    <s v="2,01"/>
    <s v="7,08"/>
    <s v="128,7"/>
    <s v="4,73"/>
    <s v="4,3"/>
    <s v="123,97"/>
    <s v="18,69"/>
    <s v="2243,5"/>
    <n v="137316"/>
    <n v="257396"/>
    <s v="0,6"/>
    <n v="0"/>
    <s v="306,1"/>
  </r>
  <r>
    <x v="49"/>
    <x v="8"/>
    <s v="Em operação"/>
    <s v="ES 0116"/>
    <x v="2"/>
    <m/>
    <m/>
    <n v="2500"/>
    <n v="347.5609756097561"/>
    <s v="7,76"/>
    <s v="6,56"/>
    <s v="1,2"/>
    <s v="15,47"/>
    <n v="724"/>
    <n v="2280"/>
    <s v="3,15"/>
    <s v="8,7"/>
    <s v="262,14"/>
    <s v="5,68"/>
    <s v="4,73"/>
    <s v="256,46"/>
    <s v="39,12"/>
    <s v="1770,85"/>
    <n v="170677"/>
    <n v="584982"/>
    <n v="0"/>
    <n v="0"/>
    <s v="4,8"/>
  </r>
  <r>
    <x v="49"/>
    <x v="8"/>
    <s v="Em operação"/>
    <s v="ES 0126"/>
    <x v="2"/>
    <m/>
    <m/>
    <n v="2500"/>
    <n v="185.13513513513513"/>
    <s v="7,66"/>
    <s v="6,66"/>
    <n v="1"/>
    <s v="13,05"/>
    <n v="645"/>
    <n v="1233"/>
    <s v="1,91"/>
    <s v="8,35"/>
    <s v="147,63"/>
    <s v="3,31"/>
    <s v="3,31"/>
    <s v="144,32"/>
    <s v="21,66"/>
    <s v="734,23"/>
    <n v="72528"/>
    <n v="153354"/>
    <s v="2,7"/>
    <n v="0"/>
    <s v="71,3"/>
  </r>
  <r>
    <x v="49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49"/>
    <x v="8"/>
    <s v="Em operação"/>
    <s v="ES 0135"/>
    <x v="2"/>
    <m/>
    <m/>
    <n v="2500"/>
    <n v="206.53357531760437"/>
    <s v="9,11"/>
    <s v="5,51"/>
    <s v="3,6"/>
    <s v="39,52"/>
    <n v="605"/>
    <n v="1138"/>
    <s v="1,88"/>
    <s v="9,43"/>
    <s v="120,66"/>
    <s v="12,3"/>
    <s v="3,42"/>
    <s v="108,36"/>
    <s v="19,67"/>
    <s v="336,1"/>
    <n v="26637"/>
    <n v="52578"/>
    <n v="3"/>
    <n v="0"/>
    <s v="23,8"/>
  </r>
  <r>
    <x v="50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0"/>
    <x v="8"/>
    <s v="Em operação"/>
    <s v="ES 0097"/>
    <x v="2"/>
    <m/>
    <m/>
    <n v="3000"/>
    <n v="335.57046979865771"/>
    <s v="3,43"/>
    <s v="2,98"/>
    <s v="0,45"/>
    <s v="13,13"/>
    <m/>
    <n v="1000"/>
    <m/>
    <m/>
    <s v="65,77"/>
    <s v="1,89"/>
    <s v="4,21"/>
    <s v="63,88"/>
    <s v="21,46"/>
    <s v="8667,09"/>
    <m/>
    <m/>
    <s v="0,1"/>
    <m/>
    <s v="234,9"/>
  </r>
  <r>
    <x v="50"/>
    <x v="8"/>
    <s v="Em operação"/>
    <s v="ES 0099"/>
    <x v="2"/>
    <m/>
    <m/>
    <n v="3000"/>
    <n v="244.71544715447155"/>
    <s v="4,34"/>
    <s v="3,69"/>
    <s v="0,65"/>
    <s v="14,98"/>
    <n v="339"/>
    <n v="903"/>
    <s v="2,66"/>
    <s v="7,73"/>
    <s v="116,87"/>
    <s v="4,26"/>
    <s v="6,55"/>
    <s v="112,62"/>
    <s v="30,52"/>
    <s v="7713,82"/>
    <n v="108016"/>
    <n v="310538"/>
    <n v="0"/>
    <n v="0"/>
    <s v="239,5"/>
  </r>
  <r>
    <x v="50"/>
    <x v="8"/>
    <s v="Em operação"/>
    <s v="ES 0101"/>
    <x v="0"/>
    <n v="0"/>
    <m/>
    <n v="4000"/>
    <n v="131.07142857142858"/>
    <s v="3,7"/>
    <s v="2,8"/>
    <s v="0,9"/>
    <s v="24,33"/>
    <n v="114"/>
    <n v="367"/>
    <s v="3,22"/>
    <s v="3,43"/>
    <s v="106,94"/>
    <s v="5,2"/>
    <s v="5,78"/>
    <s v="101,73"/>
    <s v="36,35"/>
    <s v="6434,49"/>
    <n v="403600"/>
    <n v="1425274"/>
    <s v="0,1"/>
    <n v="0"/>
    <s v="47,2"/>
  </r>
  <r>
    <x v="50"/>
    <x v="8"/>
    <s v="Em operação"/>
    <s v="ES 0126"/>
    <x v="2"/>
    <m/>
    <m/>
    <n v="3000"/>
    <n v="316.13756613756613"/>
    <s v="12,54"/>
    <s v="11,34"/>
    <s v="1,2"/>
    <s v="9,57"/>
    <n v="1498"/>
    <n v="3585"/>
    <s v="2,39"/>
    <s v="14,49"/>
    <s v="247,47"/>
    <s v="4,26"/>
    <s v="3,55"/>
    <s v="243,21"/>
    <s v="21,44"/>
    <s v="746,77"/>
    <n v="74026"/>
    <n v="156939"/>
    <s v="1,4"/>
    <n v="0"/>
    <s v="72,7"/>
  </r>
  <r>
    <x v="50"/>
    <x v="8"/>
    <s v="Em operação"/>
    <s v="ES 0135"/>
    <x v="2"/>
    <m/>
    <m/>
    <n v="3000"/>
    <n v="196.54088050314465"/>
    <s v="7,66"/>
    <s v="6,36"/>
    <s v="1,3"/>
    <s v="16,97"/>
    <n v="777"/>
    <n v="1250"/>
    <s v="1,61"/>
    <s v="9,64"/>
    <s v="129,65"/>
    <s v="4,26"/>
    <s v="3,28"/>
    <s v="125,39"/>
    <s v="19,71"/>
    <s v="343,76"/>
    <n v="27414"/>
    <n v="53828"/>
    <s v="1,7"/>
    <n v="0"/>
    <s v="25,5"/>
  </r>
  <r>
    <x v="50"/>
    <x v="8"/>
    <m/>
    <m/>
    <x v="2"/>
    <m/>
    <m/>
    <n v="3000"/>
    <m/>
    <m/>
    <m/>
    <m/>
    <m/>
    <m/>
    <m/>
    <m/>
    <m/>
    <m/>
    <m/>
    <m/>
    <m/>
    <m/>
    <m/>
    <m/>
    <m/>
    <m/>
    <m/>
    <m/>
  </r>
  <r>
    <x v="50"/>
    <x v="1"/>
    <s v="Não operacional"/>
    <s v="ES 0110"/>
    <x v="2"/>
    <m/>
    <m/>
    <m/>
    <n v="0"/>
    <s v="0,67"/>
    <s v="0,32"/>
    <s v="0,35"/>
    <s v="51,94"/>
    <n v="1"/>
    <n v="0"/>
    <n v="0"/>
    <n v="0"/>
    <s v="4,26"/>
    <s v="1,42"/>
    <s v="4,06"/>
    <s v="2,84"/>
    <s v="8,77"/>
    <s v="2244,17"/>
    <n v="137317"/>
    <n v="257396"/>
    <n v="0"/>
    <n v="0"/>
    <s v="306,1"/>
  </r>
  <r>
    <x v="50"/>
    <x v="1"/>
    <s v="Não operacional"/>
    <s v="ES 0116"/>
    <x v="2"/>
    <m/>
    <m/>
    <m/>
    <n v="0"/>
    <m/>
    <m/>
    <m/>
    <m/>
    <m/>
    <m/>
    <m/>
    <m/>
    <m/>
    <m/>
    <m/>
    <m/>
    <m/>
    <m/>
    <m/>
    <m/>
    <m/>
    <m/>
    <m/>
  </r>
  <r>
    <x v="51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1"/>
    <x v="8"/>
    <s v="Em operação"/>
    <s v="ES 0097"/>
    <x v="2"/>
    <m/>
    <m/>
    <n v="3000"/>
    <n v="209.38023450586266"/>
    <s v="7,07"/>
    <s v="5,97"/>
    <s v="1,1"/>
    <s v="15,57"/>
    <m/>
    <n v="1250"/>
    <m/>
    <m/>
    <s v="130,6"/>
    <s v="4,26"/>
    <s v="3,87"/>
    <s v="126,34"/>
    <s v="21,18"/>
    <s v="8674,16"/>
    <m/>
    <m/>
    <s v="0,7"/>
    <m/>
    <s v="235,6"/>
  </r>
  <r>
    <x v="51"/>
    <x v="8"/>
    <s v="Em operação"/>
    <s v="ES 0099"/>
    <x v="2"/>
    <m/>
    <m/>
    <n v="3000"/>
    <n v="299.11660777385157"/>
    <s v="6,81"/>
    <s v="5,66"/>
    <s v="1,15"/>
    <s v="16,88"/>
    <n v="453"/>
    <n v="1693"/>
    <s v="3,74"/>
    <s v="11,54"/>
    <s v="146,68"/>
    <s v="6,62"/>
    <s v="5,76"/>
    <s v="140,06"/>
    <s v="24,73"/>
    <s v="7720,63"/>
    <n v="108469"/>
    <n v="312231"/>
    <s v="0,1"/>
    <n v="0"/>
    <s v="239,6"/>
  </r>
  <r>
    <x v="51"/>
    <x v="8"/>
    <s v="Em operação"/>
    <s v="ES 0101"/>
    <x v="0"/>
    <n v="2267"/>
    <m/>
    <n v="4000"/>
    <n v="482.90713324360701"/>
    <s v="9,08"/>
    <s v="7,43"/>
    <s v="1,65"/>
    <s v="18,18"/>
    <n v="717"/>
    <n v="3588"/>
    <n v="5"/>
    <s v="12,55"/>
    <s v="285,8"/>
    <s v="8,99"/>
    <s v="5,45"/>
    <s v="276,81"/>
    <s v="37,26"/>
    <s v="6443,57"/>
    <n v="404317"/>
    <n v="1428862"/>
    <n v="0"/>
    <n v="0"/>
    <s v="47,2"/>
  </r>
  <r>
    <x v="51"/>
    <x v="8"/>
    <s v="Em operação"/>
    <s v="ES 0110"/>
    <x v="2"/>
    <m/>
    <m/>
    <n v="3000"/>
    <n v="179.22848664688428"/>
    <s v="4,07"/>
    <s v="3,37"/>
    <s v="0,7"/>
    <s v="17,19"/>
    <n v="265"/>
    <n v="604"/>
    <s v="2,28"/>
    <s v="8,62"/>
    <s v="70,03"/>
    <s v="2,84"/>
    <s v="4,06"/>
    <s v="67,19"/>
    <s v="19,93"/>
    <s v="2248,25"/>
    <n v="137582"/>
    <n v="258000"/>
    <s v="0,3"/>
    <n v="0"/>
    <s v="306,4"/>
  </r>
  <r>
    <x v="51"/>
    <x v="8"/>
    <s v="Em operação"/>
    <s v="ES 0126"/>
    <x v="2"/>
    <m/>
    <m/>
    <n v="3000"/>
    <n v="320.99202834366696"/>
    <s v="13,34"/>
    <s v="11,29"/>
    <s v="2,05"/>
    <s v="15,37"/>
    <n v="1447"/>
    <n v="3624"/>
    <s v="2,5"/>
    <s v="14,79"/>
    <s v="245,11"/>
    <s v="8,04"/>
    <s v="3,92"/>
    <s v="237,06"/>
    <n v="21"/>
    <s v="760,11"/>
    <n v="75473"/>
    <n v="160563"/>
    <s v="2,3"/>
    <n v="0"/>
    <n v="75"/>
  </r>
  <r>
    <x v="51"/>
    <x v="8"/>
    <s v="Em operação"/>
    <s v="ES 0135"/>
    <x v="2"/>
    <m/>
    <m/>
    <n v="3000"/>
    <n v="443.46103038309116"/>
    <s v="8,62"/>
    <s v="7,57"/>
    <s v="1,05"/>
    <s v="12,19"/>
    <n v="1368"/>
    <n v="3357"/>
    <s v="2,45"/>
    <s v="19,76"/>
    <s v="169,87"/>
    <s v="3,31"/>
    <s v="3,15"/>
    <s v="166,56"/>
    <s v="22,01"/>
    <s v="352,38"/>
    <n v="28782"/>
    <n v="57185"/>
    <s v="1,1"/>
    <n v="0"/>
    <s v="26,6"/>
  </r>
  <r>
    <x v="51"/>
    <x v="1"/>
    <s v="Não operacional"/>
    <s v="ES 0116"/>
    <x v="2"/>
    <m/>
    <m/>
    <m/>
    <n v="0"/>
    <s v="0,3"/>
    <n v="0"/>
    <s v="0,3"/>
    <s v="98,91"/>
    <n v="0"/>
    <n v="0"/>
    <m/>
    <n v="0"/>
    <s v="2,37"/>
    <s v="1,42"/>
    <s v="4,73"/>
    <s v="0,95"/>
    <s v="286,79"/>
    <s v="1771,15"/>
    <n v="170677"/>
    <n v="584982"/>
    <n v="0"/>
    <m/>
    <s v="4,8"/>
  </r>
  <r>
    <x v="52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2"/>
    <x v="8"/>
    <s v="Em operação"/>
    <s v="ES 0097"/>
    <x v="2"/>
    <m/>
    <m/>
    <n v="2500"/>
    <n v="228.17460317460316"/>
    <s v="6,89"/>
    <s v="5,04"/>
    <s v="1,85"/>
    <s v="26,84"/>
    <m/>
    <n v="1150"/>
    <m/>
    <m/>
    <s v="107,88"/>
    <s v="6,62"/>
    <s v="3,58"/>
    <s v="101,26"/>
    <s v="20,08"/>
    <s v="8681,05"/>
    <m/>
    <m/>
    <s v="0,4"/>
    <m/>
    <n v="236"/>
  </r>
  <r>
    <x v="52"/>
    <x v="8"/>
    <s v="Em operação"/>
    <s v="ES 0099"/>
    <x v="2"/>
    <m/>
    <m/>
    <n v="2500"/>
    <n v="282.82097649186255"/>
    <s v="6,83"/>
    <s v="5,53"/>
    <s v="1,3"/>
    <s v="19,03"/>
    <n v="456"/>
    <n v="1564"/>
    <s v="3,43"/>
    <s v="9,93"/>
    <s v="157,57"/>
    <s v="7,57"/>
    <s v="5,82"/>
    <n v="150"/>
    <s v="27,12"/>
    <s v="7727,46"/>
    <n v="108925"/>
    <n v="313795"/>
    <n v="0"/>
    <n v="0"/>
    <s v="239,6"/>
  </r>
  <r>
    <x v="52"/>
    <x v="8"/>
    <s v="Em operação"/>
    <s v="ES 0101"/>
    <x v="0"/>
    <n v="3896"/>
    <m/>
    <n v="4000"/>
    <n v="481.7551963048499"/>
    <s v="9,66"/>
    <s v="8,66"/>
    <n v="1"/>
    <s v="10,36"/>
    <n v="843"/>
    <n v="4172"/>
    <s v="4,95"/>
    <s v="12,25"/>
    <s v="340,69"/>
    <s v="6,15"/>
    <s v="6,15"/>
    <s v="334,54"/>
    <s v="38,65"/>
    <s v="6453,22"/>
    <n v="405160"/>
    <n v="1433034"/>
    <s v="0,1"/>
    <n v="0"/>
    <s v="47,3"/>
  </r>
  <r>
    <x v="52"/>
    <x v="8"/>
    <s v="Em operação"/>
    <s v="ES 0110"/>
    <x v="2"/>
    <m/>
    <m/>
    <n v="2500"/>
    <n v="148.05414551607444"/>
    <s v="6,71"/>
    <s v="5,91"/>
    <s v="0,8"/>
    <s v="11,93"/>
    <n v="385"/>
    <n v="875"/>
    <s v="2,27"/>
    <s v="6,9"/>
    <s v="126,81"/>
    <s v="2,84"/>
    <s v="3,55"/>
    <s v="123,97"/>
    <s v="20,99"/>
    <s v="2254,95"/>
    <n v="137967"/>
    <n v="258875"/>
    <s v="0,6"/>
    <n v="0"/>
    <n v="307"/>
  </r>
  <r>
    <x v="52"/>
    <x v="8"/>
    <s v="Em operação"/>
    <s v="ES 0116"/>
    <x v="2"/>
    <m/>
    <m/>
    <n v="2500"/>
    <n v="299.18831168831167"/>
    <s v="7,31"/>
    <s v="6,16"/>
    <s v="1,15"/>
    <s v="15,74"/>
    <n v="589"/>
    <n v="1843"/>
    <s v="3,13"/>
    <s v="7,48"/>
    <s v="246,52"/>
    <s v="6,15"/>
    <s v="5,35"/>
    <s v="240,37"/>
    <s v="39,04"/>
    <s v="1778,46"/>
    <n v="171266"/>
    <n v="586825"/>
    <s v="0,1"/>
    <n v="0"/>
    <s v="4,9"/>
  </r>
  <r>
    <x v="52"/>
    <x v="8"/>
    <s v="Em operação"/>
    <s v="ES 0126"/>
    <x v="2"/>
    <m/>
    <m/>
    <n v="2500"/>
    <n v="313.3656509695291"/>
    <s v="16,19"/>
    <s v="14,44"/>
    <s v="1,75"/>
    <s v="10,81"/>
    <n v="1991"/>
    <n v="4525"/>
    <s v="2,27"/>
    <s v="14,06"/>
    <s v="321,76"/>
    <s v="6,15"/>
    <s v="3,52"/>
    <s v="315,61"/>
    <s v="21,86"/>
    <s v="776,3"/>
    <n v="77464"/>
    <n v="165088"/>
    <s v="1,8"/>
    <n v="0"/>
    <s v="76,8"/>
  </r>
  <r>
    <x v="52"/>
    <x v="8"/>
    <s v="Em operação"/>
    <s v="ES 0135"/>
    <x v="2"/>
    <m/>
    <m/>
    <n v="2500"/>
    <n v="281.13924050632909"/>
    <s v="9,1"/>
    <s v="7,9"/>
    <s v="1,2"/>
    <s v="13,18"/>
    <n v="1034"/>
    <n v="2221"/>
    <s v="2,15"/>
    <s v="12,97"/>
    <s v="171,29"/>
    <s v="3,79"/>
    <s v="3,15"/>
    <s v="167,5"/>
    <s v="21,19"/>
    <s v="361,48"/>
    <n v="29816"/>
    <n v="59406"/>
    <s v="2,6"/>
    <n v="0"/>
    <s v="29,2"/>
  </r>
  <r>
    <x v="53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3"/>
    <x v="8"/>
    <s v="Em operação"/>
    <s v="ES 0097"/>
    <x v="2"/>
    <m/>
    <m/>
    <n v="2500"/>
    <n v="307.94165316045382"/>
    <s v="7,77"/>
    <s v="6,17"/>
    <s v="1,6"/>
    <s v="20,6"/>
    <m/>
    <n v="1900"/>
    <m/>
    <m/>
    <s v="128,7"/>
    <s v="7,57"/>
    <s v="4,73"/>
    <s v="121,13"/>
    <s v="19,65"/>
    <s v="8688,82"/>
    <m/>
    <m/>
    <s v="0,1"/>
    <m/>
    <s v="236,1"/>
  </r>
  <r>
    <x v="53"/>
    <x v="8"/>
    <s v="Em operação"/>
    <s v="ES 0099"/>
    <x v="2"/>
    <m/>
    <m/>
    <n v="2500"/>
    <n v="237.58064516129031"/>
    <s v="7,65"/>
    <s v="6,2"/>
    <s v="1,45"/>
    <s v="18,95"/>
    <n v="533"/>
    <n v="1473"/>
    <s v="2,76"/>
    <s v="7,78"/>
    <s v="189,27"/>
    <s v="8,04"/>
    <s v="5,55"/>
    <s v="181,23"/>
    <s v="29,22"/>
    <s v="7735,12"/>
    <n v="109458"/>
    <n v="315268"/>
    <s v="0,1"/>
    <n v="0"/>
    <s v="239,7"/>
  </r>
  <r>
    <x v="53"/>
    <x v="8"/>
    <s v="Em operação"/>
    <s v="ES 0101"/>
    <x v="0"/>
    <n v="3662"/>
    <m/>
    <n v="4000"/>
    <n v="507.69230769230774"/>
    <s v="9,13"/>
    <s v="7,93"/>
    <s v="1,2"/>
    <s v="13,15"/>
    <n v="836"/>
    <n v="4026"/>
    <s v="4,82"/>
    <s v="12,91"/>
    <s v="311,82"/>
    <s v="6,62"/>
    <s v="5,52"/>
    <s v="305,2"/>
    <s v="38,49"/>
    <s v="6462,35"/>
    <n v="405996"/>
    <n v="1437060"/>
    <s v="0,1"/>
    <n v="0"/>
    <s v="47,4"/>
  </r>
  <r>
    <x v="53"/>
    <x v="8"/>
    <s v="Em operação"/>
    <s v="ES 0110"/>
    <x v="2"/>
    <m/>
    <m/>
    <n v="2500"/>
    <n v="445.67474048442904"/>
    <s v="6,98"/>
    <s v="5,78"/>
    <s v="1,2"/>
    <s v="17,2"/>
    <n v="932"/>
    <n v="2576"/>
    <s v="2,76"/>
    <s v="20,86"/>
    <s v="123,5"/>
    <s v="4,73"/>
    <s v="3,94"/>
    <s v="118,77"/>
    <s v="20,56"/>
    <s v="2261,93"/>
    <n v="138899"/>
    <n v="261451"/>
    <s v="0,7"/>
    <n v="0"/>
    <s v="307,7"/>
  </r>
  <r>
    <x v="53"/>
    <x v="8"/>
    <s v="Em operação"/>
    <s v="ES 0116"/>
    <x v="2"/>
    <m/>
    <m/>
    <n v="2500"/>
    <n v="480.10610079575599"/>
    <s v="8,59"/>
    <s v="7,54"/>
    <s v="1,05"/>
    <s v="12,23"/>
    <n v="1060"/>
    <n v="3620"/>
    <s v="3,42"/>
    <s v="11,73"/>
    <s v="308,51"/>
    <s v="4,73"/>
    <s v="4,51"/>
    <s v="303,78"/>
    <s v="40,31"/>
    <s v="1787,04"/>
    <n v="172326"/>
    <n v="590445"/>
    <n v="0"/>
    <n v="0"/>
    <s v="4,9"/>
  </r>
  <r>
    <x v="53"/>
    <x v="8"/>
    <s v="Em operação"/>
    <s v="ES 0126"/>
    <x v="2"/>
    <m/>
    <m/>
    <n v="2500"/>
    <n v="330.44754218635359"/>
    <s v="15,13"/>
    <s v="13,63"/>
    <s v="1,5"/>
    <s v="9,91"/>
    <n v="1870"/>
    <n v="4504"/>
    <s v="2,41"/>
    <s v="15,13"/>
    <s v="297,63"/>
    <s v="5,68"/>
    <s v="3,79"/>
    <s v="291,95"/>
    <s v="21,42"/>
    <s v="791,43"/>
    <n v="79334"/>
    <n v="169592"/>
    <s v="0,2"/>
    <n v="0"/>
    <n v="77"/>
  </r>
  <r>
    <x v="53"/>
    <x v="8"/>
    <s v="Em operação"/>
    <s v="ES 0135"/>
    <x v="2"/>
    <m/>
    <m/>
    <n v="2500"/>
    <n v="191.30434782608697"/>
    <s v="5,63"/>
    <s v="4,83"/>
    <s v="0,8"/>
    <s v="14,21"/>
    <n v="553"/>
    <n v="924"/>
    <s v="1,67"/>
    <s v="10,12"/>
    <s v="91,32"/>
    <s v="2,37"/>
    <s v="2,96"/>
    <s v="88,96"/>
    <s v="18,41"/>
    <s v="367,11"/>
    <n v="30369"/>
    <n v="60330"/>
    <s v="0,5"/>
    <n v="0"/>
    <s v="29,7"/>
  </r>
  <r>
    <x v="54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4"/>
    <x v="8"/>
    <s v="Em operação"/>
    <s v="ES 0097"/>
    <x v="2"/>
    <m/>
    <m/>
    <n v="3000"/>
    <n v="278.6144578313253"/>
    <s v="4,77"/>
    <s v="3,32"/>
    <s v="1,45"/>
    <s v="30,38"/>
    <m/>
    <n v="925"/>
    <m/>
    <m/>
    <s v="72,4"/>
    <s v="6,62"/>
    <s v="4,57"/>
    <s v="65,77"/>
    <s v="19,79"/>
    <s v="8693,59"/>
    <m/>
    <m/>
    <s v="1,2"/>
    <m/>
    <s v="237,3"/>
  </r>
  <r>
    <x v="54"/>
    <x v="8"/>
    <s v="Em operação"/>
    <s v="ES 0099"/>
    <x v="1"/>
    <m/>
    <m/>
    <m/>
    <n v="167.37588652482268"/>
    <s v="5,63"/>
    <s v="4,23"/>
    <s v="1,4"/>
    <s v="24,87"/>
    <n v="292"/>
    <n v="708"/>
    <s v="2,42"/>
    <s v="5,44"/>
    <s v="130,12"/>
    <s v="8,04"/>
    <s v="5,75"/>
    <s v="122,08"/>
    <s v="28,86"/>
    <s v="7740,75"/>
    <n v="109750"/>
    <n v="315976"/>
    <n v="0"/>
    <n v="0"/>
    <s v="239,7"/>
  </r>
  <r>
    <x v="54"/>
    <x v="8"/>
    <s v="Em operação"/>
    <s v="ES 0101"/>
    <x v="0"/>
    <n v="1433"/>
    <m/>
    <n v="4000"/>
    <n v="503.09597523219816"/>
    <s v="4,23"/>
    <s v="3,23"/>
    <n v="1"/>
    <s v="23,64"/>
    <n v="354"/>
    <n v="1625"/>
    <s v="4,59"/>
    <s v="12,77"/>
    <s v="127,28"/>
    <s v="5,68"/>
    <s v="5,68"/>
    <s v="121,61"/>
    <s v="37,65"/>
    <s v="6466,58"/>
    <n v="406350"/>
    <n v="1438685"/>
    <s v="0,1"/>
    <n v="0"/>
    <s v="47,5"/>
  </r>
  <r>
    <x v="54"/>
    <x v="8"/>
    <s v="Em operação"/>
    <s v="ES 0110"/>
    <x v="2"/>
    <m/>
    <m/>
    <n v="3000"/>
    <n v="195.38950715421305"/>
    <s v="8,14"/>
    <s v="6,29"/>
    <s v="1,85"/>
    <s v="22,74"/>
    <n v="683"/>
    <n v="1229"/>
    <s v="1,8"/>
    <s v="9,21"/>
    <s v="133,44"/>
    <s v="6,62"/>
    <s v="3,58"/>
    <s v="126,81"/>
    <s v="20,17"/>
    <s v="2270,06"/>
    <n v="139582"/>
    <n v="262680"/>
    <s v="0,6"/>
    <n v="0"/>
    <s v="308,3"/>
  </r>
  <r>
    <x v="54"/>
    <x v="8"/>
    <s v="Em operação"/>
    <s v="ES 0116"/>
    <x v="2"/>
    <m/>
    <m/>
    <n v="3000"/>
    <n v="613.7123745819398"/>
    <s v="6,63"/>
    <s v="5,98"/>
    <s v="0,65"/>
    <s v="9,8"/>
    <n v="1074"/>
    <n v="3670"/>
    <s v="3,42"/>
    <s v="14,5"/>
    <s v="253,15"/>
    <s v="3,31"/>
    <s v="5,1"/>
    <s v="249,84"/>
    <s v="41,77"/>
    <s v="1793,68"/>
    <n v="173400"/>
    <n v="594115"/>
    <n v="0"/>
    <n v="0"/>
    <s v="4,9"/>
  </r>
  <r>
    <x v="54"/>
    <x v="8"/>
    <s v="Em operação"/>
    <s v="ES 0126"/>
    <x v="2"/>
    <m/>
    <m/>
    <n v="3000"/>
    <n v="257.24137931034483"/>
    <s v="15,15"/>
    <s v="13,05"/>
    <s v="2,1"/>
    <s v="13,86"/>
    <n v="1422"/>
    <n v="3357"/>
    <s v="2,36"/>
    <s v="11,82"/>
    <s v="283,91"/>
    <s v="7,57"/>
    <s v="3,61"/>
    <s v="276,33"/>
    <s v="21,17"/>
    <s v="806,58"/>
    <n v="80756"/>
    <n v="172949"/>
    <n v="2"/>
    <n v="0"/>
    <n v="79"/>
  </r>
  <r>
    <x v="54"/>
    <x v="8"/>
    <s v="Em operação"/>
    <s v="ES 0135"/>
    <x v="2"/>
    <m/>
    <m/>
    <n v="3000"/>
    <n v="185.51236749116606"/>
    <s v="7,26"/>
    <s v="5,66"/>
    <s v="1,6"/>
    <s v="22,05"/>
    <n v="516"/>
    <n v="1050"/>
    <s v="2,03"/>
    <s v="8,91"/>
    <s v="117,82"/>
    <s v="6,15"/>
    <s v="3,84"/>
    <s v="111,67"/>
    <s v="19,74"/>
    <s v="374,37"/>
    <n v="30885"/>
    <n v="61380"/>
    <n v="0"/>
    <n v="0"/>
    <s v="29,7"/>
  </r>
  <r>
    <x v="55"/>
    <x v="1"/>
    <s v="Não operacional"/>
    <s v="ES 0097"/>
    <x v="2"/>
    <m/>
    <m/>
    <m/>
    <n v="0"/>
    <s v="6,3"/>
    <s v="2,4"/>
    <s v="3,9"/>
    <s v="61,89"/>
    <m/>
    <n v="0"/>
    <m/>
    <m/>
    <s v="63,41"/>
    <s v="15,14"/>
    <s v="3,88"/>
    <s v="48,26"/>
    <s v="20,1"/>
    <s v="8699,89"/>
    <m/>
    <m/>
    <s v="0,1"/>
    <m/>
    <s v="237,4"/>
  </r>
  <r>
    <x v="55"/>
    <x v="1"/>
    <s v="Não operacional"/>
    <s v="ES 0096"/>
    <x v="2"/>
    <m/>
    <s v="Na oficina"/>
    <m/>
    <n v="0"/>
    <m/>
    <m/>
    <m/>
    <m/>
    <m/>
    <m/>
    <m/>
    <m/>
    <m/>
    <m/>
    <m/>
    <m/>
    <m/>
    <m/>
    <m/>
    <m/>
    <m/>
    <m/>
    <m/>
  </r>
  <r>
    <x v="55"/>
    <x v="1"/>
    <s v="Não operacional"/>
    <s v="ES 0101"/>
    <x v="0"/>
    <m/>
    <m/>
    <m/>
    <n v="0"/>
    <n v="0"/>
    <n v="0"/>
    <n v="0"/>
    <m/>
    <n v="0"/>
    <n v="0"/>
    <m/>
    <m/>
    <n v="0"/>
    <n v="0"/>
    <m/>
    <n v="0"/>
    <m/>
    <s v="6466,58"/>
    <n v="406350"/>
    <n v="1438685"/>
    <n v="0"/>
    <m/>
    <s v="47,5"/>
  </r>
  <r>
    <x v="55"/>
    <x v="1"/>
    <s v="Não operacional"/>
    <s v="ES 0110"/>
    <x v="2"/>
    <m/>
    <m/>
    <m/>
    <n v="79.156908665105391"/>
    <s v="6,77"/>
    <s v="4,27"/>
    <s v="2,5"/>
    <s v="36,95"/>
    <n v="281"/>
    <n v="338"/>
    <s v="1,2"/>
    <s v="3,84"/>
    <s v="88,01"/>
    <s v="8,99"/>
    <s v="3,6"/>
    <s v="79,02"/>
    <s v="18,52"/>
    <s v="2276,83"/>
    <n v="139863"/>
    <n v="263018"/>
    <s v="0,5"/>
    <n v="0"/>
    <s v="308,8"/>
  </r>
  <r>
    <x v="55"/>
    <x v="1"/>
    <s v="Não operacional"/>
    <s v="ES 0116"/>
    <x v="2"/>
    <m/>
    <m/>
    <m/>
    <n v="300.88495575221242"/>
    <s v="1,23"/>
    <s v="1,13"/>
    <s v="0,1"/>
    <s v="8,13"/>
    <n v="93"/>
    <n v="340"/>
    <s v="3,66"/>
    <s v="8,17"/>
    <s v="41,64"/>
    <s v="0,47"/>
    <s v="4,73"/>
    <s v="41,17"/>
    <s v="36,43"/>
    <s v="1794,91"/>
    <n v="173493"/>
    <n v="594455"/>
    <n v="0"/>
    <n v="0"/>
    <s v="4,9"/>
  </r>
  <r>
    <x v="55"/>
    <x v="1"/>
    <s v="Não operacional"/>
    <s v="ES 0126"/>
    <x v="2"/>
    <m/>
    <m/>
    <m/>
    <n v="0"/>
    <m/>
    <m/>
    <m/>
    <m/>
    <m/>
    <m/>
    <m/>
    <m/>
    <m/>
    <m/>
    <m/>
    <m/>
    <m/>
    <m/>
    <m/>
    <m/>
    <m/>
    <m/>
    <m/>
  </r>
  <r>
    <x v="55"/>
    <x v="1"/>
    <s v="Não operacional"/>
    <s v="ES 0126"/>
    <x v="2"/>
    <m/>
    <m/>
    <m/>
    <n v="119.76744186046511"/>
    <s v="6,71"/>
    <s v="5,16"/>
    <s v="1,55"/>
    <s v="23,08"/>
    <n v="382"/>
    <n v="618"/>
    <s v="1,62"/>
    <s v="6,28"/>
    <s v="98,42"/>
    <s v="5,2"/>
    <s v="3,36"/>
    <s v="93,22"/>
    <s v="18,05"/>
    <s v="381,08"/>
    <n v="31267"/>
    <n v="61998"/>
    <s v="0,4"/>
    <n v="0"/>
    <s v="30,1"/>
  </r>
  <r>
    <x v="55"/>
    <x v="8"/>
    <s v="Em operação"/>
    <s v="ES 0099"/>
    <x v="1"/>
    <m/>
    <m/>
    <m/>
    <n v="78.384279475982538"/>
    <s v="5,28"/>
    <s v="4,58"/>
    <s v="0,7"/>
    <s v="13,26"/>
    <n v="181"/>
    <n v="359"/>
    <s v="1,98"/>
    <s v="2,62"/>
    <s v="137,22"/>
    <s v="3,79"/>
    <s v="5,41"/>
    <s v="133,44"/>
    <s v="29,14"/>
    <s v="7746,02"/>
    <n v="109931"/>
    <n v="316335"/>
    <s v="0,2"/>
    <n v="0"/>
    <s v="239,9"/>
  </r>
  <r>
    <x v="56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s v="8699.89"/>
    <s v=""/>
    <s v=""/>
    <s v="0"/>
    <s v=""/>
    <s v="237.4"/>
  </r>
  <r>
    <x v="56"/>
    <x v="1"/>
    <s v="Não operacional"/>
    <s v="ES 0135"/>
    <x v="2"/>
    <m/>
    <m/>
    <m/>
    <n v="0"/>
    <s v="0"/>
    <s v="0"/>
    <s v="0"/>
    <s v=""/>
    <s v="0"/>
    <s v="0"/>
    <s v=""/>
    <s v=""/>
    <s v="0"/>
    <s v="0"/>
    <s v=""/>
    <s v="0"/>
    <s v=""/>
    <s v="381.08"/>
    <s v="31267"/>
    <s v="61998"/>
    <s v="0"/>
    <s v=""/>
    <s v="30.1"/>
  </r>
  <r>
    <x v="56"/>
    <x v="1"/>
    <s v="Não operacional"/>
    <s v="ES 0110"/>
    <x v="2"/>
    <m/>
    <m/>
    <m/>
    <n v="0"/>
    <s v="0"/>
    <s v="0"/>
    <s v="0"/>
    <s v=""/>
    <s v="0"/>
    <s v="0"/>
    <s v=""/>
    <s v=""/>
    <s v="0"/>
    <s v="0"/>
    <s v=""/>
    <s v="0"/>
    <s v=""/>
    <s v="2276.83"/>
    <s v="139863"/>
    <s v="263018"/>
    <s v="0"/>
    <s v=""/>
    <s v="308.8"/>
  </r>
  <r>
    <x v="56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"/>
    <x v="9"/>
    <s v="Em operação"/>
    <s v="ES 0101"/>
    <x v="0"/>
    <m/>
    <m/>
    <n v="4800"/>
    <n v="210.94890510948903"/>
    <s v="3.54"/>
    <n v="2.74"/>
    <s v="0.8"/>
    <s v="22.57"/>
    <s v="190"/>
    <n v="578"/>
    <s v="3.04"/>
    <s v="5.29"/>
    <s v="109.3"/>
    <s v="5.2"/>
    <s v="6.51"/>
    <s v="104.1"/>
    <s v="37.94"/>
    <s v="6470.13"/>
    <s v="406540"/>
    <s v="1439263"/>
    <s v="0"/>
    <s v="0"/>
    <s v="47.5"/>
  </r>
  <r>
    <x v="56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"/>
    <x v="1"/>
    <s v="Não operacional"/>
    <s v="ES 0099"/>
    <x v="6"/>
    <m/>
    <m/>
    <m/>
    <n v="0"/>
    <s v="0"/>
    <s v="0"/>
    <s v="0"/>
    <s v=""/>
    <s v="0"/>
    <s v="0"/>
    <s v=""/>
    <s v=""/>
    <s v="0"/>
    <s v="0"/>
    <s v=""/>
    <s v="0"/>
    <s v=""/>
    <s v="7746.02"/>
    <s v="109931"/>
    <s v="316335"/>
    <s v="0"/>
    <s v=""/>
    <s v="239.9"/>
  </r>
  <r>
    <x v="57"/>
    <x v="1"/>
    <s v="Não operacional"/>
    <s v="ES 0097"/>
    <x v="2"/>
    <m/>
    <s v="Na oficina"/>
    <m/>
    <n v="0"/>
    <s v="0.4"/>
    <n v="0.1"/>
    <s v="0.3"/>
    <s v="75.8"/>
    <s v=""/>
    <s v=""/>
    <s v=""/>
    <s v=""/>
    <s v="2.84"/>
    <s v="1.89"/>
    <s v="6.31"/>
    <s v="0.95"/>
    <s v="9.88"/>
    <s v="8700.29"/>
    <s v=""/>
    <s v=""/>
    <s v="0"/>
    <s v=""/>
    <s v="237.4"/>
  </r>
  <r>
    <x v="57"/>
    <x v="9"/>
    <s v="Em operação"/>
    <s v="ES 0135"/>
    <x v="2"/>
    <m/>
    <m/>
    <n v="3000"/>
    <n v="300.09337068160596"/>
    <s v="11.86"/>
    <n v="10.71"/>
    <s v="1.15"/>
    <s v="9.7"/>
    <s v="1352"/>
    <n v="3214"/>
    <s v="2.38"/>
    <s v="13.83"/>
    <s v="232.33"/>
    <s v="4.26"/>
    <s v="3.7"/>
    <s v="228.07"/>
    <s v="21.3"/>
    <s v="392.94"/>
    <s v="32619"/>
    <s v="65212"/>
    <s v="0.9"/>
    <s v="0"/>
    <s v="31"/>
  </r>
  <r>
    <x v="57"/>
    <x v="9"/>
    <s v="Em operação"/>
    <s v="ES 0110"/>
    <x v="2"/>
    <m/>
    <m/>
    <n v="3000"/>
    <n v="107.32113144758736"/>
    <s v="8.76"/>
    <n v="6.01"/>
    <s v="2.75"/>
    <s v="31.39"/>
    <s v="479"/>
    <n v="645"/>
    <s v="1.35"/>
    <s v="4.85"/>
    <s v="132.96"/>
    <s v="8.99"/>
    <s v="3.27"/>
    <s v="123.97"/>
    <s v="20.62"/>
    <s v="2285.59"/>
    <s v="140342"/>
    <s v="263663"/>
    <s v="0.7"/>
    <s v="0"/>
    <s v="309.5"/>
  </r>
  <r>
    <x v="57"/>
    <x v="9"/>
    <s v="Em operação"/>
    <s v="ES 0126"/>
    <x v="2"/>
    <m/>
    <m/>
    <n v="3000"/>
    <n v="357.58865248226954"/>
    <s v="7.65"/>
    <n v="7.05"/>
    <s v="0.6"/>
    <s v="7.84"/>
    <s v="1114"/>
    <n v="2521"/>
    <s v="2.35"/>
    <s v="16.8"/>
    <s v="155.68"/>
    <s v="2.37"/>
    <s v="3.94"/>
    <s v="153.31"/>
    <s v="21.74"/>
    <s v="814.23"/>
    <s v="81870"/>
    <s v="175564"/>
    <s v="0.8"/>
    <s v="0"/>
    <s v="79.8"/>
  </r>
  <r>
    <x v="57"/>
    <x v="9"/>
    <s v="Em operação"/>
    <s v="ES 0101"/>
    <x v="0"/>
    <n v="3180"/>
    <m/>
    <n v="4800"/>
    <n v="542.76485788113689"/>
    <s v="9.24"/>
    <n v="7.74"/>
    <s v="1.5"/>
    <s v="16.24"/>
    <s v="1025"/>
    <n v="4201"/>
    <s v="4.1"/>
    <s v="13.37"/>
    <s v="314.19"/>
    <s v="8.04"/>
    <s v="5.36"/>
    <s v="306.14"/>
    <s v="39.58"/>
    <s v="6479.36"/>
    <s v="407565"/>
    <s v="1443464"/>
    <s v="0.1"/>
    <s v="0"/>
    <s v="47.6"/>
  </r>
  <r>
    <x v="57"/>
    <x v="9"/>
    <s v="Em operação"/>
    <s v="ES 0116"/>
    <x v="2"/>
    <m/>
    <m/>
    <n v="3000"/>
    <n v="406.58082975679542"/>
    <s v="8.39"/>
    <n v="6.99"/>
    <s v="1.4"/>
    <s v="16.69"/>
    <s v="1054"/>
    <n v="2842"/>
    <s v="2.7"/>
    <s v="10.01"/>
    <s v="283.91"/>
    <s v="6.15"/>
    <s v="4.39"/>
    <s v="277.75"/>
    <s v="39.76"/>
    <s v="1803.29"/>
    <s v="174547"/>
    <s v="597297"/>
    <s v="0"/>
    <s v="0"/>
    <s v="4.9"/>
  </r>
  <r>
    <x v="57"/>
    <x v="9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57"/>
    <x v="9"/>
    <s v="Em operação"/>
    <s v="ES 0099"/>
    <x v="6"/>
    <m/>
    <m/>
    <m/>
    <n v="356.54362416107381"/>
    <s v="6.91"/>
    <n v="5.96"/>
    <s v="0.95"/>
    <s v="13.75"/>
    <s v="47"/>
    <n v="2125"/>
    <s v="2.98"/>
    <s v="0.73"/>
    <s v="192.11"/>
    <s v="5.2"/>
    <s v="5.48"/>
    <s v="186.9"/>
    <s v="31.36"/>
    <s v="7752.93"/>
    <s v="109978"/>
    <s v="316475"/>
    <s v="1.8"/>
    <s v="0.04"/>
    <s v="241.7"/>
  </r>
  <r>
    <x v="58"/>
    <x v="1"/>
    <s v="Não operacional"/>
    <s v="ES 0097"/>
    <x v="2"/>
    <m/>
    <s v="Na oficina"/>
    <m/>
    <n v="0"/>
    <s v="1.62"/>
    <n v="1.37"/>
    <s v="0.25"/>
    <s v="15.45"/>
    <s v=""/>
    <s v=""/>
    <s v=""/>
    <s v=""/>
    <s v="25.08"/>
    <s v="0.95"/>
    <s v="3.79"/>
    <s v="24.13"/>
    <s v="17.64"/>
    <s v="8701.91"/>
    <s v=""/>
    <s v=""/>
    <s v="0"/>
    <s v=""/>
    <s v="237.4"/>
  </r>
  <r>
    <x v="58"/>
    <x v="9"/>
    <s v="Em operação"/>
    <s v="ES 0135"/>
    <x v="2"/>
    <m/>
    <m/>
    <n v="3000"/>
    <n v="149.22752808988764"/>
    <s v="15.94"/>
    <n v="14.24"/>
    <s v="1.7"/>
    <s v="10.67"/>
    <s v="64"/>
    <n v="2125"/>
    <s v="2.2"/>
    <s v="0.45"/>
    <s v="311.82"/>
    <s v="5.2"/>
    <s v="3.06"/>
    <s v="306.62"/>
    <s v="21.54"/>
    <s v="408.87"/>
    <s v="32683"/>
    <s v="65353"/>
    <s v="3.6"/>
    <s v="0.06"/>
    <s v="34.6"/>
  </r>
  <r>
    <x v="58"/>
    <x v="9"/>
    <s v="Em operação"/>
    <s v="ES 0110"/>
    <x v="2"/>
    <m/>
    <m/>
    <n v="3000"/>
    <n v="144.74123539232053"/>
    <s v="7.64"/>
    <n v="5.99"/>
    <s v="1.65"/>
    <s v="21.6"/>
    <s v="445"/>
    <n v="867"/>
    <s v="1.95"/>
    <s v="6.79"/>
    <s v="127.76"/>
    <s v="6.62"/>
    <s v="4.01"/>
    <s v="121.13"/>
    <s v="20.22"/>
    <s v="2293.23"/>
    <s v="140787"/>
    <s v="264530"/>
    <s v="0.5"/>
    <s v="0"/>
    <s v="310"/>
  </r>
  <r>
    <x v="58"/>
    <x v="9"/>
    <s v="Em operação"/>
    <s v="ES 0126"/>
    <x v="2"/>
    <m/>
    <m/>
    <n v="3000"/>
    <n v="298.39999999999998"/>
    <s v="8.3"/>
    <n v="7.5"/>
    <s v="0.8"/>
    <s v="9.64"/>
    <s v="1070"/>
    <n v="2238"/>
    <s v="2.37"/>
    <s v="15.73"/>
    <s v="161.35"/>
    <s v="2.84"/>
    <s v="3.55"/>
    <s v="158.51"/>
    <s v="21.13"/>
    <s v="822.53"/>
    <s v="82940"/>
    <s v="178102"/>
    <s v="0.9"/>
    <s v="0"/>
    <s v="80.7"/>
  </r>
  <r>
    <x v="58"/>
    <x v="9"/>
    <s v="Em operação"/>
    <s v="ES 0099"/>
    <x v="6"/>
    <m/>
    <m/>
    <n v="3000"/>
    <n v="309.86762936221419"/>
    <s v="9.36"/>
    <n v="8.31"/>
    <s v="1.05"/>
    <s v="11.21"/>
    <s v="0"/>
    <n v="2575"/>
    <s v=""/>
    <s v="0"/>
    <s v="267.34"/>
    <s v="7.1"/>
    <s v="6.76"/>
    <s v="260.25"/>
    <s v="31.3"/>
    <s v="7762.3"/>
    <s v="109978"/>
    <s v="316475"/>
    <s v="0.8"/>
    <s v=""/>
    <s v="242.5"/>
  </r>
  <r>
    <x v="58"/>
    <x v="9"/>
    <s v="Em operação"/>
    <s v="ES 0101"/>
    <x v="0"/>
    <n v="60.8"/>
    <m/>
    <n v="4800"/>
    <n v="403.66492146596858"/>
    <s v="2.41"/>
    <n v="1.91"/>
    <s v="0.5"/>
    <s v="20.74"/>
    <s v="288"/>
    <n v="771"/>
    <s v="2.68"/>
    <s v="9.94"/>
    <s v="77.6"/>
    <s v="3.31"/>
    <s v="6.62"/>
    <s v="74.29"/>
    <s v="38.88"/>
    <s v="6481.77"/>
    <s v="407853"/>
    <s v="1444235"/>
    <s v="0"/>
    <s v="0"/>
    <s v="47.6"/>
  </r>
  <r>
    <x v="58"/>
    <x v="9"/>
    <s v="Em operação"/>
    <s v="ES 0116"/>
    <x v="2"/>
    <m/>
    <m/>
    <n v="3000"/>
    <n v="394.2126514131898"/>
    <s v="8.63"/>
    <n v="7.43"/>
    <s v="1.2"/>
    <s v="13.9"/>
    <s v="1139"/>
    <n v="2929"/>
    <s v="2.57"/>
    <s v="9.63"/>
    <s v="304.25"/>
    <s v="5.2"/>
    <s v="4.34"/>
    <s v="299.05"/>
    <s v="40.22"/>
    <s v="1811.93"/>
    <s v="175686"/>
    <s v="600226"/>
    <s v="0"/>
    <s v="0"/>
    <s v="4.9"/>
  </r>
  <r>
    <x v="58"/>
    <x v="9"/>
    <s v="Em operação"/>
    <m/>
    <x v="2"/>
    <m/>
    <m/>
    <n v="3000"/>
    <m/>
    <m/>
    <m/>
    <m/>
    <m/>
    <m/>
    <m/>
    <m/>
    <m/>
    <m/>
    <m/>
    <m/>
    <m/>
    <m/>
    <m/>
    <m/>
    <m/>
    <m/>
    <m/>
    <m/>
  </r>
  <r>
    <x v="59"/>
    <x v="9"/>
    <s v="Em operação"/>
    <s v="ES 0097"/>
    <x v="2"/>
    <m/>
    <m/>
    <n v="3000"/>
    <n v="362.1346886912325"/>
    <s v="9.57"/>
    <n v="7.87"/>
    <s v="1.7"/>
    <s v="17.76"/>
    <s v=""/>
    <n v="2850"/>
    <s v=""/>
    <s v=""/>
    <s v="165.61"/>
    <s v="6.62"/>
    <s v="3.9"/>
    <s v="158.99"/>
    <s v="20.2"/>
    <s v="8711.48"/>
    <s v=""/>
    <s v=""/>
    <s v="0.5"/>
    <s v=""/>
    <s v="237.9"/>
  </r>
  <r>
    <x v="59"/>
    <x v="9"/>
    <s v="Em operação"/>
    <s v="ES 0135"/>
    <x v="2"/>
    <m/>
    <m/>
    <n v="3000"/>
    <n v="143.67816091954023"/>
    <s v="11.89"/>
    <n v="10.44"/>
    <s v="1.45"/>
    <s v="12.2"/>
    <s v="0"/>
    <n v="1500"/>
    <s v=""/>
    <s v="0"/>
    <s v="229.49"/>
    <s v="4.26"/>
    <s v="2.94"/>
    <s v="225.23"/>
    <s v="21.58"/>
    <s v="420.76"/>
    <s v="32683"/>
    <s v="65353"/>
    <s v="1.9"/>
    <s v=""/>
    <s v="36.5"/>
  </r>
  <r>
    <x v="59"/>
    <x v="9"/>
    <s v="Em operação"/>
    <s v="ES 0110"/>
    <x v="2"/>
    <m/>
    <m/>
    <n v="3000"/>
    <n v="121.30584192439862"/>
    <s v="7.11"/>
    <n v="2.91"/>
    <s v="4.2"/>
    <s v="59.1"/>
    <s v="242"/>
    <n v="353"/>
    <s v="1.46"/>
    <s v="5.07"/>
    <s v="69.56"/>
    <s v="14.2"/>
    <s v="3.38"/>
    <s v="55.36"/>
    <s v="19.05"/>
    <s v="2300.34"/>
    <s v="141029"/>
    <s v="264883"/>
    <s v="0.2"/>
    <s v="0"/>
    <s v="310.2"/>
  </r>
  <r>
    <x v="59"/>
    <x v="9"/>
    <s v="Em operação"/>
    <s v="ES 0126"/>
    <x v="2"/>
    <m/>
    <m/>
    <n v="3000"/>
    <n v="376.27118644067798"/>
    <s v="8.22"/>
    <n v="7.67"/>
    <s v="0.55"/>
    <s v="6.69"/>
    <s v="1130"/>
    <n v="2886"/>
    <s v="2.55"/>
    <s v="17.04"/>
    <s v="169.4"/>
    <s v="1.89"/>
    <s v="3.44"/>
    <s v="167.5"/>
    <s v="21.85"/>
    <s v="830.75"/>
    <s v="84070"/>
    <s v="180988"/>
    <s v="0.6"/>
    <s v="0"/>
    <s v="81.3"/>
  </r>
  <r>
    <x v="59"/>
    <x v="9"/>
    <s v="Em operação"/>
    <s v="ES 0099"/>
    <x v="6"/>
    <m/>
    <m/>
    <m/>
    <n v="444.99105545617175"/>
    <s v="12.78"/>
    <n v="11.18"/>
    <s v="1.6"/>
    <s v="12.52"/>
    <s v="0"/>
    <n v="4975"/>
    <s v=""/>
    <s v="0"/>
    <s v="353.46"/>
    <s v="10.41"/>
    <s v="6.51"/>
    <s v="343.05"/>
    <s v="30.67"/>
    <s v="7775.08"/>
    <s v="109978"/>
    <s v="316475"/>
    <s v="0.3"/>
    <s v=""/>
    <s v="242.8"/>
  </r>
  <r>
    <x v="59"/>
    <x v="1"/>
    <s v="Não operacional"/>
    <s v="ES 0101"/>
    <x v="0"/>
    <m/>
    <m/>
    <m/>
    <n v="0"/>
    <s v="0"/>
    <s v="0"/>
    <s v="0"/>
    <s v=""/>
    <s v="0"/>
    <n v="0"/>
    <s v=""/>
    <s v=""/>
    <s v="0"/>
    <s v="0"/>
    <s v=""/>
    <s v="0"/>
    <s v=""/>
    <s v="6481.77"/>
    <s v="407853"/>
    <s v="1444235"/>
    <s v="0"/>
    <s v=""/>
    <s v="47.6"/>
  </r>
  <r>
    <x v="59"/>
    <x v="9"/>
    <s v="Em operação"/>
    <s v="ES 0116"/>
    <x v="2"/>
    <m/>
    <m/>
    <n v="3000"/>
    <n v="412.44131455399065"/>
    <s v="10.12"/>
    <n v="8.52"/>
    <s v="1.6"/>
    <s v="15.82"/>
    <s v="1277"/>
    <n v="3514"/>
    <s v="2.75"/>
    <s v="10.23"/>
    <s v="343.53"/>
    <s v="7.1"/>
    <s v="4.44"/>
    <s v="336.43"/>
    <s v="39.5"/>
    <s v="1822.04"/>
    <s v="176963"/>
    <s v="603740"/>
    <s v="0"/>
    <s v="0"/>
    <s v="4.9"/>
  </r>
  <r>
    <x v="60"/>
    <x v="9"/>
    <s v="Em operação"/>
    <s v="ES 0097"/>
    <x v="2"/>
    <m/>
    <m/>
    <n v="3000"/>
    <n v="216.81415929203538"/>
    <s v="6.85"/>
    <n v="5.65"/>
    <s v="1.2"/>
    <s v="17.52"/>
    <s v=""/>
    <n v="1225"/>
    <s v=""/>
    <s v=""/>
    <s v="117.35"/>
    <s v="4.73"/>
    <s v="3.94"/>
    <s v="112.62"/>
    <s v="19.93"/>
    <s v="8718.33"/>
    <s v=""/>
    <s v=""/>
    <s v="0"/>
    <s v=""/>
    <s v="237.9"/>
  </r>
  <r>
    <x v="60"/>
    <x v="9"/>
    <s v="Em operação"/>
    <s v="ES 0135"/>
    <x v="2"/>
    <m/>
    <m/>
    <n v="3000"/>
    <n v="137.21552878179384"/>
    <s v="8.87"/>
    <n v="7.47"/>
    <s v="1.4"/>
    <s v="15.78"/>
    <s v="0"/>
    <n v="1025"/>
    <s v=""/>
    <s v="0"/>
    <s v="157.57"/>
    <s v="4.73"/>
    <s v="3.38"/>
    <s v="152.84"/>
    <s v="20.45"/>
    <s v="429.63"/>
    <s v="32683"/>
    <s v="65353"/>
    <s v="1.6"/>
    <s v=""/>
    <s v="38.1"/>
  </r>
  <r>
    <x v="60"/>
    <x v="9"/>
    <s v="Em operação"/>
    <s v="ES 0110"/>
    <x v="2"/>
    <m/>
    <m/>
    <n v="3000"/>
    <n v="239.92869875222814"/>
    <s v="7.51"/>
    <n v="5.61"/>
    <s v="1.9"/>
    <s v="25.31"/>
    <s v="773"/>
    <n v="1346"/>
    <s v="1.74"/>
    <s v="11.61"/>
    <s v="115.93"/>
    <s v="7.1"/>
    <s v="3.74"/>
    <s v="108.83"/>
    <s v="19.41"/>
    <s v="2307.85"/>
    <s v="141802"/>
    <s v="266229"/>
    <s v="0.3"/>
    <s v="0"/>
    <s v="310.5"/>
  </r>
  <r>
    <x v="60"/>
    <x v="9"/>
    <s v="Em operação"/>
    <s v="ES 0126"/>
    <x v="2"/>
    <m/>
    <m/>
    <n v="3000"/>
    <n v="242.36842105263159"/>
    <s v="8.65"/>
    <n v="7.6"/>
    <s v="1.05"/>
    <s v="12.13"/>
    <s v="951"/>
    <n v="1842"/>
    <s v="2.36"/>
    <s v="13.59"/>
    <s v="165.14"/>
    <s v="4.26"/>
    <s v="4.06"/>
    <s v="160.88"/>
    <s v="21.16"/>
    <s v="839.4"/>
    <s v="85021"/>
    <s v="183232"/>
    <s v="0.6"/>
    <s v="0"/>
    <s v="81.9"/>
  </r>
  <r>
    <x v="60"/>
    <x v="9"/>
    <s v="Em operação"/>
    <s v="ES 0099"/>
    <x v="6"/>
    <m/>
    <m/>
    <n v="3000"/>
    <n v="397.89789789789791"/>
    <s v="15.47"/>
    <n v="13.32"/>
    <s v="2.15"/>
    <s v="13.9"/>
    <s v="0"/>
    <n v="5300"/>
    <s v=""/>
    <s v="0"/>
    <s v="428.7"/>
    <s v="12.78"/>
    <s v="5.94"/>
    <s v="415.92"/>
    <s v="31.23"/>
    <s v="7790.55"/>
    <s v="109978"/>
    <s v="316475"/>
    <s v="1.2"/>
    <s v=""/>
    <s v="244"/>
  </r>
  <r>
    <x v="60"/>
    <x v="9"/>
    <s v="Em operação"/>
    <s v="ES 0101"/>
    <x v="0"/>
    <n v="2454"/>
    <m/>
    <n v="4800"/>
    <n v="598.07692307692309"/>
    <s v="8.3"/>
    <n v="5.2"/>
    <s v="3.1"/>
    <s v="37.35"/>
    <s v="661"/>
    <n v="3110"/>
    <s v="4.7"/>
    <s v="14.38"/>
    <s v="216.24"/>
    <s v="16.09"/>
    <s v="5.19"/>
    <s v="200.15"/>
    <s v="38.49"/>
    <s v="6490.07"/>
    <s v="408514"/>
    <s v="1447345"/>
    <s v="0"/>
    <s v="0"/>
    <s v="47.6"/>
  </r>
  <r>
    <x v="60"/>
    <x v="9"/>
    <s v="Em operação"/>
    <s v="ES 0116"/>
    <x v="2"/>
    <m/>
    <m/>
    <n v="3000"/>
    <n v="490.76655052264806"/>
    <s v="7.64"/>
    <n v="5.74"/>
    <s v="1.9"/>
    <s v="24.85"/>
    <s v="1028"/>
    <n v="2817"/>
    <s v="2.74"/>
    <s v="11.56"/>
    <s v="243.69"/>
    <s v="8.52"/>
    <s v="4.48"/>
    <s v="235.17"/>
    <s v="40.93"/>
    <s v="1829.69"/>
    <s v="177991"/>
    <s v="606557"/>
    <s v="0"/>
    <s v="0"/>
    <s v="4.9"/>
  </r>
  <r>
    <x v="61"/>
    <x v="9"/>
    <s v="Em operação"/>
    <s v="ES 0097"/>
    <x v="2"/>
    <m/>
    <m/>
    <n v="3000"/>
    <n v="193.60269360269359"/>
    <s v="6.99"/>
    <n v="5.94"/>
    <s v="1.05"/>
    <s v="15.01"/>
    <s v=""/>
    <n v="1150"/>
    <s v=""/>
    <s v=""/>
    <s v="128.23"/>
    <s v="4.73"/>
    <s v="4.51"/>
    <s v="123.5"/>
    <s v="20.78"/>
    <s v="8725.32"/>
    <s v=""/>
    <s v=""/>
    <s v="0.3"/>
    <s v=""/>
    <s v="238.2"/>
  </r>
  <r>
    <x v="61"/>
    <x v="9"/>
    <s v="Em operação"/>
    <s v="ES 0135"/>
    <x v="2"/>
    <m/>
    <m/>
    <n v="3000"/>
    <n v="270.38269550748754"/>
    <s v="6.91"/>
    <n v="6.01"/>
    <s v="0.9"/>
    <s v="13.02"/>
    <s v="0"/>
    <n v="1625"/>
    <s v=""/>
    <s v="0"/>
    <s v="130.6"/>
    <s v="3.31"/>
    <s v="3.68"/>
    <s v="127.28"/>
    <s v="21.18"/>
    <s v="436.54"/>
    <s v="32683"/>
    <s v="65353"/>
    <s v="1.7"/>
    <s v=""/>
    <s v="39.8"/>
  </r>
  <r>
    <x v="61"/>
    <x v="9"/>
    <s v="Em operação"/>
    <s v="ES 0110"/>
    <x v="2"/>
    <m/>
    <m/>
    <n v="3000"/>
    <n v="382.83378746594008"/>
    <s v="8.04"/>
    <n v="7.34"/>
    <s v="0.7"/>
    <s v="8.71"/>
    <s v="1301"/>
    <n v="2810"/>
    <s v="2.16"/>
    <s v="17.62"/>
    <s v="159.46"/>
    <s v="2.84"/>
    <s v="4.06"/>
    <s v="156.62"/>
    <s v="21.34"/>
    <s v="2315.89"/>
    <s v="143103"/>
    <s v="269039"/>
    <s v="0.1"/>
    <s v="0"/>
    <s v="310.6"/>
  </r>
  <r>
    <x v="61"/>
    <x v="9"/>
    <s v="Em operação"/>
    <s v="ES 0126"/>
    <x v="2"/>
    <m/>
    <m/>
    <n v="3000"/>
    <n v="243.43807763401108"/>
    <s v="6.11"/>
    <n v="5.41"/>
    <s v="0.7"/>
    <s v="11.46"/>
    <s v="735"/>
    <n v="1317"/>
    <s v="2.7"/>
    <s v="16.36"/>
    <s v="121.13"/>
    <s v="2.37"/>
    <s v="3.38"/>
    <s v="118.77"/>
    <s v="21.96"/>
    <s v="845.51"/>
    <s v="85756"/>
    <s v="185214"/>
    <s v="0.7"/>
    <s v="0"/>
    <s v="82.6"/>
  </r>
  <r>
    <x v="61"/>
    <x v="9"/>
    <s v="Em operação"/>
    <s v="ES 0099"/>
    <x v="6"/>
    <m/>
    <m/>
    <m/>
    <n v="294.96402877697841"/>
    <s v="15.95"/>
    <n v="13.9"/>
    <s v="2.05"/>
    <s v="12.85"/>
    <s v="0"/>
    <n v="4100"/>
    <s v=""/>
    <s v="0"/>
    <s v="438.63"/>
    <s v="12.3"/>
    <s v="6"/>
    <s v="426.33"/>
    <s v="30.67"/>
    <s v="7806.5"/>
    <s v="109978"/>
    <s v="316475"/>
    <s v="0.6"/>
    <s v=""/>
    <s v="244.6"/>
  </r>
  <r>
    <x v="61"/>
    <x v="9"/>
    <s v="Em operação"/>
    <s v="ES 0101"/>
    <x v="0"/>
    <n v="2788"/>
    <m/>
    <n v="4800"/>
    <n v="597.51166407465007"/>
    <s v="7.68"/>
    <n v="6.43"/>
    <s v="1.25"/>
    <s v="16.28"/>
    <s v="847"/>
    <n v="3842"/>
    <s v="4.54"/>
    <s v="15.04"/>
    <s v="255.52"/>
    <s v="7.1"/>
    <s v="5.68"/>
    <s v="248.42"/>
    <s v="38.64"/>
    <s v="6497.75"/>
    <s v="409361"/>
    <s v="1451187"/>
    <s v="0"/>
    <s v="0"/>
    <s v="47.6"/>
  </r>
  <r>
    <x v="61"/>
    <x v="9"/>
    <s v="Em operação"/>
    <s v="ES 0116"/>
    <x v="2"/>
    <m/>
    <m/>
    <n v="3000"/>
    <n v="353.98406374501997"/>
    <s v="5.97"/>
    <n v="5.0199999999999996"/>
    <s v="0.95"/>
    <s v="15.9"/>
    <s v="711"/>
    <s v="1777"/>
    <s v="2.5"/>
    <s v="8.82"/>
    <s v="201.57"/>
    <s v="4.26"/>
    <s v="4.48"/>
    <s v="197.31"/>
    <s v="39.27"/>
    <s v="1835.66"/>
    <s v="178702"/>
    <s v="608334"/>
    <s v="0.1"/>
    <s v="0"/>
    <s v="5"/>
  </r>
  <r>
    <x v="62"/>
    <x v="1"/>
    <s v="Não operacional"/>
    <s v="ES 0097"/>
    <x v="2"/>
    <m/>
    <m/>
    <m/>
    <n v="0"/>
    <s v="0.02"/>
    <n v="0.02"/>
    <s v="0"/>
    <s v="0"/>
    <s v=""/>
    <s v=""/>
    <s v=""/>
    <s v=""/>
    <s v="0"/>
    <s v="0"/>
    <s v=""/>
    <s v="0"/>
    <s v="0"/>
    <s v="8725.34"/>
    <s v=""/>
    <s v=""/>
    <s v="0"/>
    <s v=""/>
    <s v="238.2"/>
  </r>
  <r>
    <x v="62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"/>
    <x v="1"/>
    <s v="Não operacional"/>
    <s v="ES 0110"/>
    <x v="2"/>
    <m/>
    <m/>
    <m/>
    <n v="0"/>
    <s v="0"/>
    <s v="0"/>
    <s v="0"/>
    <s v=""/>
    <s v="0"/>
    <s v="0"/>
    <s v=""/>
    <s v=""/>
    <s v="0"/>
    <s v="0"/>
    <s v=""/>
    <s v="0"/>
    <s v=""/>
    <s v="2315.89"/>
    <s v="143103"/>
    <s v="269039"/>
    <s v="0"/>
    <s v=""/>
    <s v="310.6"/>
  </r>
  <r>
    <x v="62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"/>
    <x v="1"/>
    <s v="Não operacional"/>
    <s v="ES 0099"/>
    <x v="6"/>
    <m/>
    <m/>
    <m/>
    <n v="0"/>
    <s v="0"/>
    <s v="0"/>
    <s v="0"/>
    <s v=""/>
    <s v="0"/>
    <s v="0"/>
    <s v=""/>
    <s v=""/>
    <s v="0"/>
    <s v="0"/>
    <s v=""/>
    <s v="0"/>
    <s v=""/>
    <s v="7806.5"/>
    <s v="109978"/>
    <s v="316475"/>
    <s v="0"/>
    <s v=""/>
    <s v="244.6"/>
  </r>
  <r>
    <x v="62"/>
    <x v="1"/>
    <s v="Não operacional"/>
    <s v="ES 0101"/>
    <x v="0"/>
    <m/>
    <m/>
    <m/>
    <n v="0"/>
    <s v="0"/>
    <s v="0"/>
    <s v="0"/>
    <s v=""/>
    <s v="0"/>
    <s v="0"/>
    <s v=""/>
    <s v=""/>
    <s v="0"/>
    <s v="0"/>
    <s v=""/>
    <s v="0"/>
    <s v=""/>
    <s v="6497.75"/>
    <s v="409361"/>
    <s v="1451187"/>
    <s v="0"/>
    <s v=""/>
    <s v="47.6"/>
  </r>
  <r>
    <x v="62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"/>
    <x v="10"/>
    <s v="Em operação"/>
    <s v="ES 0097"/>
    <x v="2"/>
    <m/>
    <m/>
    <n v="2500"/>
    <n v="278.15934065934067"/>
    <s v="8.78"/>
    <n v="7.28"/>
    <s v="1.5"/>
    <s v="17.09"/>
    <s v=" "/>
    <n v="2025"/>
    <s v=" "/>
    <s v=" "/>
    <s v="153.78"/>
    <s v="5.68"/>
    <s v="3.79"/>
    <s v="148.1"/>
    <s v="20.35"/>
    <s v="8734.12"/>
    <s v=" "/>
    <s v=" "/>
    <s v="0.1"/>
    <s v=" "/>
    <s v="238.3"/>
  </r>
  <r>
    <x v="63"/>
    <x v="10"/>
    <s v="Em operação"/>
    <s v="ES 0135"/>
    <x v="2"/>
    <s v=" "/>
    <s v=" "/>
    <n v="2500"/>
    <n v="293.52226720647775"/>
    <s v="9.41"/>
    <n v="7.41"/>
    <n v="2"/>
    <s v="21.26"/>
    <n v="41"/>
    <n v="2175"/>
    <s v="1.73"/>
    <s v="0.44"/>
    <s v="161.35"/>
    <s v="6.62"/>
    <s v="3.31"/>
    <s v="154.73"/>
    <s v="20.89"/>
    <s v="445.95"/>
    <n v="32724"/>
    <n v="65424"/>
    <s v="1.1"/>
    <s v="0.03"/>
    <s v="40.9"/>
  </r>
  <r>
    <x v="63"/>
    <x v="10"/>
    <s v="Em operação"/>
    <s v="ES 0110"/>
    <x v="2"/>
    <s v=" "/>
    <s v=" "/>
    <n v="2500"/>
    <n v="346.00246002460023"/>
    <s v="9.13"/>
    <n v="8.1300000000000008"/>
    <n v="1"/>
    <s v="10.95"/>
    <n v="1352"/>
    <n v="2813"/>
    <s v="2.08"/>
    <s v="15.64"/>
    <s v="179.81"/>
    <s v="4.73"/>
    <s v="4.73"/>
    <s v="175.08"/>
    <s v="21.53"/>
    <s v="2325.02"/>
    <n v="144455"/>
    <n v="271852"/>
    <s v="0.2"/>
    <n v="0"/>
    <s v="310.8"/>
  </r>
  <r>
    <x v="63"/>
    <x v="10"/>
    <s v="Em operação"/>
    <s v="ES 0126"/>
    <x v="2"/>
    <s v=" "/>
    <s v=" "/>
    <n v="2500"/>
    <n v="372.95850066934406"/>
    <s v="8.42"/>
    <n v="7.47"/>
    <s v="0.95"/>
    <s v="11.28"/>
    <n v="1279"/>
    <n v="2786"/>
    <s v="2.18"/>
    <s v="16.77"/>
    <s v="166.08"/>
    <s v="3.79"/>
    <s v="3.98"/>
    <s v="162.3"/>
    <s v="21.73"/>
    <s v="853.93"/>
    <n v="87035"/>
    <n v="188000"/>
    <s v="0.1"/>
    <n v="0"/>
    <s v="82.7"/>
  </r>
  <r>
    <x v="63"/>
    <x v="1"/>
    <s v="Não operacional"/>
    <s v="ES 0096"/>
    <x v="2"/>
    <m/>
    <s v="Na oficina"/>
    <m/>
    <n v="0"/>
    <m/>
    <m/>
    <m/>
    <m/>
    <m/>
    <m/>
    <m/>
    <m/>
    <m/>
    <m/>
    <m/>
    <m/>
    <m/>
    <s v=" "/>
    <s v=" "/>
    <s v=" "/>
    <s v=" "/>
    <s v=" "/>
    <s v=" "/>
  </r>
  <r>
    <x v="63"/>
    <x v="10"/>
    <s v="Em operação"/>
    <s v="ES 0099"/>
    <x v="2"/>
    <s v=" "/>
    <s v=" "/>
    <n v="2500"/>
    <n v="559.77229601518036"/>
    <s v="12.64"/>
    <n v="10.54"/>
    <s v="2.1"/>
    <s v="16.62"/>
    <n v="0"/>
    <n v="5900"/>
    <s v=" "/>
    <n v="0"/>
    <s v="347.78"/>
    <s v="12.78"/>
    <s v="6.08"/>
    <s v="335.01"/>
    <s v="31.8"/>
    <s v="7819.14"/>
    <n v="109978"/>
    <n v="316475"/>
    <s v="0.5"/>
    <s v=" "/>
    <s v="245.1"/>
  </r>
  <r>
    <x v="63"/>
    <x v="10"/>
    <s v="Em operação"/>
    <s v="ES 0116"/>
    <x v="2"/>
    <s v=" "/>
    <s v=" "/>
    <n v="2500"/>
    <n v="291.68797953964196"/>
    <s v="8.77"/>
    <n v="7.82"/>
    <s v="0.95"/>
    <s v="10.84"/>
    <n v="935"/>
    <n v="2281"/>
    <s v="2.44"/>
    <s v="7.13"/>
    <s v="319.87"/>
    <s v="4.73"/>
    <s v="4.98"/>
    <s v="315.14"/>
    <s v="40.31"/>
    <s v="1844.43"/>
    <n v="179637"/>
    <n v="610615"/>
    <n v="0"/>
    <n v="0"/>
    <n v="5"/>
  </r>
  <r>
    <x v="63"/>
    <x v="10"/>
    <s v="Em operação"/>
    <s v="ES 0101"/>
    <x v="0"/>
    <n v="2768"/>
    <s v=" "/>
    <n v="6000"/>
    <n v="580.72487644151568"/>
    <s v="7.87"/>
    <n v="6.07"/>
    <s v="1.8"/>
    <s v="22.87"/>
    <n v="773"/>
    <n v="3525"/>
    <s v="4.56"/>
    <s v="14.58"/>
    <s v="241.79"/>
    <s v="9.94"/>
    <s v="5.52"/>
    <s v="231.86"/>
    <s v="38.2"/>
    <s v="6505.62"/>
    <n v="410134"/>
    <n v="1454712"/>
    <s v="0.1"/>
    <n v="0"/>
    <s v="47.7"/>
  </r>
  <r>
    <x v="64"/>
    <x v="1"/>
    <s v="Não operacional"/>
    <s v="ES 0096"/>
    <x v="2"/>
    <m/>
    <s v="Na oficina"/>
    <m/>
    <n v="0"/>
    <m/>
    <m/>
    <m/>
    <m/>
    <m/>
    <m/>
    <m/>
    <m/>
    <m/>
    <m/>
    <m/>
    <m/>
    <m/>
    <s v=" "/>
    <s v=" "/>
    <s v=" "/>
    <s v=" "/>
    <s v=" "/>
    <s v=" "/>
  </r>
  <r>
    <x v="64"/>
    <x v="10"/>
    <s v="Em operação"/>
    <s v="ES 0097"/>
    <x v="2"/>
    <m/>
    <m/>
    <n v="2500"/>
    <n v="348.67503486750348"/>
    <s v="8.37"/>
    <n v="7.17"/>
    <s v="1.2"/>
    <s v="14.33"/>
    <s v=" "/>
    <n v="2500"/>
    <s v=" "/>
    <s v=" "/>
    <n v="150"/>
    <s v="5.2"/>
    <s v="4.34"/>
    <s v="144.79"/>
    <s v="20.19"/>
    <s v="8742.49"/>
    <s v=" "/>
    <s v=" "/>
    <s v="0.1"/>
    <s v=" "/>
    <s v="238.4"/>
  </r>
  <r>
    <x v="64"/>
    <x v="10"/>
    <s v="Em operação"/>
    <s v="ES 0135"/>
    <x v="2"/>
    <s v=" "/>
    <s v=" "/>
    <n v="2500"/>
    <n v="204.75460122699388"/>
    <s v="8.32"/>
    <n v="6.52"/>
    <s v="1.8"/>
    <s v="21.62"/>
    <n v="1225"/>
    <n v="1335"/>
    <s v="1.54"/>
    <s v="13.59"/>
    <s v="138.64"/>
    <s v="6.15"/>
    <s v="3.42"/>
    <s v="132.49"/>
    <s v="20.31"/>
    <s v="454.27"/>
    <n v="33949"/>
    <n v="67308"/>
    <s v="0.2"/>
    <n v="0"/>
    <s v="41.1"/>
  </r>
  <r>
    <x v="64"/>
    <x v="10"/>
    <s v="Em operação"/>
    <s v="ES 0110"/>
    <x v="2"/>
    <s v=" "/>
    <s v=" "/>
    <n v="2500"/>
    <n v="333.94607843137254"/>
    <s v="9.01"/>
    <n v="8.16"/>
    <s v="0.85"/>
    <s v="9.44"/>
    <n v="1387"/>
    <n v="2725"/>
    <s v="1.96"/>
    <s v="15.28"/>
    <s v="178.39"/>
    <s v="2.84"/>
    <s v="3.34"/>
    <s v="175.55"/>
    <s v="21.52"/>
    <s v="2334.03"/>
    <n v="145842"/>
    <n v="274577"/>
    <s v="0.2"/>
    <n v="0"/>
    <n v="311"/>
  </r>
  <r>
    <x v="64"/>
    <x v="10"/>
    <s v="Em operação"/>
    <s v="ES 0126"/>
    <x v="2"/>
    <s v=" "/>
    <s v=" "/>
    <n v="2500"/>
    <n v="303.17829457364343"/>
    <s v="13.5"/>
    <n v="12.9"/>
    <s v="0.6"/>
    <s v="4.44"/>
    <n v="1616"/>
    <n v="3911"/>
    <s v="2.42"/>
    <s v="13.94"/>
    <s v="280.59"/>
    <s v="2.37"/>
    <s v="3.94"/>
    <s v="278.23"/>
    <s v="21.56"/>
    <s v="867.44"/>
    <n v="88651"/>
    <n v="191911"/>
    <n v="4"/>
    <n v="0"/>
    <s v="86.7"/>
  </r>
  <r>
    <x v="64"/>
    <x v="10"/>
    <s v="Em operação"/>
    <s v="ES 0099"/>
    <x v="2"/>
    <s v=" "/>
    <s v=" "/>
    <n v="2500"/>
    <n v="470.89041095890411"/>
    <s v="12.36"/>
    <n v="8.76"/>
    <s v="3.6"/>
    <s v="29.14"/>
    <n v="421"/>
    <n v="4125"/>
    <s v="3.62"/>
    <s v="5.21"/>
    <s v="292.9"/>
    <s v="20.35"/>
    <s v="5.65"/>
    <s v="272.55"/>
    <s v="31.13"/>
    <s v="7831.49"/>
    <n v="110399"/>
    <n v="318000"/>
    <n v="1"/>
    <n v="0"/>
    <s v="246.1"/>
  </r>
  <r>
    <x v="64"/>
    <x v="10"/>
    <s v="Em operação"/>
    <s v="ES 0116"/>
    <x v="2"/>
    <s v=" "/>
    <s v=" "/>
    <n v="2500"/>
    <n v="220.7177814029364"/>
    <s v="6.88"/>
    <n v="6.13"/>
    <s v="0.75"/>
    <s v="10.9"/>
    <n v="517"/>
    <n v="1353"/>
    <s v="2.62"/>
    <s v="5.54"/>
    <s v="244.16"/>
    <s v="3.79"/>
    <s v="5.05"/>
    <s v="240.37"/>
    <s v="39.21"/>
    <s v="1851.31"/>
    <n v="180154"/>
    <n v="611968"/>
    <n v="0"/>
    <n v="0"/>
    <n v="5"/>
  </r>
  <r>
    <x v="64"/>
    <x v="10"/>
    <s v="Em operação"/>
    <s v="ES 0101"/>
    <x v="0"/>
    <n v="2467"/>
    <s v=" "/>
    <n v="6000"/>
    <n v="691.82004089979557"/>
    <s v="5.99"/>
    <n v="4.8899999999999997"/>
    <s v="1.1"/>
    <s v="18.36"/>
    <n v="723"/>
    <n v="3383"/>
    <s v="4.68"/>
    <s v="17.06"/>
    <s v="198.26"/>
    <s v="6.15"/>
    <s v="5.59"/>
    <s v="192.11"/>
    <s v="39.27"/>
    <s v="6511.61"/>
    <n v="410857"/>
    <n v="1458095"/>
    <n v="0"/>
    <n v="0"/>
    <s v="47.7"/>
  </r>
  <r>
    <x v="65"/>
    <x v="10"/>
    <s v="Em operação"/>
    <s v="ES 0096"/>
    <x v="2"/>
    <m/>
    <m/>
    <n v="2142.8571428571427"/>
    <n v="168.13953488372093"/>
    <s v="7.85"/>
    <n v="4.3"/>
    <s v="3.55"/>
    <s v="45.24"/>
    <n v="497"/>
    <n v="723"/>
    <s v="1.45"/>
    <s v="7.14"/>
    <s v="101.26"/>
    <s v="14.2"/>
    <n v="4"/>
    <s v="87.06"/>
    <s v="20.26"/>
    <s v="9078.75"/>
    <n v="72885"/>
    <n v="107406"/>
    <n v="0"/>
    <n v="0"/>
    <s v="283.4"/>
  </r>
  <r>
    <x v="65"/>
    <x v="10"/>
    <s v="Em operação"/>
    <s v="ES 0097"/>
    <x v="2"/>
    <m/>
    <m/>
    <n v="2142.8571428571427"/>
    <n v="156.9678407350689"/>
    <s v="8.83"/>
    <n v="6.53"/>
    <s v="2.3"/>
    <s v="26.06"/>
    <s v=" "/>
    <n v="1025"/>
    <s v=" "/>
    <s v=" "/>
    <s v="134.38"/>
    <s v="9.46"/>
    <s v="4.11"/>
    <s v="124.92"/>
    <s v="19.14"/>
    <s v="8751.31"/>
    <s v=" "/>
    <s v=" "/>
    <n v="1"/>
    <s v=" "/>
    <s v="239.4"/>
  </r>
  <r>
    <x v="65"/>
    <x v="10"/>
    <s v="Em operação"/>
    <s v="ES 0135"/>
    <x v="2"/>
    <s v=" "/>
    <s v=" "/>
    <n v="2142.8571428571427"/>
    <n v="155.29411764705884"/>
    <s v="8.25"/>
    <n v="6.8"/>
    <s v="1.45"/>
    <s v="17.58"/>
    <n v="845"/>
    <n v="1056"/>
    <s v="1.63"/>
    <s v="9.48"/>
    <s v="145.27"/>
    <s v="5.2"/>
    <s v="3.59"/>
    <s v="140.06"/>
    <s v="20.6"/>
    <s v="462.52"/>
    <n v="34794"/>
    <n v="68685"/>
    <s v="0.9"/>
    <n v="0"/>
    <n v="42"/>
  </r>
  <r>
    <x v="65"/>
    <x v="10"/>
    <s v="Em operação"/>
    <s v="ES 0110"/>
    <x v="2"/>
    <s v=" "/>
    <s v=" "/>
    <n v="2142.8571428571427"/>
    <n v="310.79234972677597"/>
    <s v="8.37"/>
    <n v="7.32"/>
    <s v="1.05"/>
    <s v="12.55"/>
    <n v="1110"/>
    <n v="2275"/>
    <s v="2.05"/>
    <s v="14.35"/>
    <s v="158.51"/>
    <s v="4.73"/>
    <s v="4.51"/>
    <s v="153.78"/>
    <s v="21.01"/>
    <s v="2342.4"/>
    <n v="146952"/>
    <n v="276852"/>
    <s v="0.6"/>
    <n v="0"/>
    <s v="311.6"/>
  </r>
  <r>
    <x v="65"/>
    <x v="10"/>
    <s v="Em operação"/>
    <s v="ES 0126"/>
    <x v="2"/>
    <s v=" "/>
    <s v=" "/>
    <n v="2142.8571428571427"/>
    <n v="311.08126259234382"/>
    <s v="15.84"/>
    <n v="14.89"/>
    <s v="0.95"/>
    <n v="6"/>
    <n v="1922"/>
    <n v="4632"/>
    <s v="2.41"/>
    <s v="14.27"/>
    <s v="324.6"/>
    <s v="3.31"/>
    <s v="3.49"/>
    <s v="321.29"/>
    <s v="21.58"/>
    <s v="883.28"/>
    <n v="90573"/>
    <n v="196543"/>
    <s v="0.3"/>
    <n v="0"/>
    <n v="87"/>
  </r>
  <r>
    <x v="65"/>
    <x v="10"/>
    <s v="Em operação"/>
    <s v="ES 0099"/>
    <x v="2"/>
    <s v=" "/>
    <s v=" "/>
    <n v="2142.8571428571427"/>
    <n v="362.18611521418023"/>
    <s v="8.52"/>
    <n v="6.77"/>
    <s v="1.75"/>
    <s v="20.53"/>
    <n v="815"/>
    <n v="2452"/>
    <s v="3.01"/>
    <s v="11.31"/>
    <s v="216.71"/>
    <s v="10.88"/>
    <s v="6.22"/>
    <s v="205.83"/>
    <s v="30.39"/>
    <s v="7840.02"/>
    <n v="111214"/>
    <n v="320452"/>
    <s v="0.3"/>
    <n v="0"/>
    <s v="246.4"/>
  </r>
  <r>
    <x v="65"/>
    <x v="10"/>
    <s v="Em operação"/>
    <s v="ES 0116"/>
    <x v="2"/>
    <s v=" "/>
    <s v=" "/>
    <n v="2142.8571428571427"/>
    <n v="669.78193146417448"/>
    <s v="7.67"/>
    <n v="6.42"/>
    <s v="1.25"/>
    <s v="16.3"/>
    <n v="1042"/>
    <n v="4300"/>
    <s v="4.13"/>
    <s v="15.78"/>
    <s v="272.55"/>
    <s v="5.2"/>
    <s v="4.16"/>
    <s v="267.34"/>
    <s v="41.65"/>
    <s v="1858.98"/>
    <n v="181196"/>
    <n v="616268"/>
    <n v="0"/>
    <n v="0"/>
    <n v="5"/>
  </r>
  <r>
    <x v="65"/>
    <x v="10"/>
    <s v="Em operação"/>
    <s v="ES 0101"/>
    <x v="0"/>
    <n v="3244"/>
    <s v=" "/>
    <n v="6000"/>
    <n v="811.86440677966107"/>
    <s v="5.67"/>
    <n v="4.72"/>
    <s v="0.95"/>
    <s v="16.74"/>
    <n v="725"/>
    <n v="3832"/>
    <s v="5.29"/>
    <s v="20.05"/>
    <s v="191.16"/>
    <s v="5.68"/>
    <s v="5.98"/>
    <s v="185.49"/>
    <s v="39.27"/>
    <s v="6517.29"/>
    <n v="411582"/>
    <n v="1461927"/>
    <n v="0"/>
    <n v="0"/>
    <s v="47.7"/>
  </r>
  <r>
    <x v="66"/>
    <x v="10"/>
    <s v="Em operação"/>
    <s v="ES 0096"/>
    <x v="2"/>
    <m/>
    <m/>
    <n v="2142.8571428571427"/>
    <n v="94.896551724137936"/>
    <s v="8.15"/>
    <n v="7.25"/>
    <s v="0.9"/>
    <s v="11.05"/>
    <n v="434"/>
    <n v="688"/>
    <s v="1.59"/>
    <s v="7.34"/>
    <s v="93.69"/>
    <s v="3.79"/>
    <s v="4.21"/>
    <s v="89.9"/>
    <s v="12.41"/>
    <s v="9086.9"/>
    <n v="73319"/>
    <n v="108094"/>
    <n v="1"/>
    <n v="0"/>
    <s v="284.4"/>
  </r>
  <r>
    <x v="66"/>
    <x v="10"/>
    <s v="Em operação"/>
    <s v="ES 0097"/>
    <x v="2"/>
    <m/>
    <m/>
    <n v="2142.8571428571427"/>
    <n v="191.36807817589579"/>
    <s v="7.19"/>
    <n v="6.14"/>
    <s v="1.05"/>
    <s v="14.6"/>
    <s v=" "/>
    <n v="1175"/>
    <s v=" "/>
    <s v=" "/>
    <s v="122.08"/>
    <s v="3.31"/>
    <s v="3.15"/>
    <s v="118.77"/>
    <s v="19.34"/>
    <s v="8758.5"/>
    <s v=" "/>
    <s v=" "/>
    <s v="0.5"/>
    <s v=" "/>
    <s v="239.9"/>
  </r>
  <r>
    <x v="66"/>
    <x v="10"/>
    <s v="Em operação"/>
    <s v="ES 0135"/>
    <x v="2"/>
    <s v=" "/>
    <s v=" "/>
    <n v="2142.8571428571427"/>
    <n v="229.69230769230768"/>
    <s v="8.35"/>
    <n v="6.5"/>
    <s v="1.85"/>
    <s v="22.15"/>
    <n v="752"/>
    <n v="1493"/>
    <s v="1.99"/>
    <s v="11.56"/>
    <s v="129.18"/>
    <s v="6.15"/>
    <s v="3.33"/>
    <s v="123.03"/>
    <s v="18.92"/>
    <s v="470.88"/>
    <n v="35546"/>
    <n v="70178"/>
    <s v="0.3"/>
    <n v="0"/>
    <s v="42.3"/>
  </r>
  <r>
    <x v="66"/>
    <x v="10"/>
    <s v="Em operação"/>
    <s v="ES 0110"/>
    <x v="2"/>
    <s v=" "/>
    <s v=" "/>
    <n v="2142.8571428571427"/>
    <n v="349.51185495118551"/>
    <s v="8.62"/>
    <n v="7.17"/>
    <s v="1.45"/>
    <s v="16.83"/>
    <n v="1137"/>
    <n v="2506"/>
    <s v="2.2"/>
    <s v="16.2"/>
    <s v="154.73"/>
    <s v="4.73"/>
    <s v="3.26"/>
    <n v="150"/>
    <s v="20.93"/>
    <s v="2351.01"/>
    <n v="148089"/>
    <n v="279358"/>
    <s v="0.2"/>
    <n v="0"/>
    <s v="311.8"/>
  </r>
  <r>
    <x v="66"/>
    <x v="10"/>
    <s v="Em operação"/>
    <s v="ES 0126"/>
    <x v="2"/>
    <s v=" "/>
    <s v=" "/>
    <n v="2142.8571428571427"/>
    <n v="253.39901477832512"/>
    <s v="10.65"/>
    <n v="10.15"/>
    <s v="0.5"/>
    <s v="4.69"/>
    <n v="1456"/>
    <n v="2572"/>
    <s v="2.19"/>
    <s v="14.21"/>
    <s v="224.29"/>
    <s v="1.42"/>
    <s v="2.84"/>
    <s v="222.87"/>
    <s v="21.95"/>
    <s v="893.93"/>
    <n v="92029"/>
    <n v="199731"/>
    <s v="0.5"/>
    <n v="0"/>
    <s v="87.5"/>
  </r>
  <r>
    <x v="66"/>
    <x v="10"/>
    <s v="Em operação"/>
    <s v="ES 0099"/>
    <x v="2"/>
    <s v=" "/>
    <s v=" "/>
    <n v="2142.8571428571427"/>
    <n v="363.45966958211858"/>
    <s v="13.29"/>
    <n v="10.29"/>
    <n v="3"/>
    <s v="22.57"/>
    <n v="985"/>
    <n v="3740"/>
    <s v="3.8"/>
    <s v="11.16"/>
    <s v="335.01"/>
    <s v="17.03"/>
    <s v="5.68"/>
    <s v="317.97"/>
    <s v="30.89"/>
    <s v="7853.31"/>
    <n v="112199"/>
    <n v="324192"/>
    <s v="0.2"/>
    <n v="0"/>
    <s v="246.6"/>
  </r>
  <r>
    <x v="66"/>
    <x v="10"/>
    <s v="Em operação"/>
    <s v="ES 0116"/>
    <x v="2"/>
    <s v=" "/>
    <s v=" "/>
    <n v="2142.8571428571427"/>
    <n v="469.46564885496178"/>
    <s v="6.38"/>
    <n v="3.93"/>
    <s v="2.45"/>
    <s v="38.41"/>
    <n v="535"/>
    <n v="1845"/>
    <s v="3.45"/>
    <s v="11.2"/>
    <s v="164.67"/>
    <s v="9.46"/>
    <s v="3.86"/>
    <s v="155.2"/>
    <s v="39.5"/>
    <s v="1865.36"/>
    <n v="181731"/>
    <n v="618113"/>
    <n v="0"/>
    <n v="0"/>
    <n v="5"/>
  </r>
  <r>
    <x v="66"/>
    <x v="1"/>
    <s v="Não operacional"/>
    <s v="ES 0101"/>
    <x v="0"/>
    <m/>
    <s v="Na oficina"/>
    <s v=" "/>
    <n v="0"/>
    <s v="0.7"/>
    <n v="0.5"/>
    <s v="0.2"/>
    <s v="28.5"/>
    <n v="28"/>
    <n v="0"/>
    <s v="5.5"/>
    <s v="10.17"/>
    <s v="15.14"/>
    <s v="1.89"/>
    <s v="9.46"/>
    <s v="13.25"/>
    <s v="26.41"/>
    <s v="6517.99"/>
    <n v="411610"/>
    <n v="1462081"/>
    <n v="0"/>
    <n v="0"/>
    <s v="47.7"/>
  </r>
  <r>
    <x v="67"/>
    <x v="10"/>
    <s v="Em operação"/>
    <s v="ES 0096"/>
    <x v="2"/>
    <m/>
    <m/>
    <n v="2142.8571428571427"/>
    <n v="268.32797427652736"/>
    <s v="8.27"/>
    <n v="6.22"/>
    <s v="2.05"/>
    <s v="24.79"/>
    <n v="1046"/>
    <n v="1669"/>
    <s v="1.6"/>
    <s v="7.93"/>
    <s v="210.56"/>
    <s v="8.99"/>
    <s v="4.39"/>
    <s v="201.57"/>
    <s v="32.41"/>
    <s v="9095.17"/>
    <n v="74365"/>
    <n v="109763"/>
    <s v="0.1"/>
    <n v="0"/>
    <s v="284.5"/>
  </r>
  <r>
    <x v="67"/>
    <x v="10"/>
    <s v="Em operação"/>
    <s v="ES 0097"/>
    <x v="2"/>
    <m/>
    <m/>
    <n v="2142.8571428571427"/>
    <n v="284.21052631578948"/>
    <s v="7.4"/>
    <n v="4.75"/>
    <s v="2.65"/>
    <s v="35.79"/>
    <s v=" "/>
    <n v="1350"/>
    <s v=" "/>
    <s v=" "/>
    <s v="103.15"/>
    <s v="11.36"/>
    <s v="4.29"/>
    <s v="91.8"/>
    <s v="19.31"/>
    <s v="8765.91"/>
    <s v=" "/>
    <s v=" "/>
    <s v="0.8"/>
    <s v=" "/>
    <s v="240.7"/>
  </r>
  <r>
    <x v="67"/>
    <x v="10"/>
    <s v="Em operação"/>
    <s v="ES 0135"/>
    <x v="2"/>
    <s v=" "/>
    <s v=" "/>
    <n v="2142.8571428571427"/>
    <n v="66.372795969773293"/>
    <s v="8.59"/>
    <n v="7.94"/>
    <s v="0.65"/>
    <s v="7.57"/>
    <n v="654"/>
    <n v="527"/>
    <s v="0.81"/>
    <s v="3.94"/>
    <s v="133.91"/>
    <s v="2.37"/>
    <s v="3.64"/>
    <s v="131.54"/>
    <s v="16.57"/>
    <s v="479.47"/>
    <n v="36200"/>
    <n v="70705"/>
    <s v="0.5"/>
    <n v="0"/>
    <s v="42.8"/>
  </r>
  <r>
    <x v="67"/>
    <x v="10"/>
    <s v="Em operação"/>
    <s v="ES 0110"/>
    <x v="2"/>
    <s v=" "/>
    <s v=" "/>
    <n v="2142.8571428571427"/>
    <n v="439.15416098226467"/>
    <s v="8.78"/>
    <n v="7.33"/>
    <s v="1.45"/>
    <s v="16.51"/>
    <n v="1333"/>
    <n v="3219"/>
    <s v="2.41"/>
    <s v="19.61"/>
    <s v="164.19"/>
    <s v="6.15"/>
    <s v="4.24"/>
    <s v="158.04"/>
    <s v="21.56"/>
    <s v="2359.79"/>
    <n v="149422"/>
    <n v="282577"/>
    <s v="0.1"/>
    <n v="0"/>
    <s v="311.9"/>
  </r>
  <r>
    <x v="67"/>
    <x v="10"/>
    <s v="Em operação"/>
    <s v="ES 0126"/>
    <x v="2"/>
    <s v=" "/>
    <s v=" "/>
    <n v="2142.8571428571427"/>
    <n v="296.55831739961758"/>
    <s v="13.31"/>
    <n v="10.46"/>
    <s v="2.85"/>
    <s v="21.42"/>
    <n v="1189"/>
    <n v="3102"/>
    <s v="2.61"/>
    <s v="13.89"/>
    <s v="223.34"/>
    <s v="10.88"/>
    <s v="3.82"/>
    <s v="212.46"/>
    <s v="20.32"/>
    <s v="907.24"/>
    <n v="93218"/>
    <n v="202833"/>
    <s v="0.9"/>
    <n v="0"/>
    <s v="88.4"/>
  </r>
  <r>
    <x v="67"/>
    <x v="10"/>
    <s v="Em operação"/>
    <s v="ES 0099"/>
    <x v="2"/>
    <s v=" "/>
    <s v=" "/>
    <n v="2142.8571428571427"/>
    <n v="352.11822660098522"/>
    <n v="12"/>
    <n v="10.15"/>
    <s v="1.85"/>
    <s v="15.41"/>
    <n v="916"/>
    <n v="3574"/>
    <s v="3.9"/>
    <s v="11.06"/>
    <s v="323.18"/>
    <s v="11.36"/>
    <s v="6.14"/>
    <s v="311.82"/>
    <s v="30.72"/>
    <s v="7865.31"/>
    <n v="113115"/>
    <n v="327766"/>
    <s v="0.5"/>
    <n v="0"/>
    <s v="247.1"/>
  </r>
  <r>
    <x v="67"/>
    <x v="10"/>
    <s v="Em operação"/>
    <s v="ES 0116"/>
    <x v="2"/>
    <s v=" "/>
    <s v=" "/>
    <n v="2142.8571428571427"/>
    <n v="300"/>
    <s v="7.3"/>
    <n v="5.9"/>
    <s v="1.4"/>
    <s v="19.17"/>
    <n v="765"/>
    <n v="1770"/>
    <s v="3.13"/>
    <s v="10.21"/>
    <s v="234.7"/>
    <s v="6.62"/>
    <s v="4.73"/>
    <s v="228.07"/>
    <s v="38.64"/>
    <s v="1872.66"/>
    <n v="182496"/>
    <n v="620509"/>
    <s v="0.1"/>
    <n v="0"/>
    <s v="5.1"/>
  </r>
  <r>
    <x v="67"/>
    <x v="10"/>
    <s v="Em operação"/>
    <s v="ES 0101"/>
    <x v="0"/>
    <s v="-"/>
    <s v=" "/>
    <n v="6000"/>
    <n v="563.69047619047626"/>
    <s v="3.91"/>
    <n v="3.36"/>
    <s v="0.55"/>
    <s v="14.05"/>
    <n v="423"/>
    <n v="1894"/>
    <s v="4.48"/>
    <s v="13.71"/>
    <s v="138.17"/>
    <s v="2.84"/>
    <s v="5.16"/>
    <s v="135.33"/>
    <s v="40.22"/>
    <s v="6521.9"/>
    <n v="412033"/>
    <n v="1463975"/>
    <n v="0"/>
    <n v="0"/>
    <s v="47.7"/>
  </r>
  <r>
    <x v="68"/>
    <x v="10"/>
    <s v="Em operação"/>
    <s v="ES 0096"/>
    <x v="2"/>
    <s v=" "/>
    <s v=" "/>
    <n v="2142.8571428571427"/>
    <n v="157.53424657534245"/>
    <s v="5.86"/>
    <n v="5.1100000000000003"/>
    <s v="0.75"/>
    <s v="12.79"/>
    <n v="464"/>
    <n v="805"/>
    <s v="1.73"/>
    <s v="7.53"/>
    <s v="106.94"/>
    <s v="2.84"/>
    <s v="3.79"/>
    <s v="104.1"/>
    <s v="20.36"/>
    <s v="9101.03"/>
    <n v="74829"/>
    <n v="110568"/>
    <n v="0"/>
    <n v="0"/>
    <s v="284.5"/>
  </r>
  <r>
    <x v="68"/>
    <x v="1"/>
    <s v="Não operacional"/>
    <s v="ES 0101"/>
    <x v="0"/>
    <m/>
    <s v="Na oficina"/>
    <s v=" "/>
    <n v="0"/>
    <s v="0.32"/>
    <n v="0.27"/>
    <s v="0.05"/>
    <s v="15.72"/>
    <n v="0"/>
    <n v="0"/>
    <s v=" "/>
    <n v="0"/>
    <s v="6.62"/>
    <s v="0.47"/>
    <s v="9.46"/>
    <s v="6.15"/>
    <s v="22.94"/>
    <s v="6522.22"/>
    <n v="412033"/>
    <n v="1463975"/>
    <n v="0"/>
    <s v=" "/>
    <s v="47.7"/>
  </r>
  <r>
    <x v="68"/>
    <x v="10"/>
    <s v="Em operação"/>
    <s v="ES 0097"/>
    <x v="2"/>
    <s v=" "/>
    <s v=" "/>
    <n v="2142.8571428571427"/>
    <n v="157.52032520325204"/>
    <s v="6.97"/>
    <n v="4.92"/>
    <s v="2.05"/>
    <s v="29.42"/>
    <s v=" "/>
    <n v="775"/>
    <s v=" "/>
    <s v=" "/>
    <s v="109.3"/>
    <s v="8.04"/>
    <s v="3.92"/>
    <s v="101.26"/>
    <s v="20.59"/>
    <s v="8772.88"/>
    <s v=" "/>
    <s v=" "/>
    <n v="0"/>
    <s v=" "/>
    <s v="240.7"/>
  </r>
  <r>
    <x v="68"/>
    <x v="10"/>
    <s v="Em operação"/>
    <s v="ES 0135"/>
    <x v="2"/>
    <s v=" "/>
    <s v=" "/>
    <n v="2142.8571428571427"/>
    <n v="110.45918367346938"/>
    <s v="5.47"/>
    <n v="3.92"/>
    <s v="1.55"/>
    <s v="28.34"/>
    <n v="224"/>
    <n v="433"/>
    <s v="1.93"/>
    <s v="8.8"/>
    <s v="49.21"/>
    <s v="5.2"/>
    <s v="3.36"/>
    <s v="44.01"/>
    <s v="11.23"/>
    <s v="484.94"/>
    <n v="36718"/>
    <n v="71552"/>
    <s v="1.6"/>
    <s v="0.01"/>
    <s v="44.7"/>
  </r>
  <r>
    <x v="68"/>
    <x v="10"/>
    <s v="Em operação"/>
    <s v="ES 0110"/>
    <x v="2"/>
    <s v=" "/>
    <s v=" "/>
    <n v="2142.8571428571427"/>
    <n v="353.83275261324042"/>
    <s v="6.79"/>
    <n v="5.74"/>
    <s v="1.05"/>
    <s v="15.46"/>
    <n v="920"/>
    <n v="2031"/>
    <s v="2.21"/>
    <s v="17.31"/>
    <s v="117.35"/>
    <s v="3.31"/>
    <s v="3.15"/>
    <s v="114.04"/>
    <s v="19.86"/>
    <s v="2366.58"/>
    <n v="150342"/>
    <n v="284608"/>
    <n v="0"/>
    <n v="0"/>
    <s v="311.9"/>
  </r>
  <r>
    <x v="68"/>
    <x v="10"/>
    <s v="Em operação"/>
    <s v="ES 0126"/>
    <x v="2"/>
    <s v=" "/>
    <s v=" "/>
    <n v="2142.8571428571427"/>
    <n v="192.35412474849096"/>
    <s v="5.87"/>
    <n v="4.97"/>
    <s v="0.9"/>
    <s v="15.32"/>
    <n v="337"/>
    <n v="956"/>
    <s v="2.84"/>
    <s v="13.47"/>
    <s v="70.98"/>
    <s v="3.31"/>
    <s v="3.68"/>
    <s v="67.66"/>
    <s v="13.61"/>
    <s v="913.11"/>
    <n v="93585"/>
    <n v="203866"/>
    <n v="1"/>
    <n v="0"/>
    <s v="89.5"/>
  </r>
  <r>
    <x v="68"/>
    <x v="10"/>
    <s v="Em operação"/>
    <s v="ES 0099"/>
    <x v="2"/>
    <s v=" "/>
    <s v=" "/>
    <n v="2142.8571428571427"/>
    <n v="444.04761904761904"/>
    <s v="6.15"/>
    <n v="4.2"/>
    <s v="1.95"/>
    <s v="31.71"/>
    <n v="474"/>
    <n v="1865"/>
    <s v="3.93"/>
    <s v="13.73"/>
    <s v="135.8"/>
    <s v="11.36"/>
    <s v="5.82"/>
    <s v="124.45"/>
    <s v="29.64"/>
    <s v="7871.46"/>
    <n v="113589"/>
    <n v="329631"/>
    <n v="0"/>
    <n v="0"/>
    <s v="247.1"/>
  </r>
  <r>
    <x v="68"/>
    <x v="10"/>
    <s v="Em operação"/>
    <s v="ES 0116"/>
    <x v="2"/>
    <s v=" "/>
    <m/>
    <n v="2142.8571428571427"/>
    <n v="252.72727272727272"/>
    <s v="6.1"/>
    <n v="5.5"/>
    <s v="0.6"/>
    <s v="9.83"/>
    <n v="403"/>
    <n v="1390"/>
    <s v="3.45"/>
    <s v="11.34"/>
    <s v="122.55"/>
    <s v="2.37"/>
    <s v="3.94"/>
    <s v="120.19"/>
    <s v="21.83"/>
    <s v="1878.77"/>
    <n v="182899"/>
    <n v="621899"/>
    <n v="0"/>
    <n v="0"/>
    <s v="5.1"/>
  </r>
  <r>
    <x v="69"/>
    <x v="1"/>
    <s v="Não operacional"/>
    <s v="ES 0096"/>
    <x v="2"/>
    <s v=" "/>
    <s v=" "/>
    <m/>
    <n v="0"/>
    <n v="0"/>
    <n v="0"/>
    <n v="0"/>
    <s v=" "/>
    <n v="0"/>
    <n v="0"/>
    <s v=" "/>
    <s v=" "/>
    <n v="0"/>
    <n v="0"/>
    <s v=" "/>
    <n v="0"/>
    <s v=" "/>
    <s v="9101.03"/>
    <n v="74829"/>
    <n v="110568"/>
    <n v="0"/>
    <s v=" "/>
    <s v="284.5"/>
  </r>
  <r>
    <x v="69"/>
    <x v="1"/>
    <s v="Não operacional"/>
    <s v="ES 0097"/>
    <x v="2"/>
    <s v=" "/>
    <s v=" "/>
    <s v=" "/>
    <n v="0"/>
    <n v="0"/>
    <n v="0"/>
    <n v="0"/>
    <s v=" "/>
    <s v=" "/>
    <s v=" "/>
    <s v=" "/>
    <s v=" "/>
    <n v="0"/>
    <n v="0"/>
    <s v=" "/>
    <n v="0"/>
    <s v=" "/>
    <s v="8772.88"/>
    <s v=" "/>
    <s v=" "/>
    <n v="0"/>
    <s v=" "/>
    <s v="240.7"/>
  </r>
  <r>
    <x v="69"/>
    <x v="1"/>
    <s v="Não operacional"/>
    <s v="ES 0135"/>
    <x v="2"/>
    <s v=" "/>
    <s v=" "/>
    <s v=" "/>
    <n v="0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x v="69"/>
    <x v="1"/>
    <s v="Não operacional"/>
    <s v="ES 0110"/>
    <x v="2"/>
    <s v=" "/>
    <s v=" "/>
    <s v=" "/>
    <n v="0"/>
    <n v="0"/>
    <n v="0"/>
    <n v="0"/>
    <s v=" "/>
    <n v="0"/>
    <n v="0"/>
    <s v=" "/>
    <s v=" "/>
    <n v="0"/>
    <n v="0"/>
    <s v=" "/>
    <n v="0"/>
    <s v=" "/>
    <s v="2366.58"/>
    <n v="150342"/>
    <n v="284608"/>
    <n v="0"/>
    <s v=" "/>
    <s v="311.9"/>
  </r>
  <r>
    <x v="69"/>
    <x v="1"/>
    <s v="Não operacional"/>
    <s v="ES 0126"/>
    <x v="2"/>
    <s v=" "/>
    <s v=" "/>
    <s v=" "/>
    <n v="0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x v="69"/>
    <x v="1"/>
    <s v="Não operacional"/>
    <s v="ES 0099"/>
    <x v="2"/>
    <s v=" "/>
    <s v=" "/>
    <s v=" "/>
    <n v="0"/>
    <n v="0"/>
    <n v="0"/>
    <n v="0"/>
    <s v=" "/>
    <n v="0"/>
    <n v="0"/>
    <s v=" "/>
    <s v=" "/>
    <n v="0"/>
    <n v="0"/>
    <s v=" "/>
    <n v="0"/>
    <s v=" "/>
    <s v="7871.46"/>
    <n v="113589"/>
    <n v="329631"/>
    <n v="0"/>
    <s v=" "/>
    <s v="247.1"/>
  </r>
  <r>
    <x v="69"/>
    <x v="1"/>
    <s v="Não operacional"/>
    <s v="ES 0101"/>
    <x v="0"/>
    <s v=" "/>
    <s v=" "/>
    <m/>
    <n v="0"/>
    <n v="0"/>
    <n v="0"/>
    <n v="0"/>
    <s v=" "/>
    <n v="0"/>
    <n v="0"/>
    <s v=" "/>
    <s v=" "/>
    <n v="0"/>
    <n v="0"/>
    <s v=" "/>
    <n v="0"/>
    <s v=" "/>
    <s v="6522.22"/>
    <n v="412033"/>
    <n v="1463975"/>
    <n v="0"/>
    <s v=" "/>
    <s v="47.7"/>
  </r>
  <r>
    <x v="69"/>
    <x v="1"/>
    <s v="Não operacional"/>
    <s v="ES 0116"/>
    <x v="2"/>
    <s v=" "/>
    <s v=" "/>
    <s v=" "/>
    <n v="0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x v="70"/>
    <x v="11"/>
    <s v="Em operação"/>
    <s v="ES 0096"/>
    <x v="2"/>
    <m/>
    <m/>
    <n v="2500"/>
    <n v="127.48643761301989"/>
    <s v="6.58"/>
    <n v="5.53"/>
    <s v="1.05"/>
    <s v="15.95"/>
    <s v="489"/>
    <n v="705"/>
    <s v="1.44"/>
    <s v="5.71"/>
    <s v="123.5"/>
    <s v="4.73"/>
    <s v="4.51"/>
    <s v="118.77"/>
    <s v="21.46"/>
    <s v="9107.61"/>
    <s v="75318"/>
    <s v="111273"/>
    <s v="0.2"/>
    <s v="0"/>
    <s v="284.7"/>
  </r>
  <r>
    <x v="70"/>
    <x v="11"/>
    <s v="Em operação"/>
    <s v="ES 0097"/>
    <x v="2"/>
    <m/>
    <m/>
    <n v="2500"/>
    <n v="155.39305301645339"/>
    <s v="7.07"/>
    <n v="5.47"/>
    <s v="1.6"/>
    <s v="22.63"/>
    <s v=""/>
    <n v="850"/>
    <s v=""/>
    <s v=""/>
    <s v="105.05"/>
    <s v="6.15"/>
    <s v="3.84"/>
    <s v="98.89"/>
    <s v="18.08"/>
    <s v="8779.95"/>
    <s v=""/>
    <s v=""/>
    <s v="0.6"/>
    <s v=""/>
    <s v="241.3"/>
  </r>
  <r>
    <x v="70"/>
    <x v="11"/>
    <s v="Em operação"/>
    <s v="ES 0135"/>
    <x v="2"/>
    <m/>
    <m/>
    <n v="2500"/>
    <n v="280.14773776546627"/>
    <s v="12.83"/>
    <n v="10.83"/>
    <s v="2"/>
    <s v="15.59"/>
    <s v="1413"/>
    <n v="3034"/>
    <s v="2.15"/>
    <s v="12.9"/>
    <s v="235.17"/>
    <s v="6.62"/>
    <s v="3.31"/>
    <s v="228.54"/>
    <s v="21.1"/>
    <s v="497.76"/>
    <s v="38311"/>
    <s v="74968"/>
    <s v="3.4"/>
    <s v="0"/>
    <s v="48.5"/>
  </r>
  <r>
    <x v="70"/>
    <x v="11"/>
    <s v="Em operação"/>
    <s v="ES 0110"/>
    <x v="2"/>
    <m/>
    <m/>
    <n v="2500"/>
    <n v="301.89393939393938"/>
    <s v="5.98"/>
    <n v="5.28"/>
    <s v="0.7"/>
    <s v="11.71"/>
    <s v="850"/>
    <n v="1594"/>
    <s v="1.88"/>
    <s v="13.42"/>
    <s v="118.77"/>
    <s v="3.31"/>
    <s v="4.73"/>
    <s v="115.45"/>
    <s v="21.87"/>
    <s v="2372.56"/>
    <s v="151192"/>
    <s v="286202"/>
    <s v="0.5"/>
    <s v="0"/>
    <s v="312.4"/>
  </r>
  <r>
    <x v="70"/>
    <x v="11"/>
    <s v="Em operação"/>
    <s v="ES 0126"/>
    <x v="2"/>
    <m/>
    <m/>
    <n v="2500"/>
    <n v="304.94186046511629"/>
    <s v="7.73"/>
    <n v="6.88"/>
    <s v="0.85"/>
    <s v="11"/>
    <s v="821"/>
    <n v="2098"/>
    <s v="2.56"/>
    <s v="14.63"/>
    <s v="143.37"/>
    <s v="3.31"/>
    <s v="3.9"/>
    <s v="140.06"/>
    <s v="20.36"/>
    <s v="920.84"/>
    <s v="94548"/>
    <s v="206395"/>
    <s v="0.6"/>
    <s v="0"/>
    <s v="90.2"/>
  </r>
  <r>
    <x v="70"/>
    <x v="11"/>
    <s v="Em operação"/>
    <s v="ES 0099"/>
    <x v="2"/>
    <m/>
    <m/>
    <n v="2500"/>
    <n v="328.76106194690266"/>
    <s v="9.13"/>
    <n v="6.78"/>
    <s v="2.35"/>
    <s v="25.74"/>
    <s v="593"/>
    <n v="2229"/>
    <s v="3.76"/>
    <s v="10.29"/>
    <s v="216.71"/>
    <s v="14.67"/>
    <s v="6.24"/>
    <s v="202.05"/>
    <s v="29.8"/>
    <s v="7880.59"/>
    <s v="114182"/>
    <s v="331860"/>
    <s v="0.3"/>
    <s v="0"/>
    <s v="247.4"/>
  </r>
  <r>
    <x v="70"/>
    <x v="11"/>
    <s v="Em operação"/>
    <s v="ES 0101"/>
    <x v="0"/>
    <n v="806"/>
    <m/>
    <n v="4000"/>
    <n v="349.80620155038758"/>
    <s v="6.11"/>
    <n v="5.16"/>
    <s v="0.95"/>
    <s v="15.54"/>
    <s v="407"/>
    <n v="1805"/>
    <s v="4.43"/>
    <s v="8.37"/>
    <s v="215.77"/>
    <s v="5.68"/>
    <s v="5.98"/>
    <s v="210.09"/>
    <s v="40.69"/>
    <s v="6528.33"/>
    <s v="412440"/>
    <s v="1465780"/>
    <s v="0.2"/>
    <s v="0"/>
    <s v="47.9"/>
  </r>
  <r>
    <x v="70"/>
    <x v="1"/>
    <s v="Não operacional"/>
    <s v="ES 0116"/>
    <x v="2"/>
    <m/>
    <s v="Na oficina"/>
    <m/>
    <n v="0"/>
    <s v="0.43"/>
    <n v="0.23"/>
    <s v="0.2"/>
    <s v="46.99"/>
    <s v="2"/>
    <n v="0"/>
    <s v="0"/>
    <s v="0"/>
    <s v="6.15"/>
    <s v="1.42"/>
    <s v="7.1"/>
    <s v="4.73"/>
    <s v="20.97"/>
    <s v="1879.19"/>
    <s v="183204"/>
    <s v="622932"/>
    <s v="0"/>
    <s v="0"/>
    <s v="5.1"/>
  </r>
  <r>
    <x v="71"/>
    <x v="11"/>
    <s v="Em operação"/>
    <s v="ES 0096"/>
    <x v="2"/>
    <s v=" "/>
    <s v=" "/>
    <n v="2500"/>
    <n v="186.62790697674419"/>
    <s v="8.08"/>
    <n v="6.88"/>
    <s v="1.2"/>
    <s v="14.84"/>
    <n v="778"/>
    <n v="1284"/>
    <s v="1.65"/>
    <s v="8.45"/>
    <s v="151.89"/>
    <s v="5.2"/>
    <s v="4.34"/>
    <s v="146.68"/>
    <s v="21.31"/>
    <s v="9115.7"/>
    <n v="76096"/>
    <n v="112557"/>
    <s v="1.1"/>
    <n v="0"/>
    <s v="285.8"/>
  </r>
  <r>
    <x v="71"/>
    <x v="11"/>
    <s v="Em operação"/>
    <s v="ES 0097"/>
    <x v="2"/>
    <m/>
    <m/>
    <n v="2500"/>
    <n v="129.96941896024464"/>
    <s v="4.42"/>
    <n v="3.27"/>
    <s v="1.15"/>
    <s v="26.04"/>
    <s v=""/>
    <n v="425"/>
    <s v=""/>
    <s v=""/>
    <s v="73.82"/>
    <s v="5.68"/>
    <s v="4.94"/>
    <s v="68.14"/>
    <s v="20.86"/>
    <s v="8784.45"/>
    <s v=""/>
    <s v=""/>
    <s v="0.6"/>
    <s v=""/>
    <s v="241.9"/>
  </r>
  <r>
    <x v="71"/>
    <x v="11"/>
    <s v="Em operação"/>
    <s v="ES 0135"/>
    <x v="2"/>
    <m/>
    <m/>
    <n v="2500"/>
    <n v="355.848623853211"/>
    <s v="10.67"/>
    <n v="8.7200000000000006"/>
    <s v="1.95"/>
    <s v="18.28"/>
    <s v="1242"/>
    <n v="3103"/>
    <s v="2.5"/>
    <s v="16.03"/>
    <s v="193.53"/>
    <s v="5.68"/>
    <s v="2.91"/>
    <s v="187.85"/>
    <s v="21.55"/>
    <s v="508.43"/>
    <s v="39553"/>
    <s v="78071"/>
    <s v="1.9"/>
    <s v="0"/>
    <s v="50.4"/>
  </r>
  <r>
    <x v="71"/>
    <x v="11"/>
    <s v="Em operação"/>
    <s v="ES 0110"/>
    <x v="2"/>
    <m/>
    <m/>
    <n v="2500"/>
    <n v="218.26196473551636"/>
    <s v="8.84"/>
    <n v="7.94"/>
    <s v="0.9"/>
    <s v="10.18"/>
    <s v="843"/>
    <n v="1733"/>
    <s v="2.06"/>
    <s v="11.52"/>
    <s v="150.47"/>
    <s v="3.79"/>
    <s v="4.21"/>
    <s v="146.68"/>
    <s v="18.46"/>
    <s v="2381.41"/>
    <s v="152035"/>
    <s v="287935"/>
    <s v="0.9"/>
    <s v="0"/>
    <s v="313.3"/>
  </r>
  <r>
    <x v="71"/>
    <x v="11"/>
    <s v="Em operação"/>
    <s v="ES 0126"/>
    <x v="2"/>
    <m/>
    <m/>
    <n v="2500"/>
    <n v="343.48561759729273"/>
    <s v="13.27"/>
    <n v="11.82"/>
    <s v="1.45"/>
    <s v="10.93"/>
    <s v="1625"/>
    <n v="4060"/>
    <s v="2.5"/>
    <s v="15.52"/>
    <s v="261.67"/>
    <s v="5.68"/>
    <s v="3.92"/>
    <s v="255.99"/>
    <s v="21.66"/>
    <s v="934.11"/>
    <s v="96217"/>
    <s v="210567"/>
    <s v="2"/>
    <s v="0"/>
    <s v="92.2"/>
  </r>
  <r>
    <x v="71"/>
    <x v="11"/>
    <s v="Em operação"/>
    <s v="ES 0099"/>
    <x v="2"/>
    <m/>
    <m/>
    <n v="2500"/>
    <n v="208.40336134453781"/>
    <s v="8.95"/>
    <n v="5.95"/>
    <s v="3"/>
    <s v="33.53"/>
    <s v="402"/>
    <n v="1240"/>
    <s v="3.08"/>
    <s v="6.3"/>
    <s v="196.84"/>
    <s v="17.98"/>
    <s v="5.99"/>
    <s v="178.86"/>
    <s v="30.08"/>
    <s v="7889.54"/>
    <s v="114584"/>
    <s v="333100"/>
    <s v="0.3"/>
    <s v="0"/>
    <s v="247.7"/>
  </r>
  <r>
    <x v="71"/>
    <x v="11"/>
    <s v="Em operação"/>
    <s v="ES 0101"/>
    <x v="0"/>
    <n v="1920"/>
    <m/>
    <n v="4000"/>
    <n v="488.49557522123899"/>
    <s v="5.82"/>
    <n v="4.5199999999999996"/>
    <s v="1.3"/>
    <s v="22.35"/>
    <s v="480"/>
    <n v="2208"/>
    <s v="4.6"/>
    <s v="12.44"/>
    <s v="177.44"/>
    <s v="7.1"/>
    <s v="5.46"/>
    <s v="170.34"/>
    <s v="37.72"/>
    <s v="6534.15"/>
    <s v="412920"/>
    <s v="1467988"/>
    <s v="0"/>
    <s v="0"/>
    <s v="47.9"/>
  </r>
  <r>
    <x v="71"/>
    <x v="11"/>
    <s v="Em operação"/>
    <s v="ES 0116"/>
    <x v="6"/>
    <m/>
    <m/>
    <m/>
    <n v="171.15384615384616"/>
    <s v="2.11"/>
    <n v="1.56"/>
    <s v="0.55"/>
    <s v="26.09"/>
    <s v="101"/>
    <n v="267"/>
    <s v="2.64"/>
    <s v="4.37"/>
    <s v="61.04"/>
    <s v="2.37"/>
    <s v="4.3"/>
    <s v="58.67"/>
    <s v="37.65"/>
    <s v="1881.3"/>
    <s v="183305"/>
    <s v="623199"/>
    <s v="0"/>
    <s v="0"/>
    <s v="5.1"/>
  </r>
  <r>
    <x v="72"/>
    <x v="11"/>
    <s v="Em operação"/>
    <s v="ES 0096"/>
    <x v="2"/>
    <s v=" "/>
    <s v=" "/>
    <n v="2500"/>
    <n v="180"/>
    <s v="8.75"/>
    <n v="7.4"/>
    <s v="1.35"/>
    <s v="15.43"/>
    <n v="1036"/>
    <n v="1332"/>
    <s v="1.29"/>
    <s v="8.48"/>
    <s v="157.09"/>
    <s v="5.68"/>
    <s v="4.21"/>
    <s v="151.42"/>
    <s v="20.46"/>
    <s v="9124.45"/>
    <n v="77132"/>
    <n v="113889"/>
    <s v="0.1"/>
    <n v="0"/>
    <s v="285.9"/>
  </r>
  <r>
    <x v="72"/>
    <x v="11"/>
    <s v="Em operação"/>
    <s v="ES 0097"/>
    <x v="2"/>
    <m/>
    <m/>
    <n v="2500"/>
    <n v="330.93053735255569"/>
    <s v="8.98"/>
    <n v="7.63"/>
    <s v="1.35"/>
    <s v="15.04"/>
    <s v=""/>
    <n v="2525"/>
    <s v=""/>
    <s v=""/>
    <s v="173.18"/>
    <s v="6.15"/>
    <s v="4.56"/>
    <s v="167.03"/>
    <s v="21.9"/>
    <s v="8793.42"/>
    <s v=""/>
    <s v=""/>
    <s v="1.2"/>
    <s v=""/>
    <s v="243.1"/>
  </r>
  <r>
    <x v="72"/>
    <x v="11"/>
    <s v="Em operação"/>
    <s v="ES 0135"/>
    <x v="2"/>
    <m/>
    <m/>
    <n v="2500"/>
    <n v="346.66666666666669"/>
    <s v="8.65"/>
    <n v="7.8"/>
    <s v="0.85"/>
    <s v="9.83"/>
    <s v="1103"/>
    <n v="2704"/>
    <s v="2.45"/>
    <s v="18.8"/>
    <s v="143.85"/>
    <s v="3.31"/>
    <s v="3.9"/>
    <s v="140.53"/>
    <s v="18.02"/>
    <s v="517.08"/>
    <s v="40656"/>
    <s v="80775"/>
    <s v="0.3"/>
    <s v="0"/>
    <s v="50.7"/>
  </r>
  <r>
    <x v="72"/>
    <x v="11"/>
    <s v="Em operação"/>
    <s v="ES 0110"/>
    <x v="2"/>
    <m/>
    <m/>
    <n v="2500"/>
    <n v="364.97622820919179"/>
    <s v="8.06"/>
    <n v="6.31"/>
    <s v="1.75"/>
    <s v="21.72"/>
    <s v="961"/>
    <n v="2303"/>
    <s v="2.4"/>
    <s v="15.91"/>
    <s v="144.79"/>
    <s v="6.15"/>
    <s v="3.52"/>
    <s v="138.64"/>
    <s v="21.99"/>
    <s v="2389.46"/>
    <s v="152996"/>
    <s v="290238"/>
    <s v="0.8"/>
    <s v="0"/>
    <s v="314.1"/>
  </r>
  <r>
    <x v="72"/>
    <x v="11"/>
    <s v="Em operação"/>
    <s v="ES 0126"/>
    <x v="2"/>
    <m/>
    <m/>
    <n v="2500"/>
    <n v="358.07916937053858"/>
    <s v="16.81"/>
    <n v="15.41"/>
    <s v="1.4"/>
    <s v="8.33"/>
    <s v="2139"/>
    <n v="5518"/>
    <s v="2.58"/>
    <s v="16.11"/>
    <s v="342.58"/>
    <s v="5.68"/>
    <s v="4.06"/>
    <s v="336.9"/>
    <s v="21.86"/>
    <s v="950.92"/>
    <s v="98356"/>
    <s v="216085"/>
    <s v="0.2"/>
    <s v="0"/>
    <s v="92.4"/>
  </r>
  <r>
    <x v="72"/>
    <x v="1"/>
    <s v="Não operacional"/>
    <s v="ES 0099"/>
    <x v="2"/>
    <m/>
    <s v="Na oficina"/>
    <m/>
    <n v="0"/>
    <s v="0.76"/>
    <n v="0.46"/>
    <s v="0.3"/>
    <s v="39.39"/>
    <s v="10"/>
    <n v="0"/>
    <s v="0.3"/>
    <s v="0.24"/>
    <s v="12.3"/>
    <s v="1.42"/>
    <s v="4.73"/>
    <s v="10.88"/>
    <s v="23.57"/>
    <s v="7890.3"/>
    <s v="114594"/>
    <s v="333103"/>
    <s v="0"/>
    <s v="0"/>
    <s v="247.7"/>
  </r>
  <r>
    <x v="72"/>
    <x v="11"/>
    <s v="Em operação"/>
    <s v="ES 0101"/>
    <x v="0"/>
    <n v="1817"/>
    <m/>
    <n v="4000"/>
    <n v="345.87458745874591"/>
    <s v="7.26"/>
    <n v="6.06"/>
    <s v="1.2"/>
    <s v="16.54"/>
    <s v="454"/>
    <n v="2096"/>
    <s v="4.62"/>
    <s v="8.58"/>
    <s v="244.16"/>
    <s v="6.62"/>
    <s v="5.52"/>
    <s v="237.53"/>
    <s v="39.22"/>
    <s v="6541.41"/>
    <s v="413374"/>
    <s v="1470084"/>
    <s v="0.2"/>
    <s v="0"/>
    <s v="48.1"/>
  </r>
  <r>
    <x v="72"/>
    <x v="11"/>
    <s v="Em operação"/>
    <s v="ES 0116"/>
    <x v="2"/>
    <m/>
    <m/>
    <n v="2500"/>
    <n v="294.66089466089466"/>
    <s v="8.18"/>
    <n v="6.93"/>
    <s v="1.25"/>
    <s v="15.27"/>
    <s v="705"/>
    <n v="2042"/>
    <s v="2.9"/>
    <s v="7.9"/>
    <s v="258.35"/>
    <s v="6.15"/>
    <s v="4.92"/>
    <s v="252.2"/>
    <s v="36.37"/>
    <s v="1889.49"/>
    <s v="184010"/>
    <s v="625241"/>
    <s v="0"/>
    <s v="0"/>
    <s v="5.1"/>
  </r>
  <r>
    <x v="73"/>
    <x v="11"/>
    <s v="Em operação"/>
    <s v="ES 0096"/>
    <x v="2"/>
    <s v=" "/>
    <s v=" "/>
    <n v="2142.8571428571427"/>
    <n v="338.29499323410016"/>
    <s v="8.29"/>
    <n v="7.39"/>
    <s v="0.9"/>
    <s v="10.86"/>
    <n v="1062"/>
    <n v="2500"/>
    <s v="1.46"/>
    <s v="10.1"/>
    <s v="153.78"/>
    <s v="3.79"/>
    <s v="4.21"/>
    <n v="150"/>
    <s v="20.3"/>
    <s v="9132.73"/>
    <n v="78194"/>
    <n v="115442"/>
    <s v="0.1"/>
    <n v="0"/>
    <n v="286"/>
  </r>
  <r>
    <x v="73"/>
    <x v="11"/>
    <s v="Em operação"/>
    <s v="ES 0097"/>
    <x v="2"/>
    <m/>
    <m/>
    <n v="2142.8571428571427"/>
    <n v="464.87603305785126"/>
    <s v="6.24"/>
    <n v="4.84"/>
    <s v="1.4"/>
    <s v="22.43"/>
    <s v=""/>
    <n v="2250"/>
    <s v=""/>
    <s v=""/>
    <s v="107.88"/>
    <s v="5.68"/>
    <s v="4.06"/>
    <s v="102.21"/>
    <s v="21.11"/>
    <s v="8799.69"/>
    <s v=""/>
    <s v=""/>
    <s v="0.2"/>
    <s v=""/>
    <s v="243.3"/>
  </r>
  <r>
    <x v="73"/>
    <x v="11"/>
    <s v="Em operação"/>
    <s v="ES 0135"/>
    <x v="2"/>
    <m/>
    <m/>
    <n v="2142.8571428571427"/>
    <n v="449.67490247074119"/>
    <s v="8.49"/>
    <n v="7.69"/>
    <s v="0.8"/>
    <s v="9.42"/>
    <s v="1580"/>
    <n v="3458"/>
    <s v="2.19"/>
    <s v="19.75"/>
    <s v="175.08"/>
    <s v="2.84"/>
    <s v="3.55"/>
    <s v="172.24"/>
    <s v="22.38"/>
    <s v="525.58"/>
    <s v="42500"/>
    <s v="84993"/>
    <s v="0.6"/>
    <s v="0"/>
    <s v="51.3"/>
  </r>
  <r>
    <x v="73"/>
    <x v="11"/>
    <s v="Em operação"/>
    <s v="ES 0110"/>
    <x v="2"/>
    <m/>
    <m/>
    <n v="2142.8571428571427"/>
    <n v="407.4858757062147"/>
    <s v="8.33"/>
    <n v="7.08"/>
    <s v="1.25"/>
    <s v="15.01"/>
    <s v="1159"/>
    <n v="2885"/>
    <s v="2.49"/>
    <s v="18.7"/>
    <s v="154.26"/>
    <s v="4.73"/>
    <s v="3.79"/>
    <s v="149.52"/>
    <s v="21.12"/>
    <s v="2397.79"/>
    <s v="154155"/>
    <s v="293123"/>
    <s v="0"/>
    <s v="0"/>
    <s v="314.1"/>
  </r>
  <r>
    <x v="73"/>
    <x v="11"/>
    <s v="Em operação"/>
    <s v="ES 0126"/>
    <x v="2"/>
    <m/>
    <m/>
    <n v="2142.8571428571427"/>
    <n v="389.84806629834253"/>
    <s v="15.68"/>
    <n v="14.48"/>
    <s v="1.2"/>
    <s v="7.65"/>
    <s v="2045"/>
    <n v="5645"/>
    <s v="2.76"/>
    <s v="17.91"/>
    <s v="315.14"/>
    <s v="4.26"/>
    <s v="3.55"/>
    <s v="310.88"/>
    <s v="21.46"/>
    <s v="966.61"/>
    <s v="100401"/>
    <s v="221730"/>
    <s v="7.1"/>
    <s v="0"/>
    <s v="99.5"/>
  </r>
  <r>
    <x v="73"/>
    <x v="11"/>
    <s v="Em operação"/>
    <s v="ES 0099"/>
    <x v="2"/>
    <m/>
    <m/>
    <n v="2142.8571428571427"/>
    <n v="251.52354570637121"/>
    <s v="4.56"/>
    <n v="3.61"/>
    <s v="0.95"/>
    <s v="20.83"/>
    <s v="339"/>
    <n v="908"/>
    <s v="2.68"/>
    <s v="8.17"/>
    <s v="111.2"/>
    <s v="5.68"/>
    <s v="5.98"/>
    <s v="105.52"/>
    <s v="29.22"/>
    <s v="7894.86"/>
    <s v="114933"/>
    <s v="334011"/>
    <s v="0.3"/>
    <s v="0"/>
    <s v="248"/>
  </r>
  <r>
    <x v="73"/>
    <x v="11"/>
    <s v="Em operação"/>
    <s v="ES 0101"/>
    <x v="0"/>
    <n v="541"/>
    <m/>
    <n v="4000"/>
    <n v="783.87096774193549"/>
    <s v="1.08"/>
    <n v="0.93"/>
    <s v="0.15"/>
    <s v="13.87"/>
    <s v="143"/>
    <n v="729"/>
    <s v="5.1"/>
    <s v="19.5"/>
    <s v="37.38"/>
    <s v="1.42"/>
    <s v="9.46"/>
    <s v="35.96"/>
    <s v="38.62"/>
    <s v="6542.49"/>
    <s v="413517"/>
    <s v="1470813"/>
    <s v="0"/>
    <s v="0"/>
    <s v="48.1"/>
  </r>
  <r>
    <x v="73"/>
    <x v="11"/>
    <s v="Em operação"/>
    <s v="ES 0116"/>
    <x v="2"/>
    <m/>
    <m/>
    <n v="2142.8571428571427"/>
    <n v="469.76744186046511"/>
    <s v="8.3"/>
    <n v="6.45"/>
    <s v="1.85"/>
    <s v="22.3"/>
    <s v="996"/>
    <n v="3030"/>
    <s v="3.04"/>
    <s v="10.85"/>
    <s v="279.17"/>
    <s v="8.99"/>
    <s v="4.86"/>
    <s v="270.18"/>
    <s v="41.91"/>
    <s v="1897.78"/>
    <s v="185105"/>
    <s v="628530"/>
    <s v="0.1"/>
    <s v="0"/>
    <s v="5.2"/>
  </r>
  <r>
    <x v="74"/>
    <x v="11"/>
    <s v="Em operação"/>
    <s v="ES 0096"/>
    <x v="2"/>
    <s v=" "/>
    <s v=" "/>
    <n v="2142.8571428571427"/>
    <n v="297.92746113989637"/>
    <s v="9.07"/>
    <n v="7.72"/>
    <s v="1.35"/>
    <s v="14.88"/>
    <n v="987"/>
    <n v="2300"/>
    <s v="1.68"/>
    <s v="10.32"/>
    <s v="160.41"/>
    <s v="5.68"/>
    <s v="4.21"/>
    <s v="154.73"/>
    <s v="20.04"/>
    <s v="9141.8"/>
    <n v="79181"/>
    <n v="117097"/>
    <s v="1.1"/>
    <n v="0"/>
    <s v="287.1"/>
  </r>
  <r>
    <x v="74"/>
    <x v="11"/>
    <s v="Em operação"/>
    <s v="ES 0097"/>
    <x v="2"/>
    <m/>
    <m/>
    <n v="2142.8571428571427"/>
    <n v="394.92753623188406"/>
    <s v="8.3"/>
    <n v="6.9"/>
    <s v="1.4"/>
    <s v="16.86"/>
    <s v=""/>
    <n v="2725"/>
    <s v=""/>
    <s v=""/>
    <s v="153.31"/>
    <s v="6.15"/>
    <s v="4.39"/>
    <s v="147.16"/>
    <s v="21.31"/>
    <s v="8807.99"/>
    <s v=""/>
    <s v=""/>
    <s v="0.3"/>
    <s v=""/>
    <s v="243.6"/>
  </r>
  <r>
    <x v="74"/>
    <x v="11"/>
    <s v="Em operação"/>
    <s v="ES 0135"/>
    <x v="2"/>
    <m/>
    <m/>
    <n v="2142.8571428571427"/>
    <n v="405.94744121715075"/>
    <s v="8.98"/>
    <n v="7.23"/>
    <s v="1.75"/>
    <s v="19.48"/>
    <s v="1296"/>
    <n v="2935"/>
    <s v="2.26"/>
    <s v="18.03"/>
    <s v="162.77"/>
    <s v="5.68"/>
    <s v="3.24"/>
    <s v="157.09"/>
    <s v="21.71"/>
    <s v="534.56"/>
    <s v="43796"/>
    <s v="87928"/>
    <s v="1"/>
    <s v="0"/>
    <s v="52.3"/>
  </r>
  <r>
    <x v="74"/>
    <x v="11"/>
    <s v="Em operação"/>
    <s v="ES 0110"/>
    <x v="2"/>
    <m/>
    <m/>
    <n v="2142.8571428571427"/>
    <n v="324.15316642120763"/>
    <s v="7.89"/>
    <n v="6.79"/>
    <s v="1.1"/>
    <s v="13.94"/>
    <s v="1027"/>
    <n v="2201"/>
    <s v="2.14"/>
    <s v="15.4"/>
    <s v="142.9"/>
    <s v="4.73"/>
    <s v="4.3"/>
    <s v="138.17"/>
    <s v="20.35"/>
    <s v="2405.68"/>
    <s v="155182"/>
    <s v="295324"/>
    <s v="0.3"/>
    <s v="0"/>
    <s v="314.4"/>
  </r>
  <r>
    <x v="74"/>
    <x v="11"/>
    <s v="Em operação"/>
    <s v="ES 0126"/>
    <x v="2"/>
    <m/>
    <m/>
    <n v="2142.8571428571427"/>
    <n v="355.31281032770607"/>
    <s v="11.07"/>
    <n v="10.07"/>
    <s v="1"/>
    <s v="9.03"/>
    <s v="1316"/>
    <n v="3578"/>
    <s v="2.72"/>
    <s v="17.3"/>
    <s v="206.78"/>
    <s v="4.73"/>
    <s v="4.73"/>
    <s v="202.05"/>
    <s v="20.05"/>
    <s v="977.68"/>
    <s v="101717"/>
    <s v="225308"/>
    <s v="0.5"/>
    <s v="0"/>
    <s v="100"/>
  </r>
  <r>
    <x v="74"/>
    <x v="11"/>
    <s v="Em operação"/>
    <s v="ES 0099"/>
    <x v="2"/>
    <m/>
    <m/>
    <n v="2142.8571428571427"/>
    <n v="411.9962511715089"/>
    <s v="13.32"/>
    <n v="10.67"/>
    <s v="2.65"/>
    <s v="19.89"/>
    <s v="1347"/>
    <n v="4396"/>
    <s v="3.26"/>
    <s v="12.76"/>
    <s v="344.47"/>
    <s v="14.67"/>
    <s v="5.54"/>
    <s v="329.8"/>
    <s v="30.9"/>
    <s v="7908.19"/>
    <s v="116280"/>
    <s v="338407"/>
    <s v="0.1"/>
    <s v="0"/>
    <s v="248.1"/>
  </r>
  <r>
    <x v="74"/>
    <x v="11"/>
    <s v="Em operação"/>
    <s v="ES 0101"/>
    <x v="0"/>
    <n v="371"/>
    <m/>
    <n v="4000"/>
    <n v="686.20689655172418"/>
    <s v="0.63"/>
    <n v="0.57999999999999996"/>
    <s v="0.05"/>
    <s v="7.97"/>
    <s v="86"/>
    <n v="398"/>
    <s v="4.63"/>
    <s v="15.87"/>
    <s v="25.08"/>
    <s v="0.47"/>
    <s v="9.46"/>
    <s v="24.61"/>
    <s v="42.63"/>
    <s v="6543.12"/>
    <s v="413603"/>
    <s v="1471211"/>
    <s v="0"/>
    <s v="0"/>
    <s v="48.1"/>
  </r>
  <r>
    <x v="74"/>
    <x v="11"/>
    <s v="Em operação"/>
    <s v="ES 0116"/>
    <x v="2"/>
    <m/>
    <m/>
    <n v="2142.8571428571427"/>
    <n v="494.69696969696975"/>
    <s v="8.35"/>
    <n v="6.6"/>
    <s v="1.75"/>
    <s v="20.96"/>
    <s v="945"/>
    <n v="3265"/>
    <s v="3.46"/>
    <s v="13.14"/>
    <s v="248.42"/>
    <s v="8.04"/>
    <s v="4.6"/>
    <s v="240.37"/>
    <s v="36.42"/>
    <s v="1906.13"/>
    <s v="186050"/>
    <s v="631795"/>
    <s v="0"/>
    <s v="0"/>
    <s v="5.2"/>
  </r>
  <r>
    <x v="75"/>
    <x v="11"/>
    <s v="Em operação"/>
    <s v="ES 0096"/>
    <x v="2"/>
    <m/>
    <m/>
    <n v="2500"/>
    <n v="439.4977168949772"/>
    <s v="5.68"/>
    <n v="4.38"/>
    <s v="1.3"/>
    <s v="22.89"/>
    <s v="787"/>
    <n v="1925"/>
    <s v="1.56"/>
    <s v="13.17"/>
    <s v="93.22"/>
    <s v="5.68"/>
    <s v="4.37"/>
    <s v="87.54"/>
    <s v="19.99"/>
    <s v="9147.48"/>
    <s v="79968"/>
    <s v="118325"/>
    <s v="0.1"/>
    <s v="0"/>
    <s v="287.2"/>
  </r>
  <r>
    <x v="75"/>
    <x v="11"/>
    <s v="Em operação"/>
    <s v="ES 0097"/>
    <x v="2"/>
    <m/>
    <m/>
    <n v="2500"/>
    <n v="238.3177570093458"/>
    <s v="5.95"/>
    <n v="5.35"/>
    <s v="0.6"/>
    <s v="10.09"/>
    <s v=""/>
    <n v="1275"/>
    <s v=""/>
    <s v=""/>
    <s v="105.52"/>
    <s v="1.89"/>
    <s v="3.15"/>
    <s v="103.63"/>
    <s v="19.39"/>
    <s v="8813.94"/>
    <s v=""/>
    <s v=""/>
    <s v="0.1"/>
    <s v=""/>
    <s v="243.7"/>
  </r>
  <r>
    <x v="75"/>
    <x v="11"/>
    <s v="Em operação"/>
    <s v="ES 0135"/>
    <x v="2"/>
    <m/>
    <m/>
    <n v="2500"/>
    <n v="231.95488721804509"/>
    <s v="6.12"/>
    <n v="5.32"/>
    <s v="0.8"/>
    <s v="13.07"/>
    <s v="517"/>
    <n v="1234"/>
    <s v="2.39"/>
    <s v="18.24"/>
    <s v="67.66"/>
    <s v="2.84"/>
    <s v="3.55"/>
    <s v="64.83"/>
    <s v="12.19"/>
    <s v="540.68"/>
    <s v="44313"/>
    <s v="89162"/>
    <s v="0.4"/>
    <s v="0"/>
    <s v="52.7"/>
  </r>
  <r>
    <x v="75"/>
    <x v="11"/>
    <s v="Em operação"/>
    <s v="ES 0110"/>
    <x v="2"/>
    <m/>
    <m/>
    <n v="2500"/>
    <n v="393.86363636363632"/>
    <s v="5.35"/>
    <n v="4.4000000000000004"/>
    <s v="0.95"/>
    <s v="17.77"/>
    <s v="756"/>
    <n v="1733"/>
    <s v="2.29"/>
    <s v="17.52"/>
    <s v="98.89"/>
    <s v="2.84"/>
    <s v="2.99"/>
    <s v="96.05"/>
    <s v="21.85"/>
    <s v="2411.03"/>
    <s v="155938"/>
    <s v="297057"/>
    <s v="0.1"/>
    <s v="0"/>
    <s v="314.5"/>
  </r>
  <r>
    <x v="75"/>
    <x v="11"/>
    <s v="Em operação"/>
    <s v="ES 0126"/>
    <x v="2"/>
    <m/>
    <m/>
    <n v="2500"/>
    <n v="184.983498349835"/>
    <s v="6.46"/>
    <n v="6.06"/>
    <s v="0.4"/>
    <s v="6.19"/>
    <s v="608"/>
    <n v="1121"/>
    <s v="1.84"/>
    <s v="8.97"/>
    <s v="124.92"/>
    <s v="1.89"/>
    <s v="4.73"/>
    <s v="123.03"/>
    <s v="20.31"/>
    <s v="984.14"/>
    <s v="102381"/>
    <s v="226578"/>
    <s v="1"/>
    <s v="0"/>
    <s v="101"/>
  </r>
  <r>
    <x v="75"/>
    <x v="11"/>
    <s v="Em operação"/>
    <s v="ES 0099"/>
    <x v="2"/>
    <m/>
    <m/>
    <n v="2500"/>
    <n v="327.75073028237586"/>
    <s v="13.32"/>
    <n v="10.27"/>
    <s v="3.05"/>
    <s v="22.9"/>
    <s v="1120"/>
    <n v="3366"/>
    <s v="3.01"/>
    <s v="10.06"/>
    <s v="334.54"/>
    <s v="17.51"/>
    <s v="5.74"/>
    <s v="317.03"/>
    <s v="30.87"/>
    <s v="7921.51"/>
    <s v="117400"/>
    <s v="341773"/>
    <s v="0.1"/>
    <s v="0"/>
    <s v="248.2"/>
  </r>
  <r>
    <x v="75"/>
    <x v="11"/>
    <s v="Em operação"/>
    <s v="ES 0101"/>
    <x v="0"/>
    <n v="1115"/>
    <m/>
    <n v="4000"/>
    <n v="474.609375"/>
    <s v="3.01"/>
    <n v="2.56"/>
    <s v="0.45"/>
    <s v="14.94"/>
    <s v="258"/>
    <n v="1215"/>
    <s v="4.71"/>
    <s v="12.11"/>
    <s v="100.31"/>
    <s v="3.31"/>
    <s v="7.36"/>
    <s v="97"/>
    <s v="37.85"/>
    <s v="6546.13"/>
    <s v="413861"/>
    <s v="1472426"/>
    <s v="0"/>
    <s v="0"/>
    <s v="48.1"/>
  </r>
  <r>
    <x v="75"/>
    <x v="11"/>
    <s v="Em operação"/>
    <s v="ES 0116"/>
    <x v="6"/>
    <m/>
    <m/>
    <m/>
    <n v="390.18036072144287"/>
    <s v="6.34"/>
    <n v="4.99"/>
    <s v="1.35"/>
    <s v="21.31"/>
    <s v="694"/>
    <n v="1947"/>
    <s v="2.81"/>
    <s v="9.31"/>
    <s v="209.14"/>
    <s v="5.68"/>
    <s v="4.21"/>
    <s v="203.47"/>
    <s v="40.81"/>
    <s v="1912.47"/>
    <s v="186829"/>
    <s v="633940"/>
    <s v="0"/>
    <s v="0"/>
    <s v="5.2"/>
  </r>
  <r>
    <x v="76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s v="9147.48"/>
    <s v="79968"/>
    <s v="118325"/>
    <s v="0"/>
    <s v=""/>
    <s v="287.2"/>
  </r>
  <r>
    <x v="76"/>
    <x v="1"/>
    <s v="Não operacional"/>
    <s v="ES 0097"/>
    <x v="2"/>
    <m/>
    <m/>
    <m/>
    <n v="0"/>
    <s v="0"/>
    <s v="0"/>
    <s v="0"/>
    <s v=""/>
    <s v=""/>
    <n v="0"/>
    <s v=""/>
    <s v=""/>
    <s v="0"/>
    <s v="0"/>
    <s v=""/>
    <s v="0"/>
    <s v=""/>
    <s v="8813.94"/>
    <s v=""/>
    <s v=""/>
    <s v="0"/>
    <s v=""/>
    <s v="243.7"/>
  </r>
  <r>
    <x v="76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s v="2411.03"/>
    <s v="155938"/>
    <s v="297057"/>
    <s v="0"/>
    <s v=""/>
    <s v="314.5"/>
  </r>
  <r>
    <x v="76"/>
    <x v="1"/>
    <s v="Não operacional"/>
    <s v="ES 0126"/>
    <x v="2"/>
    <m/>
    <m/>
    <m/>
    <n v="0"/>
    <s v="0"/>
    <s v="0"/>
    <s v="0"/>
    <s v=""/>
    <s v="0"/>
    <n v="0"/>
    <s v=""/>
    <s v=""/>
    <s v="0"/>
    <s v="0"/>
    <s v=""/>
    <s v="0"/>
    <s v=""/>
    <s v="984.14"/>
    <s v="102381"/>
    <s v="226578"/>
    <s v="0"/>
    <s v=""/>
    <s v="101"/>
  </r>
  <r>
    <x v="76"/>
    <x v="1"/>
    <s v="Não operacional"/>
    <s v="ES 0099"/>
    <x v="2"/>
    <m/>
    <m/>
    <m/>
    <n v="0"/>
    <s v="0.04"/>
    <n v="0.04"/>
    <s v="0"/>
    <s v="0"/>
    <s v="0"/>
    <n v="0"/>
    <s v=""/>
    <s v=""/>
    <s v="0"/>
    <s v="0"/>
    <s v=""/>
    <s v="0"/>
    <s v="0"/>
    <s v="7921.55"/>
    <s v="117400"/>
    <s v="341773"/>
    <s v="0"/>
    <s v=""/>
    <s v="248.2"/>
  </r>
  <r>
    <x v="76"/>
    <x v="1"/>
    <s v="Não operacional"/>
    <s v="ES 0101"/>
    <x v="0"/>
    <m/>
    <m/>
    <m/>
    <n v="0"/>
    <s v="0"/>
    <s v="0"/>
    <s v="0"/>
    <s v=""/>
    <s v="0"/>
    <n v="0"/>
    <s v=""/>
    <s v=""/>
    <s v="0"/>
    <s v="0"/>
    <s v=""/>
    <s v="0"/>
    <s v=""/>
    <s v="6546.13"/>
    <s v="413861"/>
    <s v="1472426"/>
    <s v="0"/>
    <s v=""/>
    <s v="48.1"/>
  </r>
  <r>
    <x v="76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"/>
    <x v="12"/>
    <s v="Em operação"/>
    <s v="ES 0096"/>
    <x v="2"/>
    <m/>
    <m/>
    <n v="2500"/>
    <n v="444.16243654822335"/>
    <s v="8.68"/>
    <n v="7.88"/>
    <s v="0.8"/>
    <s v="9.22"/>
    <s v="1167"/>
    <n v="3500"/>
    <s v="1.77"/>
    <s v="12.56"/>
    <s v="164.19"/>
    <s v="3.31"/>
    <s v="4.14"/>
    <s v="160.88"/>
    <s v="20.42"/>
    <s v="9156.16"/>
    <s v="81135"/>
    <s v="120388"/>
    <s v="0"/>
    <s v="0"/>
    <s v="287.2"/>
  </r>
  <r>
    <x v="77"/>
    <x v="12"/>
    <s v="Em operação"/>
    <s v="ES 0097"/>
    <x v="2"/>
    <m/>
    <m/>
    <n v="2500"/>
    <n v="279.68036529680364"/>
    <s v="5.08"/>
    <n v="4.38"/>
    <s v="0.7"/>
    <s v="13.78"/>
    <s v=""/>
    <n v="1225"/>
    <s v=""/>
    <s v=""/>
    <s v="92.27"/>
    <s v="3.79"/>
    <s v="5.41"/>
    <s v="88.48"/>
    <s v="20.21"/>
    <s v="8819.03"/>
    <s v=""/>
    <s v=""/>
    <s v="0.1"/>
    <s v=""/>
    <s v="243.8"/>
  </r>
  <r>
    <x v="77"/>
    <x v="12"/>
    <s v="Em operação"/>
    <s v="ES 0135"/>
    <x v="2"/>
    <m/>
    <m/>
    <n v="2500"/>
    <n v="382.96943231441048"/>
    <s v="8.82"/>
    <n v="6.87"/>
    <s v="1.95"/>
    <s v="22.11"/>
    <s v="1139"/>
    <n v="2631"/>
    <s v="2.31"/>
    <s v="16.8"/>
    <s v="156.62"/>
    <s v="6.15"/>
    <s v="3.15"/>
    <s v="150.47"/>
    <s v="21.91"/>
    <s v="549.5"/>
    <s v="45797"/>
    <s v="92560"/>
    <s v="1"/>
    <s v="0"/>
    <s v="54"/>
  </r>
  <r>
    <x v="77"/>
    <x v="12"/>
    <s v="Em operação"/>
    <s v="ES 0110"/>
    <x v="2"/>
    <m/>
    <m/>
    <n v="2500"/>
    <n v="289.05380333951763"/>
    <s v="6.69"/>
    <n v="5.39"/>
    <s v="1.3"/>
    <s v="19.43"/>
    <s v="822"/>
    <n v="1558"/>
    <s v="1.9"/>
    <s v="12.76"/>
    <s v="122.08"/>
    <s v="5.2"/>
    <s v="4"/>
    <s v="116.87"/>
    <s v="21.68"/>
    <s v="2417.72"/>
    <s v="156760"/>
    <s v="298615"/>
    <s v="1"/>
    <s v="0"/>
    <s v="315.5"/>
  </r>
  <r>
    <x v="77"/>
    <x v="12"/>
    <s v="Em operação"/>
    <s v="ES 0126"/>
    <x v="2"/>
    <m/>
    <m/>
    <n v="2500"/>
    <n v="264.2570281124498"/>
    <s v="10.86"/>
    <n v="9.9600000000000009"/>
    <s v="0.9"/>
    <s v="8.28"/>
    <s v="1177"/>
    <n v="2632"/>
    <s v="2.24"/>
    <s v="11.94"/>
    <s v="220.5"/>
    <s v="2.84"/>
    <s v="3.15"/>
    <s v="217.66"/>
    <s v="21.84"/>
    <s v="995.01"/>
    <s v="103558"/>
    <s v="229210"/>
    <s v="3.8"/>
    <s v="0"/>
    <s v="104.8"/>
  </r>
  <r>
    <x v="77"/>
    <x v="12"/>
    <s v="Em operação"/>
    <s v="ES 0099"/>
    <x v="2"/>
    <m/>
    <m/>
    <n v="2500"/>
    <n v="272.9624838292367"/>
    <s v="8.98"/>
    <n v="7.73"/>
    <s v="1.25"/>
    <s v="13.93"/>
    <s v="747"/>
    <n v="2110"/>
    <s v="2.82"/>
    <s v="9.03"/>
    <s v="233.75"/>
    <s v="6.62"/>
    <s v="5.3"/>
    <s v="227.12"/>
    <s v="29.4"/>
    <s v="7930.52"/>
    <s v="118147"/>
    <s v="343883"/>
    <s v="0.7"/>
    <s v="0"/>
    <s v="248.9"/>
  </r>
  <r>
    <x v="77"/>
    <x v="12"/>
    <s v="Em operação"/>
    <s v="ES 0101"/>
    <x v="0"/>
    <n v="2741"/>
    <m/>
    <n v="4000"/>
    <n v="489.75609756097566"/>
    <s v="9.15"/>
    <n v="8.1999999999999993"/>
    <s v="0.95"/>
    <s v="10.38"/>
    <s v="902"/>
    <n v="4016"/>
    <s v="4.45"/>
    <s v="12.04"/>
    <s v="333.59"/>
    <s v="5.2"/>
    <s v="5.48"/>
    <s v="328.38"/>
    <s v="40.04"/>
    <s v="6555.28"/>
    <s v="414763"/>
    <s v="1476442"/>
    <s v="0.1"/>
    <s v="0"/>
    <s v="48.2"/>
  </r>
  <r>
    <x v="77"/>
    <x v="12"/>
    <s v="Em operação"/>
    <s v="ES 0116"/>
    <x v="6"/>
    <m/>
    <m/>
    <m/>
    <n v="412.85266457680251"/>
    <s v="7.78"/>
    <n v="6.38"/>
    <s v="1.4"/>
    <s v="18"/>
    <s v="888"/>
    <n v="2634"/>
    <s v="2.97"/>
    <s v="10.29"/>
    <s v="255.99"/>
    <s v="7.1"/>
    <s v="5.07"/>
    <s v="248.89"/>
    <s v="39.02"/>
    <s v="1920.25"/>
    <s v="187717"/>
    <s v="636574"/>
    <s v="0"/>
    <s v="0"/>
    <s v="5.2"/>
  </r>
  <r>
    <x v="78"/>
    <x v="12"/>
    <s v="Em operação"/>
    <s v="ES 0096"/>
    <x v="2"/>
    <m/>
    <m/>
    <n v="3000"/>
    <n v="467.62589928057554"/>
    <s v="8.75"/>
    <n v="6.95"/>
    <s v="1.8"/>
    <s v="20.56"/>
    <s v="1264"/>
    <n v="3250"/>
    <s v="1.7"/>
    <s v="14.72"/>
    <s v="146.21"/>
    <s v="7.57"/>
    <s v="4.21"/>
    <s v="138.64"/>
    <s v="19.93"/>
    <s v="9164.92"/>
    <s v="82399"/>
    <s v="122540"/>
    <s v="0.9"/>
    <s v="0"/>
    <s v="288.1"/>
  </r>
  <r>
    <x v="78"/>
    <x v="1"/>
    <s v="Não operacional"/>
    <s v="ES 0097"/>
    <x v="2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"/>
    <x v="12"/>
    <s v="Em operação"/>
    <s v="ES 0135"/>
    <x v="2"/>
    <m/>
    <m/>
    <n v="3000"/>
    <n v="319.70108695652175"/>
    <s v="8.31"/>
    <n v="7.36"/>
    <s v="0.95"/>
    <s v="11.43"/>
    <s v="1093"/>
    <n v="2353"/>
    <s v="2.15"/>
    <s v="17.63"/>
    <s v="133.44"/>
    <s v="3.31"/>
    <s v="3.49"/>
    <s v="130.12"/>
    <s v="17.68"/>
    <s v="557.81"/>
    <s v="46890"/>
    <s v="94913"/>
    <s v="0.3"/>
    <s v="0"/>
    <s v="54.3"/>
  </r>
  <r>
    <x v="78"/>
    <x v="12"/>
    <s v="Em operação"/>
    <s v="ES 0110"/>
    <x v="2"/>
    <m/>
    <m/>
    <n v="3000"/>
    <n v="310.40787623066103"/>
    <s v="8.81"/>
    <n v="7.11"/>
    <s v="1.7"/>
    <s v="19.3"/>
    <s v="1067"/>
    <n v="2207"/>
    <s v="2.07"/>
    <s v="13.72"/>
    <s v="160.88"/>
    <s v="6.15"/>
    <s v="3.62"/>
    <s v="154.73"/>
    <s v="21.77"/>
    <s v="2426.52"/>
    <s v="157827"/>
    <s v="300822"/>
    <s v="0.2"/>
    <s v="0"/>
    <s v="315.7"/>
  </r>
  <r>
    <x v="78"/>
    <x v="12"/>
    <s v="Em operação"/>
    <s v="ES 0126"/>
    <x v="2"/>
    <m/>
    <m/>
    <n v="3000"/>
    <n v="271.42857142857139"/>
    <s v="10.58"/>
    <n v="9.3800000000000008"/>
    <s v="1.2"/>
    <s v="11.34"/>
    <s v="1083"/>
    <n v="2546"/>
    <s v="2.35"/>
    <s v="13.66"/>
    <s v="186.43"/>
    <s v="5.2"/>
    <s v="4.34"/>
    <s v="181.23"/>
    <s v="19.32"/>
    <s v="1005.58"/>
    <s v="104641"/>
    <s v="231756"/>
    <s v="2.9"/>
    <s v="0"/>
    <s v="107.7"/>
  </r>
  <r>
    <x v="78"/>
    <x v="12"/>
    <s v="Em operação"/>
    <s v="ES 0099"/>
    <x v="2"/>
    <m/>
    <m/>
    <n v="3000"/>
    <n v="372.44294167371089"/>
    <s v="13.93"/>
    <n v="11.83"/>
    <s v="2.1"/>
    <s v="15.07"/>
    <s v="1274"/>
    <n v="4406"/>
    <s v="3.46"/>
    <s v="11.71"/>
    <s v="376.18"/>
    <s v="13.72"/>
    <s v="6.53"/>
    <s v="362.45"/>
    <s v="30.63"/>
    <s v="7944.46"/>
    <s v="119421"/>
    <s v="348289"/>
    <s v="0.5"/>
    <s v="0"/>
    <s v="249.4"/>
  </r>
  <r>
    <x v="78"/>
    <x v="12"/>
    <s v="Em operação"/>
    <s v="ES 0101"/>
    <x v="0"/>
    <n v="2742"/>
    <m/>
    <n v="4000"/>
    <n v="419.31428571428569"/>
    <s v="9.6"/>
    <n v="8.75"/>
    <s v="0.85"/>
    <s v="8.86"/>
    <s v="859"/>
    <n v="3669"/>
    <s v="4.27"/>
    <s v="10.78"/>
    <s v="340.21"/>
    <s v="5.2"/>
    <s v="6.12"/>
    <s v="335.01"/>
    <s v="38.31"/>
    <s v="6564.88"/>
    <s v="415622"/>
    <s v="1480111"/>
    <s v="0.1"/>
    <s v="0"/>
    <s v="48.3"/>
  </r>
  <r>
    <x v="78"/>
    <x v="12"/>
    <s v="Em operação"/>
    <s v="ES 0116"/>
    <x v="6"/>
    <m/>
    <m/>
    <m/>
    <n v="186.76092544987145"/>
    <s v="9.03"/>
    <n v="7.78"/>
    <s v="1.25"/>
    <s v="13.84"/>
    <s v="715"/>
    <n v="1453"/>
    <s v="2.03"/>
    <s v="5.12"/>
    <s v="283.91"/>
    <s v="5.68"/>
    <s v="4.54"/>
    <s v="278.23"/>
    <s v="35.76"/>
    <s v="1929.28"/>
    <s v="188446"/>
    <s v="638046"/>
    <s v="0.1"/>
    <s v="0"/>
    <s v="5.3"/>
  </r>
  <r>
    <x v="79"/>
    <x v="12"/>
    <s v="Em operação"/>
    <s v="ES 0096"/>
    <x v="2"/>
    <m/>
    <m/>
    <n v="2500"/>
    <n v="323.89937106918239"/>
    <s v="8.9"/>
    <n v="7.95"/>
    <s v="0.95"/>
    <s v="10.68"/>
    <s v="1098"/>
    <n v="2575"/>
    <s v="1.63"/>
    <s v="10.68"/>
    <s v="167.98"/>
    <s v="3.79"/>
    <s v="3.98"/>
    <s v="164.19"/>
    <s v="20.66"/>
    <s v="9173.81"/>
    <s v="83497"/>
    <s v="124334"/>
    <s v="0.2"/>
    <s v="0"/>
    <s v="288.3"/>
  </r>
  <r>
    <x v="79"/>
    <x v="1"/>
    <s v="Não operacional"/>
    <s v="ES 0097"/>
    <x v="2"/>
    <m/>
    <s v="Na oficina"/>
    <m/>
    <n v="0"/>
    <s v="2.02"/>
    <n v="0.12"/>
    <s v="1.9"/>
    <s v="94.07"/>
    <s v=""/>
    <s v=""/>
    <s v=""/>
    <s v=""/>
    <s v="10.41"/>
    <s v="8.52"/>
    <s v="4.48"/>
    <s v="1.89"/>
    <s v="15.81"/>
    <s v="8821.37"/>
    <s v=""/>
    <s v=""/>
    <s v="0"/>
    <s v=""/>
    <s v="243.8"/>
  </r>
  <r>
    <x v="79"/>
    <x v="12"/>
    <s v="Em operação"/>
    <s v="ES 0135"/>
    <x v="2"/>
    <m/>
    <m/>
    <n v="2500"/>
    <n v="335.14538558786347"/>
    <s v="8.66"/>
    <n v="7.91"/>
    <s v="0.75"/>
    <s v="8.66"/>
    <s v="1364"/>
    <n v="2651"/>
    <s v="1.94"/>
    <s v="14.94"/>
    <s v="177.44"/>
    <s v="2.84"/>
    <s v="3.79"/>
    <s v="174.6"/>
    <s v="22.08"/>
    <s v="566.46"/>
    <s v="48479"/>
    <s v="98071"/>
    <s v="0.9"/>
    <s v="0"/>
    <s v="55.5"/>
  </r>
  <r>
    <x v="79"/>
    <x v="12"/>
    <s v="Em operação"/>
    <s v="ES 0110"/>
    <x v="2"/>
    <m/>
    <m/>
    <n v="2500"/>
    <n v="429.45301542776997"/>
    <s v="8.58"/>
    <n v="7.13"/>
    <s v="1.45"/>
    <s v="16.9"/>
    <s v="1316"/>
    <n v="3062"/>
    <s v="2.33"/>
    <s v="19.15"/>
    <s v="159.93"/>
    <s v="6.15"/>
    <s v="4.24"/>
    <s v="153.78"/>
    <s v="21.57"/>
    <s v="2435.1"/>
    <s v="159143"/>
    <s v="303884"/>
    <s v="0.9"/>
    <s v="0"/>
    <s v="316.6"/>
  </r>
  <r>
    <x v="79"/>
    <x v="12"/>
    <s v="Em operação"/>
    <s v="ES 0126"/>
    <x v="2"/>
    <m/>
    <m/>
    <n v="2500"/>
    <n v="286.3291139240506"/>
    <s v="8.7"/>
    <n v="7.9"/>
    <s v="0.8"/>
    <s v="9.2"/>
    <s v="918"/>
    <n v="2262"/>
    <s v="2.51"/>
    <s v="13.45"/>
    <s v="171.29"/>
    <s v="2.84"/>
    <s v="3.55"/>
    <s v="168.45"/>
    <s v="21.33"/>
    <s v="1014.28"/>
    <s v="105677"/>
    <s v="234361"/>
    <s v="0.9"/>
    <s v="0"/>
    <s v="108.6"/>
  </r>
  <r>
    <x v="79"/>
    <x v="12"/>
    <s v="Em operação"/>
    <s v="ES 0099"/>
    <x v="2"/>
    <m/>
    <m/>
    <n v="2500"/>
    <n v="383.79416282642092"/>
    <s v="15.52"/>
    <n v="13.02"/>
    <s v="2.5"/>
    <s v="16.11"/>
    <s v="1393"/>
    <n v="4997"/>
    <s v="3.59"/>
    <s v="11.83"/>
    <s v="422.55"/>
    <s v="14.2"/>
    <s v="5.68"/>
    <s v="408.35"/>
    <s v="31.36"/>
    <s v="7959.98"/>
    <s v="120814"/>
    <s v="353286"/>
    <s v="0.5"/>
    <s v="0"/>
    <s v="249.9"/>
  </r>
  <r>
    <x v="79"/>
    <x v="12"/>
    <s v="Em operação"/>
    <s v="ES 0101"/>
    <x v="0"/>
    <n v="3249"/>
    <m/>
    <n v="4000"/>
    <n v="454.41176470588232"/>
    <s v="9.51"/>
    <n v="8.16"/>
    <s v="1.35"/>
    <s v="14.19"/>
    <s v="767"/>
    <n v="3708"/>
    <s v="4.83"/>
    <s v="11.64"/>
    <s v="318.45"/>
    <s v="7.57"/>
    <s v="5.61"/>
    <s v="310.88"/>
    <s v="38.08"/>
    <s v="6574.39"/>
    <s v="416389"/>
    <s v="1483819"/>
    <s v="0"/>
    <s v="0"/>
    <s v="48.3"/>
  </r>
  <r>
    <x v="79"/>
    <x v="12"/>
    <s v="Em operação"/>
    <s v="ES 0116"/>
    <x v="2"/>
    <m/>
    <m/>
    <n v="2500"/>
    <n v="360.56338028169017"/>
    <s v="8.04"/>
    <n v="6.39"/>
    <s v="1.65"/>
    <s v="20.53"/>
    <s v="972"/>
    <n v="2304"/>
    <s v="2.43"/>
    <s v="8.73"/>
    <s v="270.66"/>
    <s v="7.57"/>
    <s v="4.59"/>
    <s v="263.09"/>
    <s v="41.2"/>
    <s v="1937.31"/>
    <s v="189444"/>
    <s v="640489"/>
    <s v="0"/>
    <s v="0"/>
    <s v="5.3"/>
  </r>
  <r>
    <x v="80"/>
    <x v="12"/>
    <s v="Em operação"/>
    <s v="ES 0096"/>
    <x v="2"/>
    <m/>
    <m/>
    <n v="2500"/>
    <n v="351.77595628415298"/>
    <s v="8.32"/>
    <n v="7.32"/>
    <s v="1"/>
    <s v="12.03"/>
    <s v="1054"/>
    <n v="2575"/>
    <s v="1.46"/>
    <s v="10.17"/>
    <s v="150.94"/>
    <s v="4.26"/>
    <s v="4.26"/>
    <s v="146.68"/>
    <s v="20.05"/>
    <s v="9182.13"/>
    <s v="84551"/>
    <s v="125869"/>
    <s v="0.1"/>
    <s v="0"/>
    <s v="288.4"/>
  </r>
  <r>
    <x v="80"/>
    <x v="1"/>
    <s v="Não operacional"/>
    <s v="ES 0097"/>
    <x v="2"/>
    <m/>
    <s v="Na oficina"/>
    <m/>
    <n v="0"/>
    <s v="0.74"/>
    <n v="0.04"/>
    <s v="0.7"/>
    <s v="94.56"/>
    <s v=""/>
    <s v=""/>
    <s v=""/>
    <s v=""/>
    <s v="4.26"/>
    <s v="3.31"/>
    <s v="4.73"/>
    <s v="0.95"/>
    <s v="23.48"/>
    <s v="8822.11"/>
    <s v=""/>
    <s v=""/>
    <s v="0"/>
    <s v=""/>
    <s v="243.8"/>
  </r>
  <r>
    <x v="80"/>
    <x v="12"/>
    <s v="Em operação"/>
    <s v="ES 0135"/>
    <x v="2"/>
    <m/>
    <m/>
    <n v="2500"/>
    <n v="306.17906683480453"/>
    <s v="8.83"/>
    <n v="7.93"/>
    <s v="0.9"/>
    <s v="10.19"/>
    <s v="1303"/>
    <n v="2428"/>
    <s v="1.86"/>
    <s v="13.94"/>
    <s v="174.13"/>
    <s v="3.31"/>
    <s v="3.68"/>
    <s v="170.82"/>
    <s v="21.54"/>
    <s v="575.29"/>
    <s v="49782"/>
    <s v="100499"/>
    <s v="1.5"/>
    <s v="0"/>
    <s v="57"/>
  </r>
  <r>
    <x v="80"/>
    <x v="12"/>
    <s v="Em operação"/>
    <s v="ES 0110"/>
    <x v="2"/>
    <m/>
    <m/>
    <n v="2500"/>
    <n v="379.71223021582733"/>
    <s v="8.25"/>
    <n v="6.95"/>
    <s v="1.3"/>
    <s v="15.75"/>
    <s v="1221"/>
    <n v="2639"/>
    <s v="2.16"/>
    <s v="16.95"/>
    <s v="155.68"/>
    <s v="5.2"/>
    <s v="4"/>
    <s v="150.47"/>
    <s v="21.64"/>
    <s v="2443.36"/>
    <s v="160364"/>
    <s v="306523"/>
    <s v="1.7"/>
    <s v="0"/>
    <s v="318.3"/>
  </r>
  <r>
    <x v="80"/>
    <x v="12"/>
    <s v="Em operação"/>
    <s v="ES 0126"/>
    <x v="2"/>
    <m/>
    <m/>
    <n v="2500"/>
    <n v="292.31770833333337"/>
    <s v="8.28"/>
    <n v="7.68"/>
    <s v="0.6"/>
    <s v="7.25"/>
    <s v="800"/>
    <n v="2245"/>
    <s v="2.81"/>
    <s v="15.66"/>
    <s v="143.37"/>
    <s v="3.31"/>
    <s v="5.52"/>
    <s v="140.06"/>
    <s v="18.24"/>
    <s v="1022.56"/>
    <s v="106477"/>
    <s v="236606"/>
    <s v="0.2"/>
    <s v="0"/>
    <s v="108.8"/>
  </r>
  <r>
    <x v="80"/>
    <x v="12"/>
    <s v="Em operação"/>
    <s v="ES 0099"/>
    <x v="2"/>
    <m/>
    <m/>
    <n v="2500"/>
    <n v="290.13091641490433"/>
    <s v="13.48"/>
    <n v="9.93"/>
    <s v="3.55"/>
    <s v="26.33"/>
    <s v="803"/>
    <n v="2881"/>
    <s v="3.59"/>
    <s v="8.8"/>
    <s v="327.44"/>
    <s v="19.4"/>
    <s v="5.46"/>
    <s v="308.04"/>
    <s v="31.01"/>
    <s v="7973.46"/>
    <s v="121617"/>
    <s v="356167"/>
    <s v="2.9"/>
    <s v="0"/>
    <s v="252.8"/>
  </r>
  <r>
    <x v="80"/>
    <x v="12"/>
    <s v="Em operação"/>
    <s v="ES 0101"/>
    <x v="0"/>
    <n v="3341"/>
    <m/>
    <n v="4000"/>
    <n v="543.23144104803498"/>
    <s v="8.47"/>
    <n v="6.87"/>
    <s v="1.6"/>
    <s v="18.89"/>
    <s v="815"/>
    <n v="3732"/>
    <s v="4.58"/>
    <s v="13.89"/>
    <s v="268.76"/>
    <s v="8.52"/>
    <s v="5.32"/>
    <s v="260.25"/>
    <s v="37.89"/>
    <s v="6582.86"/>
    <s v="417204"/>
    <s v="1487551"/>
    <s v="0.1"/>
    <s v="0"/>
    <s v="48.4"/>
  </r>
  <r>
    <x v="80"/>
    <x v="12"/>
    <s v="Em operação"/>
    <s v="ES 0116"/>
    <x v="2"/>
    <m/>
    <m/>
    <n v="2500"/>
    <n v="232.70622286541243"/>
    <s v="8.16"/>
    <n v="6.91"/>
    <s v="1.25"/>
    <s v="15.31"/>
    <s v="697"/>
    <n v="1608"/>
    <s v="2.31"/>
    <s v="6.07"/>
    <s v="264.98"/>
    <s v="5.2"/>
    <s v="4.16"/>
    <s v="259.77"/>
    <s v="37.58"/>
    <s v="1945.48"/>
    <s v="190141"/>
    <s v="642097"/>
    <s v="0"/>
    <s v="0"/>
    <s v="5.3"/>
  </r>
  <r>
    <x v="81"/>
    <x v="12"/>
    <s v="Em operação"/>
    <s v="ES 0096"/>
    <x v="2"/>
    <m/>
    <m/>
    <n v="2142.8571428571427"/>
    <n v="348.83720930232556"/>
    <s v="8.89"/>
    <n v="7.74"/>
    <s v="1.15"/>
    <s v="12.94"/>
    <s v="1106"/>
    <n v="2700"/>
    <s v="1.49"/>
    <s v="10.34"/>
    <s v="159.93"/>
    <s v="5.2"/>
    <s v="4.53"/>
    <s v="154.73"/>
    <s v="20"/>
    <s v="9191.02"/>
    <s v="85657"/>
    <s v="127522"/>
    <s v="0.8"/>
    <s v="0"/>
    <s v="289.2"/>
  </r>
  <r>
    <x v="81"/>
    <x v="12"/>
    <s v="Em operação"/>
    <s v="ES 0097"/>
    <x v="2"/>
    <m/>
    <m/>
    <n v="2142.8571428571427"/>
    <n v="92.936802973977692"/>
    <s v="4.19"/>
    <n v="2.69"/>
    <s v="1.5"/>
    <s v="35.79"/>
    <s v=""/>
    <n v="250"/>
    <s v=""/>
    <s v=""/>
    <s v="53.47"/>
    <s v="5.68"/>
    <s v="3.79"/>
    <s v="47.79"/>
    <s v="17.76"/>
    <s v="8826.3"/>
    <s v=""/>
    <s v=""/>
    <s v="0"/>
    <s v=""/>
    <s v="243.8"/>
  </r>
  <r>
    <x v="81"/>
    <x v="12"/>
    <s v="Em operação"/>
    <s v="ES 0135"/>
    <x v="2"/>
    <m/>
    <m/>
    <n v="2142.8571428571427"/>
    <n v="252.41379310344828"/>
    <s v="7.6"/>
    <n v="5.8"/>
    <s v="1.8"/>
    <s v="23.69"/>
    <s v="846"/>
    <n v="1464"/>
    <s v="1.73"/>
    <s v="11.9"/>
    <s v="123.03"/>
    <s v="6.15"/>
    <s v="3.42"/>
    <s v="116.87"/>
    <s v="20.16"/>
    <s v="582.89"/>
    <s v="50628"/>
    <s v="101963"/>
    <s v="0.9"/>
    <s v="0"/>
    <s v="57.9"/>
  </r>
  <r>
    <x v="81"/>
    <x v="12"/>
    <s v="Em operação"/>
    <s v="ES 0110"/>
    <x v="2"/>
    <m/>
    <m/>
    <n v="2142.8571428571427"/>
    <n v="409.73451327433628"/>
    <s v="8.43"/>
    <n v="6.78"/>
    <s v="1.65"/>
    <s v="19.57"/>
    <s v="1256"/>
    <n v="2778"/>
    <s v="2.21"/>
    <s v="18.01"/>
    <s v="154.26"/>
    <s v="5.68"/>
    <s v="3.44"/>
    <s v="148.58"/>
    <s v="21.9"/>
    <s v="2451.79"/>
    <s v="161620"/>
    <s v="309301"/>
    <s v="0.9"/>
    <s v="0"/>
    <s v="319.2"/>
  </r>
  <r>
    <x v="81"/>
    <x v="12"/>
    <s v="Em operação"/>
    <s v="ES 0126"/>
    <x v="2"/>
    <m/>
    <m/>
    <n v="2142.8571428571427"/>
    <n v="253.32369942196533"/>
    <s v="8.47"/>
    <n v="6.92"/>
    <s v="1.55"/>
    <s v="18.3"/>
    <s v="706"/>
    <n v="1753"/>
    <s v="2.48"/>
    <s v="11.76"/>
    <s v="149.05"/>
    <s v="5.68"/>
    <s v="3.66"/>
    <s v="143.37"/>
    <s v="20.72"/>
    <s v="1031.03"/>
    <s v="107219"/>
    <s v="238452"/>
    <s v="0.7"/>
    <s v="0"/>
    <s v="109.5"/>
  </r>
  <r>
    <x v="81"/>
    <x v="12"/>
    <s v="Em operação"/>
    <s v="ES 0099"/>
    <x v="2"/>
    <m/>
    <m/>
    <n v="2142.8571428571427"/>
    <n v="401.37681159420288"/>
    <s v="15.4"/>
    <n v="13.8"/>
    <s v="1.6"/>
    <s v="10.39"/>
    <s v="1465"/>
    <n v="5539"/>
    <s v="3.78"/>
    <s v="12.84"/>
    <s v="431.54"/>
    <s v="9.94"/>
    <s v="6.21"/>
    <s v="421.6"/>
    <s v="30.56"/>
    <s v="7988.86"/>
    <s v="123082"/>
    <s v="361706"/>
    <s v="0.3"/>
    <s v="0"/>
    <s v="253.1"/>
  </r>
  <r>
    <x v="81"/>
    <x v="12"/>
    <s v="Em operação"/>
    <s v="ES 0101"/>
    <x v="0"/>
    <n v="2749"/>
    <m/>
    <n v="4000"/>
    <n v="498.69960988296486"/>
    <s v="8.74"/>
    <n v="7.69"/>
    <s v="1.05"/>
    <s v="12.01"/>
    <s v="882"/>
    <n v="3835"/>
    <s v="4.35"/>
    <s v="12.89"/>
    <s v="297.63"/>
    <s v="6.15"/>
    <s v="5.86"/>
    <s v="291.48"/>
    <s v="37.9"/>
    <s v="6591.6"/>
    <s v="418086"/>
    <s v="1491386"/>
    <s v="0"/>
    <s v="0"/>
    <s v="48.4"/>
  </r>
  <r>
    <x v="81"/>
    <x v="12"/>
    <s v="Em operação"/>
    <s v="ES 0116"/>
    <x v="2"/>
    <m/>
    <m/>
    <n v="2142.8571428571427"/>
    <n v="304.51977401129943"/>
    <s v="8.58"/>
    <n v="7.08"/>
    <s v="1.5"/>
    <s v="17.47"/>
    <s v="820"/>
    <n v="2156"/>
    <s v="2.63"/>
    <s v="8.86"/>
    <s v="243.21"/>
    <s v="7.57"/>
    <s v="5.05"/>
    <s v="235.64"/>
    <s v="33.26"/>
    <s v="1954.06"/>
    <s v="190961"/>
    <s v="644253"/>
    <s v="0"/>
    <s v="0"/>
    <s v="5.3"/>
  </r>
  <r>
    <x v="82"/>
    <x v="12"/>
    <s v="Em operação"/>
    <s v="ES 0096"/>
    <x v="2"/>
    <m/>
    <m/>
    <n v="2142.8571428571427"/>
    <n v="207.52895752895753"/>
    <s v="6.13"/>
    <n v="5.18"/>
    <s v="0.95"/>
    <s v="15.5"/>
    <s v="845"/>
    <n v="1075"/>
    <s v="1.67"/>
    <s v="13.1"/>
    <s v="107.88"/>
    <s v="3.79"/>
    <s v="3.98"/>
    <s v="104.1"/>
    <s v="20.1"/>
    <s v="9197.15"/>
    <s v="86502"/>
    <s v="128935"/>
    <s v="0.4"/>
    <s v="0"/>
    <s v="289.6"/>
  </r>
  <r>
    <x v="82"/>
    <x v="12"/>
    <s v="Em operação"/>
    <s v="ES 0097"/>
    <x v="2"/>
    <m/>
    <m/>
    <n v="2142.8571428571427"/>
    <n v="263.60544217687078"/>
    <s v="4.44"/>
    <n v="2.94"/>
    <s v="1.5"/>
    <s v="33.75"/>
    <s v=""/>
    <n v="775"/>
    <s v=""/>
    <s v=""/>
    <s v="62.46"/>
    <s v="5.2"/>
    <s v="3.47"/>
    <s v="57.25"/>
    <s v="19.44"/>
    <s v="8830.75"/>
    <s v=""/>
    <s v=""/>
    <s v="0"/>
    <s v=""/>
    <s v="243.8"/>
  </r>
  <r>
    <x v="82"/>
    <x v="12"/>
    <s v="Em operação"/>
    <s v="ES 0135"/>
    <x v="2"/>
    <m/>
    <m/>
    <n v="2142.8571428571427"/>
    <n v="373.11233885819524"/>
    <s v="6.88"/>
    <n v="5.43"/>
    <s v="1.45"/>
    <s v="21.09"/>
    <s v="1020"/>
    <n v="2026"/>
    <s v="1.99"/>
    <s v="16.34"/>
    <s v="123.97"/>
    <s v="5.2"/>
    <s v="3.59"/>
    <s v="118.77"/>
    <s v="21.89"/>
    <s v="589.77"/>
    <s v="51657"/>
    <s v="104005"/>
    <s v="0.1"/>
    <s v="0"/>
    <s v="58.1"/>
  </r>
  <r>
    <x v="82"/>
    <x v="12"/>
    <s v="Em operação"/>
    <s v="ES 0110"/>
    <x v="2"/>
    <m/>
    <m/>
    <n v="2142.8571428571427"/>
    <n v="441.40969162995594"/>
    <s v="4.89"/>
    <n v="4.54"/>
    <s v="0.35"/>
    <s v="7.15"/>
    <s v="842"/>
    <n v="2004"/>
    <s v="2.38"/>
    <s v="20.56"/>
    <s v="97.47"/>
    <s v="2.37"/>
    <s v="6.76"/>
    <s v="95.11"/>
    <s v="20.93"/>
    <s v="2456.69"/>
    <s v="162462"/>
    <s v="311305"/>
    <s v="0.1"/>
    <s v="0"/>
    <s v="319.3"/>
  </r>
  <r>
    <x v="82"/>
    <x v="12"/>
    <s v="Em operação"/>
    <s v="ES 0126"/>
    <x v="2"/>
    <m/>
    <m/>
    <n v="2142.8571428571427"/>
    <n v="141.84397163120568"/>
    <s v="6.14"/>
    <n v="5.64"/>
    <s v="0.5"/>
    <s v="8.15"/>
    <s v="308"/>
    <n v="800"/>
    <s v="2.6"/>
    <s v="12.34"/>
    <s v="64.83"/>
    <s v="2.37"/>
    <s v="4.73"/>
    <s v="62.46"/>
    <s v="11.08"/>
    <s v="1037.17"/>
    <s v="107527"/>
    <s v="239252"/>
    <s v="0"/>
    <s v="0"/>
    <s v="109.7"/>
  </r>
  <r>
    <x v="82"/>
    <x v="12"/>
    <s v="Em operação"/>
    <s v="ES 0099"/>
    <x v="2"/>
    <m/>
    <m/>
    <n v="2142.8571428571427"/>
    <n v="482.28021978021974"/>
    <s v="7.98"/>
    <n v="7.28"/>
    <s v="0.7"/>
    <s v="8.77"/>
    <s v="871"/>
    <n v="3511"/>
    <s v="4.03"/>
    <s v="14.84"/>
    <s v="236.59"/>
    <s v="3.79"/>
    <s v="5.41"/>
    <s v="232.8"/>
    <s v="31.97"/>
    <s v="7996.84"/>
    <s v="123953"/>
    <s v="365217"/>
    <s v="0.1"/>
    <s v="0"/>
    <s v="253.2"/>
  </r>
  <r>
    <x v="82"/>
    <x v="12"/>
    <s v="Em operação"/>
    <s v="ES 0101"/>
    <x v="0"/>
    <n v="2200"/>
    <m/>
    <n v="4000"/>
    <n v="554.97737556561083"/>
    <s v="5.07"/>
    <n v="4.42"/>
    <s v="0.65"/>
    <s v="12.81"/>
    <s v="530"/>
    <n v="2453"/>
    <s v="4.63"/>
    <s v="14.24"/>
    <s v="172.24"/>
    <s v="4.26"/>
    <s v="6.55"/>
    <s v="167.98"/>
    <s v="37.98"/>
    <s v="6596.67"/>
    <s v="418616"/>
    <s v="1493839"/>
    <s v="0.1"/>
    <s v="0"/>
    <s v="48.5"/>
  </r>
  <r>
    <x v="82"/>
    <x v="12"/>
    <s v="Em operação"/>
    <s v="ES 0116"/>
    <x v="2"/>
    <m/>
    <m/>
    <n v="2142.8571428571427"/>
    <n v="148.90387858347387"/>
    <s v="6.83"/>
    <n v="5.93"/>
    <s v="0.9"/>
    <s v="13.18"/>
    <s v="329"/>
    <n v="883"/>
    <s v="2.68"/>
    <s v="4.83"/>
    <s v="182.65"/>
    <s v="4.26"/>
    <s v="4.73"/>
    <s v="178.39"/>
    <s v="30.1"/>
    <s v="1960.89"/>
    <s v="191393"/>
    <s v="645287"/>
    <s v="0"/>
    <s v="0"/>
    <s v="5.3"/>
  </r>
  <r>
    <x v="83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s v="9197.15"/>
    <s v="86502"/>
    <s v="128935"/>
    <s v="0"/>
    <s v=""/>
    <s v="289.6"/>
  </r>
  <r>
    <x v="83"/>
    <x v="1"/>
    <s v="Não operacional"/>
    <s v="ES 0097"/>
    <x v="2"/>
    <m/>
    <m/>
    <m/>
    <n v="0"/>
    <s v="0"/>
    <s v="0"/>
    <s v="0"/>
    <s v=""/>
    <s v=""/>
    <n v="0"/>
    <s v=""/>
    <s v=""/>
    <s v="0"/>
    <s v="0"/>
    <s v=""/>
    <s v="0"/>
    <s v=""/>
    <s v="8830.75"/>
    <s v=""/>
    <s v=""/>
    <s v="0"/>
    <s v=""/>
    <s v="243.8"/>
  </r>
  <r>
    <x v="83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s v="2456.69"/>
    <s v="162462"/>
    <s v="311305"/>
    <s v="0"/>
    <s v=""/>
    <s v="319.3"/>
  </r>
  <r>
    <x v="83"/>
    <x v="1"/>
    <s v="Não operacional"/>
    <s v="ES 0126"/>
    <x v="2"/>
    <m/>
    <m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83"/>
    <x v="1"/>
    <s v="Não operacional"/>
    <s v="ES 0099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"/>
    <x v="1"/>
    <s v="Não operacional"/>
    <s v="ES 0101"/>
    <x v="0"/>
    <m/>
    <m/>
    <m/>
    <n v="0"/>
    <s v="0"/>
    <n v="0"/>
    <s v="0"/>
    <s v=""/>
    <s v="0"/>
    <n v="0"/>
    <s v=""/>
    <s v=""/>
    <s v="0"/>
    <s v="0"/>
    <s v=""/>
    <s v="0"/>
    <s v=""/>
    <s v="6596.67"/>
    <s v="418616"/>
    <s v="1493839"/>
    <s v="0"/>
    <s v=""/>
    <s v="48.5"/>
  </r>
  <r>
    <x v="83"/>
    <x v="1"/>
    <s v="Não operacional"/>
    <s v="ES 0116"/>
    <x v="2"/>
    <m/>
    <m/>
    <m/>
    <n v="0"/>
    <s v=""/>
    <s v=""/>
    <s v=""/>
    <s v=""/>
    <s v=""/>
    <n v="0"/>
    <s v=""/>
    <s v=""/>
    <s v=""/>
    <s v=""/>
    <s v=""/>
    <s v=""/>
    <s v=""/>
    <s v=""/>
    <s v=""/>
    <s v=""/>
    <s v=""/>
    <s v=""/>
    <s v=""/>
  </r>
  <r>
    <x v="84"/>
    <x v="13"/>
    <s v="Em operação"/>
    <s v="ES 0096"/>
    <x v="2"/>
    <m/>
    <m/>
    <n v="2500"/>
    <n v="272.16174183514778"/>
    <s v="8.28"/>
    <n v="6.43"/>
    <s v="1.85"/>
    <s v="22.33"/>
    <s v="810"/>
    <n v="1750"/>
    <s v="1.59"/>
    <s v="9.8"/>
    <s v="131.54"/>
    <s v="7.1"/>
    <s v="3.84"/>
    <s v="124.45"/>
    <s v="19.34"/>
    <s v="9205.43"/>
    <s v="87312"/>
    <s v="130224"/>
    <s v="0.1"/>
    <s v="0"/>
    <s v="289.7"/>
  </r>
  <r>
    <x v="84"/>
    <x v="1"/>
    <s v="Não operacional"/>
    <s v="ES 0097"/>
    <x v="2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"/>
    <x v="13"/>
    <s v="Em operação"/>
    <s v="ES 0135"/>
    <x v="2"/>
    <m/>
    <m/>
    <n v="2500"/>
    <n v="312.39892183288407"/>
    <s v="13.33"/>
    <n v="11.13"/>
    <s v="2.2"/>
    <s v="16.51"/>
    <s v="1775"/>
    <n v="3477"/>
    <s v="1.96"/>
    <s v="14.21"/>
    <s v="244.63"/>
    <s v="7.1"/>
    <s v="3.23"/>
    <s v="237.53"/>
    <s v="21.35"/>
    <s v="603.09"/>
    <s v="53432"/>
    <s v="107482"/>
    <s v="0.2"/>
    <s v="0"/>
    <s v="58.3"/>
  </r>
  <r>
    <x v="84"/>
    <x v="13"/>
    <s v="Em operação"/>
    <s v="ES 0110"/>
    <x v="2"/>
    <m/>
    <m/>
    <n v="2500"/>
    <n v="219.91017964071858"/>
    <s v="7.68"/>
    <n v="6.68"/>
    <s v="1"/>
    <s v="13.03"/>
    <s v="885"/>
    <n v="1469"/>
    <s v="1.66"/>
    <s v="10.01"/>
    <s v="146.68"/>
    <s v="3.31"/>
    <s v="3.31"/>
    <s v="143.37"/>
    <s v="21.48"/>
    <s v="2464.36"/>
    <s v="163347"/>
    <s v="312774"/>
    <s v="1.1"/>
    <s v="0"/>
    <s v="320.4"/>
  </r>
  <r>
    <x v="84"/>
    <x v="13"/>
    <s v="Em operação"/>
    <s v="ES 0126"/>
    <x v="2"/>
    <m/>
    <m/>
    <n v="2500"/>
    <n v="303.23014804845224"/>
    <s v="8.13"/>
    <n v="7.43"/>
    <s v="0.7"/>
    <s v="8.61"/>
    <s v="864"/>
    <n v="2253"/>
    <s v="2.61"/>
    <s v="17.31"/>
    <s v="130.12"/>
    <s v="2.84"/>
    <s v="4.06"/>
    <s v="127.28"/>
    <s v="17.14"/>
    <s v="1045.3"/>
    <s v="108629"/>
    <s v="242082"/>
    <s v="0"/>
    <s v="0"/>
    <s v="109.7"/>
  </r>
  <r>
    <x v="84"/>
    <x v="13"/>
    <s v="Em operação"/>
    <s v="ES 0099"/>
    <x v="2"/>
    <m/>
    <m/>
    <n v="2500"/>
    <n v="511.89979123173276"/>
    <s v="7.74"/>
    <n v="4.79"/>
    <s v="2.95"/>
    <s v="38.12"/>
    <s v="612"/>
    <n v="2452"/>
    <s v="4.01"/>
    <s v="15.06"/>
    <s v="162.77"/>
    <s v="17.51"/>
    <s v="5.93"/>
    <s v="145.26"/>
    <s v="30.34"/>
    <s v="8004.58"/>
    <s v="124565"/>
    <s v="367669"/>
    <s v="0"/>
    <s v="0"/>
    <s v="253.2"/>
  </r>
  <r>
    <x v="84"/>
    <x v="13"/>
    <s v="Em operação"/>
    <s v="ES 0101"/>
    <x v="0"/>
    <n v="2126"/>
    <m/>
    <n v="3428.5714285714284"/>
    <n v="499.40119760479047"/>
    <s v="7.26"/>
    <n v="5.01"/>
    <s v="2.25"/>
    <s v="30.98"/>
    <s v="483"/>
    <n v="2502"/>
    <s v="5.18"/>
    <s v="12.68"/>
    <s v="197.31"/>
    <s v="11.83"/>
    <s v="5.26"/>
    <s v="185.49"/>
    <s v="37"/>
    <s v="6603.93"/>
    <s v="419099"/>
    <s v="1496341"/>
    <s v="0.1"/>
    <s v="0"/>
    <s v="48.6"/>
  </r>
  <r>
    <x v="84"/>
    <x v="13"/>
    <s v="Em operação"/>
    <s v="ES 0116"/>
    <x v="2"/>
    <m/>
    <m/>
    <n v="2500"/>
    <n v="384.44444444444446"/>
    <s v="7.85"/>
    <n v="6.3"/>
    <s v="1.55"/>
    <s v="19.74"/>
    <s v="965"/>
    <n v="2422"/>
    <s v="2.51"/>
    <s v="9.09"/>
    <s v="266.4"/>
    <s v="6.62"/>
    <s v="4.27"/>
    <s v="259.77"/>
    <s v="41.21"/>
    <s v="1968.74"/>
    <s v="192358"/>
    <s v="647709"/>
    <s v="0"/>
    <s v="0"/>
    <s v="5.3"/>
  </r>
  <r>
    <x v="85"/>
    <x v="13"/>
    <s v="Em operação"/>
    <s v="ES 0096"/>
    <x v="2"/>
    <m/>
    <m/>
    <n v="3000"/>
    <n v="265.30612244897958"/>
    <s v="3.4"/>
    <n v="2.4500000000000002"/>
    <s v="0.95"/>
    <s v="27.97"/>
    <s v="395"/>
    <n v="650"/>
    <s v="1.39"/>
    <s v="10.47"/>
    <s v="52.52"/>
    <s v="3.79"/>
    <s v="3.98"/>
    <s v="48.74"/>
    <s v="19.92"/>
    <s v="9208.83"/>
    <s v="87707"/>
    <s v="130774"/>
    <s v="0"/>
    <s v="0"/>
    <s v="289.7"/>
  </r>
  <r>
    <x v="85"/>
    <x v="1"/>
    <s v="Não operacional"/>
    <s v="ES 0097"/>
    <x v="2"/>
    <m/>
    <s v="Na oficina"/>
    <m/>
    <n v="0"/>
    <s v="0.64"/>
    <s v=""/>
    <s v="0.65"/>
    <s v="100.82"/>
    <s v=""/>
    <n v="0"/>
    <s v=""/>
    <s v=""/>
    <s v="3.31"/>
    <s v="3.79"/>
    <s v="5.82"/>
    <s v=""/>
    <s v=""/>
    <s v="8831.55"/>
    <s v=""/>
    <s v=""/>
    <s v="0"/>
    <s v=""/>
    <s v="243.8"/>
  </r>
  <r>
    <x v="85"/>
    <x v="13"/>
    <s v="Em operação"/>
    <s v="ES 0135"/>
    <x v="6"/>
    <m/>
    <m/>
    <m/>
    <n v="263.42494714587735"/>
    <s v="10.96"/>
    <n v="9.4600000000000009"/>
    <s v="1.5"/>
    <s v="13.68"/>
    <s v="1514"/>
    <n v="2492"/>
    <s v="1.65"/>
    <s v="12.25"/>
    <s v="203.47"/>
    <s v="4.73"/>
    <s v="3.15"/>
    <s v="198.73"/>
    <s v="21"/>
    <s v="614.06"/>
    <s v="54946"/>
    <s v="109974"/>
    <s v="0.4"/>
    <s v="0"/>
    <s v="58.7"/>
  </r>
  <r>
    <x v="85"/>
    <x v="13"/>
    <s v="Em operação"/>
    <s v="ES 0110"/>
    <x v="2"/>
    <m/>
    <m/>
    <n v="3000"/>
    <n v="373.32242225859244"/>
    <s v="7.16"/>
    <n v="6.11"/>
    <s v="1.05"/>
    <s v="14.66"/>
    <s v="1022"/>
    <n v="2281"/>
    <s v="2.23"/>
    <s v="16.62"/>
    <s v="137.22"/>
    <s v="3.79"/>
    <s v="3.61"/>
    <s v="133.44"/>
    <s v="21.83"/>
    <s v="2471.52"/>
    <s v="164369"/>
    <s v="315055"/>
    <s v="0.5"/>
    <s v="0"/>
    <s v="320.9"/>
  </r>
  <r>
    <x v="85"/>
    <x v="13"/>
    <s v="Em operação"/>
    <s v="ES 0126"/>
    <x v="2"/>
    <m/>
    <m/>
    <n v="3000"/>
    <n v="259.73904939422181"/>
    <s v="12.38"/>
    <n v="10.73"/>
    <s v="1.65"/>
    <s v="13.32"/>
    <s v="1198"/>
    <n v="2787"/>
    <s v="2.33"/>
    <s v="12.14"/>
    <s v="229.49"/>
    <s v="6.62"/>
    <s v="4.01"/>
    <s v="222.87"/>
    <s v="20.76"/>
    <s v="1057.68"/>
    <s v="109991"/>
    <s v="245284"/>
    <s v="1.7"/>
    <s v="0"/>
    <s v="111.5"/>
  </r>
  <r>
    <x v="85"/>
    <x v="13"/>
    <s v="Em operação"/>
    <s v="ES 0099"/>
    <x v="2"/>
    <m/>
    <m/>
    <n v="3000"/>
    <n v="426.03550295857991"/>
    <s v="3.04"/>
    <n v="1.69"/>
    <s v="1.35"/>
    <s v="44.45"/>
    <s v="184"/>
    <n v="720"/>
    <s v="3.91"/>
    <s v="12.9"/>
    <s v="55.83"/>
    <s v="8.04"/>
    <s v="5.96"/>
    <s v="47.79"/>
    <s v="28.33"/>
    <s v="8007.61"/>
    <s v="124749"/>
    <s v="368389"/>
    <s v="0"/>
    <s v="0"/>
    <s v="253.2"/>
  </r>
  <r>
    <x v="85"/>
    <x v="13"/>
    <s v="Em operação"/>
    <s v="ES 0101"/>
    <x v="0"/>
    <n v="1876"/>
    <m/>
    <n v="3428.5714285714284"/>
    <n v="342.76206322795343"/>
    <s v="8.01"/>
    <n v="6.01"/>
    <s v="2"/>
    <s v="24.98"/>
    <s v="435"/>
    <n v="2060"/>
    <s v="4.74"/>
    <s v="10.08"/>
    <s v="204.41"/>
    <s v="9.94"/>
    <s v="4.97"/>
    <s v="194.48"/>
    <s v="32.37"/>
    <s v="6611.94"/>
    <s v="419534"/>
    <s v="1498401"/>
    <s v="0"/>
    <s v="0"/>
    <s v="48.6"/>
  </r>
  <r>
    <x v="85"/>
    <x v="13"/>
    <s v="Em operação"/>
    <s v="ES 0116"/>
    <x v="2"/>
    <m/>
    <m/>
    <n v="3000"/>
    <n v="298.22866344605472"/>
    <s v="7.01"/>
    <n v="6.21"/>
    <s v="0.8"/>
    <s v="11.41"/>
    <s v="869"/>
    <n v="1852"/>
    <s v="2.13"/>
    <s v="7.88"/>
    <s v="235.17"/>
    <s v="4.26"/>
    <s v="5.32"/>
    <s v="230.91"/>
    <s v="37.18"/>
    <s v="1975.75"/>
    <s v="193227"/>
    <s v="649561"/>
    <s v="0.1"/>
    <s v="0"/>
    <s v="5.4"/>
  </r>
  <r>
    <x v="86"/>
    <x v="13"/>
    <s v="Em operação"/>
    <s v="ES 0096"/>
    <x v="2"/>
    <m/>
    <m/>
    <n v="3000"/>
    <n v="263.33333333333331"/>
    <s v="8.65"/>
    <n v="7.5"/>
    <s v="1.15"/>
    <s v="13.29"/>
    <s v="1164"/>
    <n v="1975"/>
    <s v="1.49"/>
    <s v="11.08"/>
    <s v="156.62"/>
    <s v="4.73"/>
    <s v="4.11"/>
    <s v="151.89"/>
    <s v="20.25"/>
    <s v="9217.48"/>
    <s v="88871"/>
    <s v="132510"/>
    <s v="0.2"/>
    <s v="0"/>
    <s v="289.9"/>
  </r>
  <r>
    <x v="86"/>
    <x v="1"/>
    <s v="Não operacional"/>
    <s v="ES 0097"/>
    <x v="2"/>
    <m/>
    <s v="Na oficina"/>
    <m/>
    <n v="0"/>
    <s v="1.97"/>
    <n v="0.56999999999999995"/>
    <s v="1.4"/>
    <s v="71.24"/>
    <s v=""/>
    <s v=""/>
    <s v=""/>
    <s v=""/>
    <s v="12.78"/>
    <s v="5.68"/>
    <s v="4.06"/>
    <s v="7.1"/>
    <s v="12.56"/>
    <s v="8833.51"/>
    <s v=""/>
    <s v=""/>
    <s v="0.2"/>
    <s v=""/>
    <s v="244"/>
  </r>
  <r>
    <x v="86"/>
    <x v="13"/>
    <s v="Em operação"/>
    <s v="ES 0135"/>
    <x v="6"/>
    <m/>
    <m/>
    <m/>
    <n v="255.10835913312692"/>
    <s v="8.76"/>
    <n v="6.46"/>
    <s v="2.3"/>
    <s v="26.25"/>
    <s v="1023"/>
    <n v="1648"/>
    <s v="1.61"/>
    <s v="11.77"/>
    <s v="140.06"/>
    <s v="7.57"/>
    <s v="3.29"/>
    <s v="132.49"/>
    <s v="20.5"/>
    <s v="622.82"/>
    <s v="55969"/>
    <s v="111622"/>
    <s v="0.6"/>
    <s v="0"/>
    <s v="59.3"/>
  </r>
  <r>
    <x v="86"/>
    <x v="13"/>
    <s v="Em operação"/>
    <s v="ES 0110"/>
    <x v="2"/>
    <m/>
    <m/>
    <n v="3000"/>
    <n v="376.31578947368422"/>
    <s v="8.46"/>
    <n v="7.6"/>
    <s v="0.85"/>
    <s v="10.05"/>
    <s v="1257"/>
    <n v="2860"/>
    <s v="2.28"/>
    <s v="16.56"/>
    <s v="172.71"/>
    <s v="3.79"/>
    <s v="4.45"/>
    <s v="168.92"/>
    <s v="22.21"/>
    <s v="2479.98"/>
    <s v="165626"/>
    <s v="317915"/>
    <s v="1.4"/>
    <s v="0"/>
    <s v="322.3"/>
  </r>
  <r>
    <x v="86"/>
    <x v="13"/>
    <s v="Em operação"/>
    <s v="ES 0126"/>
    <x v="2"/>
    <m/>
    <m/>
    <n v="3000"/>
    <n v="242.88659793814435"/>
    <s v="11.15"/>
    <n v="9.6999999999999993"/>
    <s v="1.45"/>
    <s v="13"/>
    <s v="1046"/>
    <n v="2356"/>
    <s v="2.25"/>
    <s v="11.24"/>
    <s v="209.62"/>
    <s v="5.68"/>
    <s v="3.92"/>
    <s v="203.94"/>
    <s v="21.02"/>
    <s v="1068.84"/>
    <s v="111037"/>
    <s v="247640"/>
    <s v="1.3"/>
    <s v="0"/>
    <s v="112.8"/>
  </r>
  <r>
    <x v="86"/>
    <x v="13"/>
    <s v="Em operação"/>
    <s v="ES 0099"/>
    <x v="2"/>
    <m/>
    <m/>
    <n v="3000"/>
    <n v="483.44155844155841"/>
    <s v="11.74"/>
    <n v="9.24"/>
    <s v="2.5"/>
    <s v="21.29"/>
    <s v="1122"/>
    <n v="4467"/>
    <s v="3.98"/>
    <s v="15.13"/>
    <s v="295.26"/>
    <s v="14.67"/>
    <s v="5.87"/>
    <s v="280.59"/>
    <s v="30.36"/>
    <s v="8019.36"/>
    <s v="125871"/>
    <s v="372856"/>
    <s v="0"/>
    <s v="0"/>
    <s v="253.2"/>
  </r>
  <r>
    <x v="86"/>
    <x v="13"/>
    <s v="Em operação"/>
    <s v="ES 0101"/>
    <x v="0"/>
    <n v="1454"/>
    <m/>
    <n v="3428.5714285714284"/>
    <n v="321.71717171717171"/>
    <s v="7.39"/>
    <n v="5.94"/>
    <s v="1.45"/>
    <s v="19.61"/>
    <s v="361"/>
    <n v="1911"/>
    <s v="5.29"/>
    <s v="8.08"/>
    <s v="236.59"/>
    <s v="8.04"/>
    <s v="5.55"/>
    <s v="228.54"/>
    <s v="38.46"/>
    <s v="6619.33"/>
    <s v="419895"/>
    <s v="1500312"/>
    <s v="0.1"/>
    <s v="0"/>
    <s v="48.7"/>
  </r>
  <r>
    <x v="86"/>
    <x v="13"/>
    <s v="Em operação"/>
    <s v="ES 0116"/>
    <x v="2"/>
    <m/>
    <m/>
    <n v="3000"/>
    <n v="291.02749638205501"/>
    <s v="8.11"/>
    <n v="6.91"/>
    <s v="1.2"/>
    <s v="14.8"/>
    <s v="802"/>
    <n v="2011"/>
    <s v="2.51"/>
    <s v="7.14"/>
    <s v="281.54"/>
    <s v="5.68"/>
    <s v="4.73"/>
    <s v="275.86"/>
    <s v="39.92"/>
    <s v="1983.86"/>
    <s v="194131"/>
    <s v="651913"/>
    <s v="0"/>
    <s v="0"/>
    <s v="5.4"/>
  </r>
  <r>
    <x v="87"/>
    <x v="13"/>
    <s v="Em operação"/>
    <s v="ES 0096"/>
    <x v="2"/>
    <m/>
    <m/>
    <n v="3000"/>
    <n v="199.31972789115648"/>
    <s v="8.3"/>
    <n v="7.35"/>
    <s v="0.95"/>
    <s v="11.44"/>
    <s v="891"/>
    <n v="1465"/>
    <s v="1.64"/>
    <s v="9.59"/>
    <s v="152.84"/>
    <s v="4.26"/>
    <s v="4.48"/>
    <s v="148.58"/>
    <s v="20.21"/>
    <s v="9225.78"/>
    <s v="89762"/>
    <s v="133975"/>
    <s v="0.4"/>
    <s v="0"/>
    <s v="290.3"/>
  </r>
  <r>
    <x v="87"/>
    <x v="1"/>
    <s v="Não operacional"/>
    <s v="ES 0097"/>
    <x v="2"/>
    <m/>
    <s v="Na oficina"/>
    <m/>
    <n v="0"/>
    <s v="0.19"/>
    <s v="0.14"/>
    <s v="0.05"/>
    <s v="26.36"/>
    <s v=""/>
    <s v=""/>
    <s v=""/>
    <s v=""/>
    <s v="4.26"/>
    <s v="0.95"/>
    <s v="18.93"/>
    <s v="3.31"/>
    <s v="23.71"/>
    <s v="8833.78"/>
    <s v=""/>
    <s v=""/>
    <s v="0"/>
    <s v=""/>
    <s v="244"/>
  </r>
  <r>
    <x v="87"/>
    <x v="13"/>
    <s v="Em operação"/>
    <s v="ES 0135"/>
    <x v="6"/>
    <m/>
    <m/>
    <m/>
    <n v="371.18110236220474"/>
    <s v="8.5"/>
    <n v="6.35"/>
    <s v="2.15"/>
    <s v="25.29"/>
    <s v="1173"/>
    <n v="2357"/>
    <s v="2.01"/>
    <s v="16.72"/>
    <s v="141.01"/>
    <s v="7.1"/>
    <s v="3.3"/>
    <s v="133.91"/>
    <s v="21.08"/>
    <s v="631.32"/>
    <s v="57142"/>
    <s v="113979"/>
    <s v="0.1"/>
    <s v="0"/>
    <s v="59.4"/>
  </r>
  <r>
    <x v="87"/>
    <x v="13"/>
    <s v="Em operação"/>
    <s v="ES 0110"/>
    <x v="2"/>
    <m/>
    <m/>
    <n v="3000"/>
    <n v="368.57962697274036"/>
    <s v="8.57"/>
    <n v="6.97"/>
    <s v="1.6"/>
    <s v="18.67"/>
    <s v="1137"/>
    <n v="2569"/>
    <s v="2.26"/>
    <s v="16.21"/>
    <s v="158.51"/>
    <s v="6.15"/>
    <s v="3.84"/>
    <s v="152.36"/>
    <s v="21.86"/>
    <s v="2488.55"/>
    <s v="166763"/>
    <s v="320484"/>
    <s v="0.4"/>
    <s v="0"/>
    <s v="322.7"/>
  </r>
  <r>
    <x v="87"/>
    <x v="13"/>
    <s v="Em operação"/>
    <s v="ES 0126"/>
    <x v="2"/>
    <m/>
    <m/>
    <n v="3000"/>
    <n v="211.47308781869688"/>
    <s v="8.51"/>
    <n v="7.06"/>
    <s v="1.45"/>
    <s v="17.04"/>
    <s v="797"/>
    <n v="1493"/>
    <s v="2.44"/>
    <s v="12.33"/>
    <s v="157.57"/>
    <s v="5.68"/>
    <s v="3.92"/>
    <s v="151.89"/>
    <s v="21.52"/>
    <s v="1077.34"/>
    <s v="111834"/>
    <s v="249583"/>
    <s v="0.9"/>
    <s v="0"/>
    <s v="113.7"/>
  </r>
  <r>
    <x v="87"/>
    <x v="13"/>
    <s v="Em operação"/>
    <s v="ES 0126"/>
    <x v="6"/>
    <m/>
    <m/>
    <m/>
    <n v="0"/>
    <m/>
    <m/>
    <m/>
    <m/>
    <m/>
    <n v="450"/>
    <m/>
    <m/>
    <m/>
    <m/>
    <m/>
    <m/>
    <m/>
    <m/>
    <m/>
    <m/>
    <m/>
    <m/>
    <m/>
  </r>
  <r>
    <x v="87"/>
    <x v="13"/>
    <s v="Em operação"/>
    <s v="ES 0099"/>
    <x v="2"/>
    <m/>
    <m/>
    <n v="3000"/>
    <n v="443.34203655352479"/>
    <s v="15.49"/>
    <n v="11.49"/>
    <s v="4"/>
    <s v="25.83"/>
    <s v="1240"/>
    <n v="5094"/>
    <s v="4.11"/>
    <s v="14.02"/>
    <s v="363.4"/>
    <s v="21.77"/>
    <s v="5.44"/>
    <s v="341.63"/>
    <s v="29.74"/>
    <s v="8034.84"/>
    <s v="127111"/>
    <s v="377950"/>
    <s v="0.2"/>
    <s v="0"/>
    <s v="253.4"/>
  </r>
  <r>
    <x v="87"/>
    <x v="13"/>
    <s v="Em operação"/>
    <s v="ES 0101"/>
    <x v="0"/>
    <n v="3801"/>
    <m/>
    <n v="3428.5714285714284"/>
    <n v="523.65887207702895"/>
    <s v="7.87"/>
    <n v="7.27"/>
    <s v="0.6"/>
    <s v="7.62"/>
    <s v="728"/>
    <n v="3807"/>
    <s v="5.23"/>
    <s v="13.3"/>
    <s v="286.27"/>
    <s v="3.31"/>
    <s v="5.52"/>
    <s v="282.96"/>
    <s v="38.91"/>
    <s v="6627.21"/>
    <s v="420623"/>
    <s v="1504119"/>
    <s v="0.2"/>
    <s v="0"/>
    <s v="48.9"/>
  </r>
  <r>
    <x v="87"/>
    <x v="13"/>
    <s v="Em operação"/>
    <s v="ES 0116"/>
    <x v="2"/>
    <m/>
    <m/>
    <n v="3000"/>
    <n v="430.02958579881658"/>
    <s v="8.16"/>
    <n v="6.76"/>
    <s v="1.4"/>
    <s v="17.16"/>
    <s v="971"/>
    <n v="2907"/>
    <s v="3.15"/>
    <s v="10.75"/>
    <s v="284.38"/>
    <s v="6.15"/>
    <s v="4.39"/>
    <s v="278.23"/>
    <s v="41.17"/>
    <s v="1992.02"/>
    <s v="195102"/>
    <s v="654970"/>
    <s v="0"/>
    <s v="0"/>
    <s v="5.4"/>
  </r>
  <r>
    <x v="87"/>
    <x v="13"/>
    <s v="Em operação"/>
    <s v="ES 0116"/>
    <x v="6"/>
    <m/>
    <m/>
    <m/>
    <n v="0"/>
    <m/>
    <m/>
    <m/>
    <m/>
    <m/>
    <n v="150"/>
    <m/>
    <m/>
    <m/>
    <m/>
    <m/>
    <m/>
    <m/>
    <m/>
    <m/>
    <m/>
    <m/>
    <m/>
    <m/>
  </r>
  <r>
    <x v="88"/>
    <x v="13"/>
    <s v="Em operação"/>
    <s v="ES 0096"/>
    <x v="2"/>
    <m/>
    <m/>
    <n v="2500"/>
    <n v="262.9733520336606"/>
    <s v="8.38"/>
    <n v="7.13"/>
    <s v="1.25"/>
    <s v="14.91"/>
    <s v="972"/>
    <n v="1875"/>
    <s v="1.51"/>
    <s v="10.47"/>
    <s v="140.53"/>
    <s v="4.73"/>
    <s v="3.79"/>
    <s v="135.8"/>
    <s v="19.04"/>
    <s v="9234.17"/>
    <s v="90734"/>
    <s v="135446"/>
    <s v="0.2"/>
    <s v="0"/>
    <s v="290.5"/>
  </r>
  <r>
    <x v="88"/>
    <x v="13"/>
    <s v="Em operação"/>
    <s v="ES 0097"/>
    <x v="6"/>
    <m/>
    <m/>
    <m/>
    <n v="0"/>
    <m/>
    <m/>
    <m/>
    <m/>
    <m/>
    <n v="25"/>
    <m/>
    <m/>
    <m/>
    <m/>
    <m/>
    <m/>
    <m/>
    <m/>
    <m/>
    <m/>
    <m/>
    <m/>
    <m/>
  </r>
  <r>
    <x v="88"/>
    <x v="13"/>
    <s v="Em operação"/>
    <s v="ES 0097"/>
    <x v="2"/>
    <m/>
    <m/>
    <n v="2500"/>
    <n v="11.261261261261261"/>
    <s v="5.34"/>
    <n v="4.4400000000000004"/>
    <s v="0.9"/>
    <s v="16.85"/>
    <s v=""/>
    <n v="50"/>
    <s v=""/>
    <s v=""/>
    <s v="93.69"/>
    <s v="4.26"/>
    <s v="4.73"/>
    <s v="89.43"/>
    <s v="20.13"/>
    <s v="8839.12"/>
    <s v=""/>
    <s v=""/>
    <s v="0.1"/>
    <s v=""/>
    <s v="244.1"/>
  </r>
  <r>
    <x v="88"/>
    <x v="1"/>
    <s v="Não operacional"/>
    <s v="ES 0135"/>
    <x v="2"/>
    <m/>
    <s v="Na oficina"/>
    <m/>
    <n v="0"/>
    <s v="1.33"/>
    <n v="0.57999999999999996"/>
    <s v="0.75"/>
    <s v="56.32"/>
    <s v="15"/>
    <s v="-"/>
    <s v="0.2"/>
    <s v="0.3"/>
    <s v="9.94"/>
    <s v="3.31"/>
    <s v="4.42"/>
    <s v="6.62"/>
    <s v="11.39"/>
    <s v="632.65"/>
    <s v="57157"/>
    <s v="113982"/>
    <s v="0"/>
    <s v="0"/>
    <s v="59.4"/>
  </r>
  <r>
    <x v="88"/>
    <x v="13"/>
    <s v="Em operação"/>
    <s v="ES 0110"/>
    <x v="2"/>
    <m/>
    <m/>
    <n v="2500"/>
    <n v="238.97810218978103"/>
    <s v="7.45"/>
    <n v="6.85"/>
    <s v="0.6"/>
    <s v="8.05"/>
    <s v="822"/>
    <n v="1637"/>
    <s v="1.99"/>
    <s v="12.49"/>
    <s v="131.07"/>
    <s v="2.84"/>
    <s v="4.73"/>
    <s v="128.23"/>
    <s v="18.72"/>
    <s v="2496"/>
    <s v="167585"/>
    <s v="322121"/>
    <s v="1.7"/>
    <s v="0"/>
    <s v="324.4"/>
  </r>
  <r>
    <x v="88"/>
    <x v="13"/>
    <s v="Em operação"/>
    <s v="ES 0126"/>
    <x v="2"/>
    <m/>
    <m/>
    <n v="2500"/>
    <n v="268.53932584269666"/>
    <s v="9.56"/>
    <n v="8.01"/>
    <s v="1.55"/>
    <s v="16.22"/>
    <s v="945"/>
    <n v="2151"/>
    <s v="2.28"/>
    <s v="12.56"/>
    <s v="171.29"/>
    <s v="5.68"/>
    <s v="3.66"/>
    <s v="165.61"/>
    <s v="20.69"/>
    <s v="1086.9"/>
    <s v="112779"/>
    <s v="251734"/>
    <s v="3.6"/>
    <s v="0"/>
    <s v="117.3"/>
  </r>
  <r>
    <x v="88"/>
    <x v="13"/>
    <s v="Em operação"/>
    <s v="ES 0099"/>
    <x v="2"/>
    <m/>
    <m/>
    <n v="2500"/>
    <n v="330"/>
    <s v="15.35"/>
    <n v="11.7"/>
    <s v="3.65"/>
    <s v="23.78"/>
    <s v="1153"/>
    <n v="3861"/>
    <s v="3.35"/>
    <s v="10.09"/>
    <s v="382.8"/>
    <s v="20.82"/>
    <s v="5.7"/>
    <s v="361.98"/>
    <s v="30.94"/>
    <s v="8050.19"/>
    <s v="128264"/>
    <s v="381811"/>
    <s v="0.2"/>
    <s v="0"/>
    <s v="253.6"/>
  </r>
  <r>
    <x v="88"/>
    <x v="13"/>
    <s v="Em operação"/>
    <s v="ES 0101"/>
    <x v="0"/>
    <n v="2305"/>
    <m/>
    <n v="3428.5714285714284"/>
    <n v="495.0344827586207"/>
    <s v="8.7"/>
    <n v="7.25"/>
    <s v="1.45"/>
    <s v="16.66"/>
    <s v="710"/>
    <n v="3589"/>
    <s v="5.05"/>
    <s v="12.77"/>
    <s v="281.07"/>
    <s v="8.52"/>
    <s v="5.87"/>
    <s v="272.55"/>
    <s v="37.58"/>
    <s v="6635.91"/>
    <s v="421333"/>
    <s v="1507708"/>
    <s v="0.1"/>
    <s v="0"/>
    <s v="49"/>
  </r>
  <r>
    <x v="88"/>
    <x v="13"/>
    <s v="Em operação"/>
    <s v="ES 0116"/>
    <x v="2"/>
    <m/>
    <m/>
    <n v="2500"/>
    <n v="474.15143603133157"/>
    <s v="9.26"/>
    <n v="7.66"/>
    <s v="1.6"/>
    <s v="17.28"/>
    <s v="1090"/>
    <n v="3632"/>
    <s v="3.33"/>
    <s v="11.39"/>
    <s v="318.92"/>
    <s v="8.04"/>
    <s v="5.03"/>
    <s v="310.88"/>
    <s v="40.59"/>
    <s v="2001.28"/>
    <s v="196192"/>
    <s v="658602"/>
    <s v="0.1"/>
    <s v="0"/>
    <s v="5.5"/>
  </r>
  <r>
    <x v="89"/>
    <x v="13"/>
    <s v="Em operação"/>
    <s v="ES 0096"/>
    <x v="2"/>
    <m/>
    <m/>
    <n v="2142.8571428571427"/>
    <n v="168.91891891891893"/>
    <s v="6.87"/>
    <n v="5.92"/>
    <s v="0.95"/>
    <s v="13.83"/>
    <s v="553"/>
    <n v="1000"/>
    <s v="1.4"/>
    <s v="6.44"/>
    <s v="120.19"/>
    <s v="3.79"/>
    <s v="3.98"/>
    <s v="116.4"/>
    <s v="19.67"/>
    <s v="9241.03"/>
    <s v="91287"/>
    <s v="136220"/>
    <s v="0.2"/>
    <s v="0"/>
    <s v="290.7"/>
  </r>
  <r>
    <x v="89"/>
    <x v="13"/>
    <s v="Em operação"/>
    <s v="ES 0097"/>
    <x v="2"/>
    <m/>
    <m/>
    <n v="2142.8571428571427"/>
    <n v="0"/>
    <m/>
    <m/>
    <m/>
    <m/>
    <m/>
    <n v="50"/>
    <m/>
    <m/>
    <m/>
    <m/>
    <m/>
    <m/>
    <m/>
    <m/>
    <m/>
    <m/>
    <m/>
    <m/>
    <m/>
  </r>
  <r>
    <x v="89"/>
    <x v="13"/>
    <s v="Em operação"/>
    <s v="ES 0097"/>
    <x v="6"/>
    <m/>
    <m/>
    <m/>
    <n v="223.68421052631581"/>
    <s v="5.5"/>
    <n v="3.8"/>
    <s v="1.7"/>
    <s v="30.9"/>
    <s v=""/>
    <n v="850"/>
    <s v=""/>
    <s v=""/>
    <s v="83.75"/>
    <s v="6.62"/>
    <s v="3.9"/>
    <s v="77.13"/>
    <s v="20.29"/>
    <s v="8844.62"/>
    <s v=""/>
    <s v=""/>
    <s v="0"/>
    <s v=""/>
    <s v="244.1"/>
  </r>
  <r>
    <x v="89"/>
    <x v="13"/>
    <s v="Em operação"/>
    <s v="ES 0135"/>
    <x v="2"/>
    <m/>
    <m/>
    <n v="2142.8571428571427"/>
    <n v="207.2639225181598"/>
    <s v="5.43"/>
    <n v="4.13"/>
    <s v="1.3"/>
    <s v="23.93"/>
    <s v="759"/>
    <n v="856"/>
    <s v="1.13"/>
    <s v="9.67"/>
    <s v="88.48"/>
    <s v="4.26"/>
    <s v="3.28"/>
    <s v="84.23"/>
    <s v="20.38"/>
    <s v="638.08"/>
    <s v="57916"/>
    <s v="114838"/>
    <s v="0.5"/>
    <s v="0"/>
    <s v="59.9"/>
  </r>
  <r>
    <x v="89"/>
    <x v="13"/>
    <s v="Em operação"/>
    <s v="ES 0110"/>
    <x v="2"/>
    <m/>
    <m/>
    <n v="2142.8571428571427"/>
    <n v="233.93501805054152"/>
    <s v="6.74"/>
    <n v="5.54"/>
    <s v="1.2"/>
    <s v="17.8"/>
    <s v="682"/>
    <n v="1296"/>
    <s v="1.9"/>
    <s v="10.58"/>
    <s v="122.55"/>
    <s v="4.26"/>
    <s v="3.55"/>
    <s v="118.29"/>
    <s v="21.35"/>
    <s v="2502.74"/>
    <s v="168267"/>
    <s v="323417"/>
    <s v="1.8"/>
    <s v="0"/>
    <s v="326.2"/>
  </r>
  <r>
    <x v="89"/>
    <x v="13"/>
    <s v="Em operação"/>
    <s v="ES 0126"/>
    <x v="2"/>
    <m/>
    <m/>
    <n v="2142.8571428571427"/>
    <n v="279.42073170731709"/>
    <s v="7.66"/>
    <n v="6.56"/>
    <s v="1.1"/>
    <s v="14.37"/>
    <s v="734"/>
    <n v="1833"/>
    <s v="2.5"/>
    <s v="13.79"/>
    <s v="132.96"/>
    <s v="3.79"/>
    <s v="3.44"/>
    <s v="129.18"/>
    <s v="19.7"/>
    <s v="1094.56"/>
    <s v="113513"/>
    <s v="253567"/>
    <s v="0.1"/>
    <s v="0"/>
    <s v="117.4"/>
  </r>
  <r>
    <x v="89"/>
    <x v="13"/>
    <s v="Em operação"/>
    <s v="ES 0099"/>
    <x v="2"/>
    <m/>
    <m/>
    <n v="2142.8571428571427"/>
    <n v="394.19847328244276"/>
    <s v="8.75"/>
    <n v="6.55"/>
    <s v="2.2"/>
    <s v="25.14"/>
    <s v="744"/>
    <n v="2582"/>
    <s v="3.47"/>
    <s v="12.1"/>
    <s v="213.4"/>
    <s v="12.3"/>
    <s v="5.59"/>
    <s v="201.1"/>
    <s v="30.7"/>
    <s v="8058.94"/>
    <s v="129008"/>
    <s v="384393"/>
    <s v="0"/>
    <s v="0"/>
    <s v="253.6"/>
  </r>
  <r>
    <x v="89"/>
    <x v="13"/>
    <s v="Em operação"/>
    <s v="ES 0101"/>
    <x v="0"/>
    <n v="3375"/>
    <m/>
    <n v="3428.5714285714284"/>
    <n v="650.23752969121142"/>
    <s v="10.07"/>
    <n v="8.42"/>
    <s v="1.65"/>
    <s v="16.39"/>
    <s v="1050"/>
    <n v="5475"/>
    <s v="5.21"/>
    <s v="16.39"/>
    <s v="334.06"/>
    <s v="8.99"/>
    <s v="5.45"/>
    <s v="325.07"/>
    <s v="38.62"/>
    <s v="6645.98"/>
    <s v="422383"/>
    <s v="1513183"/>
    <s v="0.1"/>
    <s v="0"/>
    <s v="49.1"/>
  </r>
  <r>
    <x v="89"/>
    <x v="13"/>
    <s v="Em operação"/>
    <s v="ES 0116"/>
    <x v="2"/>
    <m/>
    <m/>
    <n v="2142.8571428571427"/>
    <n v="395.5151515151515"/>
    <s v="10.65"/>
    <n v="8.25"/>
    <s v="2.4"/>
    <s v="22.54"/>
    <s v="874"/>
    <n v="3263"/>
    <s v="3.73"/>
    <s v="10.89"/>
    <s v="299.52"/>
    <s v="10.41"/>
    <s v="4.34"/>
    <s v="289.11"/>
    <s v="35.06"/>
    <s v="2011.93"/>
    <s v="197066"/>
    <s v="661865"/>
    <s v="0"/>
    <s v="0"/>
    <s v="5.5"/>
  </r>
  <r>
    <x v="90"/>
    <x v="1"/>
    <s v="Não operacional"/>
    <s v="ES 0096"/>
    <x v="2"/>
    <m/>
    <m/>
    <m/>
    <n v="0"/>
    <s v="1.07"/>
    <s v="0.17"/>
    <s v="0.9"/>
    <s v="83.81"/>
    <s v="0"/>
    <n v="0"/>
    <s v=""/>
    <s v="0"/>
    <s v="5.68"/>
    <s v="4.73"/>
    <s v="5.26"/>
    <s v="0.95"/>
    <s v="5.44"/>
    <s v="9242.11"/>
    <s v="91287"/>
    <s v="136220"/>
    <s v="0.1"/>
    <s v=""/>
    <s v="290.8"/>
  </r>
  <r>
    <x v="90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s v="8844.62"/>
    <s v=""/>
    <s v=""/>
    <s v="0"/>
    <s v=""/>
    <s v="244.1"/>
  </r>
  <r>
    <x v="90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s v="2502.74"/>
    <s v="168267"/>
    <s v="323417"/>
    <s v="0"/>
    <s v=""/>
    <s v="326.2"/>
  </r>
  <r>
    <x v="90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s v="8058.94"/>
    <s v="129008"/>
    <s v="384393"/>
    <s v="0"/>
    <s v=""/>
    <s v="253.6"/>
  </r>
  <r>
    <x v="90"/>
    <x v="13"/>
    <s v="Em operação"/>
    <s v="ES 0101"/>
    <x v="0"/>
    <n v="2705"/>
    <m/>
    <n v="3428.5714285714284"/>
    <n v="768.40077071290943"/>
    <s v="6.19"/>
    <n v="5.19"/>
    <s v="1"/>
    <s v="16.16"/>
    <s v="733"/>
    <n v="3988"/>
    <s v="5.44"/>
    <s v="19.6"/>
    <s v="203.47"/>
    <s v="5.68"/>
    <s v="5.68"/>
    <s v="197.79"/>
    <s v="38.13"/>
    <s v="6652.17"/>
    <s v="423116"/>
    <s v="1517171"/>
    <s v="0"/>
    <s v="0"/>
    <s v="49.1"/>
  </r>
  <r>
    <x v="90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"/>
    <x v="14"/>
    <s v="Em operação"/>
    <s v="ES 0096"/>
    <x v="2"/>
    <m/>
    <m/>
    <n v="2142.8571428571427"/>
    <n v="199.65277777777777"/>
    <s v="7.01"/>
    <n v="5.76"/>
    <s v="1.25"/>
    <s v="17.83"/>
    <s v="562"/>
    <n v="1150"/>
    <s v="1.48"/>
    <s v="7.1"/>
    <s v="117.35"/>
    <s v="4.73"/>
    <s v="3.79"/>
    <s v="112.62"/>
    <s v="19.55"/>
    <s v="9249.12"/>
    <s v="91849"/>
    <s v="137053"/>
    <s v="0"/>
    <s v="0"/>
    <s v="290.8"/>
  </r>
  <r>
    <x v="91"/>
    <x v="14"/>
    <s v="Em operação"/>
    <s v="ES 0097"/>
    <x v="2"/>
    <m/>
    <m/>
    <n v="2142.8571428571427"/>
    <n v="0"/>
    <m/>
    <m/>
    <m/>
    <m/>
    <m/>
    <n v="75"/>
    <m/>
    <m/>
    <m/>
    <m/>
    <m/>
    <m/>
    <m/>
    <m/>
    <m/>
    <m/>
    <m/>
    <m/>
    <m/>
  </r>
  <r>
    <x v="91"/>
    <x v="14"/>
    <s v="Em operação"/>
    <s v="ES 0097"/>
    <x v="6"/>
    <m/>
    <m/>
    <m/>
    <n v="202.24719101123594"/>
    <s v="5.85"/>
    <n v="4.45"/>
    <s v="1.4"/>
    <s v="23.94"/>
    <s v=""/>
    <n v="900"/>
    <s v=""/>
    <s v=""/>
    <s v="88.01"/>
    <s v="5.68"/>
    <s v="4.06"/>
    <s v="82.33"/>
    <s v="18.51"/>
    <s v="8850.49"/>
    <s v=""/>
    <s v=""/>
    <s v="0.6"/>
    <s v=""/>
    <s v="244.7"/>
  </r>
  <r>
    <x v="91"/>
    <x v="14"/>
    <s v="Em operação"/>
    <s v="ES 0135"/>
    <x v="2"/>
    <m/>
    <m/>
    <n v="2142.8571428571427"/>
    <n v="486.09355246523387"/>
    <s v="9.46"/>
    <n v="7.91"/>
    <s v="1.55"/>
    <s v="16.39"/>
    <s v="1666"/>
    <n v="3845"/>
    <s v="2.31"/>
    <s v="21.73"/>
    <s v="176.97"/>
    <s v="5.68"/>
    <s v="3.66"/>
    <s v="171.29"/>
    <s v="21.67"/>
    <s v="647.54"/>
    <s v="59582"/>
    <s v="118683"/>
    <s v="0.4"/>
    <s v="0"/>
    <s v="60.3"/>
  </r>
  <r>
    <x v="91"/>
    <x v="14"/>
    <s v="Em operação"/>
    <s v="ES 0110"/>
    <x v="2"/>
    <m/>
    <m/>
    <n v="2142.8571428571427"/>
    <n v="283.54430379746833"/>
    <s v="8.16"/>
    <n v="7.11"/>
    <s v="1.05"/>
    <s v="12.86"/>
    <s v="1168"/>
    <n v="2016"/>
    <s v="1.73"/>
    <s v="12.61"/>
    <s v="159.93"/>
    <s v="4.26"/>
    <s v="4.06"/>
    <s v="155.68"/>
    <s v="21.88"/>
    <s v="2510.9"/>
    <s v="169435"/>
    <s v="325433"/>
    <s v="1.5"/>
    <s v="0"/>
    <s v="327.7"/>
  </r>
  <r>
    <x v="91"/>
    <x v="14"/>
    <s v="Em operação"/>
    <s v="ES 0126"/>
    <x v="2"/>
    <m/>
    <m/>
    <n v="2142.8571428571427"/>
    <n v="253.33333333333331"/>
    <s v="3.55"/>
    <n v="2.85"/>
    <s v="0.7"/>
    <s v="19.72"/>
    <s v="327"/>
    <n v="722"/>
    <s v="2.21"/>
    <s v="11.65"/>
    <s v="61.99"/>
    <s v="3.31"/>
    <s v="4.73"/>
    <s v="58.67"/>
    <s v="20.59"/>
    <s v="1098.11"/>
    <s v="113840"/>
    <s v="254289"/>
    <s v="0"/>
    <s v="0"/>
    <s v="117.4"/>
  </r>
  <r>
    <x v="91"/>
    <x v="14"/>
    <s v="Em operação"/>
    <s v="ES 0099"/>
    <x v="2"/>
    <m/>
    <m/>
    <n v="2142.8571428571427"/>
    <n v="344.70774091627175"/>
    <s v="7.88"/>
    <n v="6.33"/>
    <s v="1.55"/>
    <s v="19.66"/>
    <s v="644"/>
    <n v="2182"/>
    <s v="3.39"/>
    <s v="10.8"/>
    <s v="202.05"/>
    <s v="8.99"/>
    <s v="5.8"/>
    <s v="193.06"/>
    <s v="30.49"/>
    <s v="8066.83"/>
    <s v="129652"/>
    <s v="386575"/>
    <s v="0.1"/>
    <s v="0"/>
    <s v="253.7"/>
  </r>
  <r>
    <x v="91"/>
    <x v="14"/>
    <s v="Em operação"/>
    <s v="ES 0101"/>
    <x v="0"/>
    <n v="3090"/>
    <m/>
    <n v="3428.5714285714284"/>
    <n v="814.32545201668984"/>
    <s v="7.99"/>
    <n v="7.19"/>
    <s v="0.8"/>
    <s v="10.01"/>
    <s v="1143"/>
    <n v="5855"/>
    <s v="5.12"/>
    <s v="20.59"/>
    <s v="284.38"/>
    <s v="5.2"/>
    <s v="6.51"/>
    <s v="279.17"/>
    <s v="38.83"/>
    <s v="6660.16"/>
    <s v="424259"/>
    <s v="1523026"/>
    <s v="0"/>
    <s v="0"/>
    <s v="49.1"/>
  </r>
  <r>
    <x v="91"/>
    <x v="14"/>
    <s v="Em operação"/>
    <s v="ES 0116"/>
    <x v="2"/>
    <m/>
    <m/>
    <n v="2142.8571428571427"/>
    <n v="513.37760910815939"/>
    <s v="13.29"/>
    <n v="10.54"/>
    <s v="2.75"/>
    <s v="20.7"/>
    <s v="1454"/>
    <n v="5411"/>
    <s v="3.72"/>
    <s v="12.73"/>
    <s v="424.91"/>
    <s v="12.78"/>
    <s v="4.65"/>
    <s v="412.14"/>
    <s v="39.11"/>
    <s v="2025.21"/>
    <s v="198571"/>
    <s v="667520"/>
    <s v="0"/>
    <s v="0"/>
    <s v="5.5"/>
  </r>
  <r>
    <x v="92"/>
    <x v="14"/>
    <s v="Em operação"/>
    <s v="ES 0096"/>
    <x v="2"/>
    <m/>
    <m/>
    <n v="3000"/>
    <n v="266.7140825035562"/>
    <s v="8.88"/>
    <n v="7.03"/>
    <s v="1.85"/>
    <s v="20.83"/>
    <s v="888"/>
    <n v="1875"/>
    <s v="1.89"/>
    <s v="11.63"/>
    <s v="144.32"/>
    <s v="8.04"/>
    <s v="4.35"/>
    <s v="136.27"/>
    <s v="19.38"/>
    <s v="9258"/>
    <s v="92737"/>
    <s v="138732"/>
    <s v="0.1"/>
    <s v="0"/>
    <s v="290.9"/>
  </r>
  <r>
    <x v="92"/>
    <x v="14"/>
    <s v="Em operação"/>
    <s v="ES 0097"/>
    <x v="6"/>
    <m/>
    <m/>
    <m/>
    <n v="29.550827423167846"/>
    <s v="11.56"/>
    <n v="8.4600000000000009"/>
    <s v="3.1"/>
    <s v="26.83"/>
    <s v=""/>
    <n v="250"/>
    <s v=""/>
    <s v=""/>
    <s v="177.44"/>
    <s v="13.72"/>
    <s v="4.43"/>
    <s v="163.72"/>
    <s v="19.36"/>
    <s v="8862.12"/>
    <s v=""/>
    <s v=""/>
    <s v="5.1"/>
    <s v=""/>
    <s v="249.8"/>
  </r>
  <r>
    <x v="92"/>
    <x v="14"/>
    <s v="Em operação"/>
    <s v="ES 0135"/>
    <x v="2"/>
    <m/>
    <m/>
    <n v="3000"/>
    <n v="129.42307692307691"/>
    <s v="6.1"/>
    <n v="5.2"/>
    <s v="0.9"/>
    <s v="14.76"/>
    <s v="699"/>
    <n v="673"/>
    <s v="0.96"/>
    <s v="6.24"/>
    <s v="107.88"/>
    <s v="2.84"/>
    <s v="3.15"/>
    <s v="105.05"/>
    <s v="20.21"/>
    <s v="653.64"/>
    <s v="60281"/>
    <s v="119356"/>
    <s v="0.9"/>
    <s v="0"/>
    <s v="61.2"/>
  </r>
  <r>
    <x v="92"/>
    <x v="14"/>
    <s v="Em operação"/>
    <s v="ES 0110"/>
    <x v="2"/>
    <m/>
    <m/>
    <n v="3000"/>
    <n v="312.78735632183907"/>
    <s v="8.46"/>
    <n v="6.96"/>
    <s v="1.5"/>
    <s v="17.73"/>
    <s v="1175"/>
    <n v="2177"/>
    <s v="1.85"/>
    <s v="14.33"/>
    <s v="151.89"/>
    <s v="5.68"/>
    <s v="3.79"/>
    <s v="146.21"/>
    <s v="21"/>
    <s v="2519.37"/>
    <s v="170610"/>
    <s v="327610"/>
    <s v="0.7"/>
    <s v="0"/>
    <s v="328.4"/>
  </r>
  <r>
    <x v="92"/>
    <x v="1"/>
    <s v="Não operacional"/>
    <s v="ES 0126"/>
    <x v="2"/>
    <m/>
    <s v="Na oficina"/>
    <m/>
    <n v="0"/>
    <s v="0.43"/>
    <n v="0.28000000000000003"/>
    <s v="0.15"/>
    <s v="34.91"/>
    <s v="0"/>
    <n v="0"/>
    <s v=""/>
    <s v="0"/>
    <s v="3.31"/>
    <s v="0.47"/>
    <s v="3.15"/>
    <s v="2.84"/>
    <s v="10.15"/>
    <s v="1098.54"/>
    <s v="113840"/>
    <s v="254289"/>
    <s v="0"/>
    <s v=""/>
    <s v="117.4"/>
  </r>
  <r>
    <x v="92"/>
    <x v="14"/>
    <s v="Em operação"/>
    <s v="ES 0099"/>
    <x v="2"/>
    <m/>
    <m/>
    <n v="3000"/>
    <n v="295.18413597733712"/>
    <s v="7.51"/>
    <n v="7.06"/>
    <s v="0.45"/>
    <s v="5.99"/>
    <s v="686"/>
    <n v="2084"/>
    <s v="3.04"/>
    <s v="9.45"/>
    <s v="220.5"/>
    <s v="2.37"/>
    <s v="5.26"/>
    <s v="218.13"/>
    <s v="30.89"/>
    <s v="8074.34"/>
    <s v="130338"/>
    <s v="388659"/>
    <s v="0.2"/>
    <s v="0"/>
    <s v="253.9"/>
  </r>
  <r>
    <x v="92"/>
    <x v="14"/>
    <s v="Em operação"/>
    <s v="ES 0101"/>
    <x v="0"/>
    <n v="5197"/>
    <m/>
    <n v="3428.5714285714284"/>
    <n v="823.85496183206101"/>
    <s v="11.28"/>
    <n v="10.48"/>
    <s v="0.8"/>
    <s v="7.09"/>
    <s v="1675"/>
    <n v="8634"/>
    <s v="5.15"/>
    <s v="20.97"/>
    <s v="411.66"/>
    <s v="4.73"/>
    <s v="5.91"/>
    <s v="406.93"/>
    <s v="38.84"/>
    <s v="6671.43"/>
    <s v="425934"/>
    <s v="1531660"/>
    <s v="0"/>
    <s v="0"/>
    <s v="49.1"/>
  </r>
  <r>
    <x v="92"/>
    <x v="14"/>
    <s v="Em operação"/>
    <s v="ES 0116"/>
    <x v="2"/>
    <m/>
    <m/>
    <n v="3000"/>
    <n v="457.52941176470586"/>
    <s v="10"/>
    <n v="8.5"/>
    <s v="1.5"/>
    <s v="15"/>
    <s v="1145"/>
    <n v="3889"/>
    <s v="3.4"/>
    <s v="12.88"/>
    <s v="301.89"/>
    <s v="6.62"/>
    <s v="4.42"/>
    <s v="295.26"/>
    <s v="34.73"/>
    <s v="2035.22"/>
    <s v="199716"/>
    <s v="671409"/>
    <s v="0"/>
    <s v="0"/>
    <s v="5.5"/>
  </r>
  <r>
    <x v="93"/>
    <x v="14"/>
    <s v="Em operação"/>
    <s v="ES 0096"/>
    <x v="2"/>
    <m/>
    <m/>
    <n v="2142.8571428571427"/>
    <n v="372.47474747474746"/>
    <s v="8.72"/>
    <n v="7.92"/>
    <s v="0.8"/>
    <s v="9.18"/>
    <s v="1276"/>
    <n v="2950"/>
    <s v="1.86"/>
    <s v="14.46"/>
    <s v="164.19"/>
    <s v="3.31"/>
    <s v="4.14"/>
    <s v="160.88"/>
    <s v="20.32"/>
    <s v="9266.72"/>
    <s v="94013"/>
    <s v="141106"/>
    <s v="0.3"/>
    <s v="0"/>
    <s v="291.2"/>
  </r>
  <r>
    <x v="93"/>
    <x v="14"/>
    <s v="Em operação"/>
    <s v="ES 0097"/>
    <x v="2"/>
    <m/>
    <m/>
    <n v="2142.8571428571427"/>
    <n v="52.950075642965203"/>
    <s v="15.22"/>
    <n v="13.22"/>
    <s v="2"/>
    <s v="13.14"/>
    <s v=""/>
    <n v="700"/>
    <s v=""/>
    <s v=""/>
    <s v="281.07"/>
    <s v="7.57"/>
    <s v="3.79"/>
    <s v="273.5"/>
    <s v="20.68"/>
    <s v="8877.34"/>
    <s v=""/>
    <s v=""/>
    <s v="1.2"/>
    <s v=""/>
    <s v="251"/>
  </r>
  <r>
    <x v="93"/>
    <x v="14"/>
    <s v="Em operação"/>
    <s v="ES 0135"/>
    <x v="2"/>
    <m/>
    <m/>
    <n v="2142.8571428571427"/>
    <n v="394.23347398030938"/>
    <s v="8.56"/>
    <n v="7.11"/>
    <s v="1.45"/>
    <s v="16.94"/>
    <s v="1428"/>
    <n v="2803"/>
    <s v="1.96"/>
    <s v="17.37"/>
    <s v="161.35"/>
    <s v="5.2"/>
    <s v="3.59"/>
    <s v="156.15"/>
    <s v="21.97"/>
    <s v="662.19"/>
    <s v="61709"/>
    <s v="122159"/>
    <s v="0.4"/>
    <s v="0"/>
    <s v="61.6"/>
  </r>
  <r>
    <x v="93"/>
    <x v="14"/>
    <s v="Em operação"/>
    <s v="ES 0110"/>
    <x v="2"/>
    <m/>
    <m/>
    <n v="2142.8571428571427"/>
    <n v="301.35542168674698"/>
    <s v="8.24"/>
    <n v="6.64"/>
    <s v="1.6"/>
    <s v="19.43"/>
    <s v="939"/>
    <n v="2001"/>
    <s v="2.13"/>
    <s v="13.77"/>
    <s v="145.27"/>
    <s v="5.68"/>
    <s v="3.55"/>
    <s v="139.59"/>
    <s v="21.04"/>
    <s v="2527.6"/>
    <s v="171549"/>
    <s v="329611"/>
    <s v="0.6"/>
    <s v="0"/>
    <s v="329"/>
  </r>
  <r>
    <x v="93"/>
    <x v="14"/>
    <s v="Em operação"/>
    <s v="ES 0126"/>
    <x v="2"/>
    <m/>
    <m/>
    <n v="2142.8571428571427"/>
    <n v="236.83304647160071"/>
    <s v="6.81"/>
    <n v="5.81"/>
    <s v="1"/>
    <s v="14.68"/>
    <s v="604"/>
    <n v="1376"/>
    <s v="2.28"/>
    <s v="10.81"/>
    <s v="127.28"/>
    <s v="3.79"/>
    <s v="3.79"/>
    <s v="123.5"/>
    <s v="21.25"/>
    <s v="1105.35"/>
    <s v="114444"/>
    <s v="255665"/>
    <s v="1.4"/>
    <s v="0"/>
    <s v="118.8"/>
  </r>
  <r>
    <x v="93"/>
    <x v="14"/>
    <s v="Em operação"/>
    <s v="ES 0099"/>
    <x v="2"/>
    <m/>
    <m/>
    <n v="2142.8571428571427"/>
    <n v="187.24727838258167"/>
    <s v="7.63"/>
    <n v="6.43"/>
    <s v="1.2"/>
    <s v="15.73"/>
    <s v="506"/>
    <n v="1204"/>
    <s v="2.38"/>
    <s v="5.77"/>
    <s v="208.67"/>
    <s v="6.62"/>
    <s v="5.52"/>
    <s v="202.05"/>
    <s v="31.42"/>
    <s v="8081.97"/>
    <s v="130844"/>
    <s v="389863"/>
    <s v="0.3"/>
    <s v="0"/>
    <s v="254.2"/>
  </r>
  <r>
    <x v="93"/>
    <x v="14"/>
    <s v="Em operação"/>
    <s v="ES 0101"/>
    <x v="0"/>
    <n v="4987"/>
    <m/>
    <n v="3428.5714285714284"/>
    <n v="514.65428276573789"/>
    <s v="10.74"/>
    <n v="9.69"/>
    <s v="1.05"/>
    <s v="9.78"/>
    <s v="1467"/>
    <n v="4987"/>
    <s v="5.38"/>
    <s v="20.62"/>
    <s v="382.8"/>
    <s v="6.62"/>
    <s v="6.31"/>
    <s v="376.18"/>
    <s v="38.83"/>
    <s v="6682.17"/>
    <s v="427401"/>
    <s v="1539553"/>
    <s v="0.1"/>
    <s v="0"/>
    <s v="49.2"/>
  </r>
  <r>
    <x v="93"/>
    <x v="14"/>
    <s v="Em operação"/>
    <s v="ES 0116"/>
    <x v="2"/>
    <m/>
    <m/>
    <n v="2142.8571428571427"/>
    <n v="491.89189189189187"/>
    <s v="4.92"/>
    <n v="4.07"/>
    <s v="0.85"/>
    <s v="17.29"/>
    <s v="669"/>
    <n v="2002"/>
    <s v="2.99"/>
    <s v="11.44"/>
    <s v="175.08"/>
    <s v="4.26"/>
    <s v="5.01"/>
    <s v="170.82"/>
    <s v="42"/>
    <s v="2040.13"/>
    <s v="200612"/>
    <s v="673998"/>
    <s v="0"/>
    <s v="0"/>
    <s v="5.5"/>
  </r>
  <r>
    <x v="94"/>
    <x v="14"/>
    <s v="Em operação"/>
    <s v="ES 0096"/>
    <x v="2"/>
    <m/>
    <m/>
    <n v="2142.8571428571427"/>
    <n v="529.64042759961137"/>
    <s v="11.89"/>
    <n v="10.29"/>
    <s v="1.6"/>
    <s v="13.46"/>
    <s v="1588"/>
    <n v="5450"/>
    <s v="1.87"/>
    <s v="13.97"/>
    <s v="212.46"/>
    <s v="6.15"/>
    <s v="3.84"/>
    <s v="206.3"/>
    <s v="20.06"/>
    <s v="9278.6"/>
    <s v="95601"/>
    <s v="144075"/>
    <s v="0.1"/>
    <s v="0"/>
    <s v="291.3"/>
  </r>
  <r>
    <x v="94"/>
    <x v="14"/>
    <s v="Em operação"/>
    <s v="ES 0097"/>
    <x v="2"/>
    <m/>
    <m/>
    <n v="2142.8571428571427"/>
    <n v="12.88659793814433"/>
    <s v="10.66"/>
    <n v="7.76"/>
    <s v="2.9"/>
    <s v="27.21"/>
    <s v=""/>
    <n v="100"/>
    <s v=""/>
    <s v=""/>
    <s v="157.09"/>
    <s v="11.36"/>
    <s v="3.92"/>
    <s v="145.74"/>
    <s v="18.78"/>
    <s v="8888"/>
    <s v=""/>
    <s v=""/>
    <s v="10"/>
    <s v=""/>
    <s v="261"/>
  </r>
  <r>
    <x v="94"/>
    <x v="14"/>
    <s v="Em operação"/>
    <s v="ES 0097"/>
    <x v="6"/>
    <m/>
    <m/>
    <m/>
    <n v="0"/>
    <m/>
    <m/>
    <m/>
    <m/>
    <m/>
    <n v="1100"/>
    <m/>
    <m/>
    <m/>
    <m/>
    <m/>
    <m/>
    <m/>
    <m/>
    <m/>
    <m/>
    <m/>
    <m/>
    <m/>
  </r>
  <r>
    <x v="94"/>
    <x v="14"/>
    <s v="Em operação"/>
    <s v="ES 0135"/>
    <x v="2"/>
    <m/>
    <m/>
    <n v="2142.8571428571427"/>
    <n v="177.30061349693253"/>
    <s v="7.57"/>
    <n v="6.52"/>
    <s v="1.05"/>
    <s v="13.87"/>
    <s v="691"/>
    <n v="1156"/>
    <s v="1.67"/>
    <s v="11.26"/>
    <s v="102.68"/>
    <s v="3.79"/>
    <s v="3.61"/>
    <s v="98.89"/>
    <s v="15.16"/>
    <s v="669.77"/>
    <s v="62400"/>
    <s v="123315"/>
    <s v="1.5"/>
    <s v="0"/>
    <s v="63.1"/>
  </r>
  <r>
    <x v="94"/>
    <x v="14"/>
    <s v="Em operação"/>
    <s v="ES 0110"/>
    <x v="2"/>
    <m/>
    <m/>
    <n v="2142.8571428571427"/>
    <n v="348.28125"/>
    <s v="7.65"/>
    <n v="6.4"/>
    <s v="1.25"/>
    <s v="16.34"/>
    <s v="1027"/>
    <n v="2229"/>
    <s v="2.17"/>
    <s v="15.97"/>
    <s v="139.59"/>
    <s v="4.73"/>
    <s v="3.79"/>
    <s v="134.86"/>
    <s v="21.08"/>
    <s v="2535.25"/>
    <s v="172576"/>
    <s v="331840"/>
    <s v="0.3"/>
    <s v="0"/>
    <s v="329.3"/>
  </r>
  <r>
    <x v="94"/>
    <x v="14"/>
    <s v="Em operação"/>
    <s v="ES 0126"/>
    <x v="2"/>
    <m/>
    <m/>
    <n v="2142.8571428571427"/>
    <n v="242.7682737169518"/>
    <s v="7.63"/>
    <n v="6.43"/>
    <s v="1.2"/>
    <s v="15.73"/>
    <s v="658"/>
    <n v="1561"/>
    <s v="2.37"/>
    <s v="13.92"/>
    <s v="112.14"/>
    <s v="4.73"/>
    <s v="3.94"/>
    <s v="107.41"/>
    <s v="16.71"/>
    <s v="1112.98"/>
    <s v="115102"/>
    <s v="257226"/>
    <s v="0.3"/>
    <s v="0"/>
    <s v="119.1"/>
  </r>
  <r>
    <x v="94"/>
    <x v="14"/>
    <s v="Em operação"/>
    <s v="ES 0099"/>
    <x v="2"/>
    <m/>
    <m/>
    <n v="2142.8571428571427"/>
    <n v="136.70886075949366"/>
    <s v="8.11"/>
    <n v="7.11"/>
    <s v="1"/>
    <s v="12.33"/>
    <s v="513"/>
    <n v="972"/>
    <s v="2.04"/>
    <s v="4.7"/>
    <s v="222.87"/>
    <s v="6.15"/>
    <s v="6.15"/>
    <s v="216.71"/>
    <s v="30.48"/>
    <s v="8090.08"/>
    <s v="131357"/>
    <s v="390910"/>
    <s v="0.2"/>
    <s v="0"/>
    <s v="254.4"/>
  </r>
  <r>
    <x v="94"/>
    <x v="14"/>
    <s v="Em operação"/>
    <s v="ES 0099"/>
    <x v="6"/>
    <m/>
    <m/>
    <m/>
    <n v="0"/>
    <m/>
    <m/>
    <m/>
    <m/>
    <m/>
    <n v="75"/>
    <m/>
    <m/>
    <m/>
    <m/>
    <m/>
    <m/>
    <m/>
    <m/>
    <m/>
    <m/>
    <m/>
    <m/>
    <m/>
  </r>
  <r>
    <x v="94"/>
    <x v="14"/>
    <s v="Em operação"/>
    <s v="ES 0101"/>
    <x v="0"/>
    <n v="2838"/>
    <m/>
    <n v="3428.5714285714284"/>
    <n v="476.66263603385732"/>
    <s v="8.87"/>
    <n v="8.27"/>
    <s v="0.6"/>
    <s v="6.76"/>
    <s v="762"/>
    <n v="3942"/>
    <s v="5.17"/>
    <s v="11.82"/>
    <s v="333.59"/>
    <s v="4.26"/>
    <s v="7.1"/>
    <s v="329.33"/>
    <s v="39.81"/>
    <s v="6691.04"/>
    <s v="428163"/>
    <s v="1543495"/>
    <s v="0.1"/>
    <s v="0"/>
    <s v="49.3"/>
  </r>
  <r>
    <x v="94"/>
    <x v="14"/>
    <s v="Em operação"/>
    <s v="ES 0116"/>
    <x v="2"/>
    <m/>
    <m/>
    <n v="2142.8571428571427"/>
    <n v="0"/>
    <s v="5.76"/>
    <s v="3.86"/>
    <s v="1.9"/>
    <s v="32.99"/>
    <s v="450"/>
    <n v="1515"/>
    <s v="3.37"/>
    <s v="9.36"/>
    <s v="161.83"/>
    <s v="8.52"/>
    <s v="4.48"/>
    <s v="153.31"/>
    <s v="39.72"/>
    <s v="2045.89"/>
    <s v="201062"/>
    <s v="675513"/>
    <s v="0"/>
    <s v="0"/>
    <s v="5.5"/>
  </r>
  <r>
    <x v="95"/>
    <x v="14"/>
    <s v="Em operação"/>
    <s v="ES 0096"/>
    <x v="2"/>
    <m/>
    <m/>
    <n v="2500"/>
    <n v="352.76073619631904"/>
    <n v="11.18"/>
    <n v="9.7799999999999994"/>
    <n v="1.4"/>
    <n v="12.52"/>
    <s v="1161"/>
    <n v="3450"/>
    <n v="1.79"/>
    <n v="10.46"/>
    <n v="198.73"/>
    <n v="6.15"/>
    <n v="4.3899999999999997"/>
    <n v="192.58"/>
    <n v="19.690000000000001"/>
    <n v="9289.7900000000009"/>
    <s v="96762"/>
    <s v="146153"/>
    <n v="0.2"/>
    <s v="0"/>
    <n v="291.5"/>
  </r>
  <r>
    <x v="95"/>
    <x v="14"/>
    <s v="Em operação"/>
    <s v="ES 0097"/>
    <x v="2"/>
    <m/>
    <m/>
    <n v="2500"/>
    <n v="0"/>
    <n v="5.94"/>
    <n v="4.09"/>
    <n v="1.85"/>
    <n v="31.15"/>
    <s v=""/>
    <s v="-"/>
    <s v=""/>
    <s v=""/>
    <n v="83.28"/>
    <n v="7.57"/>
    <n v="4.09"/>
    <n v="75.709999999999994"/>
    <n v="18.52"/>
    <n v="8894.02"/>
    <s v=""/>
    <s v=""/>
    <s v="2"/>
    <s v=""/>
    <s v="263"/>
  </r>
  <r>
    <x v="95"/>
    <x v="14"/>
    <s v="Em operação"/>
    <s v="ES 0135"/>
    <x v="2"/>
    <m/>
    <m/>
    <n v="2500"/>
    <n v="237.98955613577024"/>
    <n v="8.7100000000000009"/>
    <n v="7.66"/>
    <n v="1.05"/>
    <n v="12.05"/>
    <s v="1095"/>
    <n v="1823"/>
    <n v="1.66"/>
    <n v="13.24"/>
    <n v="137.69"/>
    <n v="3.79"/>
    <n v="3.61"/>
    <n v="133.91"/>
    <n v="17.47"/>
    <n v="678.48"/>
    <s v="63723"/>
    <s v="125612"/>
    <n v="1.2"/>
    <s v="0"/>
    <n v="64.8"/>
  </r>
  <r>
    <x v="95"/>
    <x v="14"/>
    <s v="Em operação"/>
    <s v="ES 0110"/>
    <x v="2"/>
    <m/>
    <m/>
    <n v="2500"/>
    <n v="258.14977973568284"/>
    <n v="7.46"/>
    <n v="6.81"/>
    <n v="0.65"/>
    <n v="8.7100000000000009"/>
    <s v="912"/>
    <n v="1758"/>
    <n v="1.93"/>
    <n v="12.55"/>
    <n v="140.06"/>
    <n v="2.84"/>
    <n v="4.37"/>
    <n v="137.22"/>
    <n v="20.14"/>
    <n v="2542.71"/>
    <s v="173488"/>
    <s v="333598"/>
    <n v="0.4"/>
    <s v="0"/>
    <n v="329.7"/>
  </r>
  <r>
    <x v="95"/>
    <x v="14"/>
    <s v="Em operação"/>
    <s v="ES 0126"/>
    <x v="2"/>
    <m/>
    <m/>
    <n v="2500"/>
    <n v="98"/>
    <n v="6.6"/>
    <n v="4.5"/>
    <n v="2.1"/>
    <n v="31.8"/>
    <s v="251"/>
    <n v="441"/>
    <n v="1.76"/>
    <n v="6.47"/>
    <n v="68.14"/>
    <n v="8.0399999999999991"/>
    <n v="3.83"/>
    <n v="60.09"/>
    <n v="13.34"/>
    <n v="1119.58"/>
    <s v="115579"/>
    <s v="258145"/>
    <s v="0"/>
    <s v="0"/>
    <n v="119.1"/>
  </r>
  <r>
    <x v="95"/>
    <x v="14"/>
    <s v="Em operação"/>
    <s v="ES 0099"/>
    <x v="6"/>
    <m/>
    <m/>
    <m/>
    <n v="155.94594594594594"/>
    <n v="8.1"/>
    <n v="7.4"/>
    <n v="0.7"/>
    <n v="8.64"/>
    <s v="560"/>
    <n v="1154"/>
    <n v="2.06"/>
    <n v="5.05"/>
    <n v="228.54"/>
    <n v="3.31"/>
    <n v="4.7300000000000004"/>
    <n v="225.23"/>
    <n v="30.44"/>
    <n v="8098.18"/>
    <s v="131917"/>
    <s v="392064"/>
    <n v="0.1"/>
    <s v="0"/>
    <n v="254.5"/>
  </r>
  <r>
    <x v="95"/>
    <x v="14"/>
    <s v="Em operação"/>
    <s v="ES 0101"/>
    <x v="0"/>
    <n v="3038"/>
    <m/>
    <n v="3428.5714285714284"/>
    <n v="643.75"/>
    <n v="6.79"/>
    <n v="6.24"/>
    <n v="0.55000000000000004"/>
    <n v="8.1"/>
    <s v="777"/>
    <n v="4017"/>
    <n v="5.17"/>
    <n v="16.14"/>
    <n v="248.89"/>
    <n v="3.31"/>
    <n v="6.02"/>
    <n v="245.58"/>
    <n v="39.340000000000003"/>
    <n v="6697.84"/>
    <s v="428940"/>
    <s v="1547512"/>
    <s v="0"/>
    <s v="0"/>
    <n v="49.3"/>
  </r>
  <r>
    <x v="95"/>
    <x v="14"/>
    <s v="Em operação"/>
    <s v="ES 0116"/>
    <x v="2"/>
    <m/>
    <m/>
    <n v="2500"/>
    <n v="579.30056710775045"/>
    <n v="12.98"/>
    <n v="10.58"/>
    <n v="2.4"/>
    <n v="18.489999999999998"/>
    <s v="1561"/>
    <n v="6129"/>
    <n v="3.93"/>
    <n v="13.99"/>
    <n v="438.16"/>
    <n v="10.41"/>
    <n v="4.34"/>
    <n v="427.75"/>
    <n v="40.43"/>
    <n v="2058.87"/>
    <s v="202623"/>
    <s v="681642"/>
    <s v="0"/>
    <s v="0"/>
    <n v="5.5"/>
  </r>
  <r>
    <x v="96"/>
    <x v="14"/>
    <s v="Em operação"/>
    <s v="ES 0096"/>
    <x v="2"/>
    <m/>
    <m/>
    <n v="3000"/>
    <n v="490.99836333878886"/>
    <n v="6.86"/>
    <n v="6.11"/>
    <n v="0.75"/>
    <n v="10.93"/>
    <s v="972"/>
    <n v="3000"/>
    <n v="1.96"/>
    <n v="15.19"/>
    <n v="125.39"/>
    <n v="2.37"/>
    <n v="3.15"/>
    <n v="123.03"/>
    <n v="20.14"/>
    <n v="9296.65"/>
    <s v="97734"/>
    <s v="148058"/>
    <n v="0.1"/>
    <s v="0"/>
    <n v="291.60000000000002"/>
  </r>
  <r>
    <x v="96"/>
    <x v="14"/>
    <s v="Em operação"/>
    <s v="ES 0097"/>
    <x v="6"/>
    <m/>
    <m/>
    <m/>
    <n v="0"/>
    <n v="3.12"/>
    <n v="2.72"/>
    <n v="0.4"/>
    <n v="12.84"/>
    <s v=""/>
    <n v="0"/>
    <s v=""/>
    <s v=""/>
    <n v="45.42"/>
    <n v="1.42"/>
    <n v="3.55"/>
    <n v="44.01"/>
    <n v="16.2"/>
    <n v="8897.2199999999993"/>
    <s v=""/>
    <s v=""/>
    <n v="0.2"/>
    <s v=""/>
    <n v="263.2"/>
  </r>
  <r>
    <x v="96"/>
    <x v="14"/>
    <s v="Em operação"/>
    <s v="ES 0135"/>
    <x v="2"/>
    <m/>
    <m/>
    <n v="3000"/>
    <n v="208.21643286573146"/>
    <n v="6.64"/>
    <n v="4.99"/>
    <n v="1.65"/>
    <n v="24.86"/>
    <s v="726"/>
    <n v="1039"/>
    <n v="2.15"/>
    <n v="14.82"/>
    <n v="105.52"/>
    <n v="5.2"/>
    <n v="3.15"/>
    <n v="100.31"/>
    <n v="20.12"/>
    <n v="685.12"/>
    <s v="64665"/>
    <s v="127662"/>
    <n v="1.1000000000000001"/>
    <s v="0"/>
    <n v="66.2"/>
  </r>
  <r>
    <x v="96"/>
    <x v="14"/>
    <s v="Em operação"/>
    <s v="ES 0135"/>
    <x v="6"/>
    <m/>
    <m/>
    <m/>
    <n v="0"/>
    <m/>
    <m/>
    <m/>
    <m/>
    <m/>
    <n v="525"/>
    <m/>
    <m/>
    <m/>
    <m/>
    <m/>
    <m/>
    <m/>
    <m/>
    <m/>
    <m/>
    <m/>
    <m/>
    <m/>
  </r>
  <r>
    <x v="96"/>
    <x v="14"/>
    <s v="Em operação"/>
    <s v="ES 0110"/>
    <x v="6"/>
    <m/>
    <m/>
    <m/>
    <n v="249.1329479768786"/>
    <n v="7.14"/>
    <n v="5.19"/>
    <n v="1.95"/>
    <n v="27.3"/>
    <s v="801"/>
    <n v="1293"/>
    <n v="1.61"/>
    <n v="11.68"/>
    <n v="110.72"/>
    <n v="7.1"/>
    <n v="3.64"/>
    <n v="103.63"/>
    <n v="19.95"/>
    <n v="2549.86"/>
    <s v="174289"/>
    <s v="334891"/>
    <n v="1.8"/>
    <s v="0"/>
    <n v="331.5"/>
  </r>
  <r>
    <x v="96"/>
    <x v="14"/>
    <s v="Em operação"/>
    <s v="ES 0126"/>
    <x v="2"/>
    <m/>
    <m/>
    <n v="3000"/>
    <n v="292.11324570273001"/>
    <n v="11.84"/>
    <n v="9.89"/>
    <n v="1.95"/>
    <n v="16.46"/>
    <s v="1309"/>
    <n v="2889"/>
    <n v="2.21"/>
    <n v="13.78"/>
    <n v="209.62"/>
    <n v="7.1"/>
    <n v="3.64"/>
    <n v="202.52"/>
    <n v="20.47"/>
    <n v="1131.42"/>
    <s v="117004"/>
    <s v="261327"/>
    <n v="0.2"/>
    <s v="0"/>
    <n v="119.3"/>
  </r>
  <r>
    <x v="96"/>
    <x v="14"/>
    <s v="Em operação"/>
    <s v="ES 0099"/>
    <x v="6"/>
    <m/>
    <m/>
    <m/>
    <n v="268.64864864864865"/>
    <n v="6.15"/>
    <n v="5.55"/>
    <n v="0.6"/>
    <n v="9.75"/>
    <s v="541"/>
    <n v="1491"/>
    <n v="2.76"/>
    <n v="8.73"/>
    <n v="170.82"/>
    <n v="3.79"/>
    <n v="6.31"/>
    <n v="167.03"/>
    <n v="30.09"/>
    <n v="8104.33"/>
    <s v="132458"/>
    <s v="393555"/>
    <n v="0.1"/>
    <s v="0"/>
    <n v="254.6"/>
  </r>
  <r>
    <x v="96"/>
    <x v="14"/>
    <s v="Em operação"/>
    <s v="ES 0101"/>
    <x v="0"/>
    <n v="5749"/>
    <m/>
    <n v="3428.5714285714284"/>
    <n v="507.41394527802294"/>
    <n v="12.33"/>
    <n v="11.33"/>
    <s v="1"/>
    <n v="8.11"/>
    <s v="1430"/>
    <n v="5749"/>
    <n v="5.3"/>
    <n v="17.18"/>
    <s v="441"/>
    <n v="6.15"/>
    <n v="6.15"/>
    <n v="434.85"/>
    <n v="38.380000000000003"/>
    <n v="6710.17"/>
    <s v="430370"/>
    <s v="1555089"/>
    <s v="0"/>
    <s v="0"/>
    <n v="49.3"/>
  </r>
  <r>
    <x v="96"/>
    <x v="14"/>
    <s v="Em operação"/>
    <s v="ES 0116"/>
    <x v="2"/>
    <m/>
    <m/>
    <n v="3000"/>
    <n v="520.3767123287671"/>
    <n v="7.69"/>
    <n v="5.84"/>
    <n v="1.85"/>
    <n v="24.05"/>
    <s v="792"/>
    <n v="3039"/>
    <n v="3.84"/>
    <n v="12.82"/>
    <n v="237.06"/>
    <n v="8.0399999999999991"/>
    <n v="4.3499999999999996"/>
    <n v="229.02"/>
    <n v="39.200000000000003"/>
    <n v="2066.5700000000002"/>
    <s v="203415"/>
    <s v="684681"/>
    <n v="0.1"/>
    <s v="0"/>
    <n v="5.6"/>
  </r>
  <r>
    <x v="96"/>
    <x v="14"/>
    <s v="Em operação"/>
    <m/>
    <x v="2"/>
    <m/>
    <m/>
    <n v="3000"/>
    <n v="0"/>
    <m/>
    <m/>
    <m/>
    <m/>
    <m/>
    <m/>
    <m/>
    <m/>
    <m/>
    <m/>
    <m/>
    <m/>
    <m/>
    <m/>
    <m/>
    <m/>
    <m/>
    <m/>
    <m/>
  </r>
  <r>
    <x v="97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296.65"/>
    <s v="97734"/>
    <s v="148058"/>
    <s v="0"/>
    <s v=""/>
    <n v="291.60000000000002"/>
  </r>
  <r>
    <x v="97"/>
    <x v="1"/>
    <s v="Não operacional"/>
    <s v="ES 0097"/>
    <x v="2"/>
    <m/>
    <m/>
    <m/>
    <n v="0"/>
    <s v="0"/>
    <s v="0"/>
    <s v="0"/>
    <s v=""/>
    <s v=""/>
    <n v="0"/>
    <s v=""/>
    <s v=""/>
    <s v="0"/>
    <s v="0"/>
    <s v=""/>
    <s v="0"/>
    <s v=""/>
    <n v="8897.2199999999993"/>
    <s v=""/>
    <s v=""/>
    <s v="0"/>
    <s v=""/>
    <n v="263.2"/>
  </r>
  <r>
    <x v="97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n v="2549.86"/>
    <s v="174289"/>
    <s v="334891"/>
    <s v="0"/>
    <s v=""/>
    <n v="331.5"/>
  </r>
  <r>
    <x v="97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104.33"/>
    <s v="132458"/>
    <s v="393555"/>
    <s v="0"/>
    <s v=""/>
    <n v="254.6"/>
  </r>
  <r>
    <x v="97"/>
    <x v="14"/>
    <s v="Em operação"/>
    <s v="ES 0101"/>
    <x v="0"/>
    <n v="4650"/>
    <m/>
    <n v="3428.5714285714284"/>
    <n v="764.8026315789474"/>
    <n v="6.93"/>
    <n v="6.08"/>
    <n v="0.85"/>
    <n v="12.27"/>
    <s v="825"/>
    <n v="4650"/>
    <n v="5.64"/>
    <n v="19.77"/>
    <n v="235.17"/>
    <n v="5.2"/>
    <n v="6.12"/>
    <n v="229.96"/>
    <n v="37.83"/>
    <n v="6717.1"/>
    <s v="431195"/>
    <s v="1559739"/>
    <s v="0"/>
    <s v="0"/>
    <n v="49.3"/>
  </r>
  <r>
    <x v="97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"/>
    <x v="15"/>
    <s v="Em operação"/>
    <s v="ES 0096"/>
    <x v="2"/>
    <m/>
    <m/>
    <n v="2142.8571428571427"/>
    <n v="331.76943699731902"/>
    <n v="8.86"/>
    <n v="7.46"/>
    <n v="1.4"/>
    <n v="15.81"/>
    <s v="942"/>
    <n v="2475"/>
    <n v="1.58"/>
    <n v="9.84"/>
    <n v="150.94"/>
    <n v="6.15"/>
    <n v="4.3899999999999997"/>
    <n v="144.79"/>
    <n v="19.420000000000002"/>
    <n v="9305.5"/>
    <s v="98676"/>
    <s v="149544"/>
    <n v="0.2"/>
    <s v="0"/>
    <n v="291.8"/>
  </r>
  <r>
    <x v="98"/>
    <x v="15"/>
    <s v="Em operação"/>
    <s v="ES 0097"/>
    <x v="2"/>
    <m/>
    <m/>
    <n v="2142.8571428571427"/>
    <n v="37.313432835820898"/>
    <n v="2.46"/>
    <n v="2.0099999999999998"/>
    <n v="0.45"/>
    <n v="18.309999999999999"/>
    <s v=""/>
    <n v="75"/>
    <s v=""/>
    <s v=""/>
    <n v="35.49"/>
    <n v="1.42"/>
    <n v="3.15"/>
    <n v="34.07"/>
    <n v="16.97"/>
    <n v="8899.67"/>
    <s v=""/>
    <s v=""/>
    <n v="0.4"/>
    <s v=""/>
    <n v="263.60000000000002"/>
  </r>
  <r>
    <x v="98"/>
    <x v="15"/>
    <s v="Em operação"/>
    <s v="ES 0135"/>
    <x v="2"/>
    <m/>
    <m/>
    <n v="2142.8571428571427"/>
    <n v="258.160237388724"/>
    <n v="8.94"/>
    <n v="6.74"/>
    <n v="2.2000000000000002"/>
    <n v="24.62"/>
    <s v="1222"/>
    <n v="1740"/>
    <n v="2.1800000000000002"/>
    <n v="17.82"/>
    <n v="149.52000000000001"/>
    <n v="8.0399999999999991"/>
    <n v="3.66"/>
    <n v="141.47999999999999"/>
    <n v="21.01"/>
    <n v="694.05"/>
    <s v="65892"/>
    <s v="130330"/>
    <n v="0.8"/>
    <s v="0"/>
    <n v="67.599999999999994"/>
  </r>
  <r>
    <x v="98"/>
    <x v="15"/>
    <s v="Em operação"/>
    <s v="ES 0135"/>
    <x v="6"/>
    <m/>
    <m/>
    <m/>
    <m/>
    <m/>
    <m/>
    <m/>
    <m/>
    <m/>
    <n v="925"/>
    <m/>
    <m/>
    <m/>
    <m/>
    <m/>
    <m/>
    <m/>
    <m/>
    <m/>
    <m/>
    <m/>
    <m/>
    <m/>
  </r>
  <r>
    <x v="98"/>
    <x v="15"/>
    <s v="Em operação"/>
    <s v="ES 0110"/>
    <x v="2"/>
    <m/>
    <m/>
    <n v="2142.8571428571427"/>
    <n v="0"/>
    <n v="1.36"/>
    <n v="0.66"/>
    <n v="0.7"/>
    <n v="51.39"/>
    <s v="0"/>
    <n v="0"/>
    <s v=""/>
    <s v="0"/>
    <n v="10.88"/>
    <n v="2.37"/>
    <n v="3.38"/>
    <n v="8.52"/>
    <n v="12.86"/>
    <n v="2551.2199999999998"/>
    <s v="174289"/>
    <s v="334891"/>
    <n v="0.3"/>
    <s v=""/>
    <n v="331.8"/>
  </r>
  <r>
    <x v="98"/>
    <x v="15"/>
    <s v="Em operação"/>
    <s v="ES 0126"/>
    <x v="2"/>
    <m/>
    <m/>
    <n v="2142.8571428571427"/>
    <n v="144.85049833887044"/>
    <n v="10.73"/>
    <n v="9.0299999999999994"/>
    <n v="1.7"/>
    <n v="15.85"/>
    <s v="794"/>
    <n v="1308"/>
    <n v="1.65"/>
    <n v="6.79"/>
    <n v="192.58"/>
    <n v="6.15"/>
    <n v="3.62"/>
    <n v="186.43"/>
    <n v="20.65"/>
    <n v="1142.1500000000001"/>
    <s v="117812"/>
    <s v="262668"/>
    <n v="0.5"/>
    <s v="0"/>
    <n v="119.8"/>
  </r>
  <r>
    <x v="98"/>
    <x v="15"/>
    <s v="Em operação"/>
    <s v="ES 0099"/>
    <x v="2"/>
    <m/>
    <m/>
    <n v="2142.8571428571427"/>
    <n v="337.05953827460507"/>
    <n v="8.7799999999999994"/>
    <n v="8.23"/>
    <n v="0.55000000000000004"/>
    <n v="6.26"/>
    <s v="944"/>
    <n v="2774"/>
    <n v="2.94"/>
    <n v="10.74"/>
    <n v="258.35000000000002"/>
    <n v="3.31"/>
    <n v="6.02"/>
    <n v="255.04"/>
    <n v="30.98"/>
    <n v="8113.11"/>
    <s v="133402"/>
    <s v="396329"/>
    <n v="0.5"/>
    <s v="0"/>
    <n v="255.1"/>
  </r>
  <r>
    <x v="98"/>
    <x v="15"/>
    <s v="Em operação"/>
    <s v="ES 0101"/>
    <x v="0"/>
    <n v="6365"/>
    <m/>
    <n v="4000"/>
    <n v="601.03871576959398"/>
    <n v="11.74"/>
    <n v="10.59"/>
    <n v="1.1499999999999999"/>
    <n v="9.8000000000000007"/>
    <s v="1164"/>
    <n v="6365"/>
    <n v="5.47"/>
    <n v="15.53"/>
    <n v="409.77"/>
    <n v="7.57"/>
    <n v="6.58"/>
    <n v="402.2"/>
    <n v="37.99"/>
    <n v="6728.83"/>
    <s v="432359"/>
    <s v="1566104"/>
    <n v="0.1"/>
    <s v="0"/>
    <n v="49.4"/>
  </r>
  <r>
    <x v="98"/>
    <x v="15"/>
    <s v="Em operação"/>
    <s v="ES 0116"/>
    <x v="2"/>
    <m/>
    <m/>
    <n v="2142.8571428571427"/>
    <n v="359.55882352941171"/>
    <n v="1.96"/>
    <n v="1.36"/>
    <n v="0.6"/>
    <n v="30.64"/>
    <s v="155"/>
    <n v="489"/>
    <n v="3.15"/>
    <n v="8.99"/>
    <n v="54.42"/>
    <n v="3.79"/>
    <n v="6.31"/>
    <n v="50.63"/>
    <n v="37.270000000000003"/>
    <n v="2068.52"/>
    <s v="203570"/>
    <s v="685170"/>
    <s v="0"/>
    <s v="0"/>
    <n v="5.6"/>
  </r>
  <r>
    <x v="99"/>
    <x v="15"/>
    <s v="Em operação"/>
    <s v="ES 0096"/>
    <x v="2"/>
    <m/>
    <m/>
    <n v="3000"/>
    <n v="247.074122236671"/>
    <n v="8.24"/>
    <n v="7.69"/>
    <n v="0.55000000000000004"/>
    <n v="6.68"/>
    <s v="1098"/>
    <n v="1900"/>
    <n v="1.59"/>
    <n v="11.53"/>
    <n v="151.41999999999999"/>
    <n v="2.37"/>
    <n v="4.3"/>
    <n v="149.05000000000001"/>
    <n v="19.39"/>
    <n v="9313.74"/>
    <s v="99774"/>
    <s v="151290"/>
    <s v="0"/>
    <s v="0"/>
    <n v="291.8"/>
  </r>
  <r>
    <x v="99"/>
    <x v="15"/>
    <s v="Em operação"/>
    <s v="ES 0097"/>
    <x v="7"/>
    <m/>
    <m/>
    <m/>
    <n v="0"/>
    <s v=""/>
    <s v=""/>
    <s v=""/>
    <s v=""/>
    <s v=""/>
    <n v="450"/>
    <s v=""/>
    <s v=""/>
    <s v=""/>
    <s v=""/>
    <s v=""/>
    <s v=""/>
    <s v=""/>
    <s v=""/>
    <s v=""/>
    <s v=""/>
    <s v=""/>
    <s v=""/>
    <s v=""/>
  </r>
  <r>
    <x v="99"/>
    <x v="15"/>
    <s v="Em operação"/>
    <s v="ES 0135"/>
    <x v="6"/>
    <m/>
    <m/>
    <m/>
    <n v="307.66045548654245"/>
    <n v="13.16"/>
    <n v="9.66"/>
    <n v="3.5"/>
    <n v="26.59"/>
    <s v="1600"/>
    <n v="2972"/>
    <n v="2.42"/>
    <n v="18.18"/>
    <n v="212.93"/>
    <n v="11.36"/>
    <n v="3.24"/>
    <n v="201.57"/>
    <n v="20.86"/>
    <n v="707.22"/>
    <s v="67492"/>
    <s v="134202"/>
    <n v="0.6"/>
    <s v="0"/>
    <n v="68.2"/>
  </r>
  <r>
    <x v="99"/>
    <x v="15"/>
    <s v="Em operação"/>
    <s v="ES 0135"/>
    <x v="2"/>
    <m/>
    <m/>
    <n v="3000"/>
    <m/>
    <m/>
    <m/>
    <m/>
    <m/>
    <m/>
    <n v="900"/>
    <m/>
    <m/>
    <m/>
    <m/>
    <m/>
    <m/>
    <m/>
    <m/>
    <m/>
    <m/>
    <m/>
    <m/>
    <m/>
  </r>
  <r>
    <x v="99"/>
    <x v="15"/>
    <s v="Em operação"/>
    <s v="ES 0110"/>
    <x v="6"/>
    <m/>
    <m/>
    <m/>
    <n v="372.95285359801488"/>
    <n v="5.58"/>
    <n v="4.03"/>
    <n v="1.55"/>
    <n v="27.76"/>
    <s v="702"/>
    <n v="1503"/>
    <n v="2.14"/>
    <n v="16.12"/>
    <n v="93.22"/>
    <n v="6.15"/>
    <n v="3.97"/>
    <n v="87.06"/>
    <n v="21.59"/>
    <n v="2556.8000000000002"/>
    <s v="174991"/>
    <s v="336394"/>
    <n v="1.5"/>
    <s v="0"/>
    <n v="333.3"/>
  </r>
  <r>
    <x v="99"/>
    <x v="15"/>
    <s v="Em operação"/>
    <s v="ES 0126"/>
    <x v="2"/>
    <m/>
    <m/>
    <n v="3000"/>
    <n v="108.52618757612666"/>
    <n v="9.4600000000000009"/>
    <n v="8.2100000000000009"/>
    <n v="1.25"/>
    <n v="13.22"/>
    <s v="838"/>
    <n v="891"/>
    <n v="1.78"/>
    <n v="10.4"/>
    <n v="143.37"/>
    <n v="5.2"/>
    <n v="4.16"/>
    <n v="138.16999999999999"/>
    <n v="16.829999999999998"/>
    <n v="1151.94"/>
    <s v="118709"/>
    <s v="264250"/>
    <n v="0.6"/>
    <s v="0"/>
    <n v="120.4"/>
  </r>
  <r>
    <x v="99"/>
    <x v="15"/>
    <s v="Em operação"/>
    <s v="ES 0126"/>
    <x v="6"/>
    <m/>
    <m/>
    <m/>
    <m/>
    <m/>
    <m/>
    <m/>
    <m/>
    <m/>
    <n v="600"/>
    <m/>
    <m/>
    <m/>
    <m/>
    <m/>
    <m/>
    <m/>
    <m/>
    <m/>
    <m/>
    <m/>
    <m/>
    <m/>
  </r>
  <r>
    <x v="99"/>
    <x v="15"/>
    <s v="Em operação"/>
    <s v="ES 0099"/>
    <x v="2"/>
    <m/>
    <m/>
    <n v="3000"/>
    <n v="285.69206842923796"/>
    <n v="7.03"/>
    <n v="6.43"/>
    <n v="0.6"/>
    <n v="8.5299999999999994"/>
    <s v="662"/>
    <n v="1837"/>
    <n v="2.77"/>
    <n v="8.9"/>
    <n v="206.3"/>
    <n v="2.84"/>
    <n v="4.7300000000000004"/>
    <n v="203.47"/>
    <n v="31.64"/>
    <n v="8120.14"/>
    <s v="134064"/>
    <s v="398166"/>
    <n v="0.4"/>
    <s v="0"/>
    <n v="255.5"/>
  </r>
  <r>
    <x v="99"/>
    <x v="15"/>
    <s v="Em operação"/>
    <s v="ES 0101"/>
    <x v="0"/>
    <n v="4460"/>
    <m/>
    <n v="4000"/>
    <n v="803.60360360360357"/>
    <n v="6.1"/>
    <n v="5.55"/>
    <n v="0.55000000000000004"/>
    <n v="9.01"/>
    <s v="801"/>
    <n v="4460"/>
    <n v="5.57"/>
    <n v="20.399999999999999"/>
    <n v="218.61"/>
    <n v="3.31"/>
    <n v="6.02"/>
    <n v="215.3"/>
    <n v="38.76"/>
    <n v="6734.94"/>
    <s v="433160"/>
    <s v="1570564"/>
    <s v="0"/>
    <s v="0"/>
    <n v="49.4"/>
  </r>
  <r>
    <x v="99"/>
    <x v="15"/>
    <s v="Em operação"/>
    <s v="ES 0116"/>
    <x v="2"/>
    <m/>
    <m/>
    <n v="3000"/>
    <n v="74.683544303797461"/>
    <n v="1.0900000000000001"/>
    <n v="0.79"/>
    <n v="0.3"/>
    <n v="27.54"/>
    <s v="25"/>
    <n v="59"/>
    <n v="2.36"/>
    <n v="2.97"/>
    <n v="19.87"/>
    <n v="0.95"/>
    <n v="3.15"/>
    <n v="18.93"/>
    <n v="23.98"/>
    <n v="2069.61"/>
    <s v="203595"/>
    <s v="685229"/>
    <s v="0"/>
    <s v="0"/>
    <n v="5.6"/>
  </r>
  <r>
    <x v="100"/>
    <x v="15"/>
    <s v="Em operação"/>
    <s v="ES 0096"/>
    <x v="2"/>
    <m/>
    <m/>
    <n v="2500"/>
    <n v="234.87773487773489"/>
    <n v="8.57"/>
    <n v="7.77"/>
    <n v="0.8"/>
    <n v="9.33"/>
    <s v="886"/>
    <n v="1825"/>
    <n v="1.46"/>
    <n v="8.6999999999999993"/>
    <n v="148.58000000000001"/>
    <n v="3.31"/>
    <n v="4.1399999999999997"/>
    <n v="145.27000000000001"/>
    <n v="18.690000000000001"/>
    <n v="9322.31"/>
    <s v="100660"/>
    <s v="152582"/>
    <n v="0.4"/>
    <s v="0"/>
    <n v="292.2"/>
  </r>
  <r>
    <x v="100"/>
    <x v="15"/>
    <s v="Em operação"/>
    <s v="ES 0097"/>
    <x v="7"/>
    <m/>
    <m/>
    <m/>
    <n v="0"/>
    <n v="7.96"/>
    <n v="6.76"/>
    <n v="1.2"/>
    <n v="15.07"/>
    <s v=""/>
    <s v="-"/>
    <s v=""/>
    <s v=""/>
    <n v="151.41999999999999"/>
    <n v="5.68"/>
    <n v="4.7300000000000004"/>
    <n v="145.74"/>
    <n v="21.55"/>
    <n v="8916.3799999999992"/>
    <s v=""/>
    <s v=""/>
    <n v="0.9"/>
    <s v=""/>
    <n v="265.2"/>
  </r>
  <r>
    <x v="100"/>
    <x v="15"/>
    <s v="Em operação"/>
    <s v="ES 0135"/>
    <x v="2"/>
    <m/>
    <m/>
    <n v="2500"/>
    <n v="290.70487993803255"/>
    <n v="15.56"/>
    <n v="12.91"/>
    <n v="2.65"/>
    <n v="17.03"/>
    <s v="2134"/>
    <n v="3753"/>
    <n v="2.31"/>
    <n v="17.77"/>
    <n v="277.27999999999997"/>
    <n v="7.57"/>
    <n v="2.86"/>
    <n v="269.70999999999998"/>
    <n v="20.88"/>
    <n v="722.78"/>
    <s v="69626"/>
    <s v="139130"/>
    <n v="1.2"/>
    <s v="0"/>
    <n v="69.400000000000006"/>
  </r>
  <r>
    <x v="100"/>
    <x v="15"/>
    <s v="Em operação"/>
    <s v="ES 0135"/>
    <x v="6"/>
    <m/>
    <m/>
    <m/>
    <m/>
    <m/>
    <m/>
    <m/>
    <m/>
    <m/>
    <n v="1175"/>
    <m/>
    <m/>
    <m/>
    <m/>
    <m/>
    <m/>
    <m/>
    <m/>
    <m/>
    <m/>
    <m/>
    <m/>
    <m/>
  </r>
  <r>
    <x v="100"/>
    <x v="15"/>
    <s v="Em operação"/>
    <s v="ES 0110"/>
    <x v="2"/>
    <m/>
    <m/>
    <n v="2500"/>
    <n v="143.33895446880271"/>
    <n v="7.38"/>
    <n v="5.93"/>
    <n v="1.45"/>
    <n v="19.66"/>
    <s v="514"/>
    <n v="850"/>
    <n v="1.65"/>
    <n v="6.75"/>
    <n v="125.86"/>
    <n v="4.7300000000000004"/>
    <n v="3.26"/>
    <n v="121.13"/>
    <n v="20.440000000000001"/>
    <n v="2564.1799999999998"/>
    <s v="175505"/>
    <s v="337244"/>
    <n v="2.7"/>
    <n v="0.01"/>
    <s v="336"/>
  </r>
  <r>
    <x v="100"/>
    <x v="15"/>
    <s v="Em operação"/>
    <s v="ES 0126"/>
    <x v="2"/>
    <m/>
    <m/>
    <n v="2500"/>
    <n v="185.42024013722127"/>
    <n v="7.23"/>
    <n v="5.83"/>
    <n v="1.4"/>
    <n v="19.350000000000001"/>
    <s v="679"/>
    <n v="1081"/>
    <n v="1.59"/>
    <n v="8.7899999999999991"/>
    <n v="123.03"/>
    <n v="5.2"/>
    <n v="3.72"/>
    <n v="117.82"/>
    <n v="20.190000000000001"/>
    <n v="1159.18"/>
    <s v="119561"/>
    <s v="265499"/>
    <n v="0.7"/>
    <s v="0"/>
    <n v="121.1"/>
  </r>
  <r>
    <x v="100"/>
    <x v="15"/>
    <s v="Em operação"/>
    <s v="ES 0099"/>
    <x v="2"/>
    <m/>
    <m/>
    <n v="2500"/>
    <n v="259.21717171717171"/>
    <n v="8.52"/>
    <n v="7.92"/>
    <n v="0.6"/>
    <n v="7.04"/>
    <s v="741"/>
    <n v="2053"/>
    <n v="2.77"/>
    <n v="8.3000000000000007"/>
    <n v="247.47"/>
    <n v="5.2"/>
    <n v="8.67"/>
    <n v="242.27"/>
    <n v="30.58"/>
    <n v="8128.67"/>
    <s v="134805"/>
    <s v="400219"/>
    <n v="0.4"/>
    <s v="0"/>
    <n v="255.9"/>
  </r>
  <r>
    <x v="100"/>
    <x v="15"/>
    <s v="Em operação"/>
    <s v="ES 0101"/>
    <x v="0"/>
    <n v="3706"/>
    <m/>
    <n v="4000"/>
    <n v="459.02636916835701"/>
    <n v="11.01"/>
    <n v="9.86"/>
    <n v="1.1499999999999999"/>
    <n v="10.45"/>
    <s v="1027"/>
    <n v="4526"/>
    <n v="4.41"/>
    <n v="11.94"/>
    <n v="379.01"/>
    <n v="7.1"/>
    <n v="6.17"/>
    <n v="371.92"/>
    <n v="37.72"/>
    <n v="6745.94"/>
    <s v="434187"/>
    <s v="1575090"/>
    <n v="0.1"/>
    <s v="0"/>
    <n v="49.5"/>
  </r>
  <r>
    <x v="100"/>
    <x v="15"/>
    <s v="Em operação"/>
    <s v="ES 0116"/>
    <x v="2"/>
    <m/>
    <m/>
    <n v="2500"/>
    <n v="415.22435897435895"/>
    <n v="7.74"/>
    <n v="6.24"/>
    <n v="1.5"/>
    <n v="19.39"/>
    <s v="1083"/>
    <n v="2591"/>
    <n v="2.39"/>
    <n v="9.73"/>
    <n v="266.39999999999998"/>
    <n v="7.57"/>
    <n v="5.05"/>
    <n v="258.83"/>
    <n v="41.51"/>
    <n v="2077.35"/>
    <s v="204678"/>
    <s v="687820"/>
    <s v="0"/>
    <s v="0"/>
    <n v="5.6"/>
  </r>
  <r>
    <x v="101"/>
    <x v="15"/>
    <s v="Em operação"/>
    <s v="ES 0096"/>
    <x v="2"/>
    <m/>
    <m/>
    <n v="2500"/>
    <n v="278.53260869565219"/>
    <n v="8.36"/>
    <n v="7.36"/>
    <s v="1"/>
    <n v="11.96"/>
    <s v="944"/>
    <n v="2050"/>
    <n v="1.36"/>
    <n v="9.25"/>
    <n v="138.63999999999999"/>
    <n v="4.26"/>
    <n v="4.26"/>
    <n v="134.38"/>
    <n v="18.260000000000002"/>
    <n v="9330.67"/>
    <s v="101604"/>
    <s v="153865"/>
    <n v="0.1"/>
    <s v="0"/>
    <n v="292.3"/>
  </r>
  <r>
    <x v="101"/>
    <x v="15"/>
    <s v="Em operação"/>
    <s v="ES 0097"/>
    <x v="7"/>
    <m/>
    <m/>
    <m/>
    <n v="0"/>
    <n v="7.08"/>
    <n v="5.13"/>
    <n v="1.95"/>
    <n v="27.53"/>
    <s v=""/>
    <s v="-"/>
    <s v=""/>
    <s v=""/>
    <n v="105.52"/>
    <n v="8.0399999999999991"/>
    <n v="4.13"/>
    <n v="97.47"/>
    <n v="18.989999999999998"/>
    <n v="8923.4699999999993"/>
    <s v=""/>
    <s v=""/>
    <n v="0.1"/>
    <s v=""/>
    <n v="265.3"/>
  </r>
  <r>
    <x v="101"/>
    <x v="15"/>
    <s v="Em operação"/>
    <s v="ES 0135"/>
    <x v="2"/>
    <m/>
    <m/>
    <n v="2500"/>
    <n v="335.17823639774861"/>
    <n v="15.76"/>
    <n v="10.66"/>
    <n v="5.0999999999999996"/>
    <n v="32.36"/>
    <s v="1784"/>
    <n v="3573"/>
    <n v="2.27"/>
    <n v="17.600000000000001"/>
    <n v="229.96"/>
    <n v="16.09"/>
    <n v="3.15"/>
    <n v="213.88"/>
    <n v="20.059999999999999"/>
    <n v="738.54"/>
    <s v="71410"/>
    <s v="143178"/>
    <n v="1.6"/>
    <s v="0"/>
    <s v="71"/>
  </r>
  <r>
    <x v="101"/>
    <x v="15"/>
    <s v="Em operação"/>
    <s v="ES 0135"/>
    <x v="6"/>
    <m/>
    <m/>
    <m/>
    <m/>
    <m/>
    <m/>
    <m/>
    <m/>
    <m/>
    <n v="475"/>
    <m/>
    <m/>
    <m/>
    <m/>
    <m/>
    <m/>
    <m/>
    <m/>
    <m/>
    <m/>
    <m/>
    <m/>
    <m/>
  </r>
  <r>
    <x v="101"/>
    <x v="15"/>
    <s v="Em operação"/>
    <s v="ES 0110"/>
    <x v="2"/>
    <m/>
    <m/>
    <n v="2500"/>
    <n v="248.64433811802235"/>
    <n v="7.02"/>
    <n v="6.27"/>
    <n v="0.75"/>
    <n v="10.68"/>
    <s v="703"/>
    <n v="1559"/>
    <n v="2.2200000000000002"/>
    <n v="12.2"/>
    <n v="127.76"/>
    <n v="3.31"/>
    <n v="4.42"/>
    <n v="124.45"/>
    <n v="19.850000000000001"/>
    <n v="2571.1999999999998"/>
    <s v="176208"/>
    <s v="338803"/>
    <n v="0.4"/>
    <s v="0"/>
    <n v="336.4"/>
  </r>
  <r>
    <x v="101"/>
    <x v="15"/>
    <s v="Em operação"/>
    <s v="ES 0126"/>
    <x v="2"/>
    <m/>
    <m/>
    <n v="2500"/>
    <n v="242.2110552763819"/>
    <n v="8.61"/>
    <n v="7.96"/>
    <n v="0.65"/>
    <n v="7.55"/>
    <s v="1118"/>
    <n v="1928"/>
    <n v="1.72"/>
    <n v="10.98"/>
    <n v="175.55"/>
    <n v="2.37"/>
    <n v="3.64"/>
    <n v="173.18"/>
    <n v="21.76"/>
    <n v="1167.79"/>
    <s v="120679"/>
    <s v="267427"/>
    <s v="0"/>
    <s v="0"/>
    <n v="121.1"/>
  </r>
  <r>
    <x v="101"/>
    <x v="15"/>
    <s v="Em operação"/>
    <s v="ES 0099"/>
    <x v="2"/>
    <m/>
    <m/>
    <n v="2500"/>
    <n v="283.26612903225805"/>
    <n v="5.41"/>
    <n v="4.96"/>
    <n v="0.45"/>
    <n v="8.32"/>
    <s v="433"/>
    <n v="1405"/>
    <n v="3.24"/>
    <n v="9.0299999999999994"/>
    <n v="155.68"/>
    <n v="2.84"/>
    <n v="6.31"/>
    <n v="152.84"/>
    <n v="30.82"/>
    <n v="8134.08"/>
    <s v="135238"/>
    <s v="401624"/>
    <n v="0.2"/>
    <s v="0"/>
    <n v="256.10000000000002"/>
  </r>
  <r>
    <x v="101"/>
    <x v="15"/>
    <s v="Em operação"/>
    <s v="ES 0101"/>
    <x v="0"/>
    <n v="4252"/>
    <m/>
    <n v="4000"/>
    <n v="483.49328214971212"/>
    <n v="11.18"/>
    <n v="10.42"/>
    <n v="0.75"/>
    <n v="6.71"/>
    <s v="1091"/>
    <n v="5038"/>
    <n v="4.62"/>
    <n v="12.41"/>
    <n v="405.99"/>
    <n v="5.2"/>
    <n v="6.94"/>
    <n v="400.78"/>
    <n v="38.44"/>
    <n v="6757.12"/>
    <s v="435278"/>
    <s v="1580128"/>
    <n v="0.1"/>
    <s v="0"/>
    <n v="49.6"/>
  </r>
  <r>
    <x v="101"/>
    <x v="15"/>
    <s v="Em operação"/>
    <s v="ES 0116"/>
    <x v="2"/>
    <m/>
    <m/>
    <n v="2500"/>
    <n v="276.89393939393938"/>
    <n v="10.72"/>
    <n v="7.92"/>
    <n v="2.8"/>
    <n v="26.12"/>
    <s v="915"/>
    <n v="2193"/>
    <n v="3.76"/>
    <n v="11.09"/>
    <n v="310.39999999999998"/>
    <n v="12.3"/>
    <n v="4.3899999999999997"/>
    <n v="298.10000000000002"/>
    <n v="37.64"/>
    <n v="2088.0700000000002"/>
    <s v="205593"/>
    <s v="691263"/>
    <s v="0"/>
    <s v="0"/>
    <n v="5.6"/>
  </r>
  <r>
    <x v="101"/>
    <x v="15"/>
    <s v="Em operação"/>
    <s v="ES 0116"/>
    <x v="6"/>
    <m/>
    <m/>
    <m/>
    <m/>
    <m/>
    <m/>
    <m/>
    <m/>
    <m/>
    <n v="1250"/>
    <m/>
    <m/>
    <m/>
    <m/>
    <m/>
    <m/>
    <m/>
    <m/>
    <m/>
    <m/>
    <m/>
    <m/>
    <m/>
  </r>
  <r>
    <x v="102"/>
    <x v="15"/>
    <s v="Em operação"/>
    <s v="ES 0096"/>
    <x v="2"/>
    <m/>
    <m/>
    <n v="2500"/>
    <n v="206.18556701030928"/>
    <n v="8.44"/>
    <n v="6.79"/>
    <n v="1.65"/>
    <n v="19.55"/>
    <s v="803"/>
    <n v="1400"/>
    <n v="1.46"/>
    <n v="8.86"/>
    <n v="132.02000000000001"/>
    <n v="6.62"/>
    <n v="4.01"/>
    <n v="125.39"/>
    <n v="18.46"/>
    <n v="9339.11"/>
    <s v="102407"/>
    <s v="155035"/>
    <s v="0"/>
    <s v="0"/>
    <n v="292.3"/>
  </r>
  <r>
    <x v="102"/>
    <x v="15"/>
    <s v="Em operação"/>
    <s v="ES 0097"/>
    <x v="7"/>
    <m/>
    <m/>
    <m/>
    <n v="0"/>
    <n v="7.29"/>
    <n v="4.3899999999999997"/>
    <n v="2.9"/>
    <n v="39.770000000000003"/>
    <s v=""/>
    <s v=""/>
    <s v=""/>
    <s v=""/>
    <n v="90.38"/>
    <n v="11.83"/>
    <n v="4.08"/>
    <n v="78.55"/>
    <n v="17.89"/>
    <n v="8930.76"/>
    <s v=""/>
    <s v=""/>
    <n v="0.1"/>
    <s v=""/>
    <n v="265.39999999999998"/>
  </r>
  <r>
    <x v="102"/>
    <x v="15"/>
    <s v="Em operação"/>
    <s v="ES 0135"/>
    <x v="2"/>
    <m/>
    <m/>
    <n v="2500"/>
    <n v="335.66433566433568"/>
    <n v="11.48"/>
    <n v="8.58"/>
    <n v="2.9"/>
    <n v="25.25"/>
    <s v="1489"/>
    <n v="2880"/>
    <n v="1.93"/>
    <n v="15.65"/>
    <n v="184.07"/>
    <n v="8.99"/>
    <n v="3.1"/>
    <n v="175.08"/>
    <n v="20.39"/>
    <n v="750.02"/>
    <s v="72899"/>
    <s v="146058"/>
    <n v="1.3"/>
    <s v="0"/>
    <n v="72.3"/>
  </r>
  <r>
    <x v="102"/>
    <x v="15"/>
    <s v="Em operação"/>
    <s v="ES 0110"/>
    <x v="2"/>
    <m/>
    <m/>
    <n v="2500"/>
    <n v="35.971223021582738"/>
    <n v="5.82"/>
    <n v="4.17"/>
    <n v="1.65"/>
    <n v="28.35"/>
    <s v="148"/>
    <n v="150"/>
    <n v="1.01"/>
    <n v="2.0099999999999998"/>
    <n v="74.760000000000005"/>
    <n v="5.68"/>
    <n v="3.44"/>
    <n v="69.08"/>
    <n v="16.57"/>
    <n v="2577.02"/>
    <s v="176356"/>
    <s v="338953"/>
    <s v="1"/>
    <n v="0.01"/>
    <n v="337.4"/>
  </r>
  <r>
    <x v="102"/>
    <x v="15"/>
    <s v="Em operação"/>
    <s v="ES 0126"/>
    <x v="2"/>
    <m/>
    <m/>
    <n v="2500"/>
    <n v="243.23308270676691"/>
    <n v="8.83"/>
    <n v="7.98"/>
    <n v="0.85"/>
    <n v="9.6300000000000008"/>
    <s v="1039"/>
    <n v="1941"/>
    <n v="1.87"/>
    <n v="11.12"/>
    <n v="174.6"/>
    <n v="3.31"/>
    <n v="3.9"/>
    <n v="171.29"/>
    <n v="21.47"/>
    <n v="1176.6199999999999"/>
    <s v="121718"/>
    <s v="269368"/>
    <s v="0"/>
    <s v="0"/>
    <n v="121.1"/>
  </r>
  <r>
    <x v="102"/>
    <x v="15"/>
    <s v="Em operação"/>
    <s v="ES 0099"/>
    <x v="2"/>
    <m/>
    <m/>
    <n v="2500"/>
    <n v="309.63244613434728"/>
    <n v="9.44"/>
    <n v="7.89"/>
    <n v="1.55"/>
    <n v="16.41"/>
    <s v="763"/>
    <n v="2443"/>
    <n v="3.2"/>
    <n v="10.47"/>
    <n v="233.28"/>
    <n v="8.99"/>
    <n v="5.8"/>
    <n v="224.29"/>
    <n v="28.41"/>
    <n v="8143.52"/>
    <s v="136001"/>
    <s v="404067"/>
    <n v="0.1"/>
    <s v="0"/>
    <n v="256.2"/>
  </r>
  <r>
    <x v="102"/>
    <x v="15"/>
    <s v="Em operação"/>
    <s v="ES 0101"/>
    <x v="0"/>
    <n v="2904"/>
    <m/>
    <n v="4000"/>
    <n v="497.11155378486058"/>
    <n v="11.29"/>
    <n v="10.039999999999999"/>
    <n v="1.25"/>
    <n v="11.07"/>
    <s v="1153"/>
    <n v="4991"/>
    <n v="4.33"/>
    <n v="12.71"/>
    <n v="392.74"/>
    <n v="7.57"/>
    <n v="6.06"/>
    <n v="385.17"/>
    <n v="38.35"/>
    <n v="6768.41"/>
    <s v="436431"/>
    <s v="1585119"/>
    <s v="0"/>
    <s v="0"/>
    <n v="49.6"/>
  </r>
  <r>
    <x v="102"/>
    <x v="15"/>
    <s v="Em operação"/>
    <s v="ES 0116"/>
    <x v="2"/>
    <m/>
    <m/>
    <n v="2500"/>
    <n v="482.26466575716233"/>
    <n v="10.38"/>
    <n v="7.33"/>
    <n v="3.05"/>
    <n v="29.39"/>
    <s v="912"/>
    <n v="3535"/>
    <n v="3.88"/>
    <n v="12.15"/>
    <s v="291"/>
    <n v="11.83"/>
    <n v="3.88"/>
    <n v="279.17"/>
    <n v="38.11"/>
    <n v="2098.44"/>
    <s v="206505"/>
    <s v="694798"/>
    <s v="0"/>
    <s v="0"/>
    <n v="5.6"/>
  </r>
  <r>
    <x v="103"/>
    <x v="1"/>
    <s v="Não operacional"/>
    <s v="ES 0096"/>
    <x v="2"/>
    <m/>
    <s v="Na oficina"/>
    <m/>
    <n v="0"/>
    <n v="0.6"/>
    <n v="0.45"/>
    <n v="0.15"/>
    <n v="25.1"/>
    <s v="2"/>
    <n v="0"/>
    <s v="0"/>
    <s v="0"/>
    <n v="3.79"/>
    <n v="0.47"/>
    <n v="3.15"/>
    <n v="3.31"/>
    <n v="7.4"/>
    <n v="9339.7099999999991"/>
    <s v="102409"/>
    <s v="155035"/>
    <n v="0.1"/>
    <n v="0.05"/>
    <n v="292.39999999999998"/>
  </r>
  <r>
    <x v="103"/>
    <x v="15"/>
    <s v="Em operação"/>
    <s v="ES 0097"/>
    <x v="7"/>
    <m/>
    <m/>
    <m/>
    <n v="0"/>
    <n v="5.75"/>
    <n v="3.15"/>
    <n v="2.6"/>
    <n v="45.24"/>
    <s v=""/>
    <s v=""/>
    <s v=""/>
    <s v=""/>
    <n v="69.08"/>
    <n v="9.94"/>
    <n v="3.82"/>
    <n v="59.15"/>
    <n v="18.79"/>
    <n v="8936.51"/>
    <s v=""/>
    <s v=""/>
    <n v="0.4"/>
    <s v=""/>
    <n v="265.8"/>
  </r>
  <r>
    <x v="103"/>
    <x v="15"/>
    <s v="Em operação"/>
    <s v="ES 0135"/>
    <x v="2"/>
    <m/>
    <m/>
    <n v="3000"/>
    <n v="260.33519553072625"/>
    <n v="5.97"/>
    <n v="5.37"/>
    <n v="0.6"/>
    <n v="10.050000000000001"/>
    <s v="633"/>
    <n v="1398"/>
    <n v="2.21"/>
    <n v="17.18"/>
    <n v="81.39"/>
    <n v="2.37"/>
    <n v="3.94"/>
    <n v="79.02"/>
    <n v="14.72"/>
    <n v="755.99"/>
    <s v="73532"/>
    <s v="147456"/>
    <s v="0"/>
    <s v="0"/>
    <n v="72.3"/>
  </r>
  <r>
    <x v="103"/>
    <x v="15"/>
    <s v="Em operação"/>
    <s v="ES 0110"/>
    <x v="2"/>
    <m/>
    <m/>
    <n v="3000"/>
    <n v="278.55072463768113"/>
    <n v="7.5"/>
    <n v="6.9"/>
    <n v="0.6"/>
    <s v="8"/>
    <s v="1038"/>
    <n v="1922"/>
    <n v="1.85"/>
    <n v="13.32"/>
    <n v="144.32"/>
    <n v="3.31"/>
    <n v="5.52"/>
    <n v="141.01"/>
    <n v="20.43"/>
    <n v="2584.52"/>
    <s v="177394"/>
    <s v="340875"/>
    <s v="0"/>
    <s v="0"/>
    <n v="337.4"/>
  </r>
  <r>
    <x v="103"/>
    <x v="15"/>
    <s v="Em operação"/>
    <s v="ES 0126"/>
    <x v="2"/>
    <m/>
    <m/>
    <n v="3000"/>
    <n v="205.72519083969465"/>
    <n v="3.42"/>
    <n v="2.62"/>
    <n v="0.8"/>
    <n v="23.43"/>
    <s v="301"/>
    <n v="539"/>
    <n v="1.79"/>
    <n v="10.36"/>
    <n v="52.05"/>
    <n v="3.31"/>
    <n v="4.1399999999999997"/>
    <n v="48.74"/>
    <n v="18.64"/>
    <n v="1180.03"/>
    <s v="122019"/>
    <s v="269907"/>
    <n v="0.3"/>
    <s v="0"/>
    <n v="121.4"/>
  </r>
  <r>
    <x v="103"/>
    <x v="15"/>
    <s v="Em operação"/>
    <s v="ES 0099"/>
    <x v="2"/>
    <m/>
    <m/>
    <n v="3000"/>
    <n v="328.14992025518342"/>
    <n v="14.54"/>
    <n v="12.54"/>
    <s v="2"/>
    <n v="13.75"/>
    <s v="1293"/>
    <n v="4115"/>
    <n v="3.18"/>
    <n v="10.87"/>
    <n v="378.54"/>
    <n v="12.78"/>
    <n v="6.39"/>
    <n v="365.77"/>
    <n v="29.16"/>
    <n v="8158.06"/>
    <s v="137294"/>
    <s v="408182"/>
    <n v="0.2"/>
    <s v="0"/>
    <n v="256.39999999999998"/>
  </r>
  <r>
    <x v="103"/>
    <x v="15"/>
    <s v="Em operação"/>
    <s v="ES 0101"/>
    <x v="0"/>
    <n v="2575"/>
    <m/>
    <n v="4000"/>
    <n v="692.09302325581393"/>
    <n v="5.05"/>
    <n v="4.3"/>
    <n v="0.75"/>
    <n v="14.85"/>
    <s v="598"/>
    <n v="2976"/>
    <n v="4.9800000000000004"/>
    <n v="17.77"/>
    <n v="167.5"/>
    <n v="4.7300000000000004"/>
    <n v="6.31"/>
    <n v="162.77000000000001"/>
    <n v="37.85"/>
    <n v="6773.46"/>
    <s v="437029"/>
    <s v="1588095"/>
    <s v="0"/>
    <s v="0"/>
    <n v="49.6"/>
  </r>
  <r>
    <x v="103"/>
    <x v="15"/>
    <s v="Em operação"/>
    <s v="ES 0116"/>
    <x v="2"/>
    <m/>
    <m/>
    <n v="3000"/>
    <n v="504.6913580246914"/>
    <n v="5.65"/>
    <n v="4.05"/>
    <n v="1.6"/>
    <n v="28.31"/>
    <s v="516"/>
    <n v="2044"/>
    <n v="3.96"/>
    <n v="12.67"/>
    <n v="161.35"/>
    <n v="7.57"/>
    <n v="4.7300000000000004"/>
    <n v="153.78"/>
    <n v="37.96"/>
    <n v="2104.1"/>
    <s v="207021"/>
    <s v="696842"/>
    <n v="0.1"/>
    <s v="0"/>
    <n v="5.7"/>
  </r>
  <r>
    <x v="104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339.7099999999991"/>
    <s v="102409"/>
    <s v="155035"/>
    <s v="0"/>
    <s v=""/>
    <n v="292.39999999999998"/>
  </r>
  <r>
    <x v="104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n v="8936.51"/>
    <s v=""/>
    <s v=""/>
    <s v="0"/>
    <s v=""/>
    <n v="265.8"/>
  </r>
  <r>
    <x v="104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"/>
    <x v="1"/>
    <s v="Não operacional"/>
    <s v="ES 0110"/>
    <x v="2"/>
    <m/>
    <m/>
    <m/>
    <n v="0"/>
    <n v="0.17"/>
    <n v="7.0000000000000007E-2"/>
    <n v="0.1"/>
    <n v="60.31"/>
    <s v="2"/>
    <n v="0"/>
    <s v="2"/>
    <n v="2.11"/>
    <n v="1.89"/>
    <n v="0.47"/>
    <n v="4.7300000000000004"/>
    <n v="1.42"/>
    <n v="21.57"/>
    <n v="2584.69"/>
    <s v="177396"/>
    <s v="340879"/>
    <s v="0"/>
    <s v="0"/>
    <n v="337.4"/>
  </r>
  <r>
    <x v="104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158.06"/>
    <s v="137294"/>
    <s v="408182"/>
    <s v="0"/>
    <s v=""/>
    <n v="256.39999999999998"/>
  </r>
  <r>
    <x v="104"/>
    <x v="1"/>
    <s v="Não operacional"/>
    <s v="ES 0101"/>
    <x v="0"/>
    <m/>
    <m/>
    <m/>
    <n v="0"/>
    <s v="0"/>
    <s v="0"/>
    <s v="0"/>
    <s v=""/>
    <s v="0"/>
    <n v="0"/>
    <s v=""/>
    <s v=""/>
    <s v="0"/>
    <s v="0"/>
    <s v=""/>
    <s v="0"/>
    <s v=""/>
    <n v="6773.46"/>
    <s v="437029"/>
    <s v="1588095"/>
    <s v="0"/>
    <s v=""/>
    <n v="49.6"/>
  </r>
  <r>
    <x v="104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"/>
    <x v="16"/>
    <s v="Em operação"/>
    <s v="ES 0096"/>
    <x v="2"/>
    <m/>
    <m/>
    <n v="2500"/>
    <n v="323.36578581363"/>
    <n v="8.2899999999999991"/>
    <n v="7.19"/>
    <n v="1.1000000000000001"/>
    <n v="13.27"/>
    <s v="798"/>
    <n v="2325"/>
    <n v="1.21"/>
    <n v="6.99"/>
    <n v="138.16999999999999"/>
    <n v="4.26"/>
    <n v="3.87"/>
    <n v="133.91"/>
    <n v="18.63"/>
    <s v="9348"/>
    <s v="103207"/>
    <s v="156001"/>
    <n v="0.4"/>
    <s v="0"/>
    <n v="292.8"/>
  </r>
  <r>
    <x v="105"/>
    <x v="16"/>
    <s v="Em operação"/>
    <s v="ES 0097"/>
    <x v="7"/>
    <m/>
    <m/>
    <m/>
    <n v="0"/>
    <n v="2.1800000000000002"/>
    <n v="1.48"/>
    <n v="0.7"/>
    <n v="32.18"/>
    <s v=""/>
    <s v=""/>
    <s v=""/>
    <s v=""/>
    <n v="29.34"/>
    <n v="3.31"/>
    <n v="4.7300000000000004"/>
    <n v="26.02"/>
    <n v="17.64"/>
    <n v="8938.68"/>
    <s v=""/>
    <s v=""/>
    <n v="0.2"/>
    <s v=""/>
    <s v="266"/>
  </r>
  <r>
    <x v="105"/>
    <x v="16"/>
    <s v="Em operação"/>
    <s v="ES 0135"/>
    <x v="2"/>
    <m/>
    <m/>
    <n v="2500"/>
    <n v="343.53826850690086"/>
    <n v="8.9700000000000006"/>
    <n v="7.97"/>
    <s v="1"/>
    <n v="11.15"/>
    <s v="1205"/>
    <n v="2738"/>
    <n v="2.27"/>
    <n v="19.420000000000002"/>
    <n v="141.01"/>
    <n v="3.31"/>
    <n v="3.31"/>
    <n v="137.69"/>
    <n v="17.28"/>
    <n v="764.96"/>
    <s v="74947"/>
    <s v="150610"/>
    <s v="0"/>
    <s v="0"/>
    <n v="72.3"/>
  </r>
  <r>
    <x v="105"/>
    <x v="16"/>
    <s v="Em operação"/>
    <s v="ES 0110"/>
    <x v="2"/>
    <m/>
    <m/>
    <n v="2500"/>
    <n v="365.1605231866825"/>
    <n v="9.16"/>
    <n v="8.41"/>
    <n v="0.75"/>
    <n v="8.19"/>
    <s v="1393"/>
    <n v="3071"/>
    <n v="2.2000000000000002"/>
    <n v="17.45"/>
    <n v="176.02"/>
    <n v="2.84"/>
    <n v="3.79"/>
    <n v="173.18"/>
    <n v="20.59"/>
    <n v="2593.85"/>
    <s v="178789"/>
    <s v="343950"/>
    <n v="0.1"/>
    <s v="0"/>
    <n v="337.5"/>
  </r>
  <r>
    <x v="105"/>
    <x v="16"/>
    <s v="Em operação"/>
    <s v="ES 0126"/>
    <x v="2"/>
    <m/>
    <m/>
    <n v="2500"/>
    <n v="276.1194029850746"/>
    <n v="12.44"/>
    <n v="11.39"/>
    <n v="1.05"/>
    <n v="8.44"/>
    <s v="1724"/>
    <n v="3145"/>
    <n v="1.82"/>
    <n v="12.88"/>
    <n v="244.16"/>
    <n v="3.79"/>
    <n v="3.61"/>
    <n v="240.37"/>
    <n v="21.1"/>
    <n v="1192.47"/>
    <s v="123743"/>
    <s v="273052"/>
    <n v="0.1"/>
    <s v="0"/>
    <n v="121.5"/>
  </r>
  <r>
    <x v="105"/>
    <x v="16"/>
    <s v="Em operação"/>
    <s v="ES 0099"/>
    <x v="2"/>
    <m/>
    <m/>
    <n v="2500"/>
    <n v="344.45479962721339"/>
    <n v="12.88"/>
    <n v="10.73"/>
    <n v="2.15"/>
    <n v="16.7"/>
    <s v="1293"/>
    <n v="3696"/>
    <n v="2.86"/>
    <n v="11.45"/>
    <n v="322.70999999999998"/>
    <n v="12.3"/>
    <n v="5.72"/>
    <n v="310.39999999999998"/>
    <n v="28.94"/>
    <n v="8170.94"/>
    <s v="138587"/>
    <s v="411878"/>
    <s v="0"/>
    <s v="0"/>
    <n v="256.39999999999998"/>
  </r>
  <r>
    <x v="105"/>
    <x v="16"/>
    <s v="Em operação"/>
    <s v="ES 0101"/>
    <x v="0"/>
    <n v="3194"/>
    <m/>
    <n v="8000"/>
    <n v="567.97546012269936"/>
    <n v="9.1999999999999993"/>
    <n v="8.15"/>
    <n v="1.05"/>
    <n v="11.42"/>
    <s v="1028"/>
    <n v="4629"/>
    <n v="4.5"/>
    <n v="14.67"/>
    <n v="315.61"/>
    <n v="6.15"/>
    <n v="5.86"/>
    <n v="309.45999999999998"/>
    <n v="37.979999999999997"/>
    <n v="6782.66"/>
    <s v="438057"/>
    <s v="1592724"/>
    <n v="0.1"/>
    <s v="0"/>
    <n v="49.7"/>
  </r>
  <r>
    <x v="105"/>
    <x v="16"/>
    <s v="Em operação"/>
    <s v="ES 0116"/>
    <x v="2"/>
    <m/>
    <m/>
    <n v="2500"/>
    <n v="178.79256965944273"/>
    <n v="8.61"/>
    <n v="6.46"/>
    <n v="2.15"/>
    <n v="24.98"/>
    <s v="725"/>
    <n v="1155"/>
    <n v="3.04"/>
    <n v="8.86"/>
    <n v="248.89"/>
    <n v="9.4600000000000009"/>
    <n v="4.4000000000000004"/>
    <n v="239.43"/>
    <n v="37.07"/>
    <n v="2112.6999999999998"/>
    <s v="207746"/>
    <s v="699047"/>
    <s v="0"/>
    <s v="0"/>
    <n v="5.7"/>
  </r>
  <r>
    <x v="105"/>
    <x v="16"/>
    <s v="Em operação"/>
    <s v="ES 0116"/>
    <x v="6"/>
    <m/>
    <m/>
    <m/>
    <n v="0"/>
    <m/>
    <m/>
    <m/>
    <m/>
    <m/>
    <n v="1050"/>
    <m/>
    <m/>
    <m/>
    <m/>
    <m/>
    <m/>
    <m/>
    <m/>
    <m/>
    <m/>
    <m/>
    <m/>
    <m/>
  </r>
  <r>
    <x v="106"/>
    <x v="16"/>
    <s v="Em operação"/>
    <s v="ES 0096"/>
    <x v="2"/>
    <m/>
    <m/>
    <n v="2500"/>
    <n v="297.37206085753803"/>
    <n v="8.3800000000000008"/>
    <n v="7.23"/>
    <n v="1.1499999999999999"/>
    <n v="13.72"/>
    <s v="1025"/>
    <n v="2150"/>
    <n v="1.44"/>
    <n v="10.220000000000001"/>
    <n v="144.32"/>
    <n v="4.7300000000000004"/>
    <n v="4.1100000000000003"/>
    <n v="139.59"/>
    <n v="19.29"/>
    <n v="9356.3799999999992"/>
    <s v="104232"/>
    <s v="157476"/>
    <s v="0"/>
    <s v="0"/>
    <n v="292.8"/>
  </r>
  <r>
    <x v="106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"/>
    <x v="16"/>
    <s v="Em operação"/>
    <s v="ES 0135"/>
    <x v="2"/>
    <m/>
    <m/>
    <n v="2500"/>
    <n v="200.42857142857142"/>
    <n v="9.15"/>
    <s v="7"/>
    <n v="2.15"/>
    <n v="23.5"/>
    <s v="1010"/>
    <n v="1403"/>
    <n v="1.56"/>
    <n v="10.69"/>
    <n v="147.63"/>
    <n v="7.1"/>
    <n v="3.3"/>
    <n v="140.53"/>
    <n v="20.079999999999998"/>
    <n v="774.11"/>
    <s v="76237"/>
    <s v="152785"/>
    <n v="0.7"/>
    <s v="0"/>
    <s v="73"/>
  </r>
  <r>
    <x v="106"/>
    <x v="16"/>
    <s v="Em operação"/>
    <s v="ES 0135"/>
    <x v="6"/>
    <m/>
    <m/>
    <m/>
    <n v="0"/>
    <m/>
    <m/>
    <m/>
    <m/>
    <m/>
    <n v="175"/>
    <m/>
    <m/>
    <m/>
    <m/>
    <m/>
    <m/>
    <m/>
    <m/>
    <m/>
    <m/>
    <m/>
    <m/>
    <m/>
  </r>
  <r>
    <x v="106"/>
    <x v="16"/>
    <s v="Em operação"/>
    <s v="ES 0110"/>
    <x v="2"/>
    <m/>
    <m/>
    <n v="2500"/>
    <n v="328.80523731587562"/>
    <n v="8.11"/>
    <n v="6.11"/>
    <s v="2"/>
    <n v="24.67"/>
    <s v="1017"/>
    <n v="2009"/>
    <n v="2.2000000000000002"/>
    <n v="16.739999999999998"/>
    <n v="133.44"/>
    <n v="7.1"/>
    <n v="3.55"/>
    <n v="126.34"/>
    <n v="20.69"/>
    <n v="2601.9499999999998"/>
    <s v="179806"/>
    <s v="346184"/>
    <n v="0.6"/>
    <s v="0"/>
    <n v="338.1"/>
  </r>
  <r>
    <x v="106"/>
    <x v="16"/>
    <s v="Em operação"/>
    <s v="ES 0110"/>
    <x v="6"/>
    <m/>
    <m/>
    <m/>
    <n v="0"/>
    <m/>
    <m/>
    <m/>
    <m/>
    <m/>
    <n v="225"/>
    <m/>
    <m/>
    <m/>
    <m/>
    <m/>
    <m/>
    <m/>
    <m/>
    <m/>
    <m/>
    <m/>
    <m/>
    <m/>
  </r>
  <r>
    <x v="106"/>
    <x v="16"/>
    <s v="Em operação"/>
    <s v="ES 0126"/>
    <x v="2"/>
    <m/>
    <m/>
    <n v="2500"/>
    <n v="296.30331753554498"/>
    <n v="11.65"/>
    <n v="10.55"/>
    <n v="1.1000000000000001"/>
    <n v="9.4499999999999993"/>
    <s v="1438"/>
    <n v="3126"/>
    <n v="2.17"/>
    <n v="13.71"/>
    <n v="228.07"/>
    <n v="3.79"/>
    <n v="3.44"/>
    <n v="224.29"/>
    <n v="21.27"/>
    <n v="1204.46"/>
    <s v="125235"/>
    <s v="276268"/>
    <n v="0.1"/>
    <s v="0"/>
    <n v="121.6"/>
  </r>
  <r>
    <x v="106"/>
    <x v="16"/>
    <s v="Em operação"/>
    <s v="ES 0099"/>
    <x v="2"/>
    <m/>
    <m/>
    <n v="2500"/>
    <n v="284.61538461538458"/>
    <n v="15.43"/>
    <n v="13.13"/>
    <n v="2.2999999999999998"/>
    <n v="14.91"/>
    <s v="1244"/>
    <n v="3737"/>
    <s v="3"/>
    <n v="9.0500000000000007"/>
    <n v="413.08"/>
    <n v="13.25"/>
    <n v="5.76"/>
    <n v="399.83"/>
    <n v="30.46"/>
    <n v="8186.37"/>
    <s v="139831"/>
    <s v="415615"/>
    <n v="0.9"/>
    <s v="0"/>
    <n v="257.3"/>
  </r>
  <r>
    <x v="106"/>
    <x v="16"/>
    <s v="Em operação"/>
    <s v="ES 0101"/>
    <x v="0"/>
    <n v="1408"/>
    <m/>
    <n v="8000"/>
    <n v="335.31073446327684"/>
    <n v="7.63"/>
    <n v="7.08"/>
    <n v="0.55000000000000004"/>
    <n v="7.21"/>
    <s v="593"/>
    <s v="2374"/>
    <s v="4"/>
    <n v="8.8000000000000007"/>
    <n v="269.70999999999998"/>
    <n v="3.31"/>
    <n v="6.02"/>
    <n v="266.39999999999998"/>
    <n v="37.65"/>
    <n v="6790.29"/>
    <s v="438650"/>
    <s v="1595098"/>
    <s v="0"/>
    <s v="0"/>
    <n v="49.7"/>
  </r>
  <r>
    <x v="106"/>
    <x v="16"/>
    <s v="Em operação"/>
    <s v="ES 0116"/>
    <x v="2"/>
    <m/>
    <m/>
    <n v="2500"/>
    <n v="426.77824267782427"/>
    <n v="7.08"/>
    <n v="4.78"/>
    <n v="2.2999999999999998"/>
    <n v="32.47"/>
    <n v="602"/>
    <n v="2040"/>
    <n v="3.39"/>
    <n v="10.1"/>
    <n v="202.05"/>
    <n v="9.94"/>
    <n v="4.32"/>
    <n v="192.11"/>
    <n v="40.17"/>
    <n v="2119.79"/>
    <n v="208348"/>
    <n v="701087"/>
    <n v="0"/>
    <n v="0"/>
    <n v="5.7"/>
  </r>
  <r>
    <x v="107"/>
    <x v="16"/>
    <s v="Em operação"/>
    <s v="ES 0096"/>
    <x v="2"/>
    <m/>
    <m/>
    <n v="2500"/>
    <n v="164.60905349794237"/>
    <n v="6.36"/>
    <n v="4.8600000000000003"/>
    <n v="1.5"/>
    <n v="23.57"/>
    <s v="538"/>
    <n v="800"/>
    <n v="1.48"/>
    <n v="8.56"/>
    <n v="92.74"/>
    <n v="6.15"/>
    <n v="4.0999999999999996"/>
    <n v="86.59"/>
    <n v="17.8"/>
    <n v="9362.75"/>
    <s v="104770"/>
    <s v="158270"/>
    <n v="0.1"/>
    <s v="0"/>
    <n v="292.89999999999998"/>
  </r>
  <r>
    <x v="107"/>
    <x v="1"/>
    <s v="Não operacional"/>
    <s v="ES 0097"/>
    <x v="7"/>
    <m/>
    <s v="Na oficina"/>
    <m/>
    <n v="0"/>
    <n v="7.0000000000000007E-2"/>
    <n v="0.02"/>
    <n v="0.05"/>
    <n v="68.400000000000006"/>
    <s v=""/>
    <s v=""/>
    <s v=""/>
    <s v=""/>
    <n v="0.47"/>
    <s v="0"/>
    <s v="0"/>
    <n v="0.47"/>
    <n v="20.48"/>
    <n v="8939.2199999999993"/>
    <s v=""/>
    <s v=""/>
    <s v="0"/>
    <s v=""/>
    <s v="266"/>
  </r>
  <r>
    <x v="107"/>
    <x v="16"/>
    <s v="Em operação"/>
    <s v="ES 0135"/>
    <x v="2"/>
    <m/>
    <m/>
    <n v="2500"/>
    <n v="70.260869565217391"/>
    <n v="8.25"/>
    <n v="5.75"/>
    <n v="2.5"/>
    <n v="30.29"/>
    <s v="755"/>
    <n v="404"/>
    <n v="1.7"/>
    <n v="10.64"/>
    <n v="120.66"/>
    <n v="8.52"/>
    <n v="3.41"/>
    <n v="112.14"/>
    <n v="19.489999999999998"/>
    <n v="782.36"/>
    <s v="76992"/>
    <s v="154069"/>
    <n v="1.5"/>
    <s v="0"/>
    <n v="74.5"/>
  </r>
  <r>
    <x v="107"/>
    <x v="16"/>
    <s v="Em operação"/>
    <s v="ES 0135"/>
    <x v="6"/>
    <m/>
    <m/>
    <m/>
    <n v="0"/>
    <m/>
    <m/>
    <m/>
    <m/>
    <m/>
    <n v="880"/>
    <m/>
    <m/>
    <m/>
    <m/>
    <m/>
    <m/>
    <m/>
    <m/>
    <m/>
    <m/>
    <m/>
    <m/>
    <m/>
  </r>
  <r>
    <x v="107"/>
    <x v="16"/>
    <s v="Em operação"/>
    <s v="ES 0110"/>
    <x v="2"/>
    <m/>
    <m/>
    <n v="2500"/>
    <n v="411.92368839427661"/>
    <n v="7.14"/>
    <n v="6.29"/>
    <n v="0.85"/>
    <n v="11.91"/>
    <s v="1205"/>
    <n v="2591"/>
    <n v="2.15"/>
    <n v="18.88"/>
    <n v="137.22"/>
    <n v="3.31"/>
    <n v="3.9"/>
    <n v="133.91"/>
    <n v="21.31"/>
    <n v="2609.09"/>
    <s v="181011"/>
    <s v="348775"/>
    <n v="0.1"/>
    <s v="0"/>
    <n v="338.2"/>
  </r>
  <r>
    <x v="107"/>
    <x v="16"/>
    <s v="Em operação"/>
    <s v="ES 0126"/>
    <x v="2"/>
    <m/>
    <m/>
    <n v="2500"/>
    <n v="240.96989966555182"/>
    <n v="13.56"/>
    <n v="11.96"/>
    <n v="1.6"/>
    <n v="11.8"/>
    <s v="1475"/>
    <n v="2882"/>
    <n v="1.95"/>
    <n v="11.47"/>
    <n v="251.26"/>
    <n v="6.15"/>
    <n v="3.84"/>
    <n v="245.11"/>
    <n v="20.49"/>
    <n v="1218.02"/>
    <s v="126710"/>
    <s v="279150"/>
    <n v="3.4"/>
    <s v="0"/>
    <s v="125"/>
  </r>
  <r>
    <x v="107"/>
    <x v="16"/>
    <s v="Em operação"/>
    <s v="ES 0099"/>
    <x v="2"/>
    <m/>
    <m/>
    <n v="2500"/>
    <n v="347.3047304730473"/>
    <n v="10.44"/>
    <n v="9.09"/>
    <n v="1.35"/>
    <n v="12.93"/>
    <s v="987"/>
    <n v="3157"/>
    <n v="3.2"/>
    <n v="11.1"/>
    <n v="284.38"/>
    <n v="7.57"/>
    <n v="5.61"/>
    <n v="276.81"/>
    <n v="30.44"/>
    <n v="8196.81"/>
    <s v="140818"/>
    <s v="418772"/>
    <n v="0.5"/>
    <s v="0"/>
    <n v="257.8"/>
  </r>
  <r>
    <x v="107"/>
    <x v="16"/>
    <s v="Em operação"/>
    <s v="ES 0101"/>
    <x v="0"/>
    <n v="2485"/>
    <m/>
    <n v="8000"/>
    <n v="462.04986149584488"/>
    <n v="7.86"/>
    <n v="7.22"/>
    <n v="0.65"/>
    <n v="8.26"/>
    <s v="755"/>
    <n v="3336"/>
    <n v="4.42"/>
    <n v="11.99"/>
    <n v="278.23"/>
    <n v="4.7300000000000004"/>
    <n v="7.28"/>
    <n v="273.5"/>
    <n v="37.909999999999997"/>
    <n v="6798.15"/>
    <s v="439405"/>
    <s v="1598434"/>
    <s v="0"/>
    <s v="0"/>
    <n v="49.7"/>
  </r>
  <r>
    <x v="107"/>
    <x v="16"/>
    <s v="Em operação"/>
    <s v="ES 0116"/>
    <x v="2"/>
    <m/>
    <m/>
    <n v="2500"/>
    <n v="559.96784565916403"/>
    <n v="7.82"/>
    <n v="6.22"/>
    <n v="1.6"/>
    <n v="20.47"/>
    <s v="958"/>
    <n v="3483"/>
    <n v="3.64"/>
    <n v="13.22"/>
    <n v="263.56"/>
    <n v="8.0399999999999991"/>
    <n v="5.03"/>
    <n v="255.52"/>
    <n v="41.1"/>
    <n v="2127.6"/>
    <s v="209306"/>
    <s v="704570"/>
    <s v="0"/>
    <s v="0"/>
    <n v="5.7"/>
  </r>
  <r>
    <x v="108"/>
    <x v="16"/>
    <s v="Em operação"/>
    <s v="ES 0096"/>
    <x v="2"/>
    <m/>
    <m/>
    <n v="2500"/>
    <n v="264.22764227642278"/>
    <n v="3.11"/>
    <n v="2.46"/>
    <n v="0.65"/>
    <n v="20.91"/>
    <s v="301"/>
    <n v="650"/>
    <n v="1.62"/>
    <n v="10.31"/>
    <n v="47.32"/>
    <n v="2.37"/>
    <n v="3.64"/>
    <n v="44.95"/>
    <n v="18.28"/>
    <n v="9365.85"/>
    <s v="105071"/>
    <s v="158758"/>
    <s v="0"/>
    <s v="0"/>
    <n v="292.89999999999998"/>
  </r>
  <r>
    <x v="108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"/>
    <x v="16"/>
    <s v="Em operação"/>
    <s v="ES 0135"/>
    <x v="2"/>
    <m/>
    <m/>
    <n v="2500"/>
    <n v="69.664902998236329"/>
    <n v="7.72"/>
    <n v="5.67"/>
    <n v="2.0499999999999998"/>
    <n v="26.57"/>
    <s v="618"/>
    <n v="395"/>
    <n v="1.25"/>
    <n v="8.06"/>
    <n v="95.58"/>
    <n v="7.1"/>
    <n v="3.46"/>
    <n v="88.48"/>
    <n v="15.62"/>
    <n v="790.08"/>
    <s v="77610"/>
    <s v="154839"/>
    <s v="2"/>
    <s v="0"/>
    <n v="76.5"/>
  </r>
  <r>
    <x v="108"/>
    <x v="16"/>
    <s v="Em operação"/>
    <s v="ES 0135"/>
    <x v="6"/>
    <m/>
    <m/>
    <m/>
    <n v="0"/>
    <m/>
    <m/>
    <m/>
    <m/>
    <m/>
    <n v="375"/>
    <m/>
    <m/>
    <m/>
    <m/>
    <m/>
    <m/>
    <m/>
    <m/>
    <m/>
    <m/>
    <m/>
    <m/>
    <m/>
  </r>
  <r>
    <x v="108"/>
    <x v="16"/>
    <s v="Em operação"/>
    <s v="ES 0110"/>
    <x v="2"/>
    <m/>
    <m/>
    <n v="2500"/>
    <n v="250.1547987616099"/>
    <n v="7.91"/>
    <n v="6.46"/>
    <n v="1.45"/>
    <n v="18.34"/>
    <s v="895"/>
    <n v="1616"/>
    <n v="1.81"/>
    <n v="11.27"/>
    <n v="143.37"/>
    <n v="6.15"/>
    <n v="4.24"/>
    <n v="137.22"/>
    <n v="21.25"/>
    <s v="2617"/>
    <s v="181906"/>
    <s v="350391"/>
    <n v="0.9"/>
    <s v="0"/>
    <n v="339.1"/>
  </r>
  <r>
    <x v="108"/>
    <x v="16"/>
    <s v="Em operação"/>
    <s v="ES 0126"/>
    <x v="2"/>
    <m/>
    <m/>
    <n v="2500"/>
    <n v="275.103734439834"/>
    <n v="9.0299999999999994"/>
    <n v="7.23"/>
    <n v="1.8"/>
    <n v="19.93"/>
    <s v="997"/>
    <n v="1989"/>
    <n v="1.99"/>
    <n v="12.51"/>
    <n v="158.99"/>
    <n v="6.62"/>
    <n v="3.68"/>
    <n v="152.36000000000001"/>
    <n v="21.07"/>
    <n v="1227.05"/>
    <s v="127707"/>
    <s v="281139"/>
    <s v="0"/>
    <s v="0"/>
    <s v="125"/>
  </r>
  <r>
    <x v="108"/>
    <x v="16"/>
    <s v="Em operação"/>
    <s v="ES 0099"/>
    <x v="2"/>
    <m/>
    <m/>
    <n v="2500"/>
    <n v="239.33054393305437"/>
    <n v="11.86"/>
    <n v="9.56"/>
    <n v="2.2999999999999998"/>
    <n v="19.399999999999999"/>
    <s v="903"/>
    <n v="2288"/>
    <n v="2.5299999999999998"/>
    <n v="7.84"/>
    <n v="291.95"/>
    <n v="12.78"/>
    <n v="5.55"/>
    <n v="279.17"/>
    <n v="29.21"/>
    <n v="8208.67"/>
    <s v="141721"/>
    <s v="421060"/>
    <n v="1.1000000000000001"/>
    <s v="0"/>
    <n v="258.89999999999998"/>
  </r>
  <r>
    <x v="108"/>
    <x v="16"/>
    <s v="Em operação"/>
    <s v="ES 0101"/>
    <x v="0"/>
    <m/>
    <s v="Na oficina"/>
    <m/>
    <n v="0"/>
    <n v="0.94"/>
    <n v="0.28999999999999998"/>
    <n v="0.65"/>
    <n v="69.459999999999994"/>
    <s v="0"/>
    <n v="0"/>
    <s v=""/>
    <s v="0"/>
    <n v="10.88"/>
    <n v="3.31"/>
    <n v="5.0999999999999996"/>
    <n v="7.57"/>
    <n v="26.49"/>
    <n v="6799.09"/>
    <s v="439405"/>
    <s v="1598434"/>
    <s v="0"/>
    <s v=""/>
    <n v="49.7"/>
  </r>
  <r>
    <x v="108"/>
    <x v="16"/>
    <s v="Em operação"/>
    <s v="ES 0116"/>
    <x v="2"/>
    <m/>
    <m/>
    <n v="2500"/>
    <n v="477.03549060542798"/>
    <n v="6.79"/>
    <n v="4.79"/>
    <s v="2"/>
    <n v="29.44"/>
    <s v="698"/>
    <n v="2285"/>
    <n v="3.27"/>
    <n v="11.15"/>
    <n v="204.89"/>
    <n v="8.99"/>
    <n v="4.5"/>
    <n v="195.89"/>
    <n v="40.869999999999997"/>
    <n v="2134.4"/>
    <s v="210004"/>
    <s v="706855"/>
    <s v="0"/>
    <s v="0"/>
    <n v="5.7"/>
  </r>
  <r>
    <x v="109"/>
    <x v="16"/>
    <s v="Em operação"/>
    <s v="ES 0096"/>
    <x v="2"/>
    <m/>
    <m/>
    <n v="2500"/>
    <n v="241.4364640883978"/>
    <n v="7.68"/>
    <n v="5.43"/>
    <n v="2.25"/>
    <n v="29.3"/>
    <s v="807"/>
    <n v="1311"/>
    <n v="1.62"/>
    <n v="12.42"/>
    <n v="105.52"/>
    <n v="8.99"/>
    <s v="4"/>
    <n v="96.53"/>
    <n v="17.78"/>
    <n v="9373.5300000000007"/>
    <s v="105878"/>
    <s v="160069"/>
    <s v="0"/>
    <s v="0"/>
    <n v="292.89999999999998"/>
  </r>
  <r>
    <x v="109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"/>
    <x v="16"/>
    <s v="Em operação"/>
    <s v="ES 0135"/>
    <x v="2"/>
    <m/>
    <m/>
    <n v="2500"/>
    <n v="111.86943620178042"/>
    <n v="7.54"/>
    <n v="6.74"/>
    <n v="0.8"/>
    <n v="10.6"/>
    <s v="970"/>
    <n v="754"/>
    <n v="1.55"/>
    <n v="10.32"/>
    <n v="145.74"/>
    <n v="2.84"/>
    <n v="3.55"/>
    <n v="142.9"/>
    <n v="21.19"/>
    <n v="797.62"/>
    <s v="78676"/>
    <s v="156535"/>
    <n v="1.4"/>
    <s v="0"/>
    <n v="78.2"/>
  </r>
  <r>
    <x v="109"/>
    <x v="16"/>
    <s v="Em operação"/>
    <s v="ES 0135"/>
    <x v="6"/>
    <m/>
    <m/>
    <m/>
    <m/>
    <m/>
    <m/>
    <m/>
    <m/>
    <m/>
    <n v="750"/>
    <m/>
    <m/>
    <m/>
    <m/>
    <m/>
    <m/>
    <m/>
    <m/>
    <m/>
    <m/>
    <m/>
    <m/>
    <m/>
  </r>
  <r>
    <x v="109"/>
    <x v="16"/>
    <s v="Em operação"/>
    <s v="ES 0110"/>
    <x v="2"/>
    <m/>
    <m/>
    <n v="2500"/>
    <n v="361.41078838174269"/>
    <n v="8.58"/>
    <n v="7.23"/>
    <n v="1.35"/>
    <n v="15.74"/>
    <s v="1299"/>
    <n v="2613"/>
    <n v="2.0099999999999998"/>
    <n v="16.989999999999998"/>
    <n v="153.78"/>
    <n v="4.26"/>
    <n v="3.15"/>
    <n v="149.52000000000001"/>
    <n v="20.68"/>
    <n v="2625.58"/>
    <s v="183205"/>
    <s v="353004"/>
    <n v="0.5"/>
    <s v="0"/>
    <n v="339.6"/>
  </r>
  <r>
    <x v="109"/>
    <x v="16"/>
    <s v="Em operação"/>
    <s v="ES 0126"/>
    <x v="2"/>
    <m/>
    <m/>
    <n v="2500"/>
    <n v="171.15942028985506"/>
    <n v="8.3000000000000007"/>
    <n v="6.9"/>
    <n v="1.4"/>
    <n v="16.87"/>
    <s v="565"/>
    <n v="1181"/>
    <n v="2.09"/>
    <n v="9.8699999999999992"/>
    <n v="119.71"/>
    <n v="5.2"/>
    <n v="3.72"/>
    <n v="114.51"/>
    <n v="16.600000000000001"/>
    <n v="1235.3499999999999"/>
    <s v="128272"/>
    <s v="282320"/>
    <n v="0.2"/>
    <s v="0"/>
    <n v="125.2"/>
  </r>
  <r>
    <x v="109"/>
    <x v="16"/>
    <s v="Em operação"/>
    <s v="ES 0099"/>
    <x v="2"/>
    <m/>
    <m/>
    <n v="2500"/>
    <n v="442.66994266994266"/>
    <n v="15.01"/>
    <n v="12.21"/>
    <n v="2.8"/>
    <n v="18.66"/>
    <s v="1515"/>
    <n v="5405"/>
    <n v="3.57"/>
    <n v="13.88"/>
    <n v="389.42"/>
    <n v="16.09"/>
    <n v="5.75"/>
    <n v="373.34"/>
    <n v="30.58"/>
    <n v="8223.67"/>
    <s v="143236"/>
    <s v="426465"/>
    <n v="0.1"/>
    <s v="0"/>
    <s v="259"/>
  </r>
  <r>
    <x v="109"/>
    <x v="16"/>
    <s v="Em operação"/>
    <s v="ES 0101"/>
    <x v="7"/>
    <m/>
    <m/>
    <m/>
    <n v="209.11602209944752"/>
    <n v="5.37"/>
    <n v="3.62"/>
    <n v="1.75"/>
    <n v="32.6"/>
    <s v="185"/>
    <n v="757"/>
    <n v="4.09"/>
    <n v="6.2"/>
    <n v="122.08"/>
    <n v="8.99"/>
    <n v="5.14"/>
    <n v="113.09"/>
    <n v="31.26"/>
    <n v="6804.46"/>
    <s v="439590"/>
    <s v="1599191"/>
    <s v="0"/>
    <s v="0"/>
    <n v="49.7"/>
  </r>
  <r>
    <x v="109"/>
    <x v="16"/>
    <s v="Em operação"/>
    <s v="ES 0116"/>
    <x v="2"/>
    <m/>
    <m/>
    <n v="2500"/>
    <n v="523.05389221556891"/>
    <n v="5.24"/>
    <n v="3.34"/>
    <n v="1.9"/>
    <n v="36.22"/>
    <s v="479"/>
    <n v="1747"/>
    <n v="3.65"/>
    <n v="12.11"/>
    <n v="144.32"/>
    <n v="8.99"/>
    <n v="4.7300000000000004"/>
    <n v="135.33000000000001"/>
    <n v="40.46"/>
    <n v="2139.64"/>
    <s v="210483"/>
    <s v="708602"/>
    <s v="0"/>
    <s v="0"/>
    <n v="5.7"/>
  </r>
  <r>
    <x v="110"/>
    <x v="16"/>
    <s v="Em operação"/>
    <s v="ES 0096"/>
    <x v="2"/>
    <m/>
    <m/>
    <n v="3000"/>
    <n v="326.59409020217731"/>
    <n v="8.0299999999999994"/>
    <n v="6.43"/>
    <n v="1.6"/>
    <n v="19.93"/>
    <s v="945"/>
    <n v="2100"/>
    <n v="1.72"/>
    <n v="13.5"/>
    <n v="120.19"/>
    <n v="6.62"/>
    <n v="4.1399999999999997"/>
    <n v="113.56"/>
    <n v="17.670000000000002"/>
    <n v="9381.56"/>
    <s v="106823"/>
    <s v="161692"/>
    <n v="0.1"/>
    <s v="0"/>
    <s v="293"/>
  </r>
  <r>
    <x v="110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"/>
    <x v="16"/>
    <s v="Em operação"/>
    <s v="ES 0135"/>
    <x v="6"/>
    <m/>
    <m/>
    <m/>
    <n v="139.19308357348703"/>
    <n v="8.39"/>
    <n v="6.94"/>
    <n v="1.45"/>
    <n v="17.28"/>
    <s v="612"/>
    <n v="966"/>
    <n v="1.58"/>
    <n v="8.5399999999999991"/>
    <n v="113.09"/>
    <n v="5.2"/>
    <n v="3.59"/>
    <n v="107.88"/>
    <n v="15.54"/>
    <n v="806.01"/>
    <s v="79288"/>
    <s v="157501"/>
    <n v="1.3"/>
    <s v="0"/>
    <n v="79.5"/>
  </r>
  <r>
    <x v="110"/>
    <x v="16"/>
    <s v="Em operação"/>
    <s v="ES 0110"/>
    <x v="2"/>
    <m/>
    <m/>
    <n v="3000"/>
    <n v="381.55136268343819"/>
    <n v="6.47"/>
    <n v="4.7699999999999996"/>
    <n v="1.7"/>
    <n v="26.29"/>
    <s v="826"/>
    <n v="1820"/>
    <n v="2.2000000000000002"/>
    <n v="17.97"/>
    <n v="101.26"/>
    <n v="6.15"/>
    <n v="3.62"/>
    <n v="95.11"/>
    <n v="19.95"/>
    <n v="2632.04"/>
    <s v="184031"/>
    <s v="354824"/>
    <s v="0"/>
    <s v="0"/>
    <n v="339.6"/>
  </r>
  <r>
    <x v="110"/>
    <x v="16"/>
    <s v="Em operação"/>
    <s v="ES 0126"/>
    <x v="2"/>
    <m/>
    <m/>
    <n v="3000"/>
    <n v="156.46153846153845"/>
    <n v="7.5"/>
    <n v="6.5"/>
    <s v="1"/>
    <n v="13.34"/>
    <s v="615"/>
    <n v="1017"/>
    <n v="1.65"/>
    <n v="7.12"/>
    <n v="142.9"/>
    <n v="3.79"/>
    <n v="3.79"/>
    <n v="139.11000000000001"/>
    <n v="21.41"/>
    <n v="1242.8499999999999"/>
    <s v="129060"/>
    <s v="283696"/>
    <n v="0.4"/>
    <s v="0"/>
    <n v="125.6"/>
  </r>
  <r>
    <x v="110"/>
    <x v="16"/>
    <s v="Em operação"/>
    <s v="ES 0099"/>
    <x v="2"/>
    <m/>
    <m/>
    <n v="3000"/>
    <n v="437.74551665243376"/>
    <n v="13.86"/>
    <n v="11.71"/>
    <n v="2.15"/>
    <n v="15.51"/>
    <s v="1328"/>
    <n v="5126"/>
    <n v="3.86"/>
    <n v="14.2"/>
    <n v="361.03"/>
    <n v="12.78"/>
    <n v="5.94"/>
    <n v="348.26"/>
    <n v="29.74"/>
    <n v="8237.5400000000009"/>
    <s v="144564"/>
    <s v="431591"/>
    <n v="0.1"/>
    <s v="0"/>
    <n v="259.10000000000002"/>
  </r>
  <r>
    <x v="110"/>
    <x v="16"/>
    <s v="Em operação"/>
    <s v="ES 0101"/>
    <x v="7"/>
    <m/>
    <m/>
    <m/>
    <n v="127.30263157894737"/>
    <n v="5.34"/>
    <n v="3.04"/>
    <n v="2.2999999999999998"/>
    <n v="43.11"/>
    <s v="123"/>
    <n v="387"/>
    <n v="3.15"/>
    <n v="3.82"/>
    <n v="101.26"/>
    <n v="13.25"/>
    <n v="5.76"/>
    <n v="88.01"/>
    <s v="29"/>
    <n v="6809.79"/>
    <s v="439713"/>
    <s v="1599578"/>
    <n v="0.1"/>
    <s v="0"/>
    <n v="49.8"/>
  </r>
  <r>
    <x v="110"/>
    <x v="16"/>
    <s v="Em operação"/>
    <s v="ES 0116"/>
    <x v="2"/>
    <m/>
    <m/>
    <n v="3000"/>
    <n v="477.53086419753089"/>
    <n v="5.65"/>
    <n v="4.05"/>
    <n v="1.6"/>
    <n v="28.33"/>
    <s v="615"/>
    <n v="1934"/>
    <n v="3.14"/>
    <n v="11.2"/>
    <n v="172.71"/>
    <n v="7.1"/>
    <n v="4.4400000000000004"/>
    <n v="165.61"/>
    <n v="40.92"/>
    <n v="2145.29"/>
    <s v="211098"/>
    <s v="710536"/>
    <s v="0"/>
    <s v="0"/>
    <n v="5.7"/>
  </r>
  <r>
    <x v="111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m/>
    <m/>
    <m/>
    <m/>
    <m/>
    <m/>
  </r>
  <r>
    <x v="111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m/>
    <m/>
    <m/>
    <m/>
    <m/>
    <m/>
  </r>
  <r>
    <x v="111"/>
    <x v="1"/>
    <s v="Não operacional"/>
    <s v="ES 0135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"/>
    <x v="1"/>
    <s v="Não operacional"/>
    <s v="ES 0110"/>
    <x v="2"/>
    <m/>
    <m/>
    <m/>
    <n v="0"/>
    <s v="0"/>
    <s v="0"/>
    <s v="0"/>
    <s v=""/>
    <s v=""/>
    <s v=""/>
    <s v=""/>
    <s v=""/>
    <s v="0"/>
    <s v="0"/>
    <s v=""/>
    <s v="0"/>
    <s v=""/>
    <m/>
    <s v=""/>
    <s v=""/>
    <s v="0"/>
    <s v=""/>
    <m/>
  </r>
  <r>
    <x v="111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m/>
    <m/>
    <m/>
    <m/>
    <m/>
    <m/>
  </r>
  <r>
    <x v="111"/>
    <x v="1"/>
    <s v="Não operacional"/>
    <s v="ES 0101"/>
    <x v="7"/>
    <m/>
    <m/>
    <m/>
    <n v="0"/>
    <s v="0"/>
    <s v="0"/>
    <s v="0"/>
    <s v=""/>
    <s v="0"/>
    <n v="0"/>
    <s v=""/>
    <s v=""/>
    <s v="0"/>
    <s v="0"/>
    <s v=""/>
    <s v="0"/>
    <s v=""/>
    <m/>
    <m/>
    <m/>
    <m/>
    <m/>
    <m/>
  </r>
  <r>
    <x v="111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"/>
    <x v="17"/>
    <s v="Em operação"/>
    <s v="ES 0096"/>
    <x v="2"/>
    <m/>
    <m/>
    <n v="2142.8571428571427"/>
    <n v="175.52083333333334"/>
    <n v="4.17"/>
    <n v="1.92"/>
    <n v="2.25"/>
    <s v="54"/>
    <s v="217"/>
    <n v="337"/>
    <n v="1.55"/>
    <n v="7.58"/>
    <n v="44.48"/>
    <n v="8.52"/>
    <n v="3.79"/>
    <n v="35.96"/>
    <n v="18.77"/>
    <n v="9385.73"/>
    <s v="107040"/>
    <s v="162029"/>
    <n v="0.1"/>
    <s v="0"/>
    <n v="293.10000000000002"/>
  </r>
  <r>
    <x v="112"/>
    <x v="1"/>
    <s v="Não operacional"/>
    <s v="ES 0097"/>
    <x v="7"/>
    <m/>
    <s v="Na oficina"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"/>
    <x v="17"/>
    <s v="Em operação"/>
    <s v="ES 0135"/>
    <x v="2"/>
    <m/>
    <m/>
    <n v="2142.8571428571427"/>
    <n v="109.44881889763781"/>
    <n v="8.4"/>
    <n v="6.35"/>
    <n v="2.0499999999999998"/>
    <n v="24.41"/>
    <s v="559"/>
    <n v="695"/>
    <n v="1.65"/>
    <n v="7.23"/>
    <n v="127.28"/>
    <n v="7.1"/>
    <n v="3.46"/>
    <n v="120.19"/>
    <n v="18.93"/>
    <n v="814.41"/>
    <s v="79900"/>
    <s v="158471"/>
    <s v="1"/>
    <s v="0"/>
    <n v="80.5"/>
  </r>
  <r>
    <x v="112"/>
    <x v="17"/>
    <s v="Em operação"/>
    <s v="ES 0135"/>
    <x v="6"/>
    <m/>
    <m/>
    <m/>
    <n v="0"/>
    <m/>
    <m/>
    <m/>
    <m/>
    <m/>
    <n v="225"/>
    <m/>
    <m/>
    <m/>
    <m/>
    <m/>
    <m/>
    <m/>
    <m/>
    <m/>
    <m/>
    <m/>
    <m/>
    <m/>
  </r>
  <r>
    <x v="112"/>
    <x v="17"/>
    <s v="Em operação"/>
    <s v="ES 0110"/>
    <x v="2"/>
    <m/>
    <m/>
    <n v="2142.8571428571427"/>
    <n v="210.57401812688821"/>
    <n v="8.07"/>
    <n v="6.62"/>
    <n v="1.45"/>
    <n v="17.97"/>
    <s v="752"/>
    <n v="1394"/>
    <n v="1.85"/>
    <n v="10.09"/>
    <n v="138.16999999999999"/>
    <n v="6.15"/>
    <n v="4.24"/>
    <n v="132.02000000000001"/>
    <n v="19.95"/>
    <n v="2640.11"/>
    <s v="184783"/>
    <s v="356218"/>
    <n v="1.4"/>
    <s v="0"/>
    <s v="341"/>
  </r>
  <r>
    <x v="112"/>
    <x v="17"/>
    <s v="Em operação"/>
    <s v="ES 0126"/>
    <x v="2"/>
    <m/>
    <m/>
    <n v="2142.8571428571427"/>
    <n v="297.70992366412213"/>
    <n v="13.33"/>
    <n v="10.48"/>
    <n v="2.85"/>
    <n v="21.39"/>
    <s v="1408"/>
    <n v="3120"/>
    <n v="2.2200000000000002"/>
    <n v="13.54"/>
    <n v="230.44"/>
    <n v="10.41"/>
    <n v="3.65"/>
    <n v="220.03"/>
    <s v="21"/>
    <n v="1256.17"/>
    <s v="130468"/>
    <s v="286816"/>
    <s v="0"/>
    <s v="0"/>
    <n v="125.6"/>
  </r>
  <r>
    <x v="112"/>
    <x v="17"/>
    <s v="Em operação"/>
    <s v="ES 0099"/>
    <x v="2"/>
    <m/>
    <m/>
    <n v="2142.8571428571427"/>
    <n v="420.24336283185846"/>
    <n v="11.59"/>
    <n v="9.0399999999999991"/>
    <n v="2.5499999999999998"/>
    <s v="22"/>
    <s v="1070"/>
    <n v="3799"/>
    <n v="3.55"/>
    <n v="12.85"/>
    <n v="295.74"/>
    <n v="15.61"/>
    <n v="6.12"/>
    <n v="280.12"/>
    <n v="30.99"/>
    <n v="8249.1299999999992"/>
    <s v="145634"/>
    <s v="435390"/>
    <n v="0.1"/>
    <s v="0"/>
    <n v="259.2"/>
  </r>
  <r>
    <x v="112"/>
    <x v="17"/>
    <s v="Em operação"/>
    <s v="ES 0101"/>
    <x v="2"/>
    <m/>
    <m/>
    <n v="2142.8571428571427"/>
    <n v="499.24012158054711"/>
    <n v="7.23"/>
    <n v="6.58"/>
    <n v="0.65"/>
    <n v="8.99"/>
    <s v="741"/>
    <n v="3285"/>
    <n v="4.43"/>
    <n v="13.12"/>
    <n v="250.31"/>
    <n v="4.26"/>
    <n v="6.55"/>
    <n v="246.05"/>
    <n v="37.4"/>
    <n v="6817.02"/>
    <s v="440454"/>
    <s v="1602863"/>
    <s v="0"/>
    <s v="0"/>
    <n v="49.8"/>
  </r>
  <r>
    <x v="112"/>
    <x v="17"/>
    <s v="Em operação"/>
    <s v="ES 0116"/>
    <x v="2"/>
    <m/>
    <m/>
    <n v="2142.8571428571427"/>
    <n v="550.64599483204131"/>
    <n v="5.77"/>
    <n v="3.87"/>
    <n v="1.9"/>
    <n v="32.92"/>
    <s v="580"/>
    <n v="2131"/>
    <n v="3.76"/>
    <n v="12.95"/>
    <n v="168.45"/>
    <n v="8.52"/>
    <n v="4.4800000000000004"/>
    <n v="159.93"/>
    <n v="41.31"/>
    <n v="2151.06"/>
    <s v="211680"/>
    <s v="712726"/>
    <s v="0"/>
    <s v="0"/>
    <n v="5.7"/>
  </r>
  <r>
    <x v="112"/>
    <x v="17"/>
    <s v="Em operação"/>
    <s v="ES 0116"/>
    <x v="6"/>
    <m/>
    <m/>
    <m/>
    <n v="0"/>
    <m/>
    <m/>
    <m/>
    <m/>
    <m/>
    <n v="50"/>
    <m/>
    <m/>
    <m/>
    <m/>
    <m/>
    <m/>
    <m/>
    <m/>
    <m/>
    <m/>
    <m/>
    <m/>
    <m/>
  </r>
  <r>
    <x v="113"/>
    <x v="1"/>
    <s v="Não operacional"/>
    <s v="ES 0096"/>
    <x v="2"/>
    <m/>
    <s v="Na oficina"/>
    <m/>
    <n v="0"/>
    <n v="0.08"/>
    <n v="0.03"/>
    <n v="0.05"/>
    <n v="64.27"/>
    <s v="0"/>
    <n v="0"/>
    <s v=""/>
    <s v="0"/>
    <n v="0.47"/>
    <n v="0.47"/>
    <n v="9.4600000000000009"/>
    <s v="0"/>
    <s v="0"/>
    <n v="9385.7999999999993"/>
    <s v="107040"/>
    <s v="162029"/>
    <s v="0"/>
    <s v=""/>
    <n v="293.10000000000002"/>
  </r>
  <r>
    <x v="113"/>
    <x v="1"/>
    <s v="Não operacional"/>
    <s v="ES 0097"/>
    <x v="7"/>
    <m/>
    <s v="Na oficina"/>
    <m/>
    <n v="0"/>
    <n v="1.08"/>
    <n v="0.57999999999999996"/>
    <n v="0.5"/>
    <n v="46.3"/>
    <s v=""/>
    <s v=""/>
    <s v=""/>
    <s v=""/>
    <n v="12.3"/>
    <n v="1.89"/>
    <n v="3.79"/>
    <n v="10.41"/>
    <n v="17.95"/>
    <n v="8942.2000000000007"/>
    <s v=""/>
    <s v=""/>
    <s v="0"/>
    <s v=""/>
    <n v="266.3"/>
  </r>
  <r>
    <x v="113"/>
    <x v="17"/>
    <s v="Em operação"/>
    <s v="ES 0135"/>
    <x v="2"/>
    <m/>
    <m/>
    <n v="3000"/>
    <n v="241.92592592592592"/>
    <n v="7.85"/>
    <n v="6.75"/>
    <n v="1.1000000000000001"/>
    <n v="14.02"/>
    <s v="925"/>
    <n v="1633"/>
    <n v="1.77"/>
    <n v="13.48"/>
    <n v="121.13"/>
    <n v="3.79"/>
    <n v="3.44"/>
    <n v="117.35"/>
    <n v="17.39"/>
    <n v="822.26"/>
    <s v="80825"/>
    <s v="160104"/>
    <n v="1.6"/>
    <s v="0"/>
    <n v="82.3"/>
  </r>
  <r>
    <x v="113"/>
    <x v="17"/>
    <s v="Em operação"/>
    <s v="ES 0110"/>
    <x v="2"/>
    <m/>
    <m/>
    <n v="3000"/>
    <n v="303.19888734353265"/>
    <n v="8.44"/>
    <n v="7.19"/>
    <n v="1.25"/>
    <n v="14.81"/>
    <s v="1018"/>
    <n v="2180"/>
    <n v="2.44"/>
    <n v="16.329999999999998"/>
    <n v="151.88999999999999"/>
    <n v="4.7300000000000004"/>
    <n v="3.79"/>
    <n v="147.16"/>
    <n v="20.46"/>
    <n v="2648.55"/>
    <s v="185801"/>
    <s v="358698"/>
    <n v="0.3"/>
    <s v="0"/>
    <n v="341.3"/>
  </r>
  <r>
    <x v="113"/>
    <x v="17"/>
    <s v="Em operação"/>
    <s v="ES 0110"/>
    <x v="6"/>
    <m/>
    <m/>
    <m/>
    <m/>
    <m/>
    <m/>
    <m/>
    <m/>
    <m/>
    <n v="300"/>
    <m/>
    <m/>
    <m/>
    <m/>
    <m/>
    <m/>
    <m/>
    <m/>
    <m/>
    <m/>
    <m/>
    <m/>
    <m/>
  </r>
  <r>
    <x v="113"/>
    <x v="17"/>
    <s v="Em operação"/>
    <s v="ES 0126"/>
    <x v="2"/>
    <m/>
    <m/>
    <n v="3000"/>
    <n v="158.07926829268294"/>
    <n v="8.9600000000000009"/>
    <n v="6.56"/>
    <n v="2.4"/>
    <n v="26.78"/>
    <s v="428"/>
    <n v="1037"/>
    <n v="2.42"/>
    <n v="9.65"/>
    <n v="107.41"/>
    <n v="8.99"/>
    <n v="3.75"/>
    <n v="98.42"/>
    <s v="15"/>
    <n v="1265.1400000000001"/>
    <s v="130896"/>
    <s v="287853"/>
    <n v="0.8"/>
    <s v="0"/>
    <n v="126.4"/>
  </r>
  <r>
    <x v="113"/>
    <x v="17"/>
    <s v="Em operação"/>
    <s v="ES 0099"/>
    <x v="2"/>
    <m/>
    <m/>
    <n v="3000"/>
    <n v="415.74212893553226"/>
    <n v="16.739999999999998"/>
    <n v="13.34"/>
    <n v="3.4"/>
    <n v="20.309999999999999"/>
    <s v="1452"/>
    <n v="5546"/>
    <n v="3.82"/>
    <n v="13.29"/>
    <n v="417.34"/>
    <n v="19.399999999999999"/>
    <n v="5.71"/>
    <n v="397.94"/>
    <n v="29.83"/>
    <n v="8265.86"/>
    <s v="147086"/>
    <s v="440936"/>
    <n v="0.1"/>
    <s v="0"/>
    <n v="259.3"/>
  </r>
  <r>
    <x v="113"/>
    <x v="17"/>
    <s v="Em operação"/>
    <s v="ES 0101"/>
    <x v="0"/>
    <n v="1899"/>
    <m/>
    <n v="4000"/>
    <n v="396.38554216867465"/>
    <n v="9.1999999999999993"/>
    <n v="8.3000000000000007"/>
    <n v="0.9"/>
    <n v="9.7799999999999994"/>
    <s v="873"/>
    <n v="3290"/>
    <n v="3.77"/>
    <n v="10.199999999999999"/>
    <n v="322.70999999999998"/>
    <n v="5.2"/>
    <n v="5.78"/>
    <n v="317.5"/>
    <n v="38.25"/>
    <n v="6826.22"/>
    <s v="441327"/>
    <s v="1606153"/>
    <s v="0"/>
    <s v="0"/>
    <n v="49.8"/>
  </r>
  <r>
    <x v="113"/>
    <x v="17"/>
    <s v="Em operação"/>
    <s v="ES 0116"/>
    <x v="2"/>
    <m/>
    <m/>
    <n v="3000"/>
    <n v="553.14285714285711"/>
    <n v="4.3499999999999996"/>
    <n v="3.5"/>
    <n v="0.85"/>
    <n v="19.559999999999999"/>
    <s v="523"/>
    <n v="1936"/>
    <n v="3.7"/>
    <n v="13.87"/>
    <n v="139.59"/>
    <n v="5.2"/>
    <n v="6.12"/>
    <n v="134.38"/>
    <n v="38.43"/>
    <n v="2155.41"/>
    <s v="212203"/>
    <s v="714662"/>
    <s v="0"/>
    <s v="0"/>
    <n v="5.7"/>
  </r>
  <r>
    <x v="114"/>
    <x v="17"/>
    <s v="Em operação"/>
    <s v="ES 0096"/>
    <x v="2"/>
    <m/>
    <m/>
    <n v="2500"/>
    <n v="119.78723404255318"/>
    <n v="5.5"/>
    <n v="4.7"/>
    <n v="0.8"/>
    <n v="14.54"/>
    <s v="453"/>
    <n v="563"/>
    <n v="1.24"/>
    <n v="6.13"/>
    <n v="91.8"/>
    <n v="3.31"/>
    <n v="4.1399999999999997"/>
    <n v="88.48"/>
    <n v="18.82"/>
    <n v="9391.31"/>
    <s v="107493"/>
    <s v="162592"/>
    <s v="0"/>
    <s v="0"/>
    <n v="293.10000000000002"/>
  </r>
  <r>
    <x v="114"/>
    <x v="17"/>
    <s v="Em operação"/>
    <s v="ES 0097"/>
    <x v="6"/>
    <m/>
    <m/>
    <m/>
    <n v="135.13513513513513"/>
    <n v="7.97"/>
    <n v="5.92"/>
    <n v="2.0499999999999998"/>
    <n v="25.74"/>
    <s v=""/>
    <n v="800"/>
    <s v=""/>
    <s v=""/>
    <n v="130.6"/>
    <n v="8.52"/>
    <n v="4.1500000000000004"/>
    <n v="122.08"/>
    <n v="20.64"/>
    <n v="8950.25"/>
    <s v=""/>
    <s v=""/>
    <n v="0.2"/>
    <s v=""/>
    <n v="266.5"/>
  </r>
  <r>
    <x v="114"/>
    <x v="17"/>
    <s v="Em operação"/>
    <s v="ES 0135"/>
    <x v="2"/>
    <m/>
    <m/>
    <n v="2500"/>
    <n v="319.50146627565982"/>
    <n v="9.02"/>
    <n v="6.82"/>
    <n v="2.2000000000000002"/>
    <n v="24.38"/>
    <s v="1194"/>
    <n v="2179"/>
    <n v="1.82"/>
    <n v="14.3"/>
    <n v="152.36000000000001"/>
    <n v="7.1"/>
    <n v="3.23"/>
    <n v="145.27000000000001"/>
    <n v="21.29"/>
    <n v="831.28"/>
    <s v="82293"/>
    <s v="162738"/>
    <n v="0.4"/>
    <s v="0"/>
    <n v="82.7"/>
  </r>
  <r>
    <x v="114"/>
    <x v="17"/>
    <s v="Em operação"/>
    <s v="ES 0110"/>
    <x v="2"/>
    <m/>
    <m/>
    <n v="2500"/>
    <n v="337.7204884667571"/>
    <n v="8.32"/>
    <n v="7.37"/>
    <n v="0.95"/>
    <n v="11.42"/>
    <s v="1224"/>
    <n v="2489"/>
    <n v="2.3199999999999998"/>
    <n v="17.86"/>
    <n v="158.99"/>
    <n v="3.79"/>
    <n v="3.98"/>
    <n v="155.19999999999999"/>
    <n v="21.06"/>
    <n v="2656.87"/>
    <s v="187025"/>
    <s v="361537"/>
    <n v="0.1"/>
    <s v="0"/>
    <n v="341.4"/>
  </r>
  <r>
    <x v="114"/>
    <x v="17"/>
    <s v="Em operação"/>
    <s v="ES 0110"/>
    <x v="6"/>
    <m/>
    <m/>
    <m/>
    <n v="0"/>
    <m/>
    <m/>
    <m/>
    <m/>
    <m/>
    <n v="350"/>
    <m/>
    <m/>
    <m/>
    <m/>
    <m/>
    <m/>
    <m/>
    <m/>
    <m/>
    <m/>
    <m/>
    <m/>
    <m/>
  </r>
  <r>
    <x v="114"/>
    <x v="17"/>
    <s v="Em operação"/>
    <s v="ES 0126"/>
    <x v="2"/>
    <m/>
    <m/>
    <n v="2500"/>
    <n v="96.989528795811523"/>
    <n v="9.64"/>
    <n v="7.64"/>
    <s v="2"/>
    <n v="20.74"/>
    <s v="357"/>
    <n v="741"/>
    <n v="2.08"/>
    <n v="5.67"/>
    <n v="130.6"/>
    <n v="7.57"/>
    <n v="3.79"/>
    <n v="123.03"/>
    <n v="16.100000000000001"/>
    <n v="1274.78"/>
    <s v="131293"/>
    <s v="288652"/>
    <s v="0"/>
    <s v="0"/>
    <n v="126.5"/>
  </r>
  <r>
    <x v="114"/>
    <x v="17"/>
    <s v="Em operação"/>
    <s v="ES 0099"/>
    <x v="2"/>
    <m/>
    <m/>
    <n v="2500"/>
    <n v="385.15283842794759"/>
    <n v="16.739999999999998"/>
    <n v="13.74"/>
    <s v="3"/>
    <n v="17.920000000000002"/>
    <s v="1468"/>
    <n v="5292"/>
    <n v="3.6"/>
    <n v="12.06"/>
    <n v="438.63"/>
    <n v="18.45"/>
    <n v="6.15"/>
    <n v="420.18"/>
    <n v="30.57"/>
    <n v="8282.61"/>
    <s v="148554"/>
    <s v="446228"/>
    <n v="0.1"/>
    <s v="0"/>
    <n v="259.39999999999998"/>
  </r>
  <r>
    <x v="114"/>
    <x v="17"/>
    <s v="Em operação"/>
    <s v="ES 0101"/>
    <x v="0"/>
    <n v="4058"/>
    <m/>
    <n v="4000"/>
    <n v="524.15130940834138"/>
    <n v="11.06"/>
    <n v="10.31"/>
    <n v="0.75"/>
    <n v="6.78"/>
    <s v="1253"/>
    <n v="5404"/>
    <n v="4.3099999999999996"/>
    <n v="13.08"/>
    <n v="413.08"/>
    <n v="4.26"/>
    <n v="5.68"/>
    <n v="408.82"/>
    <n v="39.659999999999997"/>
    <n v="6837.28"/>
    <s v="442580"/>
    <s v="1611557"/>
    <n v="0.1"/>
    <s v="0"/>
    <n v="49.9"/>
  </r>
  <r>
    <x v="114"/>
    <x v="17"/>
    <s v="Em operação"/>
    <s v="ES 0116"/>
    <x v="2"/>
    <m/>
    <m/>
    <n v="2500"/>
    <n v="416.54501216545009"/>
    <n v="4.8099999999999996"/>
    <n v="4.1100000000000003"/>
    <n v="0.7"/>
    <n v="14.55"/>
    <s v="561"/>
    <n v="1712"/>
    <n v="3.05"/>
    <n v="10.19"/>
    <n v="167.98"/>
    <n v="3.31"/>
    <n v="4.7300000000000004"/>
    <n v="164.67"/>
    <n v="40.04"/>
    <n v="2160.2199999999998"/>
    <s v="212764"/>
    <s v="716374"/>
    <s v="0"/>
    <s v="0"/>
    <n v="5.7"/>
  </r>
  <r>
    <x v="115"/>
    <x v="17"/>
    <s v="Em operação"/>
    <s v="ES 0096"/>
    <x v="2"/>
    <m/>
    <m/>
    <n v="2500"/>
    <n v="312.8621089223638"/>
    <n v="9.83"/>
    <n v="8.6300000000000008"/>
    <n v="1.2"/>
    <n v="12.21"/>
    <s v="1069"/>
    <n v="2700"/>
    <n v="1.33"/>
    <n v="8.4700000000000006"/>
    <n v="167.5"/>
    <n v="5.2"/>
    <n v="4.34"/>
    <n v="162.30000000000001"/>
    <n v="18.809999999999999"/>
    <n v="9401.14"/>
    <s v="108562"/>
    <s v="164010"/>
    <n v="0.3"/>
    <s v="0"/>
    <n v="293.39999999999998"/>
  </r>
  <r>
    <x v="115"/>
    <x v="17"/>
    <s v="Em operação"/>
    <s v="ES 0097"/>
    <x v="6"/>
    <m/>
    <m/>
    <m/>
    <n v="137.14733542319749"/>
    <n v="8.6300000000000008"/>
    <n v="6.38"/>
    <n v="2.25"/>
    <n v="26.08"/>
    <s v=""/>
    <n v="875"/>
    <s v=""/>
    <s v=""/>
    <n v="136.75"/>
    <n v="9.4600000000000009"/>
    <n v="4.21"/>
    <n v="127.28"/>
    <n v="19.96"/>
    <n v="8958.89"/>
    <s v=""/>
    <s v=""/>
    <n v="0.2"/>
    <s v=""/>
    <n v="266.7"/>
  </r>
  <r>
    <x v="115"/>
    <x v="17"/>
    <s v="Em operação"/>
    <s v="ES 0135"/>
    <x v="2"/>
    <m/>
    <m/>
    <n v="2500"/>
    <n v="272.93103448275861"/>
    <n v="8.4"/>
    <n v="5.8"/>
    <n v="2.6"/>
    <n v="30.95"/>
    <s v="732"/>
    <n v="1583"/>
    <n v="2.16"/>
    <n v="16.079999999999998"/>
    <n v="98.42"/>
    <n v="8.52"/>
    <n v="3.28"/>
    <n v="89.9"/>
    <n v="15.5"/>
    <n v="839.68"/>
    <s v="83025"/>
    <s v="164321"/>
    <n v="0.3"/>
    <s v="0"/>
    <s v="83"/>
  </r>
  <r>
    <x v="115"/>
    <x v="17"/>
    <s v="Em operação"/>
    <s v="ES 0110"/>
    <x v="2"/>
    <m/>
    <m/>
    <n v="2500"/>
    <n v="370.64896755162238"/>
    <n v="7.78"/>
    <n v="6.78"/>
    <s v="1"/>
    <n v="12.86"/>
    <s v="1184"/>
    <n v="2513"/>
    <n v="2.12"/>
    <n v="16.91"/>
    <n v="148.58000000000001"/>
    <n v="3.79"/>
    <n v="3.79"/>
    <n v="144.79"/>
    <n v="21.36"/>
    <n v="2664.65"/>
    <s v="188209"/>
    <s v="364050"/>
    <n v="0.4"/>
    <s v="0"/>
    <n v="341.8"/>
  </r>
  <r>
    <x v="115"/>
    <x v="17"/>
    <s v="Em operação"/>
    <s v="ES 0126"/>
    <x v="2"/>
    <m/>
    <m/>
    <n v="2500"/>
    <n v="179.22636103151862"/>
    <n v="8.23"/>
    <n v="6.98"/>
    <n v="1.25"/>
    <n v="15.19"/>
    <s v="548"/>
    <n v="1251"/>
    <n v="2.2799999999999998"/>
    <n v="11.16"/>
    <n v="112.14"/>
    <n v="4.7300000000000004"/>
    <n v="3.79"/>
    <n v="107.41"/>
    <n v="15.39"/>
    <n v="1283.01"/>
    <s v="131894"/>
    <s v="289953"/>
    <s v="0"/>
    <s v="0"/>
    <n v="126.6"/>
  </r>
  <r>
    <x v="115"/>
    <x v="17"/>
    <s v="Em operação"/>
    <s v="ES 0099"/>
    <x v="2"/>
    <m/>
    <m/>
    <n v="2500"/>
    <n v="338.35125448028674"/>
    <n v="17.100000000000001"/>
    <n v="13.95"/>
    <n v="3.15"/>
    <n v="18.420000000000002"/>
    <s v="1519"/>
    <n v="4720"/>
    <n v="3.11"/>
    <n v="10.58"/>
    <n v="446.21"/>
    <n v="18.45"/>
    <n v="5.86"/>
    <n v="427.75"/>
    <n v="30.66"/>
    <n v="8299.7099999999991"/>
    <s v="150073"/>
    <s v="450948"/>
    <n v="0.1"/>
    <s v="0"/>
    <n v="259.5"/>
  </r>
  <r>
    <x v="115"/>
    <x v="17"/>
    <s v="Em operação"/>
    <s v="ES 0101"/>
    <x v="0"/>
    <n v="3342"/>
    <m/>
    <n v="4000"/>
    <n v="446.51162790697674"/>
    <n v="9.65"/>
    <n v="8.6"/>
    <n v="1.05"/>
    <n v="10.88"/>
    <s v="907"/>
    <n v="3840"/>
    <n v="4.2300000000000004"/>
    <n v="11.56"/>
    <n v="332.17"/>
    <n v="6.62"/>
    <n v="6.31"/>
    <n v="325.55"/>
    <n v="37.86"/>
    <n v="6846.93"/>
    <s v="443487"/>
    <s v="1615397"/>
    <s v="0"/>
    <s v="0"/>
    <n v="49.9"/>
  </r>
  <r>
    <x v="115"/>
    <x v="17"/>
    <s v="Em operação"/>
    <s v="ES 0116"/>
    <x v="2"/>
    <m/>
    <m/>
    <n v="2500"/>
    <n v="363.08139534883719"/>
    <n v="5.89"/>
    <n v="3.44"/>
    <n v="2.4500000000000002"/>
    <n v="41.56"/>
    <s v="373"/>
    <n v="1249"/>
    <n v="3.35"/>
    <n v="8.9499999999999993"/>
    <n v="139.59"/>
    <n v="9.94"/>
    <n v="4.0599999999999996"/>
    <n v="129.65"/>
    <n v="37.64"/>
    <n v="2166.11"/>
    <s v="213137"/>
    <s v="717623"/>
    <n v="0.1"/>
    <s v="0"/>
    <n v="5.8"/>
  </r>
  <r>
    <x v="116"/>
    <x v="17"/>
    <s v="Em operação"/>
    <s v="ES 0096"/>
    <x v="2"/>
    <m/>
    <m/>
    <n v="2500"/>
    <n v="386.3346104725415"/>
    <n v="8.98"/>
    <n v="7.83"/>
    <n v="1.1499999999999999"/>
    <n v="12.8"/>
    <s v="1245"/>
    <n v="3025"/>
    <n v="1.46"/>
    <n v="12.01"/>
    <n v="150.94"/>
    <n v="4.26"/>
    <n v="3.7"/>
    <n v="146.68"/>
    <n v="18.73"/>
    <n v="9410.1200000000008"/>
    <s v="109807"/>
    <s v="165823"/>
    <n v="0.2"/>
    <s v="0"/>
    <n v="293.60000000000002"/>
  </r>
  <r>
    <x v="116"/>
    <x v="17"/>
    <s v="Em operação"/>
    <s v="ES 0097"/>
    <x v="6"/>
    <m/>
    <m/>
    <m/>
    <n v="121.29380053908356"/>
    <n v="7.51"/>
    <n v="3.71"/>
    <n v="3.8"/>
    <n v="50.57"/>
    <s v=""/>
    <n v="450"/>
    <s v=""/>
    <s v=""/>
    <n v="90.85"/>
    <n v="16.559999999999999"/>
    <n v="4.3600000000000003"/>
    <n v="74.290000000000006"/>
    <s v="20"/>
    <n v="8966.43"/>
    <s v=""/>
    <s v=""/>
    <n v="0.1"/>
    <s v=""/>
    <n v="266.8"/>
  </r>
  <r>
    <x v="116"/>
    <x v="17"/>
    <s v="Em operação"/>
    <s v="ES 0135"/>
    <x v="2"/>
    <m/>
    <m/>
    <n v="2500"/>
    <n v="218.53146853146853"/>
    <n v="8.02"/>
    <n v="5.72"/>
    <n v="2.2999999999999998"/>
    <n v="28.67"/>
    <s v="694"/>
    <n v="1250"/>
    <n v="1.8"/>
    <n v="9.93"/>
    <n v="125.86"/>
    <n v="7.57"/>
    <n v="3.29"/>
    <n v="118.29"/>
    <n v="20.68"/>
    <n v="847.7"/>
    <s v="83920"/>
    <s v="166048"/>
    <n v="0.5"/>
    <s v="0"/>
    <n v="83.5"/>
  </r>
  <r>
    <x v="116"/>
    <x v="17"/>
    <s v="Em operação"/>
    <s v="ES 0110"/>
    <x v="2"/>
    <m/>
    <m/>
    <n v="2500"/>
    <n v="143.11512415349887"/>
    <n v="5.03"/>
    <n v="4.43"/>
    <n v="0.6"/>
    <n v="11.92"/>
    <s v="340"/>
    <n v="634"/>
    <n v="1.86"/>
    <n v="7.7"/>
    <n v="82.33"/>
    <n v="2.84"/>
    <n v="4.7300000000000004"/>
    <n v="79.489999999999995"/>
    <n v="17.93"/>
    <n v="2669.69"/>
    <s v="188549"/>
    <s v="364684"/>
    <n v="0.3"/>
    <s v="0"/>
    <n v="342.1"/>
  </r>
  <r>
    <x v="116"/>
    <x v="17"/>
    <s v="Em operação"/>
    <s v="ES 0126"/>
    <x v="2"/>
    <m/>
    <m/>
    <n v="2500"/>
    <n v="298.71086556169433"/>
    <n v="13.26"/>
    <n v="10.86"/>
    <n v="2.4"/>
    <n v="18.100000000000001"/>
    <s v="1521"/>
    <n v="3244"/>
    <n v="2.13"/>
    <n v="13.85"/>
    <n v="234.22"/>
    <n v="9.4600000000000009"/>
    <n v="3.94"/>
    <n v="224.76"/>
    <n v="20.7"/>
    <n v="1296.27"/>
    <s v="133575"/>
    <s v="293581"/>
    <s v="0"/>
    <s v="0"/>
    <n v="126.6"/>
  </r>
  <r>
    <x v="116"/>
    <x v="17"/>
    <s v="Em operação"/>
    <s v="ES 0099"/>
    <x v="2"/>
    <m/>
    <m/>
    <n v="2500"/>
    <n v="263.98046398046398"/>
    <n v="10.24"/>
    <n v="8.19"/>
    <n v="2.0499999999999998"/>
    <n v="20.03"/>
    <s v="631"/>
    <n v="2162"/>
    <n v="3.43"/>
    <n v="8.43"/>
    <n v="256.45999999999998"/>
    <n v="12.78"/>
    <n v="6.23"/>
    <n v="243.69"/>
    <n v="29.77"/>
    <n v="8309.94"/>
    <s v="150704"/>
    <s v="453110"/>
    <n v="0.2"/>
    <s v="0"/>
    <n v="259.7"/>
  </r>
  <r>
    <x v="116"/>
    <x v="17"/>
    <s v="Em operação"/>
    <s v="ES 0101"/>
    <x v="0"/>
    <n v="3879"/>
    <m/>
    <n v="4000"/>
    <n v="590.3769841269841"/>
    <n v="11.23"/>
    <n v="10.08"/>
    <n v="1.1499999999999999"/>
    <n v="10.24"/>
    <s v="1299"/>
    <n v="5951"/>
    <n v="4.58"/>
    <n v="15.32"/>
    <n v="388.48"/>
    <n v="7.1"/>
    <n v="6.17"/>
    <n v="381.38"/>
    <n v="37.83"/>
    <n v="6858.16"/>
    <s v="444786"/>
    <s v="1621348"/>
    <s v="0"/>
    <s v="0"/>
    <n v="49.9"/>
  </r>
  <r>
    <x v="116"/>
    <x v="17"/>
    <s v="Em operação"/>
    <s v="ES 0116"/>
    <x v="2"/>
    <m/>
    <m/>
    <n v="2500"/>
    <n v="445.26315789473688"/>
    <n v="4.8"/>
    <n v="3.8"/>
    <s v="1"/>
    <n v="20.83"/>
    <s v="535"/>
    <n v="1692"/>
    <n v="3.16"/>
    <n v="11.35"/>
    <n v="149.05000000000001"/>
    <n v="5.2"/>
    <n v="5.2"/>
    <n v="143.85"/>
    <n v="37.85"/>
    <n v="2170.91"/>
    <s v="213677"/>
    <s v="719340"/>
    <s v="0"/>
    <s v="0"/>
    <n v="5.8"/>
  </r>
  <r>
    <x v="117"/>
    <x v="17"/>
    <s v="Em operação"/>
    <s v="ES 0096"/>
    <x v="2"/>
    <m/>
    <m/>
    <n v="2500"/>
    <n v="274.12008281573497"/>
    <n v="6.38"/>
    <n v="4.83"/>
    <n v="1.55"/>
    <n v="24.3"/>
    <s v="774"/>
    <n v="1324"/>
    <n v="1.71"/>
    <n v="13.39"/>
    <n v="98.89"/>
    <n v="6.62"/>
    <n v="4.2699999999999996"/>
    <n v="92.27"/>
    <n v="19.11"/>
    <n v="9416.5"/>
    <s v="110581"/>
    <s v="167147"/>
    <s v="0"/>
    <s v="0"/>
    <n v="293.60000000000002"/>
  </r>
  <r>
    <x v="117"/>
    <x v="17"/>
    <s v="Em operação"/>
    <s v="ES 0097"/>
    <x v="7"/>
    <m/>
    <m/>
    <m/>
    <n v="0"/>
    <n v="3.87"/>
    <n v="1.82"/>
    <n v="2.0499999999999998"/>
    <n v="52.98"/>
    <s v=""/>
    <s v=""/>
    <s v=""/>
    <s v=""/>
    <n v="45.9"/>
    <n v="8.0399999999999991"/>
    <n v="3.92"/>
    <n v="37.85"/>
    <n v="20.8"/>
    <n v="8970.3700000000008"/>
    <s v=""/>
    <s v=""/>
    <n v="0.9"/>
    <s v=""/>
    <n v="267.7"/>
  </r>
  <r>
    <x v="117"/>
    <x v="17"/>
    <s v="Em operação"/>
    <s v="ES 0135"/>
    <x v="2"/>
    <m/>
    <m/>
    <n v="2500"/>
    <n v="278.78228782287823"/>
    <n v="6.87"/>
    <n v="5.42"/>
    <n v="1.45"/>
    <n v="21.12"/>
    <s v="713"/>
    <n v="1511"/>
    <n v="2.12"/>
    <n v="12.19"/>
    <n v="123.97"/>
    <n v="4.7300000000000004"/>
    <n v="3.26"/>
    <n v="119.24"/>
    <n v="22.02"/>
    <n v="854.57"/>
    <s v="84633"/>
    <s v="167559"/>
    <n v="1.4"/>
    <s v="0"/>
    <n v="84.9"/>
  </r>
  <r>
    <x v="117"/>
    <x v="17"/>
    <s v="Em operação"/>
    <s v="ES 0110"/>
    <x v="2"/>
    <m/>
    <m/>
    <n v="2500"/>
    <n v="478.11158798283259"/>
    <n v="5.56"/>
    <n v="4.66"/>
    <n v="0.9"/>
    <n v="16.2"/>
    <s v="1004"/>
    <n v="2228"/>
    <n v="2.2200000000000002"/>
    <n v="21.02"/>
    <n v="105.99"/>
    <n v="3.31"/>
    <n v="3.68"/>
    <n v="102.68"/>
    <n v="22.06"/>
    <n v="2675.24"/>
    <s v="189553"/>
    <s v="366912"/>
    <s v="0"/>
    <s v="0"/>
    <n v="342.1"/>
  </r>
  <r>
    <x v="117"/>
    <x v="17"/>
    <s v="Em operação"/>
    <s v="ES 0126"/>
    <x v="2"/>
    <m/>
    <m/>
    <n v="2500"/>
    <n v="281.46655922643032"/>
    <n v="13.96"/>
    <n v="12.41"/>
    <n v="1.55"/>
    <n v="11.1"/>
    <s v="1540"/>
    <n v="3493"/>
    <n v="2.27"/>
    <n v="16.55"/>
    <n v="211.04"/>
    <n v="6.15"/>
    <n v="3.97"/>
    <n v="204.89"/>
    <n v="16.510000000000002"/>
    <n v="1310.23"/>
    <s v="135115"/>
    <s v="297074"/>
    <s v="0"/>
    <s v="0"/>
    <n v="126.6"/>
  </r>
  <r>
    <x v="117"/>
    <x v="17"/>
    <s v="Em operação"/>
    <s v="ES 0099"/>
    <x v="2"/>
    <m/>
    <m/>
    <n v="2500"/>
    <n v="250.83798882681563"/>
    <n v="6.23"/>
    <n v="3.58"/>
    <n v="2.65"/>
    <n v="42.55"/>
    <s v="251"/>
    <n v="898"/>
    <n v="3.58"/>
    <n v="7.62"/>
    <n v="117.82"/>
    <n v="14.67"/>
    <n v="5.54"/>
    <n v="103.15"/>
    <n v="28.83"/>
    <n v="8316.17"/>
    <s v="150955"/>
    <s v="454008"/>
    <s v="0"/>
    <s v="0"/>
    <n v="259.7"/>
  </r>
  <r>
    <x v="117"/>
    <x v="17"/>
    <s v="Em operação"/>
    <s v="ES 0101"/>
    <x v="0"/>
    <n v="3190"/>
    <m/>
    <n v="4000"/>
    <n v="570.57182705718276"/>
    <n v="8.02"/>
    <n v="7.17"/>
    <n v="0.85"/>
    <n v="10.6"/>
    <s v="829"/>
    <n v="4091"/>
    <n v="4.93"/>
    <n v="14.86"/>
    <n v="275.39"/>
    <n v="5.2"/>
    <n v="6.12"/>
    <n v="270.18"/>
    <n v="37.68"/>
    <n v="6866.18"/>
    <s v="445615"/>
    <s v="1625439"/>
    <s v="0"/>
    <s v="0"/>
    <n v="49.9"/>
  </r>
  <r>
    <x v="117"/>
    <x v="17"/>
    <s v="Em operação"/>
    <s v="ES 0116"/>
    <x v="2"/>
    <m/>
    <m/>
    <n v="2500"/>
    <n v="186.84210526315789"/>
    <n v="6.85"/>
    <n v="5.7"/>
    <n v="1.1499999999999999"/>
    <n v="16.79"/>
    <s v="386"/>
    <n v="1065"/>
    <n v="2.76"/>
    <n v="5.13"/>
    <n v="207.72"/>
    <n v="5.68"/>
    <n v="4.9400000000000004"/>
    <n v="202.05"/>
    <n v="35.46"/>
    <n v="2177.7600000000002"/>
    <s v="214064"/>
    <s v="720405"/>
    <n v="0.1"/>
    <s v="0"/>
    <n v="5.9"/>
  </r>
  <r>
    <x v="118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416.5"/>
    <s v="110581"/>
    <s v="167147"/>
    <s v="0"/>
    <s v=""/>
    <n v="293.60000000000002"/>
  </r>
  <r>
    <x v="118"/>
    <x v="1"/>
    <s v="Não operacional"/>
    <s v="ES 0097"/>
    <x v="2"/>
    <m/>
    <m/>
    <m/>
    <n v="0"/>
    <s v="0"/>
    <s v="0"/>
    <s v="0"/>
    <s v=""/>
    <s v=""/>
    <s v=""/>
    <s v=""/>
    <s v=""/>
    <s v="0"/>
    <s v="0"/>
    <s v=""/>
    <s v="0"/>
    <s v=""/>
    <n v="8970.3700000000008"/>
    <s v=""/>
    <s v=""/>
    <s v="0"/>
    <s v=""/>
    <n v="267.7"/>
  </r>
  <r>
    <x v="118"/>
    <x v="1"/>
    <s v="Não operacional"/>
    <s v="ES 0135"/>
    <x v="2"/>
    <m/>
    <m/>
    <m/>
    <n v="0"/>
    <s v="0"/>
    <s v="0"/>
    <s v="0"/>
    <s v=""/>
    <s v="0"/>
    <n v="0"/>
    <s v=""/>
    <s v=""/>
    <s v="0"/>
    <s v="0"/>
    <s v=""/>
    <s v="0"/>
    <s v=""/>
    <n v="854.57"/>
    <s v="84633"/>
    <s v="167559"/>
    <s v="0"/>
    <s v=""/>
    <n v="84.9"/>
  </r>
  <r>
    <x v="118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n v="2675.24"/>
    <s v="189553"/>
    <s v="366912"/>
    <s v="0"/>
    <s v=""/>
    <n v="342.1"/>
  </r>
  <r>
    <x v="118"/>
    <x v="1"/>
    <s v="Não operacional"/>
    <s v="ES 012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316.17"/>
    <s v="150955"/>
    <s v="454008"/>
    <s v="0"/>
    <s v=""/>
    <n v="259.7"/>
  </r>
  <r>
    <x v="118"/>
    <x v="17"/>
    <s v="Em operação"/>
    <s v="ES 0101"/>
    <x v="0"/>
    <n v="1693"/>
    <m/>
    <n v="4000"/>
    <n v="595.97315436241615"/>
    <n v="3.28"/>
    <n v="2.98"/>
    <n v="0.3"/>
    <n v="9.16"/>
    <s v="402"/>
    <n v="1776"/>
    <n v="4.42"/>
    <n v="15.97"/>
    <n v="111.2"/>
    <n v="2.37"/>
    <n v="7.89"/>
    <n v="108.83"/>
    <n v="36.56"/>
    <n v="6869.46"/>
    <s v="446017"/>
    <s v="1627215"/>
    <s v="0"/>
    <s v="0"/>
    <n v="49.9"/>
  </r>
  <r>
    <x v="118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"/>
    <x v="18"/>
    <s v="Em operação"/>
    <s v="ES 0096"/>
    <x v="2"/>
    <m/>
    <m/>
    <n v="2500"/>
    <n v="217.39130434782609"/>
    <n v="5.93"/>
    <n v="4.83"/>
    <n v="1.1000000000000001"/>
    <n v="18.54"/>
    <s v="570"/>
    <n v="1050"/>
    <n v="1.73"/>
    <n v="9.83"/>
    <n v="100.31"/>
    <n v="3.79"/>
    <n v="3.44"/>
    <n v="96.53"/>
    <n v="19.97"/>
    <n v="9422.43"/>
    <s v="111151"/>
    <s v="168133"/>
    <s v="0"/>
    <s v="0"/>
    <n v="293.60000000000002"/>
  </r>
  <r>
    <x v="119"/>
    <x v="18"/>
    <s v="Em operação"/>
    <s v="ES 0097"/>
    <x v="7"/>
    <m/>
    <m/>
    <m/>
    <n v="0"/>
    <n v="6.18"/>
    <n v="3.23"/>
    <n v="2.95"/>
    <n v="47.74"/>
    <s v=""/>
    <s v=""/>
    <s v=""/>
    <s v=""/>
    <n v="79.489999999999995"/>
    <n v="11.83"/>
    <n v="4.01"/>
    <n v="67.66"/>
    <n v="20.95"/>
    <n v="8976.5499999999993"/>
    <s v=""/>
    <s v=""/>
    <n v="0.5"/>
    <s v=""/>
    <n v="268.2"/>
  </r>
  <r>
    <x v="119"/>
    <x v="18"/>
    <s v="Em operação"/>
    <s v="ES 0135"/>
    <x v="2"/>
    <m/>
    <m/>
    <n v="2500"/>
    <n v="84.688346883468839"/>
    <n v="8.33"/>
    <n v="7.38"/>
    <n v="0.95"/>
    <n v="11.41"/>
    <s v="341"/>
    <n v="625"/>
    <n v="1.83"/>
    <n v="5.0199999999999996"/>
    <n v="124.45"/>
    <n v="3.79"/>
    <n v="3.98"/>
    <n v="120.66"/>
    <n v="16.350000000000001"/>
    <n v="862.9"/>
    <s v="84974"/>
    <s v="168184"/>
    <n v="1.1000000000000001"/>
    <s v="0"/>
    <s v="86"/>
  </r>
  <r>
    <x v="119"/>
    <x v="18"/>
    <s v="Em operação"/>
    <s v="ES 0110"/>
    <x v="2"/>
    <m/>
    <m/>
    <n v="2500"/>
    <n v="429.92831541218635"/>
    <n v="6.78"/>
    <n v="5.58"/>
    <n v="1.2"/>
    <n v="17.690000000000001"/>
    <s v="1175"/>
    <n v="2399"/>
    <n v="2.04"/>
    <n v="18.850000000000001"/>
    <n v="127.28"/>
    <n v="3.79"/>
    <n v="3.15"/>
    <n v="123.5"/>
    <n v="22.11"/>
    <n v="2682.03"/>
    <s v="190728"/>
    <s v="369311"/>
    <s v="0"/>
    <s v="0"/>
    <n v="342.1"/>
  </r>
  <r>
    <x v="119"/>
    <x v="18"/>
    <s v="Em operação"/>
    <s v="ES 0126"/>
    <x v="2"/>
    <m/>
    <m/>
    <n v="2500"/>
    <n v="348.07302231237327"/>
    <n v="11.41"/>
    <n v="9.86"/>
    <n v="1.55"/>
    <n v="13.59"/>
    <s v="1568"/>
    <n v="3432"/>
    <n v="2.19"/>
    <n v="16.12"/>
    <n v="212.93"/>
    <n v="6.15"/>
    <n v="3.97"/>
    <n v="206.78"/>
    <n v="20.98"/>
    <n v="1321.63"/>
    <s v="137161"/>
    <s v="301522"/>
    <s v="0"/>
    <s v="0"/>
    <n v="126.6"/>
  </r>
  <r>
    <x v="119"/>
    <x v="18"/>
    <s v="Em operação"/>
    <s v="ES 0099"/>
    <x v="2"/>
    <m/>
    <m/>
    <n v="2500"/>
    <n v="263.42281879194633"/>
    <n v="7.46"/>
    <n v="5.96"/>
    <n v="1.5"/>
    <n v="20.11"/>
    <s v="467"/>
    <n v="1570"/>
    <n v="3.36"/>
    <n v="8.92"/>
    <n v="176.02"/>
    <n v="10.41"/>
    <n v="6.94"/>
    <n v="165.61"/>
    <n v="27.79"/>
    <n v="8323.6299999999992"/>
    <s v="151422"/>
    <s v="455578"/>
    <s v="0"/>
    <s v="0"/>
    <n v="259.7"/>
  </r>
  <r>
    <x v="119"/>
    <x v="18"/>
    <s v="Em operação"/>
    <s v="ES 0101"/>
    <x v="0"/>
    <n v="2905"/>
    <m/>
    <n v="3428.5714285714284"/>
    <n v="558.97129186602876"/>
    <n v="9.01"/>
    <n v="8.36"/>
    <n v="0.65"/>
    <n v="7.21"/>
    <s v="1004"/>
    <n v="4673"/>
    <n v="4.6500000000000004"/>
    <n v="13.7"/>
    <n v="341.16"/>
    <n v="3.79"/>
    <n v="5.82"/>
    <n v="337.37"/>
    <n v="40.36"/>
    <n v="6878.47"/>
    <s v="447021"/>
    <s v="1631888"/>
    <n v="0.1"/>
    <s v="0"/>
    <s v="50"/>
  </r>
  <r>
    <x v="119"/>
    <x v="18"/>
    <s v="Em operação"/>
    <s v="ES 0116"/>
    <x v="2"/>
    <m/>
    <m/>
    <n v="2500"/>
    <n v="189.82035928143713"/>
    <n v="3.69"/>
    <n v="3.34"/>
    <n v="0.35"/>
    <n v="9.48"/>
    <s v="245"/>
    <s v="634"/>
    <n v="2.59"/>
    <n v="6.35"/>
    <n v="99.84"/>
    <n v="1.89"/>
    <n v="5.41"/>
    <n v="97.95"/>
    <n v="29.32"/>
    <n v="2181.4499999999998"/>
    <s v="214309"/>
    <s v="721039"/>
    <s v="0"/>
    <s v="0"/>
    <n v="5.9"/>
  </r>
  <r>
    <x v="120"/>
    <x v="18"/>
    <s v="Em operação"/>
    <s v="ES 0096"/>
    <x v="2"/>
    <m/>
    <m/>
    <n v="2500"/>
    <n v="47.692307692307693"/>
    <n v="6.3"/>
    <n v="4.55"/>
    <n v="1.75"/>
    <n v="27.76"/>
    <n v="187"/>
    <n v="217"/>
    <n v="1.1599999999999999"/>
    <n v="2.34"/>
    <n v="92.74"/>
    <n v="7.1"/>
    <n v="4.0599999999999996"/>
    <n v="85.64"/>
    <n v="18.8"/>
    <n v="9428.74"/>
    <n v="111338"/>
    <n v="168350"/>
    <n v="0.1"/>
    <n v="0"/>
    <n v="293.7"/>
  </r>
  <r>
    <x v="120"/>
    <x v="18"/>
    <s v="Em operação"/>
    <s v="ES 0097"/>
    <x v="6"/>
    <m/>
    <m/>
    <m/>
    <n v="155.70934256055364"/>
    <n v="7.83"/>
    <n v="5.78"/>
    <n v="2.0499999999999998"/>
    <n v="26.18"/>
    <s v=""/>
    <n v="900"/>
    <s v=""/>
    <s v=""/>
    <n v="128.69999999999999"/>
    <n v="8.99"/>
    <n v="4.3899999999999997"/>
    <n v="119.71"/>
    <n v="20.71"/>
    <n v="8984.4"/>
    <s v=""/>
    <s v=""/>
    <n v="0.1"/>
    <s v=""/>
    <n v="268.3"/>
  </r>
  <r>
    <x v="120"/>
    <x v="18"/>
    <s v="Em operação"/>
    <s v="ES 0135"/>
    <x v="2"/>
    <m/>
    <m/>
    <n v="2500"/>
    <n v="256.35103926096997"/>
    <n v="6.08"/>
    <n v="4.33"/>
    <n v="1.75"/>
    <n v="28.8"/>
    <s v="676"/>
    <n v="1110"/>
    <n v="1.64"/>
    <n v="11.85"/>
    <n v="93.69"/>
    <n v="5.68"/>
    <n v="3.24"/>
    <n v="88.01"/>
    <n v="20.34"/>
    <n v="868.97"/>
    <s v="85815"/>
    <s v="169571"/>
    <n v="0.5"/>
    <s v="0"/>
    <n v="86.9"/>
  </r>
  <r>
    <x v="120"/>
    <x v="18"/>
    <s v="Em operação"/>
    <s v="ES 0110"/>
    <x v="2"/>
    <m/>
    <m/>
    <n v="2500"/>
    <n v="406.05226960110042"/>
    <n v="8.4700000000000006"/>
    <n v="7.27"/>
    <n v="1.2"/>
    <n v="14.16"/>
    <s v="1503"/>
    <n v="2952"/>
    <n v="1.96"/>
    <n v="17.48"/>
    <n v="168.92"/>
    <n v="5.2"/>
    <n v="4.34"/>
    <n v="163.72"/>
    <n v="22.51"/>
    <n v="2690.5"/>
    <s v="192231"/>
    <s v="372263"/>
    <n v="0.9"/>
    <s v="0"/>
    <s v="343"/>
  </r>
  <r>
    <x v="120"/>
    <x v="18"/>
    <s v="Em operação"/>
    <s v="ES 0126"/>
    <x v="2"/>
    <m/>
    <m/>
    <n v="2500"/>
    <n v="153.33333333333334"/>
    <n v="14.55"/>
    <n v="12.9"/>
    <n v="1.65"/>
    <n v="11.34"/>
    <s v="1180"/>
    <n v="1978"/>
    <n v="1.68"/>
    <n v="8.8000000000000007"/>
    <n v="224.76"/>
    <n v="5.2"/>
    <n v="3.15"/>
    <n v="219.55"/>
    <n v="17.02"/>
    <n v="1336.18"/>
    <s v="138341"/>
    <s v="303500"/>
    <n v="0.1"/>
    <s v="0"/>
    <n v="126.7"/>
  </r>
  <r>
    <x v="120"/>
    <x v="18"/>
    <s v="Em operação"/>
    <s v="ES 0099"/>
    <x v="2"/>
    <m/>
    <m/>
    <n v="2500"/>
    <n v="412.86127167630059"/>
    <n v="8.3699999999999992"/>
    <n v="6.92"/>
    <n v="1.45"/>
    <n v="17.329999999999998"/>
    <s v="754"/>
    <n v="2857"/>
    <n v="3.79"/>
    <n v="13.15"/>
    <n v="217.19"/>
    <n v="8.99"/>
    <n v="6.2"/>
    <n v="208.2"/>
    <n v="30.1"/>
    <s v="8332"/>
    <s v="152176"/>
    <s v="458435"/>
    <n v="0.1"/>
    <s v="0"/>
    <n v="259.8"/>
  </r>
  <r>
    <x v="120"/>
    <x v="18"/>
    <s v="Em operação"/>
    <s v="ES 0101"/>
    <x v="0"/>
    <n v="2789"/>
    <m/>
    <n v="3428.5714285714284"/>
    <n v="524.62908011869433"/>
    <n v="7.89"/>
    <n v="6.74"/>
    <n v="1.1499999999999999"/>
    <n v="14.58"/>
    <s v="784"/>
    <n v="3536"/>
    <n v="4.51"/>
    <n v="14.29"/>
    <n v="247.47"/>
    <n v="7.1"/>
    <n v="6.17"/>
    <n v="240.37"/>
    <n v="35.67"/>
    <n v="6886.36"/>
    <s v="447805"/>
    <s v="1635424"/>
    <n v="0.1"/>
    <s v="0"/>
    <n v="50.1"/>
  </r>
  <r>
    <x v="120"/>
    <x v="18"/>
    <s v="Em operação"/>
    <s v="ES 0116"/>
    <x v="2"/>
    <m/>
    <m/>
    <n v="2500"/>
    <n v="314.06896551724139"/>
    <n v="7.95"/>
    <n v="7.25"/>
    <n v="0.7"/>
    <n v="8.81"/>
    <s v="850"/>
    <n v="2277"/>
    <n v="2.68"/>
    <n v="7.65"/>
    <n v="297.63"/>
    <n v="2.84"/>
    <n v="4.0599999999999996"/>
    <n v="294.79000000000002"/>
    <n v="40.67"/>
    <n v="2189.4"/>
    <s v="215249"/>
    <s v="723534"/>
    <n v="0.1"/>
    <s v="0"/>
    <s v="6"/>
  </r>
  <r>
    <x v="121"/>
    <x v="18"/>
    <s v="Em operação"/>
    <s v="ES 0096"/>
    <x v="2"/>
    <m/>
    <m/>
    <n v="2500"/>
    <n v="131.01952277657267"/>
    <n v="5.91"/>
    <n v="4.6100000000000003"/>
    <n v="1.3"/>
    <s v="22"/>
    <s v="394"/>
    <n v="604"/>
    <n v="1.53"/>
    <n v="6.35"/>
    <n v="95.11"/>
    <n v="4.7300000000000004"/>
    <n v="3.64"/>
    <n v="90.38"/>
    <n v="19.61"/>
    <n v="9434.65"/>
    <s v="111732"/>
    <s v="168954"/>
    <s v="1"/>
    <s v="0"/>
    <n v="294.7"/>
  </r>
  <r>
    <x v="121"/>
    <x v="18"/>
    <s v="Em operação"/>
    <s v="ES 0097"/>
    <x v="6"/>
    <m/>
    <m/>
    <m/>
    <n v="166.0682226211849"/>
    <n v="7.47"/>
    <n v="5.57"/>
    <n v="1.9"/>
    <n v="25.42"/>
    <s v=""/>
    <n v="925"/>
    <s v=""/>
    <s v=""/>
    <n v="123.5"/>
    <n v="8.0399999999999991"/>
    <n v="4.2300000000000004"/>
    <n v="115.46"/>
    <n v="20.72"/>
    <n v="8991.8700000000008"/>
    <s v=""/>
    <s v=""/>
    <n v="0.5"/>
    <s v=""/>
    <n v="268.8"/>
  </r>
  <r>
    <x v="121"/>
    <x v="18"/>
    <s v="Em operação"/>
    <s v="ES 0135"/>
    <x v="2"/>
    <m/>
    <m/>
    <n v="2500"/>
    <n v="207.38636363636363"/>
    <n v="6.93"/>
    <n v="5.28"/>
    <n v="1.65"/>
    <n v="23.8"/>
    <s v="838"/>
    <n v="1095"/>
    <n v="1.31"/>
    <n v="9.89"/>
    <n v="110.72"/>
    <n v="5.68"/>
    <n v="3.44"/>
    <n v="105.05"/>
    <n v="19.88"/>
    <n v="875.91"/>
    <s v="86653"/>
    <s v="170666"/>
    <n v="1.8"/>
    <s v="0"/>
    <n v="88.7"/>
  </r>
  <r>
    <x v="121"/>
    <x v="18"/>
    <s v="Em operação"/>
    <s v="ES 0110"/>
    <x v="2"/>
    <m/>
    <m/>
    <n v="2500"/>
    <n v="445.32871972318338"/>
    <n v="6.73"/>
    <n v="5.78"/>
    <n v="0.95"/>
    <n v="14.11"/>
    <s v="1171"/>
    <n v="2574"/>
    <n v="2.2000000000000002"/>
    <n v="19.57"/>
    <n v="131.54"/>
    <n v="2.84"/>
    <n v="2.99"/>
    <n v="128.69999999999999"/>
    <n v="22.26"/>
    <n v="2697.23"/>
    <s v="193402"/>
    <s v="374837"/>
    <n v="1.1000000000000001"/>
    <s v="0"/>
    <n v="344.1"/>
  </r>
  <r>
    <x v="121"/>
    <x v="18"/>
    <s v="Em operação"/>
    <s v="ES 0126"/>
    <x v="2"/>
    <m/>
    <m/>
    <n v="2500"/>
    <n v="161.43410852713177"/>
    <n v="11.77"/>
    <n v="10.32"/>
    <n v="1.45"/>
    <n v="12.32"/>
    <s v="1119"/>
    <n v="1666"/>
    <n v="1.49"/>
    <n v="7.32"/>
    <n v="227.6"/>
    <n v="4.7300000000000004"/>
    <n v="3.26"/>
    <n v="222.87"/>
    <n v="21.59"/>
    <n v="1347.95"/>
    <s v="139731"/>
    <s v="305647"/>
    <s v="0"/>
    <s v="0"/>
    <n v="126.7"/>
  </r>
  <r>
    <x v="121"/>
    <x v="18"/>
    <s v="Em operação"/>
    <s v="ES 0099"/>
    <x v="2"/>
    <m/>
    <m/>
    <n v="2500"/>
    <n v="275.87354409317805"/>
    <n v="6.61"/>
    <n v="6.01"/>
    <n v="0.6"/>
    <n v="9.08"/>
    <s v="514"/>
    <n v="1658"/>
    <n v="3.23"/>
    <n v="8.7200000000000006"/>
    <n v="190.22"/>
    <n v="3.79"/>
    <n v="6.31"/>
    <n v="186.43"/>
    <n v="31.03"/>
    <n v="8338.61"/>
    <s v="152690"/>
    <s v="460093"/>
    <n v="0.1"/>
    <s v="0"/>
    <n v="259.89999999999998"/>
  </r>
  <r>
    <x v="121"/>
    <x v="18"/>
    <s v="Em operação"/>
    <s v="ES 0101"/>
    <x v="0"/>
    <n v="2348"/>
    <m/>
    <n v="3428.5714285714284"/>
    <n v="537.60479041916165"/>
    <n v="9.25"/>
    <n v="8.35"/>
    <n v="0.9"/>
    <n v="9.73"/>
    <s v="1044"/>
    <n v="4489"/>
    <n v="4.3"/>
    <n v="13.34"/>
    <n v="336.43"/>
    <n v="5.2"/>
    <n v="5.78"/>
    <n v="331.22"/>
    <n v="39.659999999999997"/>
    <n v="6895.61"/>
    <s v="448849"/>
    <s v="1639913"/>
    <s v="0"/>
    <s v="0"/>
    <n v="50.1"/>
  </r>
  <r>
    <x v="121"/>
    <x v="18"/>
    <s v="Em operação"/>
    <s v="ES 0116"/>
    <x v="2"/>
    <m/>
    <m/>
    <n v="2500"/>
    <n v="406.86015831134563"/>
    <n v="4.29"/>
    <n v="3.79"/>
    <n v="0.5"/>
    <n v="11.66"/>
    <s v="684"/>
    <n v="1542"/>
    <n v="2.25"/>
    <n v="9.64"/>
    <n v="159.93"/>
    <n v="2.37"/>
    <n v="4.7300000000000004"/>
    <n v="157.57"/>
    <n v="41.61"/>
    <n v="2193.69"/>
    <s v="215933"/>
    <s v="725076"/>
    <s v="0"/>
    <s v="0"/>
    <s v="6"/>
  </r>
  <r>
    <x v="122"/>
    <x v="18"/>
    <s v="Em operação"/>
    <s v="ES 0096"/>
    <x v="2"/>
    <m/>
    <m/>
    <n v="2500"/>
    <n v="267.49116607773851"/>
    <n v="8.81"/>
    <n v="5.66"/>
    <n v="3.15"/>
    <n v="35.770000000000003"/>
    <s v="815"/>
    <n v="1514"/>
    <n v="1.86"/>
    <n v="12.8"/>
    <n v="118.29"/>
    <n v="12.3"/>
    <n v="3.91"/>
    <n v="105.99"/>
    <n v="18.739999999999998"/>
    <n v="9443.4500000000007"/>
    <s v="112547"/>
    <s v="170468"/>
    <n v="0.1"/>
    <s v="0"/>
    <n v="294.8"/>
  </r>
  <r>
    <x v="122"/>
    <x v="18"/>
    <s v="Em operação"/>
    <s v="ES 0097"/>
    <x v="6"/>
    <m/>
    <m/>
    <m/>
    <n v="75.406032482598619"/>
    <n v="7.21"/>
    <n v="4.3099999999999996"/>
    <n v="2.9"/>
    <n v="40.22"/>
    <s v=""/>
    <n v="325"/>
    <s v=""/>
    <s v=""/>
    <n v="90.38"/>
    <n v="13.25"/>
    <n v="4.57"/>
    <n v="77.13"/>
    <n v="17.899999999999999"/>
    <n v="8999.08"/>
    <s v=""/>
    <s v=""/>
    <n v="0.2"/>
    <s v=""/>
    <s v="269"/>
  </r>
  <r>
    <x v="122"/>
    <x v="18"/>
    <s v="Em operação"/>
    <s v="ES 0135"/>
    <x v="2"/>
    <m/>
    <m/>
    <n v="2500"/>
    <n v="290"/>
    <n v="13.5"/>
    <n v="12.2"/>
    <n v="1.3"/>
    <n v="9.6300000000000008"/>
    <s v="1920"/>
    <n v="3538"/>
    <n v="1.84"/>
    <n v="13.67"/>
    <n v="258.83"/>
    <n v="4.26"/>
    <n v="3.28"/>
    <n v="254.57"/>
    <n v="20.86"/>
    <n v="889.41"/>
    <s v="88573"/>
    <s v="174204"/>
    <n v="1.5"/>
    <s v="0"/>
    <n v="90.2"/>
  </r>
  <r>
    <x v="122"/>
    <x v="18"/>
    <s v="Em operação"/>
    <s v="ES 0110"/>
    <x v="2"/>
    <m/>
    <m/>
    <n v="2500"/>
    <n v="473.00435413642964"/>
    <n v="7.94"/>
    <n v="6.89"/>
    <n v="1.05"/>
    <n v="13.22"/>
    <s v="1475"/>
    <n v="3259"/>
    <n v="2.21"/>
    <n v="21.26"/>
    <n v="153.31"/>
    <n v="4.7300000000000004"/>
    <n v="4.51"/>
    <n v="148.58000000000001"/>
    <n v="21.56"/>
    <n v="2705.17"/>
    <s v="194877"/>
    <s v="378096"/>
    <s v="1"/>
    <s v="0"/>
    <n v="345.1"/>
  </r>
  <r>
    <x v="122"/>
    <x v="18"/>
    <s v="Em operação"/>
    <s v="ES 0126"/>
    <x v="2"/>
    <m/>
    <m/>
    <n v="2500"/>
    <n v="231.78217821782178"/>
    <n v="10.95"/>
    <n v="10.1"/>
    <n v="0.85"/>
    <n v="7.76"/>
    <s v="1256"/>
    <n v="2341"/>
    <n v="1.86"/>
    <n v="10.85"/>
    <n v="215.77"/>
    <n v="3.31"/>
    <n v="3.9"/>
    <n v="212.46"/>
    <n v="21.03"/>
    <n v="1358.91"/>
    <s v="140987"/>
    <s v="307988"/>
    <n v="2.7"/>
    <s v="0"/>
    <n v="129.4"/>
  </r>
  <r>
    <x v="122"/>
    <x v="18"/>
    <s v="Em operação"/>
    <s v="ES 0099"/>
    <x v="2"/>
    <m/>
    <m/>
    <n v="2500"/>
    <n v="59.770114942528735"/>
    <n v="3.11"/>
    <n v="2.61"/>
    <n v="0.5"/>
    <n v="16.079999999999998"/>
    <s v="65"/>
    <n v="156"/>
    <n v="2.4"/>
    <n v="1.87"/>
    <n v="83.28"/>
    <n v="2.37"/>
    <n v="4.7300000000000004"/>
    <n v="80.91"/>
    <s v="31"/>
    <n v="8341.7199999999993"/>
    <s v="152755"/>
    <s v="460249"/>
    <n v="0.1"/>
    <s v="0"/>
    <s v="260"/>
  </r>
  <r>
    <x v="122"/>
    <x v="18"/>
    <s v="Em operação"/>
    <s v="ES 0101"/>
    <x v="0"/>
    <n v="5165"/>
    <m/>
    <n v="3428.5714285714284"/>
    <n v="606.9838056680162"/>
    <n v="10.78"/>
    <n v="9.8800000000000008"/>
    <n v="0.9"/>
    <n v="8.35"/>
    <s v="1283"/>
    <n v="5997"/>
    <n v="4.67"/>
    <n v="15.2"/>
    <n v="394.63"/>
    <n v="5.2"/>
    <n v="5.78"/>
    <n v="389.42"/>
    <n v="39.409999999999997"/>
    <n v="6906.39"/>
    <s v="450132"/>
    <s v="1645910"/>
    <n v="0.1"/>
    <s v="0"/>
    <n v="50.2"/>
  </r>
  <r>
    <x v="122"/>
    <x v="18"/>
    <s v="Em operação"/>
    <s v="ES 0116"/>
    <x v="2"/>
    <m/>
    <m/>
    <n v="2500"/>
    <n v="338.77551020408163"/>
    <n v="0.84"/>
    <n v="0.49"/>
    <n v="0.35"/>
    <n v="41.72"/>
    <s v="62"/>
    <n v="166"/>
    <n v="2.68"/>
    <n v="6.75"/>
    <n v="24.61"/>
    <n v="1.89"/>
    <n v="5.41"/>
    <n v="22.71"/>
    <n v="46.46"/>
    <n v="2194.5300000000002"/>
    <s v="215995"/>
    <s v="725242"/>
    <s v="0"/>
    <s v="0"/>
    <s v="6"/>
  </r>
  <r>
    <x v="123"/>
    <x v="18"/>
    <s v="Em operação"/>
    <s v="ES 0096"/>
    <x v="2"/>
    <m/>
    <m/>
    <n v="2500"/>
    <n v="185.33685601056803"/>
    <n v="8.67"/>
    <n v="7.57"/>
    <n v="1.1000000000000001"/>
    <n v="12.69"/>
    <s v="926"/>
    <n v="1403"/>
    <n v="1.52"/>
    <n v="9.3800000000000008"/>
    <n v="149.52000000000001"/>
    <n v="4.26"/>
    <n v="3.87"/>
    <n v="145.26"/>
    <n v="19.190000000000001"/>
    <n v="9452.1200000000008"/>
    <s v="113473"/>
    <s v="171871"/>
    <s v="0"/>
    <s v="0"/>
    <n v="294.8"/>
  </r>
  <r>
    <x v="123"/>
    <x v="18"/>
    <s v="Em operação"/>
    <s v="ES 0097"/>
    <x v="6"/>
    <m/>
    <m/>
    <m/>
    <n v="12.626262626262626"/>
    <n v="5.31"/>
    <n v="3.96"/>
    <n v="1.35"/>
    <n v="25.41"/>
    <s v=""/>
    <n v="50"/>
    <s v=""/>
    <s v=""/>
    <n v="81.86"/>
    <n v="5.2"/>
    <n v="3.86"/>
    <n v="76.650000000000006"/>
    <n v="19.34"/>
    <n v="9004.39"/>
    <s v=""/>
    <s v=""/>
    <s v="0"/>
    <s v=""/>
    <s v="269"/>
  </r>
  <r>
    <x v="123"/>
    <x v="18"/>
    <s v="Em operação"/>
    <s v="ES 0135"/>
    <x v="2"/>
    <m/>
    <m/>
    <n v="2500"/>
    <n v="265.1260504201681"/>
    <n v="12.62"/>
    <n v="9.52"/>
    <n v="3.1"/>
    <n v="24.57"/>
    <s v="1347"/>
    <n v="2524"/>
    <n v="1.87"/>
    <n v="12.61"/>
    <n v="200.15"/>
    <n v="9.94"/>
    <n v="3.21"/>
    <n v="190.22"/>
    <n v="19.989999999999998"/>
    <n v="902.02"/>
    <s v="89920"/>
    <s v="176728"/>
    <n v="1.1000000000000001"/>
    <s v="0"/>
    <n v="91.3"/>
  </r>
  <r>
    <x v="123"/>
    <x v="18"/>
    <s v="Em operação"/>
    <s v="ES 0110"/>
    <x v="2"/>
    <m/>
    <m/>
    <n v="2500"/>
    <n v="452.7363184079602"/>
    <n v="6.93"/>
    <n v="6.03"/>
    <n v="0.9"/>
    <n v="12.98"/>
    <s v="1227"/>
    <n v="2730"/>
    <n v="2.2200000000000002"/>
    <n v="22.11"/>
    <n v="123.5"/>
    <n v="3.31"/>
    <n v="3.68"/>
    <n v="120.19"/>
    <n v="19.93"/>
    <n v="2712.1"/>
    <s v="196104"/>
    <s v="380826"/>
    <s v="0"/>
    <s v="0"/>
    <n v="345.1"/>
  </r>
  <r>
    <x v="123"/>
    <x v="18"/>
    <s v="Em operação"/>
    <s v="ES 0126"/>
    <x v="2"/>
    <m/>
    <m/>
    <n v="2500"/>
    <n v="234.69785575048732"/>
    <n v="12.46"/>
    <n v="10.26"/>
    <n v="2.2000000000000002"/>
    <n v="17.66"/>
    <s v="1307"/>
    <n v="2408"/>
    <n v="1.84"/>
    <n v="11.14"/>
    <n v="216.24"/>
    <n v="7.57"/>
    <n v="3.44"/>
    <n v="208.67"/>
    <n v="20.34"/>
    <n v="1371.37"/>
    <s v="142294"/>
    <s v="310396"/>
    <s v="0"/>
    <s v="0"/>
    <n v="129.4"/>
  </r>
  <r>
    <x v="123"/>
    <x v="18"/>
    <s v="Em operação"/>
    <s v="ES 0099"/>
    <x v="2"/>
    <m/>
    <m/>
    <n v="2500"/>
    <n v="230.86913086913088"/>
    <n v="11.61"/>
    <n v="10.01"/>
    <n v="1.6"/>
    <n v="13.78"/>
    <s v="896"/>
    <n v="2311"/>
    <n v="2.58"/>
    <n v="7.41"/>
    <n v="311.82"/>
    <n v="9.94"/>
    <n v="6.21"/>
    <n v="301.89"/>
    <n v="30.15"/>
    <n v="8353.33"/>
    <s v="153651"/>
    <s v="462560"/>
    <n v="0.1"/>
    <s v="0"/>
    <n v="260.10000000000002"/>
  </r>
  <r>
    <x v="123"/>
    <x v="18"/>
    <s v="Em operação"/>
    <s v="ES 0101"/>
    <x v="0"/>
    <n v="5306"/>
    <m/>
    <n v="3428.5714285714284"/>
    <n v="681.40417457305512"/>
    <n v="11.49"/>
    <n v="10.54"/>
    <n v="0.95"/>
    <n v="8.27"/>
    <s v="1492"/>
    <n v="7182"/>
    <n v="4.8099999999999996"/>
    <n v="16.86"/>
    <n v="425.86"/>
    <n v="5.68"/>
    <n v="5.98"/>
    <n v="420.18"/>
    <n v="39.85"/>
    <n v="6917.88"/>
    <s v="451624"/>
    <s v="1653092"/>
    <s v="0"/>
    <s v="0"/>
    <n v="50.2"/>
  </r>
  <r>
    <x v="123"/>
    <x v="18"/>
    <s v="Em operação"/>
    <s v="ES 0116"/>
    <x v="2"/>
    <m/>
    <m/>
    <n v="2500"/>
    <n v="294.42307692307691"/>
    <n v="6.6"/>
    <n v="5.2"/>
    <n v="1.4"/>
    <n v="21.2"/>
    <s v="638"/>
    <n v="1531"/>
    <n v="2.4"/>
    <n v="7.54"/>
    <n v="202.99"/>
    <n v="6.15"/>
    <n v="4.3899999999999997"/>
    <n v="196.84"/>
    <n v="37.840000000000003"/>
    <n v="2201.13"/>
    <s v="216633"/>
    <s v="726773"/>
    <s v="0"/>
    <s v="0"/>
    <s v="6"/>
  </r>
  <r>
    <x v="124"/>
    <x v="18"/>
    <s v="Em operação"/>
    <s v="ES 0096"/>
    <x v="2"/>
    <m/>
    <m/>
    <n v="2142.8571428571427"/>
    <n v="0"/>
    <n v="0.3"/>
    <n v="0.3"/>
    <s v="0"/>
    <s v="0"/>
    <s v="1"/>
    <n v="0"/>
    <s v="0"/>
    <s v="0"/>
    <n v="4.26"/>
    <s v="0"/>
    <s v=""/>
    <n v="4.26"/>
    <n v="14.09"/>
    <n v="9452.43"/>
    <s v="113474"/>
    <s v="171871"/>
    <n v="0.2"/>
    <n v="0.2"/>
    <s v="295"/>
  </r>
  <r>
    <x v="124"/>
    <x v="18"/>
    <s v="Em operação"/>
    <s v="ES 0097"/>
    <x v="2"/>
    <m/>
    <m/>
    <n v="2142.8571428571427"/>
    <n v="0"/>
    <n v="0.3"/>
    <n v="0.3"/>
    <s v="0"/>
    <s v="0"/>
    <s v="1"/>
    <n v="0"/>
    <s v="0"/>
    <s v="0"/>
    <n v="4.26"/>
    <s v="0"/>
    <s v=""/>
    <n v="4.26"/>
    <n v="14.09"/>
    <n v="9452.43"/>
    <s v="113474"/>
    <s v="171871"/>
    <n v="0.2"/>
    <n v="0.2"/>
    <s v="295"/>
  </r>
  <r>
    <x v="124"/>
    <x v="18"/>
    <s v="Em operação"/>
    <s v="ES 0135"/>
    <x v="2"/>
    <m/>
    <m/>
    <n v="2142.8571428571427"/>
    <n v="232.36994219653178"/>
    <n v="3.91"/>
    <n v="3.46"/>
    <n v="0.45"/>
    <n v="11.51"/>
    <s v="448"/>
    <n v="804"/>
    <n v="1.79"/>
    <n v="11.4"/>
    <n v="70.5"/>
    <n v="1.42"/>
    <n v="3.15"/>
    <n v="69.08"/>
    <n v="19.96"/>
    <n v="905.93"/>
    <s v="90368"/>
    <s v="177532"/>
    <n v="1.6"/>
    <s v="0"/>
    <n v="92.9"/>
  </r>
  <r>
    <x v="124"/>
    <x v="18"/>
    <s v="Em operação"/>
    <s v="ES 0110"/>
    <x v="2"/>
    <m/>
    <m/>
    <n v="2142.8571428571427"/>
    <n v="0"/>
    <s v="0"/>
    <s v="0"/>
    <s v="0"/>
    <s v=""/>
    <s v="0"/>
    <n v="0"/>
    <s v=""/>
    <s v=""/>
    <s v="0"/>
    <s v="0"/>
    <s v=""/>
    <s v="0"/>
    <s v=""/>
    <n v="2712.1"/>
    <s v="196104"/>
    <s v="380826"/>
    <s v="0"/>
    <s v=""/>
    <n v="345.1"/>
  </r>
  <r>
    <x v="124"/>
    <x v="18"/>
    <s v="Em operação"/>
    <s v="ES 0126"/>
    <x v="2"/>
    <m/>
    <m/>
    <n v="2142.8571428571427"/>
    <n v="58.029197080291965"/>
    <n v="6.88"/>
    <n v="5.48"/>
    <n v="1.4"/>
    <n v="20.350000000000001"/>
    <s v="194"/>
    <n v="318"/>
    <n v="1.64"/>
    <n v="3.38"/>
    <n v="94.16"/>
    <n v="6.15"/>
    <n v="4.3899999999999997"/>
    <n v="88.01"/>
    <n v="16.059999999999999"/>
    <n v="1378.25"/>
    <s v="142488"/>
    <s v="310714"/>
    <n v="1.4"/>
    <n v="0.01"/>
    <n v="130.80000000000001"/>
  </r>
  <r>
    <x v="124"/>
    <x v="18"/>
    <s v="Em operação"/>
    <s v="ES 0099"/>
    <x v="2"/>
    <m/>
    <m/>
    <n v="2142.8571428571427"/>
    <n v="69.631901840490798"/>
    <n v="3.46"/>
    <n v="3.26"/>
    <n v="0.2"/>
    <n v="5.78"/>
    <s v="247"/>
    <n v="227"/>
    <n v="0.92"/>
    <n v="2.35"/>
    <n v="96.53"/>
    <n v="2.37"/>
    <n v="11.83"/>
    <n v="94.16"/>
    <n v="28.9"/>
    <n v="8356.7900000000009"/>
    <s v="153898"/>
    <s v="462787"/>
    <n v="0.1"/>
    <s v="0"/>
    <n v="260.2"/>
  </r>
  <r>
    <x v="124"/>
    <x v="18"/>
    <s v="Em operação"/>
    <s v="ES 0101"/>
    <x v="0"/>
    <n v="5306"/>
    <m/>
    <n v="3428.5714285714284"/>
    <n v="762.71186440677968"/>
    <n v="2.57"/>
    <n v="1.77"/>
    <n v="0.8"/>
    <n v="31.12"/>
    <s v="260"/>
    <n v="1350"/>
    <n v="5.19"/>
    <n v="19.02"/>
    <n v="70.98"/>
    <n v="4.7300000000000004"/>
    <n v="5.91"/>
    <n v="66.239999999999995"/>
    <n v="37.409999999999997"/>
    <n v="6920.45"/>
    <s v="451884"/>
    <s v="1654442"/>
    <s v="0"/>
    <s v="0"/>
    <n v="50.2"/>
  </r>
  <r>
    <x v="124"/>
    <x v="18"/>
    <s v="Em operação"/>
    <s v="ES 0116"/>
    <x v="2"/>
    <m/>
    <m/>
    <n v="2142.8571428571427"/>
    <n v="285.14851485148517"/>
    <n v="3.42"/>
    <n v="2.02"/>
    <n v="1.4"/>
    <n v="40.92"/>
    <s v="215"/>
    <n v="576"/>
    <n v="2.68"/>
    <n v="6.54"/>
    <n v="88.01"/>
    <n v="6.62"/>
    <n v="4.7300000000000004"/>
    <n v="81.39"/>
    <n v="40.270000000000003"/>
    <n v="2204.5500000000002"/>
    <s v="216848"/>
    <s v="727349"/>
    <s v="0"/>
    <s v="0"/>
    <s v="6"/>
  </r>
  <r>
    <x v="125"/>
    <x v="1"/>
    <s v="Não operacional"/>
    <s v="ES 0096"/>
    <x v="2"/>
    <m/>
    <m/>
    <m/>
    <n v="0"/>
    <s v="0"/>
    <s v="0"/>
    <s v="0"/>
    <s v=""/>
    <s v="0"/>
    <n v="0"/>
    <s v=""/>
    <s v=""/>
    <s v="0"/>
    <s v="0"/>
    <s v=""/>
    <s v="0"/>
    <s v=""/>
    <n v="9452.43"/>
    <s v="113474"/>
    <s v="171871"/>
    <s v="0"/>
    <s v=""/>
    <s v="295"/>
  </r>
  <r>
    <x v="125"/>
    <x v="1"/>
    <s v="Não operacional"/>
    <s v="ES 0097"/>
    <x v="2"/>
    <m/>
    <m/>
    <m/>
    <n v="0"/>
    <s v="0"/>
    <s v="0"/>
    <s v="0"/>
    <s v=""/>
    <s v="0"/>
    <n v="0"/>
    <s v=""/>
    <s v=""/>
    <s v="0"/>
    <s v="0"/>
    <s v=""/>
    <s v="0"/>
    <s v=""/>
    <n v="9452.43"/>
    <s v="113474"/>
    <s v="171871"/>
    <s v="0"/>
    <s v=""/>
    <s v="295"/>
  </r>
  <r>
    <x v="125"/>
    <x v="1"/>
    <s v="Não operacional"/>
    <s v="ES 0135"/>
    <x v="2"/>
    <m/>
    <m/>
    <m/>
    <n v="213.63636363636363"/>
    <n v="2.0099999999999998"/>
    <n v="1.76"/>
    <n v="0.25"/>
    <n v="12.41"/>
    <s v="168"/>
    <n v="376"/>
    <n v="2.2400000000000002"/>
    <n v="9.69"/>
    <n v="38.799999999999997"/>
    <n v="0.95"/>
    <n v="3.79"/>
    <n v="37.85"/>
    <n v="21.45"/>
    <n v="907.95"/>
    <s v="90536"/>
    <s v="177908"/>
    <s v="1"/>
    <n v="0.01"/>
    <n v="93.9"/>
  </r>
  <r>
    <x v="125"/>
    <x v="1"/>
    <s v="Não operacional"/>
    <s v="ES 0110"/>
    <x v="2"/>
    <m/>
    <m/>
    <m/>
    <n v="0"/>
    <s v="0"/>
    <s v="0"/>
    <s v="0"/>
    <s v=""/>
    <s v="0"/>
    <n v="0"/>
    <s v=""/>
    <s v=""/>
    <s v="0"/>
    <s v="0"/>
    <s v=""/>
    <s v="0"/>
    <s v=""/>
    <n v="2712.1"/>
    <s v="196104"/>
    <s v="380826"/>
    <s v="0"/>
    <s v=""/>
    <n v="345.1"/>
  </r>
  <r>
    <x v="125"/>
    <x v="1"/>
    <s v="Não operacional"/>
    <s v="ES 0126"/>
    <x v="2"/>
    <m/>
    <m/>
    <m/>
    <n v="0"/>
    <n v="0.04"/>
    <n v="0.04"/>
    <s v="0"/>
    <s v="0"/>
    <s v="0"/>
    <n v="0"/>
    <s v=""/>
    <s v=""/>
    <s v="0"/>
    <s v="0"/>
    <s v=""/>
    <s v="0"/>
    <s v="0"/>
    <n v="1378.29"/>
    <s v="142488"/>
    <s v="310714"/>
    <s v="0"/>
    <s v=""/>
    <n v="130.80000000000001"/>
  </r>
  <r>
    <x v="125"/>
    <x v="1"/>
    <s v="Não operacional"/>
    <s v="ES 0099"/>
    <x v="2"/>
    <m/>
    <m/>
    <m/>
    <n v="0"/>
    <s v="0"/>
    <s v="0"/>
    <s v="0"/>
    <s v=""/>
    <s v="0"/>
    <n v="0"/>
    <s v=""/>
    <s v=""/>
    <s v="0"/>
    <s v="0"/>
    <s v=""/>
    <s v="0"/>
    <s v=""/>
    <n v="8356.7900000000009"/>
    <s v="153898"/>
    <s v="462787"/>
    <s v="0"/>
    <s v=""/>
    <n v="260.2"/>
  </r>
  <r>
    <x v="125"/>
    <x v="18"/>
    <s v="Em operação"/>
    <s v="ES 0101"/>
    <x v="0"/>
    <n v="3271"/>
    <m/>
    <n v="3428.5714285714284"/>
    <n v="645.46703296703299"/>
    <n v="7.98"/>
    <n v="7.28"/>
    <n v="0.7"/>
    <n v="8.77"/>
    <s v="990"/>
    <n v="4699"/>
    <n v="4.75"/>
    <n v="15.84"/>
    <n v="296.68"/>
    <n v="4.7300000000000004"/>
    <n v="6.76"/>
    <n v="291.95"/>
    <n v="40.08"/>
    <n v="6928.44"/>
    <s v="452874"/>
    <s v="1659141"/>
    <n v="0.1"/>
    <s v="0"/>
    <n v="50.3"/>
  </r>
  <r>
    <x v="125"/>
    <x v="1"/>
    <s v="Não operacional"/>
    <s v="ES 0116"/>
    <x v="2"/>
    <m/>
    <m/>
    <m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  <r>
    <x v="126"/>
    <x v="19"/>
    <m/>
    <m/>
    <x v="5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n v="4602"/>
    <n v="3"/>
    <n v="19"/>
    <n v="2"/>
    <n v="17"/>
    <n v="270.70588235294116"/>
    <n v="10.828235294117647"/>
    <n v="1.3535294117647059"/>
    <n v="2"/>
  </r>
  <r>
    <x v="1"/>
    <x v="0"/>
    <n v="4601"/>
    <n v="3"/>
    <n v="20"/>
    <n v="2"/>
    <n v="18"/>
    <n v="255.61111111111111"/>
    <n v="10.224444444444444"/>
    <n v="1.2780555555555555"/>
    <n v="2"/>
  </r>
  <r>
    <x v="2"/>
    <x v="0"/>
    <n v="3587"/>
    <n v="3"/>
    <n v="22"/>
    <n v="2"/>
    <n v="20"/>
    <n v="179.35"/>
    <n v="7.1739999999999995"/>
    <n v="0.89674999999999994"/>
    <n v="2"/>
  </r>
  <r>
    <x v="3"/>
    <x v="0"/>
    <n v="3853"/>
    <n v="4"/>
    <n v="22"/>
    <n v="2"/>
    <n v="20"/>
    <n v="192.65"/>
    <n v="7.7060000000000004"/>
    <n v="0.96325000000000005"/>
    <n v="2"/>
  </r>
  <r>
    <x v="4"/>
    <x v="0"/>
    <n v="6487"/>
    <n v="5"/>
    <n v="22"/>
    <n v="2"/>
    <n v="20"/>
    <n v="324.35000000000002"/>
    <n v="12.974"/>
    <n v="1.62175"/>
    <n v="2"/>
  </r>
  <r>
    <x v="5"/>
    <x v="0"/>
    <n v="6786"/>
    <n v="4"/>
    <n v="22"/>
    <n v="2"/>
    <n v="20"/>
    <n v="339.3"/>
    <n v="13.572000000000001"/>
    <n v="1.6965000000000001"/>
    <n v="2"/>
  </r>
  <r>
    <x v="6"/>
    <x v="1"/>
    <n v="3615"/>
    <n v="2"/>
    <n v="20"/>
    <n v="2"/>
    <n v="18"/>
    <n v="200.83333333333334"/>
    <n v="8.0333333333333332"/>
    <n v="1.0041666666666667"/>
    <n v="4"/>
  </r>
  <r>
    <x v="7"/>
    <x v="1"/>
    <n v="5949"/>
    <n v="3"/>
    <n v="20"/>
    <n v="2"/>
    <n v="18"/>
    <n v="330.5"/>
    <n v="13.22"/>
    <n v="1.6525000000000001"/>
    <n v="2"/>
  </r>
  <r>
    <x v="8"/>
    <x v="1"/>
    <n v="6222"/>
    <n v="3"/>
    <n v="22"/>
    <n v="2"/>
    <n v="20"/>
    <n v="311.10000000000002"/>
    <n v="12.444000000000001"/>
    <n v="1.5555000000000001"/>
    <n v="2"/>
  </r>
  <r>
    <x v="9"/>
    <x v="1"/>
    <n v="5481"/>
    <n v="2"/>
    <n v="22"/>
    <n v="2"/>
    <n v="20"/>
    <n v="274.05"/>
    <n v="10.962"/>
    <n v="1.37025"/>
    <n v="2"/>
  </r>
  <r>
    <x v="10"/>
    <x v="1"/>
    <n v="2378"/>
    <n v="2"/>
    <n v="22"/>
    <n v="2"/>
    <n v="20"/>
    <n v="118.9"/>
    <n v="4.7560000000000002"/>
    <n v="0.59450000000000003"/>
    <n v="2"/>
  </r>
  <r>
    <x v="11"/>
    <x v="2"/>
    <n v="6571"/>
    <n v="3"/>
    <n v="20"/>
    <n v="2"/>
    <n v="18"/>
    <n v="365.05555555555554"/>
    <n v="14.602222222222222"/>
    <n v="1.8252777777777778"/>
    <n v="2"/>
  </r>
  <r>
    <x v="12"/>
    <x v="2"/>
    <n v="5905"/>
    <n v="2"/>
    <n v="20"/>
    <n v="2"/>
    <n v="18"/>
    <n v="328.05555555555554"/>
    <n v="13.122222222222222"/>
    <n v="1.6402777777777777"/>
    <n v="2"/>
  </r>
  <r>
    <x v="13"/>
    <x v="2"/>
    <n v="3942"/>
    <n v="2"/>
    <n v="20"/>
    <n v="2"/>
    <n v="18"/>
    <n v="219"/>
    <n v="8.76"/>
    <n v="1.095"/>
    <n v="2"/>
  </r>
  <r>
    <x v="14"/>
    <x v="2"/>
    <n v="4670"/>
    <n v="2"/>
    <n v="20"/>
    <n v="2"/>
    <n v="18"/>
    <n v="259.44444444444446"/>
    <n v="10.377777777777778"/>
    <n v="1.2972222222222223"/>
    <n v="2"/>
  </r>
  <r>
    <x v="15"/>
    <x v="2"/>
    <n v="5774"/>
    <n v="2"/>
    <n v="20"/>
    <n v="2"/>
    <n v="18"/>
    <n v="320.77777777777777"/>
    <n v="12.831111111111111"/>
    <n v="1.6038888888888889"/>
    <n v="2"/>
  </r>
  <r>
    <x v="16"/>
    <x v="2"/>
    <n v="3730"/>
    <n v="2"/>
    <n v="20"/>
    <n v="2"/>
    <n v="18"/>
    <n v="207.22222222222223"/>
    <n v="8.2888888888888896"/>
    <n v="1.0361111111111112"/>
    <n v="2"/>
  </r>
  <r>
    <x v="17"/>
    <x v="3"/>
    <n v="11690"/>
    <n v="2"/>
    <n v="20"/>
    <n v="2"/>
    <n v="18"/>
    <n v="649.44444444444446"/>
    <n v="25.977777777777778"/>
    <n v="3.2472222222222222"/>
    <n v="2"/>
  </r>
  <r>
    <x v="18"/>
    <x v="3"/>
    <n v="9500"/>
    <n v="2"/>
    <n v="22"/>
    <n v="2"/>
    <n v="20"/>
    <n v="475"/>
    <n v="19"/>
    <n v="2.375"/>
    <n v="2"/>
  </r>
  <r>
    <x v="19"/>
    <x v="3"/>
    <n v="7325"/>
    <n v="2"/>
    <n v="22"/>
    <n v="2"/>
    <n v="20"/>
    <n v="366.25"/>
    <n v="14.65"/>
    <n v="1.83125"/>
    <n v="2"/>
  </r>
  <r>
    <x v="20"/>
    <x v="3"/>
    <n v="8857"/>
    <n v="2"/>
    <n v="22"/>
    <n v="2"/>
    <n v="20"/>
    <n v="442.85"/>
    <n v="17.714000000000002"/>
    <n v="2.2142500000000003"/>
    <n v="2"/>
  </r>
  <r>
    <x v="21"/>
    <x v="3"/>
    <n v="8886"/>
    <n v="2"/>
    <n v="24"/>
    <n v="2"/>
    <n v="22"/>
    <n v="403.90909090909093"/>
    <n v="16.156363636363636"/>
    <n v="2.0195454545454545"/>
    <n v="2"/>
  </r>
  <r>
    <x v="22"/>
    <x v="3"/>
    <n v="7390"/>
    <n v="2"/>
    <n v="23"/>
    <n v="2"/>
    <n v="21"/>
    <n v="351.90476190476193"/>
    <n v="14.076190476190478"/>
    <n v="1.7595238095238097"/>
    <n v="2"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  <r>
    <x v="23"/>
    <x v="4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d v="2026-05-18T00:00:00"/>
    <x v="0"/>
    <n v="4602"/>
    <n v="3"/>
    <n v="19"/>
    <n v="2"/>
    <n v="17"/>
    <n v="270.70588235294116"/>
    <n v="10.828235294117647"/>
    <n v="1.3535294117647059"/>
    <n v="2"/>
  </r>
  <r>
    <d v="2026-05-19T00:00:00"/>
    <x v="0"/>
    <n v="4601"/>
    <n v="3"/>
    <n v="20"/>
    <n v="2"/>
    <n v="18"/>
    <n v="255.61111111111111"/>
    <n v="10.224444444444444"/>
    <n v="1.2780555555555555"/>
    <n v="2"/>
  </r>
  <r>
    <d v="2026-05-20T00:00:00"/>
    <x v="0"/>
    <n v="3587"/>
    <n v="3"/>
    <n v="22"/>
    <n v="2"/>
    <n v="20"/>
    <n v="179.35"/>
    <n v="7.1739999999999995"/>
    <n v="0.89674999999999994"/>
    <n v="2"/>
  </r>
  <r>
    <d v="2026-05-21T00:00:00"/>
    <x v="0"/>
    <n v="3853"/>
    <n v="4"/>
    <n v="22"/>
    <n v="2"/>
    <n v="20"/>
    <n v="192.65"/>
    <n v="7.7060000000000004"/>
    <n v="0.96325000000000005"/>
    <n v="2"/>
  </r>
  <r>
    <d v="2026-05-22T00:00:00"/>
    <x v="0"/>
    <n v="6487"/>
    <n v="5"/>
    <n v="22"/>
    <n v="2"/>
    <n v="20"/>
    <n v="324.35000000000002"/>
    <n v="12.974"/>
    <n v="1.62175"/>
    <n v="2"/>
  </r>
  <r>
    <d v="2026-05-23T00:00:00"/>
    <x v="0"/>
    <n v="6786"/>
    <n v="4"/>
    <n v="22"/>
    <n v="2"/>
    <n v="20"/>
    <n v="339.3"/>
    <n v="13.572000000000001"/>
    <n v="1.6965000000000001"/>
    <n v="2"/>
  </r>
  <r>
    <d v="2026-05-11T00:00:00"/>
    <x v="1"/>
    <n v="3615"/>
    <n v="2"/>
    <n v="20"/>
    <n v="2"/>
    <n v="18"/>
    <n v="200.83333333333334"/>
    <n v="8.0333333333333332"/>
    <n v="1.0041666666666667"/>
    <n v="4"/>
  </r>
  <r>
    <d v="2026-05-12T00:00:00"/>
    <x v="1"/>
    <n v="5949"/>
    <n v="3"/>
    <n v="20"/>
    <n v="2"/>
    <n v="18"/>
    <n v="330.5"/>
    <n v="13.22"/>
    <n v="1.6525000000000001"/>
    <n v="2"/>
  </r>
  <r>
    <d v="2026-05-14T00:00:00"/>
    <x v="1"/>
    <n v="6222"/>
    <n v="3"/>
    <n v="22"/>
    <n v="2"/>
    <n v="20"/>
    <n v="311.10000000000002"/>
    <n v="12.444000000000001"/>
    <n v="1.5555000000000001"/>
    <n v="2"/>
  </r>
  <r>
    <d v="2026-05-15T00:00:00"/>
    <x v="1"/>
    <n v="5481"/>
    <n v="2"/>
    <n v="22"/>
    <n v="2"/>
    <n v="20"/>
    <n v="274.05"/>
    <n v="10.962"/>
    <n v="1.37025"/>
    <n v="2"/>
  </r>
  <r>
    <d v="2026-05-16T00:00:00"/>
    <x v="1"/>
    <n v="2378"/>
    <n v="2"/>
    <n v="22"/>
    <n v="2"/>
    <n v="20"/>
    <n v="118.9"/>
    <n v="4.7560000000000002"/>
    <n v="0.59450000000000003"/>
    <n v="2"/>
  </r>
  <r>
    <d v="2026-05-04T00:00:00"/>
    <x v="2"/>
    <n v="6571"/>
    <n v="3"/>
    <n v="20"/>
    <n v="2"/>
    <n v="18"/>
    <n v="365.05555555555554"/>
    <n v="14.602222222222222"/>
    <n v="1.8252777777777778"/>
    <n v="2"/>
  </r>
  <r>
    <d v="2026-05-05T00:00:00"/>
    <x v="2"/>
    <n v="5905"/>
    <n v="2"/>
    <n v="20"/>
    <n v="2"/>
    <n v="18"/>
    <n v="328.05555555555554"/>
    <n v="13.122222222222222"/>
    <n v="1.6402777777777777"/>
    <n v="2"/>
  </r>
  <r>
    <d v="2026-05-06T00:00:00"/>
    <x v="2"/>
    <n v="3942"/>
    <n v="2"/>
    <n v="20"/>
    <n v="2"/>
    <n v="18"/>
    <n v="219"/>
    <n v="8.76"/>
    <n v="1.095"/>
    <n v="2"/>
  </r>
  <r>
    <d v="2026-05-07T00:00:00"/>
    <x v="2"/>
    <n v="4670"/>
    <n v="2"/>
    <n v="20"/>
    <n v="2"/>
    <n v="18"/>
    <n v="259.44444444444446"/>
    <n v="10.377777777777778"/>
    <n v="1.2972222222222223"/>
    <n v="2"/>
  </r>
  <r>
    <d v="2026-05-08T00:00:00"/>
    <x v="2"/>
    <n v="5774"/>
    <n v="2"/>
    <n v="20"/>
    <n v="2"/>
    <n v="18"/>
    <n v="320.77777777777777"/>
    <n v="12.831111111111111"/>
    <n v="1.6038888888888889"/>
    <n v="2"/>
  </r>
  <r>
    <d v="2026-05-09T00:00:00"/>
    <x v="2"/>
    <n v="3730"/>
    <n v="2"/>
    <n v="20"/>
    <n v="2"/>
    <n v="18"/>
    <n v="207.22222222222223"/>
    <n v="8.2888888888888896"/>
    <n v="1.0361111111111112"/>
    <n v="2"/>
  </r>
  <r>
    <d v="2026-05-25T00:00:00"/>
    <x v="3"/>
    <n v="11690"/>
    <n v="2"/>
    <n v="20"/>
    <n v="2"/>
    <n v="18"/>
    <n v="649.44444444444446"/>
    <n v="25.977777777777778"/>
    <n v="3.2472222222222222"/>
    <n v="2"/>
  </r>
  <r>
    <d v="2026-05-26T00:00:00"/>
    <x v="3"/>
    <n v="9500"/>
    <n v="2"/>
    <n v="22"/>
    <n v="2"/>
    <n v="20"/>
    <n v="475"/>
    <n v="19"/>
    <n v="2.375"/>
    <n v="2"/>
  </r>
  <r>
    <d v="2026-05-27T00:00:00"/>
    <x v="3"/>
    <n v="7325"/>
    <n v="2"/>
    <n v="22"/>
    <n v="2"/>
    <n v="20"/>
    <n v="366.25"/>
    <n v="14.65"/>
    <n v="1.83125"/>
    <n v="2"/>
  </r>
  <r>
    <d v="2026-05-28T00:00:00"/>
    <x v="3"/>
    <n v="8857"/>
    <n v="2"/>
    <n v="22"/>
    <n v="2"/>
    <n v="20"/>
    <n v="442.85"/>
    <n v="17.714000000000002"/>
    <n v="2.2142500000000003"/>
    <n v="2"/>
  </r>
  <r>
    <d v="2026-05-29T00:00:00"/>
    <x v="3"/>
    <n v="8886"/>
    <n v="2"/>
    <n v="24"/>
    <n v="2"/>
    <n v="22"/>
    <n v="403.90909090909093"/>
    <n v="16.156363636363636"/>
    <n v="2.0195454545454545"/>
    <n v="2"/>
  </r>
  <r>
    <d v="2026-05-30T00:00:00"/>
    <x v="3"/>
    <n v="7390"/>
    <n v="2"/>
    <n v="23"/>
    <n v="2"/>
    <n v="21"/>
    <n v="351.90476190476193"/>
    <n v="14.076190476190478"/>
    <n v="1.7595238095238097"/>
    <n v="2"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  <r>
    <m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EA9AC-5FDE-405E-B963-513F746FA52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5">
  <location ref="A3:D12" firstHeaderRow="0" firstDataRow="1" firstDataCol="1"/>
  <pivotFields count="28">
    <pivotField axis="axisRow" showAll="0" sortType="descending">
      <items count="128"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2">
        <item h="1" sd="0" x="1"/>
        <item h="1" m="1" x="20"/>
        <item h="1" sd="0" x="0"/>
        <item h="1" x="19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x="17"/>
        <item x="18"/>
        <item t="default"/>
      </items>
    </pivotField>
    <pivotField showAll="0"/>
    <pivotField dataField="1" showAll="0"/>
    <pivotField axis="axisRow" showAll="0">
      <items count="9">
        <item h="1" x="4"/>
        <item h="1" x="1"/>
        <item h="1" x="0"/>
        <item x="2"/>
        <item h="1" x="5"/>
        <item h="1" x="3"/>
        <item h="1" x="6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4"/>
    <field x="0"/>
  </rowFields>
  <rowItems count="9">
    <i>
      <x v="20"/>
    </i>
    <i r="1">
      <x v="3"/>
    </i>
    <i r="2">
      <x v="2"/>
    </i>
    <i r="2">
      <x v="3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Meta Diária" fld="7" baseField="1" baseItem="0"/>
    <dataField name="Soma de Carg Út Diár. (t)" fld="14" baseField="1" baseItem="0"/>
    <dataField name="Contagem de Prefixo" fld="3" subtotal="count" baseField="1" baseItem="1"/>
  </dataFields>
  <formats count="1">
    <format dxfId="0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chartFormats count="9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1"/>
          </reference>
          <reference field="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>
      <pivotArea type="data" outline="0" fieldPosition="0">
        <references count="4">
          <reference field="4294967294" count="1" selected="0">
            <x v="0"/>
          </reference>
          <reference field="0" count="1" selected="0">
            <x v="108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0" format="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1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0" format="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7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0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2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0" format="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01"/>
          </reference>
          <reference field="1" count="1" selected="0">
            <x v="6"/>
          </reference>
          <reference field="4" count="1" selected="0">
            <x v="3"/>
          </reference>
        </references>
      </pivotArea>
    </chartFormat>
    <chartFormat chart="0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0"/>
          </reference>
          <reference field="1" count="1" selected="0">
            <x v="6"/>
          </reference>
          <reference field="4" count="1" selected="0">
            <x v="3"/>
          </reference>
        </references>
      </pivotArea>
    </chartFormat>
    <chartFormat chart="0" format="13">
      <pivotArea type="data" outline="0" fieldPosition="0">
        <references count="4">
          <reference field="4294967294" count="1" selected="0">
            <x v="0"/>
          </reference>
          <reference field="0" count="1" selected="0">
            <x v="94"/>
          </reference>
          <reference field="1" count="1" selected="0">
            <x v="7"/>
          </reference>
          <reference field="4" count="1" selected="0">
            <x v="3"/>
          </reference>
        </references>
      </pivotArea>
    </chartFormat>
    <chartFormat chart="0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93"/>
          </reference>
          <reference field="1" count="1" selected="0">
            <x v="7"/>
          </reference>
          <reference field="4" count="1" selected="0">
            <x v="3"/>
          </reference>
        </references>
      </pivotArea>
    </chartFormat>
    <chartFormat chart="0" format="15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8"/>
          </reference>
          <reference field="4" count="1" selected="0">
            <x v="3"/>
          </reference>
        </references>
      </pivotArea>
    </chartFormat>
    <chartFormat chart="0" format="16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8"/>
          </reference>
          <reference field="4" count="1" selected="0">
            <x v="3"/>
          </reference>
        </references>
      </pivotArea>
    </chartFormat>
    <chartFormat chart="44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8"/>
          </reference>
          <reference field="4" count="1" selected="0">
            <x v="3"/>
          </reference>
        </references>
      </pivotArea>
    </chartFormat>
    <chartFormat chart="44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8"/>
          </reference>
          <reference field="4" count="1" selected="0">
            <x v="3"/>
          </reference>
        </references>
      </pivotArea>
    </chartFormat>
    <chartFormat chart="47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7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87"/>
          </reference>
          <reference field="1" count="1" selected="0">
            <x v="8"/>
          </reference>
          <reference field="4" count="1" selected="0">
            <x v="3"/>
          </reference>
        </references>
      </pivotArea>
    </chartFormat>
    <chartFormat chart="47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86"/>
          </reference>
          <reference field="1" count="1" selected="0">
            <x v="8"/>
          </reference>
          <reference field="4" count="1" selected="0">
            <x v="3"/>
          </reference>
        </references>
      </pivotArea>
    </chartFormat>
    <chartFormat chart="44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9"/>
          </reference>
          <reference field="4" count="1" selected="0">
            <x v="3"/>
          </reference>
        </references>
      </pivotArea>
    </chartFormat>
    <chartFormat chart="44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0"/>
          </reference>
          <reference field="1" count="1" selected="0">
            <x v="9"/>
          </reference>
          <reference field="4" count="1" selected="0">
            <x v="3"/>
          </reference>
        </references>
      </pivotArea>
    </chartFormat>
    <chartFormat chart="44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79"/>
          </reference>
          <reference field="1" count="1" selected="0">
            <x v="9"/>
          </reference>
          <reference field="4" count="1" selected="0">
            <x v="3"/>
          </reference>
        </references>
      </pivotArea>
    </chartFormat>
    <chartFormat chart="44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75"/>
          </reference>
          <reference field="1" count="1" selected="0">
            <x v="10"/>
          </reference>
          <reference field="4" count="1" selected="0">
            <x v="3"/>
          </reference>
        </references>
      </pivotArea>
    </chartFormat>
    <chartFormat chart="44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76"/>
          </reference>
          <reference field="1" count="1" selected="0">
            <x v="10"/>
          </reference>
          <reference field="4" count="1" selected="0">
            <x v="3"/>
          </reference>
        </references>
      </pivotArea>
    </chartFormat>
    <chartFormat chart="44" format="32">
      <pivotArea type="data" outline="0" fieldPosition="0">
        <references count="4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11"/>
          </reference>
          <reference field="4" count="1" selected="0">
            <x v="3"/>
          </reference>
        </references>
      </pivotArea>
    </chartFormat>
    <chartFormat chart="44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11"/>
          </reference>
          <reference field="4" count="1" selected="0">
            <x v="3"/>
          </reference>
        </references>
      </pivotArea>
    </chartFormat>
    <chartFormat chart="44" format="34">
      <pivotArea type="data" outline="0" fieldPosition="0">
        <references count="4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12"/>
          </reference>
          <reference field="4" count="1" selected="0">
            <x v="3"/>
          </reference>
        </references>
      </pivotArea>
    </chartFormat>
    <chartFormat chart="44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12"/>
          </reference>
          <reference field="4" count="1" selected="0">
            <x v="3"/>
          </reference>
        </references>
      </pivotArea>
    </chartFormat>
    <chartFormat chart="44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12"/>
          </reference>
          <reference field="4" count="1" selected="0">
            <x v="3"/>
          </reference>
        </references>
      </pivotArea>
    </chartFormat>
    <chartFormat chart="44" format="37">
      <pivotArea type="data" outline="0" fieldPosition="0">
        <references count="4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12"/>
          </reference>
          <reference field="4" count="1" selected="0">
            <x v="3"/>
          </reference>
        </references>
      </pivotArea>
    </chartFormat>
    <chartFormat chart="44" format="38">
      <pivotArea type="data" outline="0" fieldPosition="0">
        <references count="4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12"/>
          </reference>
          <reference field="4" count="1" selected="0">
            <x v="3"/>
          </reference>
        </references>
      </pivotArea>
    </chartFormat>
    <chartFormat chart="44" format="39">
      <pivotArea type="data" outline="0" fieldPosition="0">
        <references count="4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12"/>
          </reference>
          <reference field="4" count="1" selected="0">
            <x v="3"/>
          </reference>
        </references>
      </pivotArea>
    </chartFormat>
    <chartFormat chart="44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13"/>
          </reference>
          <reference field="4" count="1" selected="0">
            <x v="3"/>
          </reference>
        </references>
      </pivotArea>
    </chartFormat>
    <chartFormat chart="44" format="41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13"/>
          </reference>
          <reference field="4" count="1" selected="0">
            <x v="3"/>
          </reference>
        </references>
      </pivotArea>
    </chartFormat>
    <chartFormat chart="44" format="42">
      <pivotArea type="data" outline="0" fieldPosition="0">
        <references count="4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13"/>
          </reference>
          <reference field="4" count="1" selected="0">
            <x v="3"/>
          </reference>
        </references>
      </pivotArea>
    </chartFormat>
    <chartFormat chart="44" format="43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4"/>
          </reference>
          <reference field="4" count="1" selected="0">
            <x v="3"/>
          </reference>
        </references>
      </pivotArea>
    </chartFormat>
    <chartFormat chart="44" format="44">
      <pivotArea type="data" outline="0" fieldPosition="0">
        <references count="4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4"/>
          </reference>
          <reference field="4" count="1" selected="0">
            <x v="3"/>
          </reference>
        </references>
      </pivotArea>
    </chartFormat>
    <chartFormat chart="44" format="45">
      <pivotArea type="data" outline="0" fieldPosition="0">
        <references count="4">
          <reference field="4294967294" count="1" selected="0">
            <x v="1"/>
          </reference>
          <reference field="0" count="1" selected="0">
            <x v="46"/>
          </reference>
          <reference field="1" count="1" selected="0">
            <x v="14"/>
          </reference>
          <reference field="4" count="1" selected="0">
            <x v="3"/>
          </reference>
        </references>
      </pivotArea>
    </chartFormat>
    <chartFormat chart="44" format="46">
      <pivotArea type="data" outline="0" fieldPosition="0">
        <references count="4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4"/>
          </reference>
          <reference field="4" count="1" selected="0">
            <x v="3"/>
          </reference>
        </references>
      </pivotArea>
    </chartFormat>
    <chartFormat chart="44" format="47">
      <pivotArea type="data" outline="0" fieldPosition="0">
        <references count="4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4"/>
          </reference>
          <reference field="4" count="1" selected="0">
            <x v="3"/>
          </reference>
        </references>
      </pivotArea>
    </chartFormat>
    <chartFormat chart="44" format="48">
      <pivotArea type="data" outline="0" fieldPosition="0">
        <references count="4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5"/>
          </reference>
          <reference field="4" count="1" selected="0">
            <x v="3"/>
          </reference>
        </references>
      </pivotArea>
    </chartFormat>
    <chartFormat chart="44" format="49">
      <pivotArea type="data" outline="0" fieldPosition="0">
        <references count="4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5"/>
          </reference>
          <reference field="4" count="1" selected="0">
            <x v="3"/>
          </reference>
        </references>
      </pivotArea>
    </chartFormat>
    <chartFormat chart="44" format="50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5"/>
          </reference>
          <reference field="4" count="1" selected="0">
            <x v="3"/>
          </reference>
        </references>
      </pivotArea>
    </chartFormat>
    <chartFormat chart="44" format="51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5"/>
          </reference>
          <reference field="4" count="1" selected="0">
            <x v="3"/>
          </reference>
        </references>
      </pivotArea>
    </chartFormat>
    <chartFormat chart="44" format="52">
      <pivotArea type="data" outline="0" fieldPosition="0">
        <references count="4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5"/>
          </reference>
          <reference field="4" count="1" selected="0">
            <x v="3"/>
          </reference>
        </references>
      </pivotArea>
    </chartFormat>
    <chartFormat chart="44" format="53">
      <pivotArea type="data" outline="0" fieldPosition="0">
        <references count="4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5"/>
          </reference>
          <reference field="4" count="1" selected="0">
            <x v="3"/>
          </reference>
        </references>
      </pivotArea>
    </chartFormat>
    <chartFormat chart="44" format="54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6"/>
          </reference>
          <reference field="4" count="1" selected="0">
            <x v="3"/>
          </reference>
        </references>
      </pivotArea>
    </chartFormat>
    <chartFormat chart="44" format="55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6"/>
          </reference>
          <reference field="4" count="1" selected="0">
            <x v="3"/>
          </reference>
        </references>
      </pivotArea>
    </chartFormat>
    <chartFormat chart="44" format="56">
      <pivotArea type="data" outline="0" fieldPosition="0">
        <references count="4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6"/>
          </reference>
          <reference field="4" count="1" selected="0">
            <x v="3"/>
          </reference>
        </references>
      </pivotArea>
    </chartFormat>
    <chartFormat chart="44" format="57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6"/>
          </reference>
          <reference field="4" count="1" selected="0">
            <x v="3"/>
          </reference>
        </references>
      </pivotArea>
    </chartFormat>
    <chartFormat chart="44" format="58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6"/>
          </reference>
          <reference field="4" count="1" selected="0">
            <x v="3"/>
          </reference>
        </references>
      </pivotArea>
    </chartFormat>
    <chartFormat chart="44" format="59">
      <pivotArea type="data" outline="0" fieldPosition="0">
        <references count="4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6"/>
          </reference>
          <reference field="4" count="1" selected="0">
            <x v="3"/>
          </reference>
        </references>
      </pivotArea>
    </chartFormat>
    <chartFormat chart="44" format="60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  <reference field="4" count="1" selected="0">
            <x v="3"/>
          </reference>
        </references>
      </pivotArea>
    </chartFormat>
    <chartFormat chart="44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7"/>
          </reference>
          <reference field="4" count="1" selected="0">
            <x v="3"/>
          </reference>
        </references>
      </pivotArea>
    </chartFormat>
    <chartFormat chart="44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7"/>
          </reference>
          <reference field="4" count="1" selected="0">
            <x v="3"/>
          </reference>
        </references>
      </pivotArea>
    </chartFormat>
    <chartFormat chart="44" format="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7"/>
          </reference>
          <reference field="4" count="1" selected="0">
            <x v="3"/>
          </reference>
        </references>
      </pivotArea>
    </chartFormat>
    <chartFormat chart="44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7"/>
          </reference>
          <reference field="4" count="1" selected="0">
            <x v="3"/>
          </reference>
        </references>
      </pivotArea>
    </chartFormat>
    <chartFormat chart="44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7"/>
          </reference>
          <reference field="4" count="1" selected="0">
            <x v="3"/>
          </reference>
        </references>
      </pivotArea>
    </chartFormat>
    <chartFormat chart="44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68">
      <pivotArea type="data" outline="0" fieldPosition="0">
        <references count="4">
          <reference field="4294967294" count="1" selected="0">
            <x v="1"/>
          </reference>
          <reference field="0" count="1" selected="0">
            <x v="20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70">
      <pivotArea type="data" outline="0" fieldPosition="0">
        <references count="4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  <reference field="4" count="1" selected="0">
            <x v="3"/>
          </reference>
        </references>
      </pivotArea>
    </chartFormat>
    <chartFormat chart="44" format="73">
      <pivotArea type="data" outline="0" fieldPosition="0">
        <references count="4">
          <reference field="4294967294" count="1" selected="0">
            <x v="1"/>
          </reference>
          <reference field="0" count="1" selected="0">
            <x v="34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0">
      <pivotArea type="data" outline="0" fieldPosition="0">
        <references count="4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44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9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4" count="1" selected="0">
            <x v="3"/>
          </reference>
        </references>
      </pivotArea>
    </chartFormat>
    <chartFormat chart="44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  <reference field="4" count="1" selected="0">
            <x v="3"/>
          </reference>
        </references>
      </pivotArea>
    </chartFormat>
    <chartFormat chart="44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  <reference field="4" count="1" selected="0">
            <x v="3"/>
          </reference>
        </references>
      </pivotArea>
    </chartFormat>
    <chartFormat chart="44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  <reference field="4" count="1" selected="0">
            <x v="3"/>
          </reference>
        </references>
      </pivotArea>
    </chartFormat>
    <chartFormat chart="44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  <reference field="4" count="1" selected="0">
            <x v="3"/>
          </reference>
        </references>
      </pivotArea>
    </chartFormat>
    <chartFormat chart="44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  <reference field="4" count="1" selected="0">
            <x v="3"/>
          </reference>
        </references>
      </pivotArea>
    </chartFormat>
    <chartFormat chart="44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305F7-357C-490D-B38B-99B2F22971C7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Q1:T6" firstHeaderRow="0" firstDataRow="1" firstDataCol="1"/>
  <pivotFields count="28">
    <pivotField axis="axisRow" showAll="0" sortType="ascending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axis="axisRow" showAll="0" sortType="ascending">
      <items count="21">
        <item h="1" sd="0" x="1"/>
        <item h="1" sd="0" x="0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sd="0" x="15"/>
        <item sd="0" x="16"/>
        <item sd="0" x="17"/>
        <item sd="0" x="18"/>
        <item h="1" x="19"/>
        <item t="default"/>
      </items>
    </pivotField>
    <pivotField showAll="0"/>
    <pivotField showAll="0"/>
    <pivotField showAll="0">
      <items count="9">
        <item h="1" x="4"/>
        <item h="1" x="1"/>
        <item h="1" x="7"/>
        <item x="0"/>
        <item h="1" x="6"/>
        <item h="1" x="2"/>
        <item h="1" x="3"/>
        <item h="1" x="5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5"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Carg Út Diár. (t)" fld="14" baseField="1" baseItem="0"/>
    <dataField name="Soma de Meta Diária" fld="7" baseField="1" baseItem="0"/>
    <dataField name="Soma de Cascalho Real" fld="5" baseField="1" baseItem="0"/>
  </dataFields>
  <formats count="6">
    <format dxfId="6">
      <pivotArea outline="0" collapsedLevelsAreSubtotals="1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0" count="1">
            <x v="6"/>
          </reference>
          <reference field="1" count="1" selected="0">
            <x v="0"/>
          </reference>
        </references>
      </pivotArea>
    </format>
    <format dxfId="2">
      <pivotArea dataOnly="0" labelOnly="1" fieldPosition="0">
        <references count="2">
          <reference field="0" count="3">
            <x v="6"/>
            <x v="7"/>
            <x v="8"/>
          </reference>
          <reference field="1" count="1" selected="0">
            <x v="1"/>
          </reference>
        </references>
      </pivotArea>
    </format>
    <format dxfId="1">
      <pivotArea dataOnly="0" labelOnly="1" fieldPosition="0">
        <references count="2">
          <reference field="0" count="6">
            <x v="0"/>
            <x v="1"/>
            <x v="2"/>
            <x v="3"/>
            <x v="4"/>
            <x v="5"/>
          </reference>
          <reference field="1" count="0" selected="0"/>
        </references>
      </pivotArea>
    </format>
  </formats>
  <chartFormats count="7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0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5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5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5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25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25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25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25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5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5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25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25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25" format="34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25" format="3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5" format="3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5" format="37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5" format="38">
      <pivotArea type="data" outline="0" fieldPosition="0">
        <references count="3">
          <reference field="4294967294" count="1" selected="0">
            <x v="1"/>
          </reference>
          <reference field="0" count="1" selected="0">
            <x v="84"/>
          </reference>
          <reference field="1" count="1" selected="0">
            <x v="13"/>
          </reference>
        </references>
      </pivotArea>
    </chartFormat>
    <chartFormat chart="25" format="39">
      <pivotArea type="data" outline="0" fieldPosition="0">
        <references count="3">
          <reference field="4294967294" count="1" selected="0">
            <x v="1"/>
          </reference>
          <reference field="0" count="1" selected="0">
            <x v="85"/>
          </reference>
          <reference field="1" count="1" selected="0">
            <x v="13"/>
          </reference>
        </references>
      </pivotArea>
    </chartFormat>
    <chartFormat chart="25" format="40">
      <pivotArea type="data" outline="0" fieldPosition="0">
        <references count="3">
          <reference field="4294967294" count="1" selected="0">
            <x v="1"/>
          </reference>
          <reference field="0" count="1" selected="0">
            <x v="86"/>
          </reference>
          <reference field="1" count="1" selected="0">
            <x v="13"/>
          </reference>
        </references>
      </pivotArea>
    </chartFormat>
    <chartFormat chart="25" format="41">
      <pivotArea type="data" outline="0" fieldPosition="0">
        <references count="3">
          <reference field="4294967294" count="1" selected="0">
            <x v="1"/>
          </reference>
          <reference field="0" count="1" selected="0">
            <x v="87"/>
          </reference>
          <reference field="1" count="1" selected="0">
            <x v="13"/>
          </reference>
        </references>
      </pivotArea>
    </chartFormat>
    <chartFormat chart="25" format="42">
      <pivotArea type="data" outline="0" fieldPosition="0">
        <references count="3">
          <reference field="4294967294" count="1" selected="0">
            <x v="1"/>
          </reference>
          <reference field="0" count="1" selected="0">
            <x v="88"/>
          </reference>
          <reference field="1" count="1" selected="0">
            <x v="13"/>
          </reference>
        </references>
      </pivotArea>
    </chartFormat>
    <chartFormat chart="25" format="43">
      <pivotArea type="data" outline="0" fieldPosition="0">
        <references count="3">
          <reference field="4294967294" count="1" selected="0">
            <x v="1"/>
          </reference>
          <reference field="0" count="1" selected="0">
            <x v="89"/>
          </reference>
          <reference field="1" count="1" selected="0">
            <x v="13"/>
          </reference>
        </references>
      </pivotArea>
    </chartFormat>
    <chartFormat chart="25" format="44">
      <pivotArea type="data" outline="0" fieldPosition="0">
        <references count="3">
          <reference field="4294967294" count="1" selected="0">
            <x v="1"/>
          </reference>
          <reference field="0" count="1" selected="0">
            <x v="90"/>
          </reference>
          <reference field="1" count="1" selected="0">
            <x v="13"/>
          </reference>
        </references>
      </pivotArea>
    </chartFormat>
    <chartFormat chart="25" format="45">
      <pivotArea type="data" outline="0" fieldPosition="0">
        <references count="3">
          <reference field="4294967294" count="1" selected="0">
            <x v="1"/>
          </reference>
          <reference field="0" count="1" selected="0">
            <x v="91"/>
          </reference>
          <reference field="1" count="1" selected="0">
            <x v="14"/>
          </reference>
        </references>
      </pivotArea>
    </chartFormat>
    <chartFormat chart="25" format="46">
      <pivotArea type="data" outline="0" fieldPosition="0">
        <references count="3">
          <reference field="4294967294" count="1" selected="0">
            <x v="1"/>
          </reference>
          <reference field="0" count="1" selected="0">
            <x v="92"/>
          </reference>
          <reference field="1" count="1" selected="0">
            <x v="14"/>
          </reference>
        </references>
      </pivotArea>
    </chartFormat>
    <chartFormat chart="25" format="47">
      <pivotArea type="data" outline="0" fieldPosition="0">
        <references count="3">
          <reference field="4294967294" count="1" selected="0">
            <x v="1"/>
          </reference>
          <reference field="0" count="1" selected="0">
            <x v="93"/>
          </reference>
          <reference field="1" count="1" selected="0">
            <x v="14"/>
          </reference>
        </references>
      </pivotArea>
    </chartFormat>
    <chartFormat chart="25" format="48">
      <pivotArea type="data" outline="0" fieldPosition="0">
        <references count="3">
          <reference field="4294967294" count="1" selected="0">
            <x v="1"/>
          </reference>
          <reference field="0" count="1" selected="0">
            <x v="94"/>
          </reference>
          <reference field="1" count="1" selected="0">
            <x v="14"/>
          </reference>
        </references>
      </pivotArea>
    </chartFormat>
    <chartFormat chart="25" format="49">
      <pivotArea type="data" outline="0" fieldPosition="0">
        <references count="3">
          <reference field="4294967294" count="1" selected="0">
            <x v="1"/>
          </reference>
          <reference field="0" count="1" selected="0">
            <x v="95"/>
          </reference>
          <reference field="1" count="1" selected="0">
            <x v="14"/>
          </reference>
        </references>
      </pivotArea>
    </chartFormat>
    <chartFormat chart="25" format="50">
      <pivotArea type="data" outline="0" fieldPosition="0">
        <references count="3">
          <reference field="4294967294" count="1" selected="0">
            <x v="1"/>
          </reference>
          <reference field="0" count="1" selected="0">
            <x v="96"/>
          </reference>
          <reference field="1" count="1" selected="0">
            <x v="14"/>
          </reference>
        </references>
      </pivotArea>
    </chartFormat>
    <chartFormat chart="25" format="51">
      <pivotArea type="data" outline="0" fieldPosition="0">
        <references count="3">
          <reference field="4294967294" count="1" selected="0">
            <x v="1"/>
          </reference>
          <reference field="0" count="1" selected="0">
            <x v="97"/>
          </reference>
          <reference field="1" count="1" selected="0">
            <x v="14"/>
          </reference>
        </references>
      </pivotArea>
    </chartFormat>
    <chartFormat chart="25" format="52">
      <pivotArea type="data" outline="0" fieldPosition="0">
        <references count="3">
          <reference field="4294967294" count="1" selected="0">
            <x v="1"/>
          </reference>
          <reference field="0" count="1" selected="0">
            <x v="98"/>
          </reference>
          <reference field="1" count="1" selected="0">
            <x v="15"/>
          </reference>
        </references>
      </pivotArea>
    </chartFormat>
    <chartFormat chart="25" format="53">
      <pivotArea type="data" outline="0" fieldPosition="0">
        <references count="3">
          <reference field="4294967294" count="1" selected="0">
            <x v="1"/>
          </reference>
          <reference field="0" count="1" selected="0">
            <x v="99"/>
          </reference>
          <reference field="1" count="1" selected="0">
            <x v="15"/>
          </reference>
        </references>
      </pivotArea>
    </chartFormat>
    <chartFormat chart="25" format="54">
      <pivotArea type="data" outline="0" fieldPosition="0">
        <references count="3">
          <reference field="4294967294" count="1" selected="0">
            <x v="1"/>
          </reference>
          <reference field="0" count="1" selected="0">
            <x v="100"/>
          </reference>
          <reference field="1" count="1" selected="0">
            <x v="15"/>
          </reference>
        </references>
      </pivotArea>
    </chartFormat>
    <chartFormat chart="25" format="55">
      <pivotArea type="data" outline="0" fieldPosition="0">
        <references count="3">
          <reference field="4294967294" count="1" selected="0">
            <x v="1"/>
          </reference>
          <reference field="0" count="1" selected="0">
            <x v="101"/>
          </reference>
          <reference field="1" count="1" selected="0">
            <x v="15"/>
          </reference>
        </references>
      </pivotArea>
    </chartFormat>
    <chartFormat chart="25" format="56">
      <pivotArea type="data" outline="0" fieldPosition="0">
        <references count="3">
          <reference field="4294967294" count="1" selected="0">
            <x v="1"/>
          </reference>
          <reference field="0" count="1" selected="0">
            <x v="102"/>
          </reference>
          <reference field="1" count="1" selected="0">
            <x v="15"/>
          </reference>
        </references>
      </pivotArea>
    </chartFormat>
    <chartFormat chart="25" format="57">
      <pivotArea type="data" outline="0" fieldPosition="0">
        <references count="3">
          <reference field="4294967294" count="1" selected="0">
            <x v="1"/>
          </reference>
          <reference field="0" count="1" selected="0">
            <x v="103"/>
          </reference>
          <reference field="1" count="1" selected="0">
            <x v="15"/>
          </reference>
        </references>
      </pivotArea>
    </chartFormat>
    <chartFormat chart="25" format="58">
      <pivotArea type="data" outline="0" fieldPosition="0">
        <references count="3">
          <reference field="4294967294" count="1" selected="0">
            <x v="1"/>
          </reference>
          <reference field="0" count="1" selected="0">
            <x v="105"/>
          </reference>
          <reference field="1" count="1" selected="0">
            <x v="16"/>
          </reference>
        </references>
      </pivotArea>
    </chartFormat>
    <chartFormat chart="25" format="59">
      <pivotArea type="data" outline="0" fieldPosition="0">
        <references count="3">
          <reference field="4294967294" count="1" selected="0">
            <x v="1"/>
          </reference>
          <reference field="0" count="1" selected="0">
            <x v="106"/>
          </reference>
          <reference field="1" count="1" selected="0">
            <x v="16"/>
          </reference>
        </references>
      </pivotArea>
    </chartFormat>
    <chartFormat chart="25" format="60">
      <pivotArea type="data" outline="0" fieldPosition="0">
        <references count="3">
          <reference field="4294967294" count="1" selected="0">
            <x v="1"/>
          </reference>
          <reference field="0" count="1" selected="0">
            <x v="107"/>
          </reference>
          <reference field="1" count="1" selected="0">
            <x v="16"/>
          </reference>
        </references>
      </pivotArea>
    </chartFormat>
    <chartFormat chart="25" format="6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8"/>
          </reference>
          <reference field="1" count="1" selected="0">
            <x v="16"/>
          </reference>
        </references>
      </pivotArea>
    </chartFormat>
    <chartFormat chart="25" format="62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25" format="63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F95BE-55FA-44DC-82F5-71C54A77611C}" name="Tabela dinâmica1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3:C11" firstHeaderRow="0" firstDataRow="1" firstDataCol="1"/>
  <pivotFields count="11">
    <pivotField axis="axisRow" numFmtId="14" showAll="0">
      <items count="25">
        <item x="11"/>
        <item x="12"/>
        <item x="13"/>
        <item x="14"/>
        <item x="15"/>
        <item x="16"/>
        <item x="6"/>
        <item x="7"/>
        <item x="8"/>
        <item x="9"/>
        <item x="10"/>
        <item x="0"/>
        <item x="1"/>
        <item x="2"/>
        <item x="3"/>
        <item x="4"/>
        <item x="5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6">
        <item h="1" sd="0" x="2"/>
        <item h="1" sd="0" x="1"/>
        <item h="1" sd="0" x="0"/>
        <item x="3"/>
        <item h="1" x="4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2" showAll="0"/>
    <pivotField dataField="1" numFmtId="2" showAll="0"/>
  </pivotFields>
  <rowFields count="2">
    <field x="1"/>
    <field x="0"/>
  </rowFields>
  <rowItems count="8">
    <i>
      <x v="3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Meta Diária" fld="10" baseField="0" baseItem="0" numFmtId="2"/>
    <dataField name="Soma de Viagens/Hora" fld="9" baseField="0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437EC-4293-4479-BEB6-7220E54091A3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O3:Q9" firstHeaderRow="0" firstDataRow="1" firstDataCol="1"/>
  <pivotFields count="11"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Meta Diária" fld="10" baseField="0" baseItem="0"/>
    <dataField name="Soma de Viagens/Hora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DDF1D966-E1F1-44E3-A1FB-2C3873C37EEC}" sourceName="Semana">
  <pivotTables>
    <pivotTable tabId="2" name="Tabela dinâmica1"/>
  </pivotTables>
  <data>
    <tabular pivotCacheId="1021928716">
      <items count="21">
        <i x="1"/>
        <i x="0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 s="1"/>
        <i x="20" nd="1"/>
        <i x="19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_de_Atuação" xr10:uid="{9CE2DB49-7876-4C64-B3E2-542CFD3FFDD4}" sourceName="Local de Atuação">
  <pivotTables>
    <pivotTable tabId="2" name="Tabela dinâmica1"/>
  </pivotTables>
  <data>
    <tabular pivotCacheId="1021928716">
      <items count="8">
        <i x="7"/>
        <i x="0"/>
        <i x="6"/>
        <i x="2" s="1"/>
        <i x="4" nd="1"/>
        <i x="1" nd="1"/>
        <i x="3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1" xr10:uid="{355F803D-DFE5-4BA5-9A66-DCB378B3084F}" sourceName="Semana">
  <pivotTables>
    <pivotTable tabId="2" name="Tabela dinâmica4"/>
  </pivotTables>
  <data>
    <tabular pivotCacheId="1048781486">
      <items count="20">
        <i x="1"/>
        <i x="0"/>
        <i x="2"/>
        <i x="3"/>
        <i x="4"/>
        <i x="5"/>
        <i x="6"/>
        <i x="7"/>
        <i x="8"/>
        <i x="9"/>
        <i x="10"/>
        <i x="11"/>
        <i x="12"/>
        <i x="13"/>
        <i x="14"/>
        <i x="15" s="1"/>
        <i x="16" s="1"/>
        <i x="17" s="1"/>
        <i x="18" s="1"/>
        <i x="19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_de_Atuação1" xr10:uid="{6BD7856A-7B65-43B9-BD06-54A3486105D0}" sourceName="Local de Atuação">
  <pivotTables>
    <pivotTable tabId="2" name="Tabela dinâmica4"/>
  </pivotTables>
  <data>
    <tabular pivotCacheId="1048781486">
      <items count="8">
        <i x="7"/>
        <i x="0" s="1"/>
        <i x="6"/>
        <i x="2"/>
        <i x="4" nd="1"/>
        <i x="1" nd="1"/>
        <i x="3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" xr10:uid="{DB7C3C62-C8B2-4AEF-923C-6B10D7540D48}" cache="SegmentaçãodeDados_Semana" caption="Semana" startItem="13" rowHeight="222250"/>
  <slicer name="Local de Atuação" xr10:uid="{E6D48646-213D-4BE6-B6AB-F1BABCF6B27E}" cache="SegmentaçãodeDados_Local_de_Atuação" caption="Local de Atuação" rowHeight="222250"/>
  <slicer name="Semana 1" xr10:uid="{6FCE4A4B-877A-4C49-A6A2-203BD952CB01}" cache="SegmentaçãodeDados_Semana1" caption="Semana" startItem="12" rowHeight="209550"/>
  <slicer name="Local de Atuação 1" xr10:uid="{E43D4055-A0EA-476D-B643-28503D42D99F}" cache="SegmentaçãodeDados_Local_de_Atuação1" caption="Local de Atuação" rowHeight="2095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3627-E5B0-4B5F-8FFB-89CB1988D2DF}">
  <dimension ref="A1:AA33"/>
  <sheetViews>
    <sheetView showGridLines="0" view="pageBreakPreview" zoomScaleNormal="100" zoomScaleSheetLayoutView="100" workbookViewId="0">
      <selection activeCell="Q10" sqref="Q10"/>
    </sheetView>
  </sheetViews>
  <sheetFormatPr defaultColWidth="8.6640625" defaultRowHeight="13.8" x14ac:dyDescent="0.3"/>
  <cols>
    <col min="1" max="1" width="3" customWidth="1"/>
    <col min="7" max="7" width="11.33203125" customWidth="1"/>
    <col min="9" max="9" width="10.6640625" customWidth="1"/>
    <col min="14" max="14" width="5.6640625" customWidth="1"/>
    <col min="16" max="16" width="15.6640625" customWidth="1"/>
    <col min="20" max="20" width="32.6640625" bestFit="1" customWidth="1"/>
    <col min="21" max="24" width="10.6640625" bestFit="1" customWidth="1"/>
    <col min="25" max="26" width="12.33203125" customWidth="1"/>
    <col min="27" max="27" width="10.44140625" bestFit="1" customWidth="1"/>
  </cols>
  <sheetData>
    <row r="1" spans="1:27" ht="42" customHeight="1" x14ac:dyDescent="0.3"/>
    <row r="2" spans="1:27" ht="18" x14ac:dyDescent="0.3">
      <c r="B2" s="61" t="s">
        <v>0</v>
      </c>
      <c r="C2" s="83">
        <v>46265</v>
      </c>
      <c r="D2" s="83"/>
      <c r="E2" s="62" t="s">
        <v>1</v>
      </c>
      <c r="F2" s="83">
        <v>46270</v>
      </c>
      <c r="G2" s="83"/>
      <c r="H2" s="61"/>
      <c r="I2" s="84" t="s">
        <v>2</v>
      </c>
      <c r="J2" s="84"/>
      <c r="K2" s="61">
        <f>_xlfn.ISOWEEKNUM(C2)</f>
        <v>36</v>
      </c>
      <c r="L2" s="61" t="s">
        <v>1</v>
      </c>
      <c r="M2" s="61">
        <f>_xlfn.ISOWEEKNUM(F2)</f>
        <v>36</v>
      </c>
      <c r="U2" s="63"/>
      <c r="V2" s="63"/>
      <c r="W2" s="63"/>
      <c r="X2" s="63"/>
      <c r="Y2" s="63"/>
      <c r="Z2" s="63"/>
      <c r="AA2" s="63"/>
    </row>
    <row r="3" spans="1:27" x14ac:dyDescent="0.3">
      <c r="C3" t="s">
        <v>3</v>
      </c>
      <c r="U3" s="64"/>
      <c r="V3" s="64"/>
      <c r="W3" s="64"/>
      <c r="X3" s="64"/>
      <c r="Y3" s="64"/>
      <c r="Z3" s="64"/>
    </row>
    <row r="4" spans="1:27" ht="14.4" x14ac:dyDescent="0.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U4" s="65"/>
      <c r="V4" s="65"/>
      <c r="W4" s="65"/>
      <c r="X4" s="65"/>
      <c r="Y4" s="65"/>
      <c r="Z4" s="65"/>
      <c r="AA4" s="65"/>
    </row>
    <row r="5" spans="1:27" x14ac:dyDescent="0.3">
      <c r="U5" s="65"/>
      <c r="V5" s="65"/>
      <c r="W5" s="65"/>
      <c r="X5" s="65"/>
      <c r="Y5" s="65"/>
      <c r="Z5" s="65"/>
      <c r="AA5" s="65"/>
    </row>
    <row r="6" spans="1:27" x14ac:dyDescent="0.3">
      <c r="U6" s="66"/>
      <c r="V6" s="66"/>
      <c r="W6" s="66"/>
      <c r="X6" s="66"/>
      <c r="Y6" s="52"/>
      <c r="Z6" s="52"/>
    </row>
    <row r="7" spans="1:27" x14ac:dyDescent="0.3">
      <c r="U7" s="66"/>
      <c r="V7" s="66"/>
      <c r="W7" s="66"/>
      <c r="X7" s="66"/>
      <c r="Y7" s="52"/>
      <c r="Z7" s="52"/>
    </row>
    <row r="8" spans="1:27" x14ac:dyDescent="0.3">
      <c r="U8" s="67"/>
      <c r="V8" s="67"/>
      <c r="W8" s="67"/>
      <c r="X8" s="67"/>
      <c r="Y8" s="52"/>
      <c r="Z8" s="52"/>
    </row>
    <row r="9" spans="1:27" x14ac:dyDescent="0.3">
      <c r="U9" s="67"/>
      <c r="V9" s="67"/>
      <c r="W9" s="67"/>
      <c r="X9" s="67"/>
      <c r="Y9" s="52"/>
      <c r="Z9" s="52"/>
    </row>
    <row r="10" spans="1:27" x14ac:dyDescent="0.3">
      <c r="U10" s="67"/>
      <c r="V10" s="67"/>
      <c r="W10" s="67"/>
      <c r="X10" s="67"/>
      <c r="Y10" s="52"/>
      <c r="Z10" s="52"/>
    </row>
    <row r="11" spans="1:27" x14ac:dyDescent="0.3">
      <c r="U11" s="67"/>
      <c r="V11" s="67"/>
      <c r="W11" s="67"/>
      <c r="X11" s="67"/>
      <c r="Y11" s="52"/>
      <c r="Z11" s="52"/>
    </row>
    <row r="12" spans="1:27" x14ac:dyDescent="0.3">
      <c r="U12" s="67"/>
      <c r="V12" s="67"/>
      <c r="W12" s="67"/>
      <c r="X12" s="67"/>
      <c r="Y12" s="52"/>
      <c r="Z12" s="52"/>
    </row>
    <row r="13" spans="1:27" ht="24.75" customHeight="1" x14ac:dyDescent="0.3">
      <c r="U13" s="67"/>
      <c r="V13" s="67"/>
      <c r="W13" s="67"/>
      <c r="X13" s="67"/>
      <c r="Y13" s="52"/>
      <c r="Z13" s="52"/>
    </row>
    <row r="14" spans="1:27" ht="24.75" customHeight="1" x14ac:dyDescent="0.3">
      <c r="U14" s="67"/>
      <c r="V14" s="67"/>
      <c r="W14" s="67"/>
      <c r="X14" s="67"/>
      <c r="Y14" s="52"/>
      <c r="Z14" s="52"/>
    </row>
    <row r="15" spans="1:27" ht="24.75" customHeight="1" x14ac:dyDescent="0.3">
      <c r="U15" s="67"/>
      <c r="V15" s="67"/>
      <c r="W15" s="67"/>
      <c r="X15" s="67"/>
      <c r="Y15" s="52"/>
      <c r="Z15" s="52"/>
    </row>
    <row r="16" spans="1:27" ht="24.75" customHeight="1" x14ac:dyDescent="0.3">
      <c r="U16" s="52"/>
      <c r="V16" s="52"/>
      <c r="W16" s="52"/>
      <c r="X16" s="52"/>
      <c r="Y16" s="52"/>
      <c r="Z16" s="52"/>
    </row>
    <row r="17" ht="24.75" customHeight="1" x14ac:dyDescent="0.3"/>
    <row r="18" ht="24.75" customHeight="1" x14ac:dyDescent="0.3"/>
    <row r="19" ht="24.75" customHeight="1" x14ac:dyDescent="0.3"/>
    <row r="20" ht="24.75" customHeight="1" x14ac:dyDescent="0.3"/>
    <row r="21" ht="24.75" customHeight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</sheetData>
  <mergeCells count="4">
    <mergeCell ref="C2:D2"/>
    <mergeCell ref="F2:G2"/>
    <mergeCell ref="I2:J2"/>
    <mergeCell ref="A4:P4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CFE2-5B15-4A1B-86E8-00C1A8835DFB}">
  <dimension ref="A1:AA33"/>
  <sheetViews>
    <sheetView showGridLines="0" view="pageBreakPreview" zoomScale="90" zoomScaleNormal="100" zoomScaleSheetLayoutView="90" workbookViewId="0">
      <selection activeCell="T4" sqref="T4"/>
    </sheetView>
  </sheetViews>
  <sheetFormatPr defaultColWidth="8.6640625" defaultRowHeight="13.8" x14ac:dyDescent="0.3"/>
  <cols>
    <col min="1" max="1" width="3" customWidth="1"/>
    <col min="7" max="7" width="11.33203125" customWidth="1"/>
    <col min="9" max="9" width="10.6640625" customWidth="1"/>
    <col min="14" max="14" width="5.6640625" customWidth="1"/>
    <col min="16" max="16" width="15.6640625" customWidth="1"/>
    <col min="20" max="20" width="32.6640625" bestFit="1" customWidth="1"/>
    <col min="21" max="24" width="10.6640625" bestFit="1" customWidth="1"/>
    <col min="25" max="26" width="12.33203125" customWidth="1"/>
    <col min="27" max="27" width="10.44140625" bestFit="1" customWidth="1"/>
  </cols>
  <sheetData>
    <row r="1" spans="1:27" ht="42" customHeight="1" x14ac:dyDescent="0.3"/>
    <row r="2" spans="1:27" ht="18" x14ac:dyDescent="0.3">
      <c r="B2" s="61" t="s">
        <v>0</v>
      </c>
      <c r="C2" s="83">
        <v>46244</v>
      </c>
      <c r="D2" s="83"/>
      <c r="E2" s="62" t="s">
        <v>1</v>
      </c>
      <c r="F2" s="83">
        <v>46271</v>
      </c>
      <c r="G2" s="83"/>
      <c r="H2" s="61"/>
      <c r="I2" s="84" t="s">
        <v>2</v>
      </c>
      <c r="J2" s="84"/>
      <c r="K2" s="61">
        <f>_xlfn.ISOWEEKNUM(C2)</f>
        <v>33</v>
      </c>
      <c r="L2" s="61" t="s">
        <v>1</v>
      </c>
      <c r="M2" s="61">
        <f>_xlfn.ISOWEEKNUM(F2)</f>
        <v>36</v>
      </c>
      <c r="U2" s="63"/>
      <c r="V2" s="63"/>
      <c r="W2" s="63"/>
      <c r="X2" s="63"/>
      <c r="Y2" s="63"/>
      <c r="Z2" s="63"/>
      <c r="AA2" s="63"/>
    </row>
    <row r="3" spans="1:27" x14ac:dyDescent="0.3">
      <c r="U3" s="64"/>
      <c r="V3" s="64"/>
      <c r="W3" s="64"/>
      <c r="X3" s="64"/>
      <c r="Y3" s="64"/>
      <c r="Z3" s="64"/>
    </row>
    <row r="4" spans="1:27" ht="14.4" x14ac:dyDescent="0.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U4" s="65"/>
      <c r="V4" s="65"/>
      <c r="W4" s="65"/>
      <c r="X4" s="65"/>
      <c r="Y4" s="65"/>
      <c r="Z4" s="65"/>
      <c r="AA4" s="65"/>
    </row>
    <row r="5" spans="1:27" x14ac:dyDescent="0.3">
      <c r="U5" s="65"/>
      <c r="V5" s="65"/>
      <c r="W5" s="65"/>
      <c r="X5" s="65"/>
      <c r="Y5" s="65"/>
      <c r="Z5" s="65"/>
      <c r="AA5" s="65"/>
    </row>
    <row r="6" spans="1:27" x14ac:dyDescent="0.3">
      <c r="U6" s="66"/>
      <c r="V6" s="66"/>
      <c r="W6" s="66"/>
      <c r="X6" s="66"/>
      <c r="Y6" s="52"/>
      <c r="Z6" s="52"/>
    </row>
    <row r="7" spans="1:27" x14ac:dyDescent="0.3">
      <c r="U7" s="66"/>
      <c r="V7" s="66"/>
      <c r="W7" s="66"/>
      <c r="X7" s="66"/>
      <c r="Y7" s="52"/>
      <c r="Z7" s="52"/>
    </row>
    <row r="8" spans="1:27" x14ac:dyDescent="0.3">
      <c r="U8" s="67"/>
      <c r="V8" s="67"/>
      <c r="W8" s="67"/>
      <c r="X8" s="67"/>
      <c r="Y8" s="52"/>
      <c r="Z8" s="52"/>
    </row>
    <row r="9" spans="1:27" x14ac:dyDescent="0.3">
      <c r="U9" s="67"/>
      <c r="V9" s="67"/>
      <c r="W9" s="67"/>
      <c r="X9" s="67"/>
      <c r="Y9" s="52"/>
      <c r="Z9" s="52"/>
    </row>
    <row r="10" spans="1:27" x14ac:dyDescent="0.3">
      <c r="U10" s="67"/>
      <c r="V10" s="67"/>
      <c r="W10" s="67"/>
      <c r="X10" s="67"/>
      <c r="Y10" s="52"/>
      <c r="Z10" s="52"/>
    </row>
    <row r="11" spans="1:27" x14ac:dyDescent="0.3">
      <c r="U11" s="67"/>
      <c r="V11" s="67"/>
      <c r="W11" s="67"/>
      <c r="X11" s="67"/>
      <c r="Y11" s="52"/>
      <c r="Z11" s="52"/>
    </row>
    <row r="12" spans="1:27" x14ac:dyDescent="0.3">
      <c r="U12" s="67"/>
      <c r="V12" s="67"/>
      <c r="W12" s="67"/>
      <c r="X12" s="67"/>
      <c r="Y12" s="52"/>
      <c r="Z12" s="52"/>
    </row>
    <row r="13" spans="1:27" ht="24.75" customHeight="1" x14ac:dyDescent="0.3">
      <c r="U13" s="67"/>
      <c r="V13" s="67"/>
      <c r="W13" s="67"/>
      <c r="X13" s="67"/>
      <c r="Y13" s="52"/>
      <c r="Z13" s="52"/>
    </row>
    <row r="14" spans="1:27" ht="24.75" customHeight="1" x14ac:dyDescent="0.3">
      <c r="U14" s="67"/>
      <c r="V14" s="67"/>
      <c r="W14" s="67"/>
      <c r="X14" s="67"/>
      <c r="Y14" s="52"/>
      <c r="Z14" s="52"/>
    </row>
    <row r="15" spans="1:27" ht="24.75" customHeight="1" x14ac:dyDescent="0.3">
      <c r="U15" s="67"/>
      <c r="V15" s="67"/>
      <c r="W15" s="67"/>
      <c r="X15" s="67"/>
      <c r="Y15" s="52"/>
      <c r="Z15" s="52"/>
    </row>
    <row r="16" spans="1:27" ht="24.75" customHeight="1" x14ac:dyDescent="0.3">
      <c r="U16" s="52"/>
      <c r="V16" s="52"/>
      <c r="W16" s="52"/>
      <c r="X16" s="52"/>
      <c r="Y16" s="52"/>
      <c r="Z16" s="52"/>
    </row>
    <row r="17" ht="24.75" customHeight="1" x14ac:dyDescent="0.3"/>
    <row r="18" ht="24.75" customHeight="1" x14ac:dyDescent="0.3"/>
    <row r="19" ht="24.75" customHeight="1" x14ac:dyDescent="0.3"/>
    <row r="20" ht="24.75" customHeight="1" x14ac:dyDescent="0.3"/>
    <row r="21" ht="24.75" customHeight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</sheetData>
  <mergeCells count="4">
    <mergeCell ref="C2:D2"/>
    <mergeCell ref="F2:G2"/>
    <mergeCell ref="I2:J2"/>
    <mergeCell ref="A4:P4"/>
  </mergeCells>
  <pageMargins left="0.51181102362204722" right="0.51181102362204722" top="0.78740157480314965" bottom="0.78740157480314965" header="0.31496062992125984" footer="0.31496062992125984"/>
  <pageSetup paperSize="9" scale="10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834"/>
  <sheetViews>
    <sheetView tabSelected="1" zoomScaleNormal="100" workbookViewId="0">
      <pane ySplit="4" topLeftCell="A853" activePane="bottomLeft" state="frozen"/>
      <selection pane="bottomLeft" activeCell="F1015" sqref="F1015"/>
    </sheetView>
  </sheetViews>
  <sheetFormatPr defaultColWidth="9.109375" defaultRowHeight="14.4" x14ac:dyDescent="0.3"/>
  <cols>
    <col min="1" max="1" width="16.109375" style="53" customWidth="1"/>
    <col min="2" max="5" width="20.6640625" style="1" customWidth="1"/>
    <col min="6" max="6" width="15" style="41" customWidth="1"/>
    <col min="7" max="7" width="10.88671875" style="57" customWidth="1"/>
    <col min="8" max="8" width="16" style="1" customWidth="1"/>
    <col min="9" max="9" width="20.44140625" style="1" customWidth="1"/>
    <col min="10" max="12" width="20.6640625" style="1" customWidth="1"/>
    <col min="13" max="13" width="21.6640625" style="1" customWidth="1"/>
    <col min="14" max="14" width="20.6640625" style="1" customWidth="1"/>
    <col min="15" max="15" width="20.6640625" style="80" customWidth="1"/>
    <col min="16" max="19" width="20.6640625" style="1" customWidth="1"/>
    <col min="20" max="20" width="26" style="1" customWidth="1"/>
    <col min="21" max="21" width="20.6640625" style="1" customWidth="1"/>
    <col min="22" max="22" width="23.6640625" style="1" customWidth="1"/>
    <col min="23" max="24" width="20.6640625" style="1" customWidth="1"/>
    <col min="25" max="25" width="23" style="1" customWidth="1"/>
    <col min="26" max="27" width="20.6640625" style="1" customWidth="1"/>
    <col min="28" max="28" width="22.44140625" style="1" customWidth="1"/>
    <col min="29" max="29" width="9.109375" style="1" customWidth="1"/>
    <col min="30" max="16384" width="9.109375" style="1"/>
  </cols>
  <sheetData>
    <row r="1" spans="1:28" x14ac:dyDescent="0.3">
      <c r="A1" s="53" t="s">
        <v>4</v>
      </c>
      <c r="O1" s="75"/>
    </row>
    <row r="2" spans="1:28" x14ac:dyDescent="0.3">
      <c r="A2" s="53" t="s">
        <v>5</v>
      </c>
      <c r="H2" s="1">
        <f>15000/7</f>
        <v>2142.8571428571427</v>
      </c>
      <c r="O2" s="75"/>
    </row>
    <row r="3" spans="1:28" x14ac:dyDescent="0.3">
      <c r="A3" s="53" t="s">
        <v>6</v>
      </c>
      <c r="O3" s="75"/>
    </row>
    <row r="4" spans="1:28" x14ac:dyDescent="0.3">
      <c r="A4" s="54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5" t="s">
        <v>12</v>
      </c>
      <c r="G4" s="58" t="s">
        <v>13</v>
      </c>
      <c r="H4" s="5" t="s">
        <v>14</v>
      </c>
      <c r="I4" s="5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76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  <c r="X4" s="3" t="s">
        <v>30</v>
      </c>
      <c r="Y4" s="3" t="s">
        <v>31</v>
      </c>
      <c r="Z4" s="3" t="s">
        <v>32</v>
      </c>
      <c r="AA4" s="3" t="s">
        <v>33</v>
      </c>
      <c r="AB4" s="3" t="s">
        <v>34</v>
      </c>
    </row>
    <row r="5" spans="1:28" s="45" customFormat="1" hidden="1" x14ac:dyDescent="0.3">
      <c r="A5" s="4">
        <v>46146</v>
      </c>
      <c r="B5" s="8" t="s">
        <v>35</v>
      </c>
      <c r="C5" s="8" t="s">
        <v>36</v>
      </c>
      <c r="D5" s="7" t="s">
        <v>37</v>
      </c>
      <c r="E5" s="7" t="s">
        <v>38</v>
      </c>
      <c r="F5" s="13">
        <v>4279.07</v>
      </c>
      <c r="G5" s="59"/>
      <c r="H5" s="6">
        <f>24000/6</f>
        <v>4000</v>
      </c>
      <c r="I5" s="6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77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hidden="1" x14ac:dyDescent="0.3">
      <c r="A6" s="4">
        <v>46146</v>
      </c>
      <c r="B6" s="8" t="s">
        <v>35</v>
      </c>
      <c r="C6" s="8" t="s">
        <v>36</v>
      </c>
      <c r="D6" s="7" t="s">
        <v>39</v>
      </c>
      <c r="E6" s="7" t="s">
        <v>40</v>
      </c>
      <c r="F6" s="13">
        <v>0</v>
      </c>
      <c r="G6" s="59" t="s">
        <v>41</v>
      </c>
      <c r="H6" s="6" t="s">
        <v>42</v>
      </c>
      <c r="I6" s="6"/>
      <c r="J6" s="2">
        <v>7.94</v>
      </c>
      <c r="K6" s="2">
        <v>5.19</v>
      </c>
      <c r="L6" s="2">
        <v>2.75</v>
      </c>
      <c r="M6" s="2">
        <v>34.65</v>
      </c>
      <c r="N6" s="2">
        <v>627</v>
      </c>
      <c r="O6" s="56"/>
      <c r="P6" s="2">
        <v>2247941.5</v>
      </c>
      <c r="Q6" s="2">
        <v>13122113.380000001</v>
      </c>
      <c r="R6" s="2">
        <v>107.41</v>
      </c>
      <c r="S6" s="2">
        <v>10.41</v>
      </c>
      <c r="T6" s="2">
        <v>3.79</v>
      </c>
      <c r="U6" s="2">
        <v>97</v>
      </c>
      <c r="V6" s="2">
        <v>18.71</v>
      </c>
      <c r="W6" s="2">
        <v>8845.2199999999993</v>
      </c>
      <c r="X6" s="2">
        <v>51513</v>
      </c>
      <c r="Y6" s="2">
        <v>1409530176</v>
      </c>
      <c r="Z6" s="2">
        <v>0.2</v>
      </c>
      <c r="AA6" s="2">
        <v>0</v>
      </c>
      <c r="AB6" s="2">
        <v>254.5</v>
      </c>
    </row>
    <row r="7" spans="1:28" hidden="1" x14ac:dyDescent="0.3">
      <c r="A7" s="4">
        <v>46146</v>
      </c>
      <c r="B7" s="8" t="s">
        <v>35</v>
      </c>
      <c r="C7" s="8" t="s">
        <v>36</v>
      </c>
      <c r="D7" s="7" t="s">
        <v>43</v>
      </c>
      <c r="E7" s="7" t="s">
        <v>40</v>
      </c>
      <c r="F7" s="13">
        <v>0</v>
      </c>
      <c r="G7" s="59" t="s">
        <v>44</v>
      </c>
      <c r="H7" s="6" t="s">
        <v>42</v>
      </c>
      <c r="I7" s="6">
        <f>IFERROR(O7/K7,)</f>
        <v>0</v>
      </c>
      <c r="J7" s="2">
        <v>6.42</v>
      </c>
      <c r="K7" s="2">
        <v>5.57</v>
      </c>
      <c r="L7" s="2">
        <v>0.85</v>
      </c>
      <c r="M7" s="2">
        <v>13.24</v>
      </c>
      <c r="N7" s="2">
        <v>0</v>
      </c>
      <c r="O7" s="56">
        <v>0</v>
      </c>
      <c r="P7" s="2" t="s">
        <v>45</v>
      </c>
      <c r="Q7" s="2">
        <v>0</v>
      </c>
      <c r="R7" s="2">
        <v>111.2</v>
      </c>
      <c r="S7" s="2">
        <v>2.84</v>
      </c>
      <c r="T7" s="2">
        <v>3.34</v>
      </c>
      <c r="U7" s="2">
        <v>108.36</v>
      </c>
      <c r="V7" s="2">
        <v>19.45</v>
      </c>
      <c r="W7" s="2">
        <v>8451.2999999999993</v>
      </c>
      <c r="X7" s="2">
        <v>58208</v>
      </c>
      <c r="Y7" s="2">
        <v>95660</v>
      </c>
      <c r="Z7" s="2">
        <v>0.2</v>
      </c>
      <c r="AA7" s="2" t="s">
        <v>45</v>
      </c>
      <c r="AB7" s="2">
        <v>196.7</v>
      </c>
    </row>
    <row r="8" spans="1:28" hidden="1" x14ac:dyDescent="0.3">
      <c r="A8" s="4">
        <v>46146</v>
      </c>
      <c r="B8" s="8" t="s">
        <v>35</v>
      </c>
      <c r="C8" s="8" t="s">
        <v>36</v>
      </c>
      <c r="D8" s="7" t="s">
        <v>46</v>
      </c>
      <c r="E8" s="7" t="s">
        <v>47</v>
      </c>
      <c r="F8" s="13">
        <v>0</v>
      </c>
      <c r="G8" s="59"/>
      <c r="H8" s="6">
        <v>3000</v>
      </c>
      <c r="I8" s="6">
        <f>IFERROR(O8/K8,)</f>
        <v>307.5</v>
      </c>
      <c r="J8" s="2">
        <v>8.9499999999999993</v>
      </c>
      <c r="K8" s="2">
        <v>6</v>
      </c>
      <c r="L8" s="2">
        <v>2.95</v>
      </c>
      <c r="M8" s="2">
        <v>32.979999999999997</v>
      </c>
      <c r="N8" s="2">
        <v>564</v>
      </c>
      <c r="O8" s="56">
        <v>1845</v>
      </c>
      <c r="P8" s="2">
        <v>3.27</v>
      </c>
      <c r="Q8" s="2">
        <v>8.7799999999999994</v>
      </c>
      <c r="R8" s="2">
        <v>210.09</v>
      </c>
      <c r="S8" s="2">
        <v>23.66</v>
      </c>
      <c r="T8" s="2">
        <v>8.02</v>
      </c>
      <c r="U8" s="2">
        <v>186.43</v>
      </c>
      <c r="V8" s="2">
        <v>31.09</v>
      </c>
      <c r="W8" s="2">
        <v>7422.78</v>
      </c>
      <c r="X8" s="2">
        <v>83730</v>
      </c>
      <c r="Y8" s="2">
        <v>243518</v>
      </c>
      <c r="Z8" s="2">
        <v>0.2</v>
      </c>
      <c r="AA8" s="2">
        <v>0</v>
      </c>
      <c r="AB8" s="2">
        <v>230</v>
      </c>
    </row>
    <row r="9" spans="1:28" x14ac:dyDescent="0.3">
      <c r="A9" s="4">
        <v>46146</v>
      </c>
      <c r="B9" s="8" t="s">
        <v>35</v>
      </c>
      <c r="C9" s="8" t="s">
        <v>36</v>
      </c>
      <c r="D9" s="7" t="s">
        <v>48</v>
      </c>
      <c r="E9" s="7" t="s">
        <v>47</v>
      </c>
      <c r="F9" s="13">
        <v>0</v>
      </c>
      <c r="G9" s="59"/>
      <c r="H9" s="6">
        <v>3000</v>
      </c>
      <c r="I9" s="6">
        <f>IFERROR(O9/K9,)</f>
        <v>451.39240506329111</v>
      </c>
      <c r="J9" s="2">
        <v>4.7</v>
      </c>
      <c r="K9" s="2">
        <v>3.95</v>
      </c>
      <c r="L9" s="2">
        <v>0.75</v>
      </c>
      <c r="M9" s="2">
        <v>15.96</v>
      </c>
      <c r="N9" s="2">
        <v>396</v>
      </c>
      <c r="O9" s="56">
        <v>1783</v>
      </c>
      <c r="P9" s="2">
        <v>4.5</v>
      </c>
      <c r="Q9" s="2">
        <v>11.92</v>
      </c>
      <c r="R9" s="2">
        <v>149.52000000000001</v>
      </c>
      <c r="S9" s="2">
        <v>4.7300000000000004</v>
      </c>
      <c r="T9" s="2">
        <v>6.31</v>
      </c>
      <c r="U9" s="2">
        <v>144.79</v>
      </c>
      <c r="V9" s="2">
        <v>36.67</v>
      </c>
      <c r="W9" s="2">
        <v>6045.88</v>
      </c>
      <c r="X9" s="2">
        <v>368312</v>
      </c>
      <c r="Y9" s="2">
        <v>1277307</v>
      </c>
      <c r="Z9" s="2">
        <v>0</v>
      </c>
      <c r="AA9" s="2">
        <v>0</v>
      </c>
      <c r="AB9" s="2">
        <v>42.5</v>
      </c>
    </row>
    <row r="10" spans="1:28" hidden="1" x14ac:dyDescent="0.3">
      <c r="A10" s="4">
        <v>46146</v>
      </c>
      <c r="B10" s="8" t="s">
        <v>35</v>
      </c>
      <c r="C10" s="8" t="s">
        <v>36</v>
      </c>
      <c r="D10" s="7" t="s">
        <v>49</v>
      </c>
      <c r="E10" s="16" t="s">
        <v>47</v>
      </c>
      <c r="F10" s="13">
        <v>0</v>
      </c>
      <c r="G10" s="59"/>
      <c r="H10" s="6">
        <v>3000</v>
      </c>
      <c r="I10" s="6">
        <f>IFERROR(O10/K10,)</f>
        <v>547.02602230483274</v>
      </c>
      <c r="J10" s="2">
        <v>7.38</v>
      </c>
      <c r="K10" s="2">
        <v>5.38</v>
      </c>
      <c r="L10" s="2">
        <v>2</v>
      </c>
      <c r="M10" s="2">
        <v>27.11</v>
      </c>
      <c r="N10" s="2">
        <v>866</v>
      </c>
      <c r="O10" s="56">
        <v>2943</v>
      </c>
      <c r="P10" s="2">
        <v>3.4</v>
      </c>
      <c r="Q10" s="2">
        <v>13.01</v>
      </c>
      <c r="R10" s="2">
        <v>226.18</v>
      </c>
      <c r="S10" s="2">
        <v>9.4600000000000009</v>
      </c>
      <c r="T10" s="2">
        <v>4.7300000000000004</v>
      </c>
      <c r="U10" s="2">
        <v>216.71</v>
      </c>
      <c r="V10" s="2">
        <v>40.31</v>
      </c>
      <c r="W10" s="2">
        <v>1467.81</v>
      </c>
      <c r="X10" s="2">
        <v>138212</v>
      </c>
      <c r="Y10" s="2">
        <v>470759</v>
      </c>
      <c r="Z10" s="2">
        <v>0</v>
      </c>
      <c r="AA10" s="2">
        <v>0</v>
      </c>
      <c r="AB10" s="2">
        <v>4.2</v>
      </c>
    </row>
    <row r="11" spans="1:28" hidden="1" x14ac:dyDescent="0.3">
      <c r="A11" s="14">
        <v>46146</v>
      </c>
      <c r="B11" s="14" t="s">
        <v>35</v>
      </c>
      <c r="C11" s="14"/>
      <c r="D11" s="42"/>
      <c r="E11" s="42" t="s">
        <v>47</v>
      </c>
      <c r="F11" s="43">
        <v>0</v>
      </c>
      <c r="G11" s="60"/>
      <c r="H11" s="44">
        <v>9000</v>
      </c>
      <c r="I11" s="44"/>
      <c r="J11" s="42"/>
      <c r="K11" s="42"/>
      <c r="L11" s="42"/>
      <c r="M11" s="42"/>
      <c r="N11" s="42"/>
      <c r="O11" s="56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 spans="1:28" hidden="1" x14ac:dyDescent="0.3">
      <c r="A12" s="4">
        <v>46146</v>
      </c>
      <c r="B12" s="8" t="s">
        <v>35</v>
      </c>
      <c r="C12" s="8" t="s">
        <v>36</v>
      </c>
      <c r="D12" s="7" t="s">
        <v>50</v>
      </c>
      <c r="E12" s="7" t="s">
        <v>51</v>
      </c>
      <c r="F12" s="13">
        <v>0</v>
      </c>
      <c r="G12" s="59"/>
      <c r="H12" s="6">
        <v>3000</v>
      </c>
      <c r="I12" s="6">
        <f t="shared" ref="I12:I17" si="0">IFERROR(O12/K12,)</f>
        <v>291.91489361702128</v>
      </c>
      <c r="J12" s="2">
        <v>8.65</v>
      </c>
      <c r="K12" s="2">
        <v>7.05</v>
      </c>
      <c r="L12" s="2">
        <v>1.6</v>
      </c>
      <c r="M12" s="2">
        <v>18.489999999999998</v>
      </c>
      <c r="N12" s="2">
        <v>1019</v>
      </c>
      <c r="O12" s="56">
        <v>2058</v>
      </c>
      <c r="P12" s="2">
        <v>2.02</v>
      </c>
      <c r="Q12" s="2">
        <v>13.47</v>
      </c>
      <c r="R12" s="2">
        <v>152.84</v>
      </c>
      <c r="S12" s="2">
        <v>6.15</v>
      </c>
      <c r="T12" s="2">
        <v>3.84</v>
      </c>
      <c r="U12" s="2">
        <v>146.68</v>
      </c>
      <c r="V12" s="2">
        <v>20.8</v>
      </c>
      <c r="W12" s="2">
        <v>1963.99</v>
      </c>
      <c r="X12" s="2">
        <v>115865</v>
      </c>
      <c r="Y12" s="2">
        <v>215238</v>
      </c>
      <c r="Z12" s="2">
        <v>0.3</v>
      </c>
      <c r="AA12" s="2">
        <v>0</v>
      </c>
      <c r="AB12" s="2">
        <v>269.2</v>
      </c>
    </row>
    <row r="13" spans="1:28" hidden="1" x14ac:dyDescent="0.3">
      <c r="A13" s="4">
        <v>46146</v>
      </c>
      <c r="B13" s="8" t="s">
        <v>35</v>
      </c>
      <c r="C13" s="8" t="s">
        <v>36</v>
      </c>
      <c r="D13" s="7" t="s">
        <v>52</v>
      </c>
      <c r="E13" s="7" t="s">
        <v>51</v>
      </c>
      <c r="F13" s="13">
        <v>0</v>
      </c>
      <c r="G13" s="59"/>
      <c r="H13" s="6">
        <v>3000</v>
      </c>
      <c r="I13" s="6">
        <f t="shared" si="0"/>
        <v>149.25373134328356</v>
      </c>
      <c r="J13" s="2">
        <v>9.23</v>
      </c>
      <c r="K13" s="2">
        <v>6.03</v>
      </c>
      <c r="L13" s="2">
        <v>3.2</v>
      </c>
      <c r="M13" s="2">
        <v>34.659999999999997</v>
      </c>
      <c r="N13" s="2">
        <v>486</v>
      </c>
      <c r="O13" s="56">
        <v>900</v>
      </c>
      <c r="P13" s="2">
        <v>1.85</v>
      </c>
      <c r="Q13" s="2">
        <v>6.65</v>
      </c>
      <c r="R13" s="2">
        <v>135.33000000000001</v>
      </c>
      <c r="S13" s="2">
        <v>12.3</v>
      </c>
      <c r="T13" s="2">
        <v>3.84</v>
      </c>
      <c r="U13" s="2">
        <v>123.03</v>
      </c>
      <c r="V13" s="2">
        <v>20.39</v>
      </c>
      <c r="W13" s="2">
        <v>406.05</v>
      </c>
      <c r="X13" s="2">
        <v>37555</v>
      </c>
      <c r="Y13" s="2">
        <v>75598</v>
      </c>
      <c r="Z13" s="2">
        <v>0.1</v>
      </c>
      <c r="AA13" s="2">
        <v>0</v>
      </c>
      <c r="AB13" s="2">
        <v>20.9</v>
      </c>
    </row>
    <row r="14" spans="1:28" hidden="1" x14ac:dyDescent="0.3">
      <c r="A14" s="4">
        <v>46147</v>
      </c>
      <c r="B14" s="8" t="s">
        <v>35</v>
      </c>
      <c r="C14" s="8" t="s">
        <v>36</v>
      </c>
      <c r="D14" s="7" t="s">
        <v>39</v>
      </c>
      <c r="E14" s="7" t="s">
        <v>40</v>
      </c>
      <c r="F14" s="13">
        <v>0</v>
      </c>
      <c r="G14" s="59"/>
      <c r="H14" s="6" t="s">
        <v>42</v>
      </c>
      <c r="I14" s="6">
        <f t="shared" si="0"/>
        <v>0</v>
      </c>
      <c r="J14" s="2">
        <v>8.0500000000000007</v>
      </c>
      <c r="K14" s="2">
        <v>5.3</v>
      </c>
      <c r="L14" s="2">
        <v>2.75</v>
      </c>
      <c r="M14" s="2">
        <v>34.17</v>
      </c>
      <c r="N14" s="2">
        <v>504</v>
      </c>
      <c r="O14" s="56">
        <v>0</v>
      </c>
      <c r="P14" s="2">
        <v>0</v>
      </c>
      <c r="Q14" s="2">
        <v>0</v>
      </c>
      <c r="R14" s="2">
        <v>107.88</v>
      </c>
      <c r="S14" s="2">
        <v>9.94</v>
      </c>
      <c r="T14" s="2">
        <v>3.61</v>
      </c>
      <c r="U14" s="2">
        <v>97.95</v>
      </c>
      <c r="V14" s="2">
        <v>18.489999999999998</v>
      </c>
      <c r="W14" s="2">
        <v>8853.26</v>
      </c>
      <c r="X14" s="2">
        <v>52017</v>
      </c>
      <c r="Y14" s="2">
        <v>72506</v>
      </c>
      <c r="Z14" s="2">
        <v>0.2</v>
      </c>
      <c r="AA14" s="2">
        <v>0</v>
      </c>
      <c r="AB14" s="2">
        <v>254.7</v>
      </c>
    </row>
    <row r="15" spans="1:28" hidden="1" x14ac:dyDescent="0.3">
      <c r="A15" s="4">
        <v>46147</v>
      </c>
      <c r="B15" s="8" t="s">
        <v>35</v>
      </c>
      <c r="C15" s="8" t="s">
        <v>36</v>
      </c>
      <c r="D15" s="7" t="s">
        <v>43</v>
      </c>
      <c r="E15" s="7" t="s">
        <v>40</v>
      </c>
      <c r="F15" s="13">
        <v>0</v>
      </c>
      <c r="G15" s="59" t="s">
        <v>44</v>
      </c>
      <c r="H15" s="6" t="s">
        <v>42</v>
      </c>
      <c r="I15" s="6">
        <f t="shared" si="0"/>
        <v>0</v>
      </c>
      <c r="J15" s="2">
        <v>7.54</v>
      </c>
      <c r="K15" s="2">
        <v>6.49</v>
      </c>
      <c r="L15" s="2">
        <v>1.05</v>
      </c>
      <c r="M15" s="2">
        <v>13.92</v>
      </c>
      <c r="N15" s="2">
        <v>0</v>
      </c>
      <c r="O15" s="56">
        <v>0</v>
      </c>
      <c r="P15" s="2" t="s">
        <v>45</v>
      </c>
      <c r="Q15" s="2">
        <v>0</v>
      </c>
      <c r="R15" s="2">
        <v>144.79</v>
      </c>
      <c r="S15" s="2">
        <v>4.7300000000000004</v>
      </c>
      <c r="T15" s="2">
        <v>4.51</v>
      </c>
      <c r="U15" s="2">
        <v>140.06</v>
      </c>
      <c r="V15" s="2">
        <v>21.57</v>
      </c>
      <c r="W15" s="2">
        <v>8458.84</v>
      </c>
      <c r="X15" s="2">
        <v>58208</v>
      </c>
      <c r="Y15" s="2">
        <v>95660</v>
      </c>
      <c r="Z15" s="2">
        <v>0.6</v>
      </c>
      <c r="AA15" s="2" t="s">
        <v>45</v>
      </c>
      <c r="AB15" s="2">
        <v>197.3</v>
      </c>
    </row>
    <row r="16" spans="1:28" hidden="1" x14ac:dyDescent="0.3">
      <c r="A16" s="4">
        <v>46147</v>
      </c>
      <c r="B16" s="8" t="s">
        <v>35</v>
      </c>
      <c r="C16" s="8" t="s">
        <v>36</v>
      </c>
      <c r="D16" s="7" t="s">
        <v>46</v>
      </c>
      <c r="E16" s="7" t="s">
        <v>47</v>
      </c>
      <c r="F16" s="13">
        <v>0</v>
      </c>
      <c r="G16" s="59"/>
      <c r="H16" s="6">
        <v>3000</v>
      </c>
      <c r="I16" s="6">
        <f t="shared" si="0"/>
        <v>444.34931506849318</v>
      </c>
      <c r="J16" s="2">
        <v>8.5399999999999991</v>
      </c>
      <c r="K16" s="2">
        <v>5.84</v>
      </c>
      <c r="L16" s="2">
        <v>2.7</v>
      </c>
      <c r="M16" s="2">
        <v>31.6</v>
      </c>
      <c r="N16" s="2">
        <v>679</v>
      </c>
      <c r="O16" s="56">
        <v>2595</v>
      </c>
      <c r="P16" s="2">
        <v>3.82</v>
      </c>
      <c r="Q16" s="2">
        <v>12.9</v>
      </c>
      <c r="R16" s="2">
        <v>201.1</v>
      </c>
      <c r="S16" s="2">
        <v>20.350000000000001</v>
      </c>
      <c r="T16" s="2">
        <v>7.54</v>
      </c>
      <c r="U16" s="2">
        <v>180.75</v>
      </c>
      <c r="V16" s="2">
        <v>30.93</v>
      </c>
      <c r="W16" s="2">
        <v>7431.33</v>
      </c>
      <c r="X16" s="2">
        <v>84409</v>
      </c>
      <c r="Y16" s="2">
        <v>246113</v>
      </c>
      <c r="Z16" s="2">
        <v>0.5</v>
      </c>
      <c r="AA16" s="2">
        <v>0</v>
      </c>
      <c r="AB16" s="2">
        <v>230.5</v>
      </c>
    </row>
    <row r="17" spans="1:28" s="45" customFormat="1" hidden="1" x14ac:dyDescent="0.3">
      <c r="A17" s="4">
        <v>46147</v>
      </c>
      <c r="B17" s="8" t="s">
        <v>35</v>
      </c>
      <c r="C17" s="8" t="s">
        <v>36</v>
      </c>
      <c r="D17" s="7" t="s">
        <v>49</v>
      </c>
      <c r="E17" s="7" t="s">
        <v>47</v>
      </c>
      <c r="F17" s="13">
        <v>0</v>
      </c>
      <c r="G17" s="59"/>
      <c r="H17" s="6">
        <v>3000</v>
      </c>
      <c r="I17" s="6">
        <f t="shared" si="0"/>
        <v>516.380655226209</v>
      </c>
      <c r="J17" s="2">
        <v>8.91</v>
      </c>
      <c r="K17" s="2">
        <v>6.41</v>
      </c>
      <c r="L17" s="2">
        <v>2.5</v>
      </c>
      <c r="M17" s="2">
        <v>28.06</v>
      </c>
      <c r="N17" s="2">
        <v>1033</v>
      </c>
      <c r="O17" s="56">
        <v>3310</v>
      </c>
      <c r="P17" s="2">
        <v>3.2</v>
      </c>
      <c r="Q17" s="2">
        <v>12.21</v>
      </c>
      <c r="R17" s="2">
        <v>271.13</v>
      </c>
      <c r="S17" s="2">
        <v>10.41</v>
      </c>
      <c r="T17" s="2">
        <v>4.16</v>
      </c>
      <c r="U17" s="2">
        <v>260.72000000000003</v>
      </c>
      <c r="V17" s="2">
        <v>40.67</v>
      </c>
      <c r="W17" s="2">
        <v>1476.72</v>
      </c>
      <c r="X17" s="2">
        <v>139245</v>
      </c>
      <c r="Y17" s="2">
        <v>474069</v>
      </c>
      <c r="Z17" s="2">
        <v>0.1</v>
      </c>
      <c r="AA17" s="2">
        <v>0</v>
      </c>
      <c r="AB17" s="2">
        <v>4.3</v>
      </c>
    </row>
    <row r="18" spans="1:28" s="45" customFormat="1" hidden="1" x14ac:dyDescent="0.3">
      <c r="A18" s="14">
        <v>46147</v>
      </c>
      <c r="B18" s="14" t="s">
        <v>35</v>
      </c>
      <c r="C18" s="14"/>
      <c r="D18" s="42"/>
      <c r="E18" s="42" t="s">
        <v>47</v>
      </c>
      <c r="F18" s="43">
        <v>0</v>
      </c>
      <c r="G18" s="60"/>
      <c r="H18" s="44">
        <v>9000</v>
      </c>
      <c r="I18" s="44"/>
      <c r="J18" s="42"/>
      <c r="K18" s="42"/>
      <c r="L18" s="42"/>
      <c r="M18" s="42"/>
      <c r="N18" s="42"/>
      <c r="O18" s="56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spans="1:28" hidden="1" x14ac:dyDescent="0.3">
      <c r="A19" s="14">
        <v>46147</v>
      </c>
      <c r="B19" s="14" t="s">
        <v>35</v>
      </c>
      <c r="C19" s="14"/>
      <c r="D19" s="42"/>
      <c r="E19" s="42" t="s">
        <v>47</v>
      </c>
      <c r="F19" s="43">
        <v>0</v>
      </c>
      <c r="G19" s="60"/>
      <c r="H19" s="44">
        <v>3000</v>
      </c>
      <c r="I19" s="44"/>
      <c r="J19" s="42"/>
      <c r="K19" s="42"/>
      <c r="L19" s="42"/>
      <c r="M19" s="42"/>
      <c r="N19" s="42"/>
      <c r="O19" s="56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spans="1:28" x14ac:dyDescent="0.3">
      <c r="A20" s="4">
        <v>46147</v>
      </c>
      <c r="B20" s="8" t="s">
        <v>35</v>
      </c>
      <c r="C20" s="8" t="s">
        <v>36</v>
      </c>
      <c r="D20" s="7" t="s">
        <v>48</v>
      </c>
      <c r="E20" s="7" t="s">
        <v>38</v>
      </c>
      <c r="F20" s="13">
        <v>3690.24</v>
      </c>
      <c r="G20" s="59"/>
      <c r="H20" s="6">
        <v>4000</v>
      </c>
      <c r="I20" s="6">
        <f t="shared" ref="I20:I26" si="1">IFERROR(O20/K20,)</f>
        <v>695.25065963060683</v>
      </c>
      <c r="J20" s="2">
        <v>8.8800000000000008</v>
      </c>
      <c r="K20" s="2">
        <v>7.58</v>
      </c>
      <c r="L20" s="2">
        <v>1.3</v>
      </c>
      <c r="M20" s="2">
        <v>14.64</v>
      </c>
      <c r="N20" s="2">
        <v>1085</v>
      </c>
      <c r="O20" s="77">
        <v>5270</v>
      </c>
      <c r="P20" s="2">
        <v>4.8600000000000003</v>
      </c>
      <c r="Q20" s="2">
        <v>17.46</v>
      </c>
      <c r="R20" s="2">
        <v>301.89</v>
      </c>
      <c r="S20" s="2">
        <v>6.62</v>
      </c>
      <c r="T20" s="2">
        <v>5.0999999999999996</v>
      </c>
      <c r="U20" s="2">
        <v>295.26</v>
      </c>
      <c r="V20" s="2">
        <v>38.96</v>
      </c>
      <c r="W20" s="2">
        <v>6054.76</v>
      </c>
      <c r="X20" s="2">
        <v>369397</v>
      </c>
      <c r="Y20" s="2">
        <v>1282577</v>
      </c>
      <c r="Z20" s="2">
        <v>0.1</v>
      </c>
      <c r="AA20" s="2">
        <v>0</v>
      </c>
      <c r="AB20" s="2">
        <v>42.6</v>
      </c>
    </row>
    <row r="21" spans="1:28" hidden="1" x14ac:dyDescent="0.3">
      <c r="A21" s="4">
        <v>46147</v>
      </c>
      <c r="B21" s="8" t="s">
        <v>35</v>
      </c>
      <c r="C21" s="8" t="s">
        <v>36</v>
      </c>
      <c r="D21" s="7" t="s">
        <v>50</v>
      </c>
      <c r="E21" s="7" t="s">
        <v>51</v>
      </c>
      <c r="F21" s="13">
        <v>0</v>
      </c>
      <c r="G21" s="59"/>
      <c r="H21" s="6">
        <v>3000</v>
      </c>
      <c r="I21" s="6">
        <f t="shared" si="1"/>
        <v>168.12030075187968</v>
      </c>
      <c r="J21" s="2">
        <v>8.3000000000000007</v>
      </c>
      <c r="K21" s="2">
        <v>6.65</v>
      </c>
      <c r="L21" s="2">
        <v>1.65</v>
      </c>
      <c r="M21" s="2">
        <v>19.88</v>
      </c>
      <c r="N21" s="2">
        <v>559</v>
      </c>
      <c r="O21" s="56">
        <v>1118</v>
      </c>
      <c r="P21" s="2">
        <v>2</v>
      </c>
      <c r="Q21" s="2">
        <v>7.62</v>
      </c>
      <c r="R21" s="2">
        <v>146.68</v>
      </c>
      <c r="S21" s="2">
        <v>6.15</v>
      </c>
      <c r="T21" s="2">
        <v>3.73</v>
      </c>
      <c r="U21" s="2">
        <v>140.53</v>
      </c>
      <c r="V21" s="2">
        <v>21.14</v>
      </c>
      <c r="W21" s="2">
        <v>1972.29</v>
      </c>
      <c r="X21" s="2">
        <v>116424</v>
      </c>
      <c r="Y21" s="2">
        <v>216356</v>
      </c>
      <c r="Z21" s="2">
        <v>3</v>
      </c>
      <c r="AA21" s="2">
        <v>0.01</v>
      </c>
      <c r="AB21" s="2">
        <v>272.2</v>
      </c>
    </row>
    <row r="22" spans="1:28" hidden="1" x14ac:dyDescent="0.3">
      <c r="A22" s="4">
        <v>46147</v>
      </c>
      <c r="B22" s="8" t="s">
        <v>35</v>
      </c>
      <c r="C22" s="8" t="s">
        <v>36</v>
      </c>
      <c r="D22" s="7" t="s">
        <v>52</v>
      </c>
      <c r="E22" s="7" t="s">
        <v>51</v>
      </c>
      <c r="F22" s="13">
        <v>0</v>
      </c>
      <c r="G22" s="59"/>
      <c r="H22" s="6">
        <v>3000</v>
      </c>
      <c r="I22" s="6">
        <f t="shared" si="1"/>
        <v>44.283121597096191</v>
      </c>
      <c r="J22" s="2">
        <v>9.01</v>
      </c>
      <c r="K22" s="2">
        <v>5.51</v>
      </c>
      <c r="L22" s="2">
        <v>3.5</v>
      </c>
      <c r="M22" s="2">
        <v>38.86</v>
      </c>
      <c r="N22" s="2">
        <v>193</v>
      </c>
      <c r="O22" s="56">
        <v>244</v>
      </c>
      <c r="P22" s="2">
        <v>1.26</v>
      </c>
      <c r="Q22" s="2">
        <v>2.2799999999999998</v>
      </c>
      <c r="R22" s="2">
        <v>106.94</v>
      </c>
      <c r="S22" s="2">
        <v>13.72</v>
      </c>
      <c r="T22" s="2">
        <v>3.92</v>
      </c>
      <c r="U22" s="2">
        <v>93.22</v>
      </c>
      <c r="V22" s="2">
        <v>16.93</v>
      </c>
      <c r="W22" s="2">
        <v>415.05</v>
      </c>
      <c r="X22" s="2">
        <v>37748</v>
      </c>
      <c r="Y22" s="2">
        <v>75842</v>
      </c>
      <c r="Z22" s="2">
        <v>0.6</v>
      </c>
      <c r="AA22" s="2">
        <v>0</v>
      </c>
      <c r="AB22" s="2">
        <v>21.5</v>
      </c>
    </row>
    <row r="23" spans="1:28" hidden="1" x14ac:dyDescent="0.3">
      <c r="A23" s="4">
        <v>46148</v>
      </c>
      <c r="B23" s="8" t="s">
        <v>35</v>
      </c>
      <c r="C23" s="8" t="s">
        <v>36</v>
      </c>
      <c r="D23" s="7" t="s">
        <v>39</v>
      </c>
      <c r="E23" s="7" t="s">
        <v>40</v>
      </c>
      <c r="F23" s="13">
        <v>0</v>
      </c>
      <c r="G23" s="59"/>
      <c r="H23" s="6" t="s">
        <v>42</v>
      </c>
      <c r="I23" s="6">
        <f t="shared" si="1"/>
        <v>174.66666666666666</v>
      </c>
      <c r="J23" s="2">
        <v>9.35</v>
      </c>
      <c r="K23" s="2">
        <v>7.5</v>
      </c>
      <c r="L23" s="2">
        <v>1.85</v>
      </c>
      <c r="M23" s="2">
        <v>19.79</v>
      </c>
      <c r="N23" s="2">
        <v>799</v>
      </c>
      <c r="O23" s="56">
        <v>1310</v>
      </c>
      <c r="P23" s="2">
        <v>1.64</v>
      </c>
      <c r="Q23" s="2">
        <v>8.93</v>
      </c>
      <c r="R23" s="2">
        <v>146.68</v>
      </c>
      <c r="S23" s="2">
        <v>7.57</v>
      </c>
      <c r="T23" s="2">
        <v>4.09</v>
      </c>
      <c r="U23" s="2">
        <v>139.11000000000001</v>
      </c>
      <c r="V23" s="2">
        <v>18.559999999999999</v>
      </c>
      <c r="W23" s="2">
        <v>8862.61</v>
      </c>
      <c r="X23" s="2">
        <v>52816</v>
      </c>
      <c r="Y23" s="2">
        <v>73816</v>
      </c>
      <c r="Z23" s="2">
        <v>0.8</v>
      </c>
      <c r="AA23" s="2">
        <v>0</v>
      </c>
      <c r="AB23" s="2">
        <v>255.5</v>
      </c>
    </row>
    <row r="24" spans="1:28" hidden="1" x14ac:dyDescent="0.3">
      <c r="A24" s="4">
        <v>46148</v>
      </c>
      <c r="B24" s="8" t="s">
        <v>35</v>
      </c>
      <c r="C24" s="8" t="s">
        <v>36</v>
      </c>
      <c r="D24" s="7" t="s">
        <v>43</v>
      </c>
      <c r="E24" s="7" t="s">
        <v>40</v>
      </c>
      <c r="F24" s="13">
        <v>0</v>
      </c>
      <c r="G24" s="59" t="s">
        <v>44</v>
      </c>
      <c r="H24" s="6" t="s">
        <v>42</v>
      </c>
      <c r="I24" s="6">
        <f t="shared" si="1"/>
        <v>100.44843049327355</v>
      </c>
      <c r="J24" s="2">
        <v>5.38</v>
      </c>
      <c r="K24" s="2">
        <v>2.23</v>
      </c>
      <c r="L24" s="2">
        <v>3.15</v>
      </c>
      <c r="M24" s="2">
        <v>58.57</v>
      </c>
      <c r="N24" s="2">
        <v>133</v>
      </c>
      <c r="O24" s="56">
        <v>224</v>
      </c>
      <c r="P24" s="2">
        <v>1.68</v>
      </c>
      <c r="Q24" s="2">
        <v>4.42</v>
      </c>
      <c r="R24" s="2">
        <v>50.63</v>
      </c>
      <c r="S24" s="2">
        <v>12.3</v>
      </c>
      <c r="T24" s="2">
        <v>3.91</v>
      </c>
      <c r="U24" s="2">
        <v>38.33</v>
      </c>
      <c r="V24" s="2">
        <v>17.2</v>
      </c>
      <c r="W24" s="2">
        <v>4745.57</v>
      </c>
      <c r="X24" s="2">
        <v>219836</v>
      </c>
      <c r="Y24" s="2">
        <v>411187</v>
      </c>
      <c r="Z24" s="2">
        <v>0.4</v>
      </c>
      <c r="AA24" s="2">
        <v>0</v>
      </c>
      <c r="AB24" s="2">
        <v>242.6</v>
      </c>
    </row>
    <row r="25" spans="1:28" hidden="1" x14ac:dyDescent="0.3">
      <c r="A25" s="4">
        <v>46148</v>
      </c>
      <c r="B25" s="8" t="s">
        <v>35</v>
      </c>
      <c r="C25" s="8" t="s">
        <v>36</v>
      </c>
      <c r="D25" s="7" t="s">
        <v>46</v>
      </c>
      <c r="E25" s="7" t="s">
        <v>47</v>
      </c>
      <c r="F25" s="13">
        <v>0</v>
      </c>
      <c r="G25" s="59"/>
      <c r="H25" s="6">
        <v>3000</v>
      </c>
      <c r="I25" s="6">
        <f t="shared" si="1"/>
        <v>394.15670650730408</v>
      </c>
      <c r="J25" s="2">
        <v>8.83</v>
      </c>
      <c r="K25" s="2">
        <v>7.53</v>
      </c>
      <c r="L25" s="2">
        <v>1.3</v>
      </c>
      <c r="M25" s="2">
        <v>14.72</v>
      </c>
      <c r="N25" s="2">
        <v>887</v>
      </c>
      <c r="O25" s="56">
        <v>2968</v>
      </c>
      <c r="P25" s="2">
        <v>3.35</v>
      </c>
      <c r="Q25" s="2">
        <v>11.77</v>
      </c>
      <c r="R25" s="2">
        <v>252.2</v>
      </c>
      <c r="S25" s="2">
        <v>9.4600000000000009</v>
      </c>
      <c r="T25" s="2">
        <v>7.28</v>
      </c>
      <c r="U25" s="2">
        <v>242.74</v>
      </c>
      <c r="V25" s="2">
        <v>32.229999999999997</v>
      </c>
      <c r="W25" s="2">
        <v>7440.16</v>
      </c>
      <c r="X25" s="2">
        <v>85296</v>
      </c>
      <c r="Y25" s="2">
        <v>249081</v>
      </c>
      <c r="Z25" s="2">
        <v>0.1</v>
      </c>
      <c r="AA25" s="2">
        <v>0</v>
      </c>
      <c r="AB25" s="2">
        <v>230.6</v>
      </c>
    </row>
    <row r="26" spans="1:28" hidden="1" x14ac:dyDescent="0.3">
      <c r="A26" s="4">
        <v>46148</v>
      </c>
      <c r="B26" s="8" t="s">
        <v>35</v>
      </c>
      <c r="C26" s="8" t="s">
        <v>36</v>
      </c>
      <c r="D26" s="7" t="s">
        <v>49</v>
      </c>
      <c r="E26" s="7" t="s">
        <v>47</v>
      </c>
      <c r="F26" s="13">
        <v>0</v>
      </c>
      <c r="G26" s="59"/>
      <c r="H26" s="6">
        <v>3000</v>
      </c>
      <c r="I26" s="6">
        <f t="shared" si="1"/>
        <v>220.86167800453515</v>
      </c>
      <c r="J26" s="2">
        <v>5.0599999999999996</v>
      </c>
      <c r="K26" s="2">
        <v>4.41</v>
      </c>
      <c r="L26" s="2">
        <v>0.65</v>
      </c>
      <c r="M26" s="2">
        <v>12.84</v>
      </c>
      <c r="N26" s="2">
        <v>325</v>
      </c>
      <c r="O26" s="56">
        <v>974</v>
      </c>
      <c r="P26" s="2">
        <v>3</v>
      </c>
      <c r="Q26" s="2">
        <v>5.66</v>
      </c>
      <c r="R26" s="2">
        <v>172.24</v>
      </c>
      <c r="S26" s="2">
        <v>3.31</v>
      </c>
      <c r="T26" s="2">
        <v>5.0999999999999996</v>
      </c>
      <c r="U26" s="2">
        <v>168.92</v>
      </c>
      <c r="V26" s="2">
        <v>38.270000000000003</v>
      </c>
      <c r="W26" s="2">
        <v>1481.78</v>
      </c>
      <c r="X26" s="2">
        <v>139570</v>
      </c>
      <c r="Y26" s="2">
        <v>475043</v>
      </c>
      <c r="Z26" s="2">
        <v>0</v>
      </c>
      <c r="AA26" s="2">
        <v>0</v>
      </c>
      <c r="AB26" s="2">
        <v>4.3</v>
      </c>
    </row>
    <row r="27" spans="1:28" hidden="1" x14ac:dyDescent="0.3">
      <c r="A27" s="14">
        <v>46148</v>
      </c>
      <c r="B27" s="14" t="s">
        <v>35</v>
      </c>
      <c r="C27" s="14"/>
      <c r="D27" s="42"/>
      <c r="E27" s="42" t="s">
        <v>47</v>
      </c>
      <c r="F27" s="43">
        <v>0</v>
      </c>
      <c r="G27" s="60"/>
      <c r="H27" s="44">
        <v>9000</v>
      </c>
      <c r="I27" s="44"/>
      <c r="J27" s="42"/>
      <c r="K27" s="42"/>
      <c r="L27" s="42"/>
      <c r="M27" s="42"/>
      <c r="N27" s="42"/>
      <c r="O27" s="56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spans="1:28" hidden="1" x14ac:dyDescent="0.3">
      <c r="A28" s="14">
        <v>46148</v>
      </c>
      <c r="B28" s="14" t="s">
        <v>35</v>
      </c>
      <c r="C28" s="14"/>
      <c r="D28" s="42"/>
      <c r="E28" s="42" t="s">
        <v>47</v>
      </c>
      <c r="F28" s="43">
        <v>0</v>
      </c>
      <c r="G28" s="60"/>
      <c r="H28" s="44">
        <v>3000</v>
      </c>
      <c r="I28" s="44"/>
      <c r="J28" s="42"/>
      <c r="K28" s="42"/>
      <c r="L28" s="42"/>
      <c r="M28" s="42"/>
      <c r="N28" s="42"/>
      <c r="O28" s="56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 spans="1:28" s="45" customFormat="1" x14ac:dyDescent="0.3">
      <c r="A29" s="4">
        <v>46148</v>
      </c>
      <c r="B29" s="8" t="s">
        <v>35</v>
      </c>
      <c r="C29" s="8" t="s">
        <v>36</v>
      </c>
      <c r="D29" s="7" t="s">
        <v>48</v>
      </c>
      <c r="E29" s="7" t="s">
        <v>38</v>
      </c>
      <c r="F29" s="13">
        <v>3706.69</v>
      </c>
      <c r="G29" s="59"/>
      <c r="H29" s="6">
        <v>4000</v>
      </c>
      <c r="I29" s="6">
        <f t="shared" ref="I29:I35" si="2">IFERROR(O29/K29,)</f>
        <v>590.51819184123485</v>
      </c>
      <c r="J29" s="2">
        <v>11.27</v>
      </c>
      <c r="K29" s="2">
        <v>9.07</v>
      </c>
      <c r="L29" s="2">
        <v>2.2000000000000002</v>
      </c>
      <c r="M29" s="2">
        <v>19.52</v>
      </c>
      <c r="N29" s="2">
        <v>1072</v>
      </c>
      <c r="O29" s="77">
        <v>5356</v>
      </c>
      <c r="P29" s="2">
        <v>5</v>
      </c>
      <c r="Q29" s="2">
        <v>14.95</v>
      </c>
      <c r="R29" s="2">
        <v>358.19</v>
      </c>
      <c r="S29" s="2">
        <v>11.36</v>
      </c>
      <c r="T29" s="2">
        <v>5.16</v>
      </c>
      <c r="U29" s="2">
        <v>346.84</v>
      </c>
      <c r="V29" s="2">
        <v>38.229999999999997</v>
      </c>
      <c r="W29" s="2">
        <v>6066.03</v>
      </c>
      <c r="X29" s="2">
        <v>370469</v>
      </c>
      <c r="Y29" s="2">
        <v>1287933</v>
      </c>
      <c r="Z29" s="2">
        <v>0.1</v>
      </c>
      <c r="AA29" s="2">
        <v>0</v>
      </c>
      <c r="AB29" s="2">
        <v>42.7</v>
      </c>
    </row>
    <row r="30" spans="1:28" s="45" customFormat="1" hidden="1" x14ac:dyDescent="0.3">
      <c r="A30" s="4">
        <v>46148</v>
      </c>
      <c r="B30" s="8" t="s">
        <v>35</v>
      </c>
      <c r="C30" s="8" t="s">
        <v>36</v>
      </c>
      <c r="D30" s="7" t="s">
        <v>50</v>
      </c>
      <c r="E30" s="7" t="s">
        <v>51</v>
      </c>
      <c r="F30" s="13">
        <v>0</v>
      </c>
      <c r="G30" s="59"/>
      <c r="H30" s="6">
        <v>3000</v>
      </c>
      <c r="I30" s="6">
        <f t="shared" si="2"/>
        <v>215.73948439620082</v>
      </c>
      <c r="J30" s="2">
        <v>8.92</v>
      </c>
      <c r="K30" s="2">
        <v>7.37</v>
      </c>
      <c r="L30" s="2">
        <v>1.55</v>
      </c>
      <c r="M30" s="2">
        <v>17.37</v>
      </c>
      <c r="N30" s="2">
        <v>831</v>
      </c>
      <c r="O30" s="56">
        <v>1590</v>
      </c>
      <c r="P30" s="2">
        <v>1.91</v>
      </c>
      <c r="Q30" s="2">
        <v>9.8800000000000008</v>
      </c>
      <c r="R30" s="2">
        <v>160.88</v>
      </c>
      <c r="S30" s="2">
        <v>6.62</v>
      </c>
      <c r="T30" s="2">
        <v>4.2699999999999996</v>
      </c>
      <c r="U30" s="2">
        <v>154.26</v>
      </c>
      <c r="V30" s="2">
        <v>20.93</v>
      </c>
      <c r="W30" s="2">
        <v>1981.21</v>
      </c>
      <c r="X30" s="2">
        <v>117255</v>
      </c>
      <c r="Y30" s="2">
        <v>217946</v>
      </c>
      <c r="Z30" s="2">
        <v>3.5</v>
      </c>
      <c r="AA30" s="2">
        <v>0</v>
      </c>
      <c r="AB30" s="2">
        <v>275.7</v>
      </c>
    </row>
    <row r="31" spans="1:28" hidden="1" x14ac:dyDescent="0.3">
      <c r="A31" s="4">
        <v>46148</v>
      </c>
      <c r="B31" s="8" t="s">
        <v>35</v>
      </c>
      <c r="C31" s="8" t="s">
        <v>36</v>
      </c>
      <c r="D31" s="7" t="s">
        <v>52</v>
      </c>
      <c r="E31" s="7" t="s">
        <v>51</v>
      </c>
      <c r="F31" s="13">
        <v>0</v>
      </c>
      <c r="G31" s="59"/>
      <c r="H31" s="6">
        <v>3000</v>
      </c>
      <c r="I31" s="6">
        <f t="shared" si="2"/>
        <v>70.135746606334848</v>
      </c>
      <c r="J31" s="2">
        <v>7.02</v>
      </c>
      <c r="K31" s="2">
        <v>4.42</v>
      </c>
      <c r="L31" s="2">
        <v>2.6</v>
      </c>
      <c r="M31" s="2">
        <v>37.04</v>
      </c>
      <c r="N31" s="2">
        <v>204</v>
      </c>
      <c r="O31" s="56">
        <v>310</v>
      </c>
      <c r="P31" s="2">
        <v>1.52</v>
      </c>
      <c r="Q31" s="2">
        <v>3.52</v>
      </c>
      <c r="R31" s="2">
        <v>88.01</v>
      </c>
      <c r="S31" s="2">
        <v>9.94</v>
      </c>
      <c r="T31" s="2">
        <v>3.82</v>
      </c>
      <c r="U31" s="2">
        <v>78.069999999999993</v>
      </c>
      <c r="V31" s="2">
        <v>17.670000000000002</v>
      </c>
      <c r="W31" s="2">
        <v>422.07</v>
      </c>
      <c r="X31" s="2">
        <v>37952</v>
      </c>
      <c r="Y31" s="2">
        <v>76152</v>
      </c>
      <c r="Z31" s="2">
        <v>0.2</v>
      </c>
      <c r="AA31" s="2">
        <v>0</v>
      </c>
      <c r="AB31" s="2">
        <v>21.7</v>
      </c>
    </row>
    <row r="32" spans="1:28" hidden="1" x14ac:dyDescent="0.3">
      <c r="A32" s="4">
        <v>46149</v>
      </c>
      <c r="B32" s="8" t="s">
        <v>35</v>
      </c>
      <c r="C32" s="8" t="s">
        <v>36</v>
      </c>
      <c r="D32" s="7" t="s">
        <v>39</v>
      </c>
      <c r="E32" s="7" t="s">
        <v>40</v>
      </c>
      <c r="F32" s="13">
        <v>0</v>
      </c>
      <c r="G32" s="59"/>
      <c r="H32" s="6" t="s">
        <v>42</v>
      </c>
      <c r="I32" s="6">
        <f t="shared" si="2"/>
        <v>160.53811659192826</v>
      </c>
      <c r="J32" s="2">
        <v>6.56</v>
      </c>
      <c r="K32" s="2">
        <v>4.46</v>
      </c>
      <c r="L32" s="2">
        <v>2.1</v>
      </c>
      <c r="M32" s="2">
        <v>32.01</v>
      </c>
      <c r="N32" s="2">
        <v>463</v>
      </c>
      <c r="O32" s="56">
        <v>716</v>
      </c>
      <c r="P32" s="2">
        <v>1.55</v>
      </c>
      <c r="Q32" s="2">
        <v>7.84</v>
      </c>
      <c r="R32" s="2">
        <v>91.32</v>
      </c>
      <c r="S32" s="2">
        <v>8.0399999999999991</v>
      </c>
      <c r="T32" s="2">
        <v>3.83</v>
      </c>
      <c r="U32" s="2">
        <v>83.28</v>
      </c>
      <c r="V32" s="2">
        <v>18.670000000000002</v>
      </c>
      <c r="W32" s="2">
        <v>8869.17</v>
      </c>
      <c r="X32" s="2">
        <v>53279</v>
      </c>
      <c r="Y32" s="2">
        <v>74532</v>
      </c>
      <c r="Z32" s="2">
        <v>0</v>
      </c>
      <c r="AA32" s="2">
        <v>0</v>
      </c>
      <c r="AB32" s="2">
        <v>255.5</v>
      </c>
    </row>
    <row r="33" spans="1:28" hidden="1" x14ac:dyDescent="0.3">
      <c r="A33" s="4">
        <v>46149</v>
      </c>
      <c r="B33" s="8" t="s">
        <v>35</v>
      </c>
      <c r="C33" s="8" t="s">
        <v>36</v>
      </c>
      <c r="D33" s="7" t="s">
        <v>43</v>
      </c>
      <c r="E33" s="7" t="s">
        <v>40</v>
      </c>
      <c r="F33" s="13">
        <v>0</v>
      </c>
      <c r="G33" s="59" t="s">
        <v>44</v>
      </c>
      <c r="H33" s="6" t="s">
        <v>42</v>
      </c>
      <c r="I33" s="6">
        <f t="shared" si="2"/>
        <v>106.640625</v>
      </c>
      <c r="J33" s="2">
        <v>9.2200000000000006</v>
      </c>
      <c r="K33" s="2">
        <v>5.12</v>
      </c>
      <c r="L33" s="2">
        <v>4.0999999999999996</v>
      </c>
      <c r="M33" s="2">
        <v>44.48</v>
      </c>
      <c r="N33" s="2">
        <v>386</v>
      </c>
      <c r="O33" s="56">
        <v>546</v>
      </c>
      <c r="P33" s="2">
        <v>1.41</v>
      </c>
      <c r="Q33" s="2">
        <v>5.55</v>
      </c>
      <c r="R33" s="2">
        <v>98.42</v>
      </c>
      <c r="S33" s="2">
        <v>16.09</v>
      </c>
      <c r="T33" s="2">
        <v>3.92</v>
      </c>
      <c r="U33" s="2">
        <v>82.33</v>
      </c>
      <c r="V33" s="2">
        <v>16.09</v>
      </c>
      <c r="W33" s="2">
        <v>4754.78</v>
      </c>
      <c r="X33" s="2">
        <v>220222</v>
      </c>
      <c r="Y33" s="2">
        <v>411733</v>
      </c>
      <c r="Z33" s="2">
        <v>0.9</v>
      </c>
      <c r="AA33" s="2">
        <v>0</v>
      </c>
      <c r="AB33" s="2">
        <v>243.5</v>
      </c>
    </row>
    <row r="34" spans="1:28" hidden="1" x14ac:dyDescent="0.3">
      <c r="A34" s="4">
        <v>46149</v>
      </c>
      <c r="B34" s="8" t="s">
        <v>35</v>
      </c>
      <c r="C34" s="8" t="s">
        <v>36</v>
      </c>
      <c r="D34" s="7" t="s">
        <v>46</v>
      </c>
      <c r="E34" s="7" t="s">
        <v>47</v>
      </c>
      <c r="F34" s="13">
        <v>0</v>
      </c>
      <c r="G34" s="59"/>
      <c r="H34" s="6">
        <v>3000</v>
      </c>
      <c r="I34" s="6">
        <f t="shared" si="2"/>
        <v>316.87631027253673</v>
      </c>
      <c r="J34" s="2">
        <v>10.99</v>
      </c>
      <c r="K34" s="2">
        <v>9.5399999999999991</v>
      </c>
      <c r="L34" s="2">
        <v>1.45</v>
      </c>
      <c r="M34" s="2">
        <v>13.19</v>
      </c>
      <c r="N34" s="2">
        <v>1046</v>
      </c>
      <c r="O34" s="56">
        <v>3023</v>
      </c>
      <c r="P34" s="2">
        <v>2.89</v>
      </c>
      <c r="Q34" s="2">
        <v>9.86</v>
      </c>
      <c r="R34" s="2">
        <v>306.62</v>
      </c>
      <c r="S34" s="2">
        <v>9.94</v>
      </c>
      <c r="T34" s="2">
        <v>6.85</v>
      </c>
      <c r="U34" s="2">
        <v>296.68</v>
      </c>
      <c r="V34" s="2">
        <v>31.1</v>
      </c>
      <c r="W34" s="2">
        <v>7451.15</v>
      </c>
      <c r="X34" s="2">
        <v>86342</v>
      </c>
      <c r="Y34" s="2">
        <v>252104</v>
      </c>
      <c r="Z34" s="2">
        <v>0.1</v>
      </c>
      <c r="AA34" s="2">
        <v>0</v>
      </c>
      <c r="AB34" s="2">
        <v>230.7</v>
      </c>
    </row>
    <row r="35" spans="1:28" hidden="1" x14ac:dyDescent="0.3">
      <c r="A35" s="4">
        <v>46149</v>
      </c>
      <c r="B35" s="8" t="s">
        <v>35</v>
      </c>
      <c r="C35" s="8" t="s">
        <v>36</v>
      </c>
      <c r="D35" s="7" t="s">
        <v>49</v>
      </c>
      <c r="E35" s="7" t="s">
        <v>47</v>
      </c>
      <c r="F35" s="13">
        <v>0</v>
      </c>
      <c r="G35" s="59"/>
      <c r="H35" s="6">
        <v>3000</v>
      </c>
      <c r="I35" s="6">
        <f t="shared" si="2"/>
        <v>285.44194107452341</v>
      </c>
      <c r="J35" s="2">
        <v>6.92</v>
      </c>
      <c r="K35" s="2">
        <v>5.77</v>
      </c>
      <c r="L35" s="2">
        <v>1.1499999999999999</v>
      </c>
      <c r="M35" s="2">
        <v>16.61</v>
      </c>
      <c r="N35" s="2">
        <v>550</v>
      </c>
      <c r="O35" s="56">
        <v>1647</v>
      </c>
      <c r="P35" s="2">
        <v>2.99</v>
      </c>
      <c r="Q35" s="2">
        <v>7.36</v>
      </c>
      <c r="R35" s="2">
        <v>223.81</v>
      </c>
      <c r="S35" s="2">
        <v>4.7300000000000004</v>
      </c>
      <c r="T35" s="2">
        <v>4.1100000000000003</v>
      </c>
      <c r="U35" s="2">
        <v>219.08</v>
      </c>
      <c r="V35" s="2">
        <v>37.94</v>
      </c>
      <c r="W35" s="2">
        <v>1488.71</v>
      </c>
      <c r="X35" s="2">
        <v>140120</v>
      </c>
      <c r="Y35" s="2">
        <v>476690</v>
      </c>
      <c r="Z35" s="2">
        <v>0</v>
      </c>
      <c r="AA35" s="2">
        <v>0</v>
      </c>
      <c r="AB35" s="2">
        <v>4.3</v>
      </c>
    </row>
    <row r="36" spans="1:28" hidden="1" x14ac:dyDescent="0.3">
      <c r="A36" s="14">
        <v>46149</v>
      </c>
      <c r="B36" s="14" t="s">
        <v>35</v>
      </c>
      <c r="C36" s="14"/>
      <c r="D36" s="42"/>
      <c r="E36" s="42" t="s">
        <v>47</v>
      </c>
      <c r="F36" s="43">
        <v>0</v>
      </c>
      <c r="G36" s="60"/>
      <c r="H36" s="44">
        <v>12000</v>
      </c>
      <c r="I36" s="44"/>
      <c r="J36" s="42"/>
      <c r="K36" s="42"/>
      <c r="L36" s="42"/>
      <c r="M36" s="42"/>
      <c r="N36" s="42"/>
      <c r="O36" s="56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 spans="1:28" x14ac:dyDescent="0.3">
      <c r="A37" s="4">
        <v>46149</v>
      </c>
      <c r="B37" s="8" t="s">
        <v>35</v>
      </c>
      <c r="C37" s="8" t="s">
        <v>36</v>
      </c>
      <c r="D37" s="7" t="s">
        <v>48</v>
      </c>
      <c r="E37" s="7" t="s">
        <v>38</v>
      </c>
      <c r="F37" s="13">
        <v>3158.1</v>
      </c>
      <c r="G37" s="59"/>
      <c r="H37" s="6">
        <v>4000</v>
      </c>
      <c r="I37" s="6">
        <f t="shared" ref="I37:I43" si="3">IFERROR(O37/K37,)</f>
        <v>426.33228840125389</v>
      </c>
      <c r="J37" s="2">
        <v>10.97</v>
      </c>
      <c r="K37" s="2">
        <v>9.57</v>
      </c>
      <c r="L37" s="2">
        <v>1.4</v>
      </c>
      <c r="M37" s="2">
        <v>12.76</v>
      </c>
      <c r="N37" s="2">
        <v>875</v>
      </c>
      <c r="O37" s="77">
        <v>4080</v>
      </c>
      <c r="P37" s="2">
        <v>4.66</v>
      </c>
      <c r="Q37" s="2">
        <v>10.58</v>
      </c>
      <c r="R37" s="2">
        <v>385.64</v>
      </c>
      <c r="S37" s="2">
        <v>7.57</v>
      </c>
      <c r="T37" s="2">
        <v>5.41</v>
      </c>
      <c r="U37" s="2">
        <v>378.07</v>
      </c>
      <c r="V37" s="2">
        <v>39.49</v>
      </c>
      <c r="W37" s="2">
        <v>6077.01</v>
      </c>
      <c r="X37" s="2">
        <v>371344</v>
      </c>
      <c r="Y37" s="2">
        <v>1292013</v>
      </c>
      <c r="Z37" s="2">
        <v>0.1</v>
      </c>
      <c r="AA37" s="2">
        <v>0</v>
      </c>
      <c r="AB37" s="2">
        <v>42.8</v>
      </c>
    </row>
    <row r="38" spans="1:28" s="45" customFormat="1" hidden="1" x14ac:dyDescent="0.3">
      <c r="A38" s="4">
        <v>46149</v>
      </c>
      <c r="B38" s="8" t="s">
        <v>35</v>
      </c>
      <c r="C38" s="8" t="s">
        <v>36</v>
      </c>
      <c r="D38" s="7" t="s">
        <v>50</v>
      </c>
      <c r="E38" s="7" t="s">
        <v>51</v>
      </c>
      <c r="F38" s="13">
        <v>0</v>
      </c>
      <c r="G38" s="59"/>
      <c r="H38" s="6">
        <v>3000</v>
      </c>
      <c r="I38" s="6">
        <f t="shared" si="3"/>
        <v>347.29344729344729</v>
      </c>
      <c r="J38" s="2">
        <v>8.1199999999999992</v>
      </c>
      <c r="K38" s="2">
        <v>7.02</v>
      </c>
      <c r="L38" s="2">
        <v>1.1000000000000001</v>
      </c>
      <c r="M38" s="2">
        <v>13.55</v>
      </c>
      <c r="N38" s="2">
        <v>943</v>
      </c>
      <c r="O38" s="56">
        <v>2438</v>
      </c>
      <c r="P38" s="2">
        <v>2.59</v>
      </c>
      <c r="Q38" s="2">
        <v>16.100000000000001</v>
      </c>
      <c r="R38" s="2">
        <v>151.41999999999999</v>
      </c>
      <c r="S38" s="2">
        <v>4.7300000000000004</v>
      </c>
      <c r="T38" s="2">
        <v>4.3</v>
      </c>
      <c r="U38" s="2">
        <v>146.68</v>
      </c>
      <c r="V38" s="2">
        <v>20.91</v>
      </c>
      <c r="W38" s="2">
        <v>1989.32</v>
      </c>
      <c r="X38" s="2">
        <v>118198</v>
      </c>
      <c r="Y38" s="2">
        <v>220384</v>
      </c>
      <c r="Z38" s="2">
        <v>0.2</v>
      </c>
      <c r="AA38" s="2">
        <v>0</v>
      </c>
      <c r="AB38" s="2">
        <v>275.89999999999998</v>
      </c>
    </row>
    <row r="39" spans="1:28" hidden="1" x14ac:dyDescent="0.3">
      <c r="A39" s="4">
        <v>46149</v>
      </c>
      <c r="B39" s="8" t="s">
        <v>35</v>
      </c>
      <c r="C39" s="8" t="s">
        <v>36</v>
      </c>
      <c r="D39" s="7" t="s">
        <v>52</v>
      </c>
      <c r="E39" s="7" t="s">
        <v>51</v>
      </c>
      <c r="F39" s="13">
        <v>0</v>
      </c>
      <c r="G39" s="59"/>
      <c r="H39" s="6">
        <v>3000</v>
      </c>
      <c r="I39" s="6">
        <f t="shared" si="3"/>
        <v>101.26353790613719</v>
      </c>
      <c r="J39" s="2">
        <v>8.24</v>
      </c>
      <c r="K39" s="2">
        <v>5.54</v>
      </c>
      <c r="L39" s="2">
        <v>2.7</v>
      </c>
      <c r="M39" s="2">
        <v>32.76</v>
      </c>
      <c r="N39" s="2">
        <v>334</v>
      </c>
      <c r="O39" s="56">
        <v>561</v>
      </c>
      <c r="P39" s="2">
        <v>1.68</v>
      </c>
      <c r="Q39" s="2">
        <v>4.9000000000000004</v>
      </c>
      <c r="R39" s="2">
        <v>114.51</v>
      </c>
      <c r="S39" s="2">
        <v>10.41</v>
      </c>
      <c r="T39" s="2">
        <v>3.86</v>
      </c>
      <c r="U39" s="2">
        <v>104.1</v>
      </c>
      <c r="V39" s="2">
        <v>18.79</v>
      </c>
      <c r="W39" s="2">
        <v>430.31</v>
      </c>
      <c r="X39" s="2">
        <v>38286</v>
      </c>
      <c r="Y39" s="2">
        <v>76713</v>
      </c>
      <c r="Z39" s="2">
        <v>1.1000000000000001</v>
      </c>
      <c r="AA39" s="2">
        <v>0</v>
      </c>
      <c r="AB39" s="2">
        <v>22.8</v>
      </c>
    </row>
    <row r="40" spans="1:28" hidden="1" x14ac:dyDescent="0.3">
      <c r="A40" s="4">
        <v>46150</v>
      </c>
      <c r="B40" s="8" t="s">
        <v>35</v>
      </c>
      <c r="C40" s="8" t="s">
        <v>36</v>
      </c>
      <c r="D40" s="7" t="s">
        <v>39</v>
      </c>
      <c r="E40" s="7" t="s">
        <v>40</v>
      </c>
      <c r="F40" s="13">
        <v>0</v>
      </c>
      <c r="G40" s="59"/>
      <c r="H40" s="6" t="s">
        <v>42</v>
      </c>
      <c r="I40" s="6">
        <f t="shared" si="3"/>
        <v>221.21212121212122</v>
      </c>
      <c r="J40" s="2">
        <v>9.3699999999999992</v>
      </c>
      <c r="K40" s="2">
        <v>7.92</v>
      </c>
      <c r="L40" s="2">
        <v>1.45</v>
      </c>
      <c r="M40" s="2">
        <v>15.47</v>
      </c>
      <c r="N40" s="2">
        <v>954</v>
      </c>
      <c r="O40" s="56">
        <v>1752</v>
      </c>
      <c r="P40" s="2">
        <v>1.84</v>
      </c>
      <c r="Q40" s="2">
        <v>10.99</v>
      </c>
      <c r="R40" s="2">
        <v>159.46</v>
      </c>
      <c r="S40" s="2">
        <v>6.15</v>
      </c>
      <c r="T40" s="2">
        <v>4.24</v>
      </c>
      <c r="U40" s="2">
        <v>153.31</v>
      </c>
      <c r="V40" s="2">
        <v>19.350000000000001</v>
      </c>
      <c r="W40" s="2">
        <v>8878.5400000000009</v>
      </c>
      <c r="X40" s="2">
        <v>54233</v>
      </c>
      <c r="Y40" s="2">
        <v>76284</v>
      </c>
      <c r="Z40" s="2">
        <v>0.4</v>
      </c>
      <c r="AA40" s="2">
        <v>0</v>
      </c>
      <c r="AB40" s="2">
        <v>255.9</v>
      </c>
    </row>
    <row r="41" spans="1:28" hidden="1" x14ac:dyDescent="0.3">
      <c r="A41" s="4">
        <v>46150</v>
      </c>
      <c r="B41" s="8" t="s">
        <v>35</v>
      </c>
      <c r="C41" s="8" t="s">
        <v>36</v>
      </c>
      <c r="D41" s="7" t="s">
        <v>43</v>
      </c>
      <c r="E41" s="7" t="s">
        <v>40</v>
      </c>
      <c r="F41" s="13">
        <v>0</v>
      </c>
      <c r="G41" s="59" t="s">
        <v>44</v>
      </c>
      <c r="H41" s="6" t="s">
        <v>42</v>
      </c>
      <c r="I41" s="6">
        <f t="shared" si="3"/>
        <v>122.66462480857579</v>
      </c>
      <c r="J41" s="2">
        <v>8.43</v>
      </c>
      <c r="K41" s="2">
        <v>6.53</v>
      </c>
      <c r="L41" s="2">
        <v>1.9</v>
      </c>
      <c r="M41" s="2">
        <v>22.54</v>
      </c>
      <c r="N41" s="2">
        <v>533</v>
      </c>
      <c r="O41" s="56">
        <v>801</v>
      </c>
      <c r="P41" s="2">
        <v>1.5</v>
      </c>
      <c r="Q41" s="2">
        <v>6.16</v>
      </c>
      <c r="R41" s="2">
        <v>130.12</v>
      </c>
      <c r="S41" s="2">
        <v>7.57</v>
      </c>
      <c r="T41" s="2">
        <v>3.98</v>
      </c>
      <c r="U41" s="2">
        <v>122.55</v>
      </c>
      <c r="V41" s="2">
        <v>18.77</v>
      </c>
      <c r="W41" s="2">
        <v>4763.21</v>
      </c>
      <c r="X41" s="2">
        <v>220755</v>
      </c>
      <c r="Y41" s="2">
        <v>412534</v>
      </c>
      <c r="Z41" s="2">
        <v>1.5</v>
      </c>
      <c r="AA41" s="2">
        <v>0</v>
      </c>
      <c r="AB41" s="2">
        <v>245</v>
      </c>
    </row>
    <row r="42" spans="1:28" hidden="1" x14ac:dyDescent="0.3">
      <c r="A42" s="4">
        <v>46150</v>
      </c>
      <c r="B42" s="8" t="s">
        <v>35</v>
      </c>
      <c r="C42" s="8" t="s">
        <v>36</v>
      </c>
      <c r="D42" s="7" t="s">
        <v>46</v>
      </c>
      <c r="E42" s="7" t="s">
        <v>47</v>
      </c>
      <c r="F42" s="13">
        <v>0</v>
      </c>
      <c r="G42" s="59"/>
      <c r="H42" s="6">
        <v>3000</v>
      </c>
      <c r="I42" s="6">
        <f t="shared" si="3"/>
        <v>295.05300353356887</v>
      </c>
      <c r="J42" s="2">
        <v>7.21</v>
      </c>
      <c r="K42" s="2">
        <v>5.66</v>
      </c>
      <c r="L42" s="2">
        <v>1.55</v>
      </c>
      <c r="M42" s="2">
        <v>21.5</v>
      </c>
      <c r="N42" s="2">
        <v>676</v>
      </c>
      <c r="O42" s="56">
        <v>1670</v>
      </c>
      <c r="P42" s="2">
        <v>2.4700000000000002</v>
      </c>
      <c r="Q42" s="2">
        <v>9.4600000000000009</v>
      </c>
      <c r="R42" s="2">
        <v>176.49</v>
      </c>
      <c r="S42" s="2">
        <v>9.4600000000000009</v>
      </c>
      <c r="T42" s="2">
        <v>6.11</v>
      </c>
      <c r="U42" s="2">
        <v>167.03</v>
      </c>
      <c r="V42" s="2">
        <v>29.52</v>
      </c>
      <c r="W42" s="2">
        <v>7458.36</v>
      </c>
      <c r="X42" s="2">
        <v>87018</v>
      </c>
      <c r="Y42" s="2">
        <v>253774</v>
      </c>
      <c r="Z42" s="2">
        <v>0.1</v>
      </c>
      <c r="AA42" s="2">
        <v>0</v>
      </c>
      <c r="AB42" s="2">
        <v>230.8</v>
      </c>
    </row>
    <row r="43" spans="1:28" hidden="1" x14ac:dyDescent="0.3">
      <c r="A43" s="4">
        <v>46150</v>
      </c>
      <c r="B43" s="8" t="s">
        <v>35</v>
      </c>
      <c r="C43" s="8" t="s">
        <v>36</v>
      </c>
      <c r="D43" s="7" t="s">
        <v>49</v>
      </c>
      <c r="E43" s="7" t="s">
        <v>47</v>
      </c>
      <c r="F43" s="13">
        <v>0</v>
      </c>
      <c r="G43" s="59"/>
      <c r="H43" s="6">
        <v>3000</v>
      </c>
      <c r="I43" s="6">
        <f t="shared" si="3"/>
        <v>462.68320180383319</v>
      </c>
      <c r="J43" s="2">
        <v>9.82</v>
      </c>
      <c r="K43" s="2">
        <v>8.8699999999999992</v>
      </c>
      <c r="L43" s="2">
        <v>0.95</v>
      </c>
      <c r="M43" s="2">
        <v>9.67</v>
      </c>
      <c r="N43" s="2">
        <v>1220</v>
      </c>
      <c r="O43" s="56">
        <v>4104</v>
      </c>
      <c r="P43" s="2">
        <v>3.36</v>
      </c>
      <c r="Q43" s="2">
        <v>10.71</v>
      </c>
      <c r="R43" s="2">
        <v>383.27</v>
      </c>
      <c r="S43" s="2">
        <v>5.68</v>
      </c>
      <c r="T43" s="2">
        <v>5.98</v>
      </c>
      <c r="U43" s="2">
        <v>377.59</v>
      </c>
      <c r="V43" s="2">
        <v>42.57</v>
      </c>
      <c r="W43" s="2">
        <v>1498.53</v>
      </c>
      <c r="X43" s="2">
        <v>141340</v>
      </c>
      <c r="Y43" s="2">
        <v>480794</v>
      </c>
      <c r="Z43" s="2">
        <v>0</v>
      </c>
      <c r="AA43" s="2">
        <v>0</v>
      </c>
      <c r="AB43" s="2">
        <v>4.3</v>
      </c>
    </row>
    <row r="44" spans="1:28" hidden="1" x14ac:dyDescent="0.3">
      <c r="A44" s="14">
        <v>46150</v>
      </c>
      <c r="B44" s="14" t="s">
        <v>35</v>
      </c>
      <c r="C44" s="14"/>
      <c r="D44" s="42"/>
      <c r="E44" s="42" t="s">
        <v>47</v>
      </c>
      <c r="F44" s="43">
        <v>0</v>
      </c>
      <c r="G44" s="60"/>
      <c r="H44" s="44">
        <v>12000</v>
      </c>
      <c r="I44" s="44"/>
      <c r="J44" s="42"/>
      <c r="K44" s="42"/>
      <c r="L44" s="42"/>
      <c r="M44" s="42"/>
      <c r="N44" s="42"/>
      <c r="O44" s="56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spans="1:28" x14ac:dyDescent="0.3">
      <c r="A45" s="4">
        <v>46150</v>
      </c>
      <c r="B45" s="8" t="s">
        <v>35</v>
      </c>
      <c r="C45" s="8" t="s">
        <v>36</v>
      </c>
      <c r="D45" s="7" t="s">
        <v>48</v>
      </c>
      <c r="E45" s="7" t="s">
        <v>38</v>
      </c>
      <c r="F45" s="13">
        <v>2483.33</v>
      </c>
      <c r="G45" s="59"/>
      <c r="H45" s="6">
        <v>4000</v>
      </c>
      <c r="I45" s="6">
        <f t="shared" ref="I45:I51" si="4">IFERROR(O45/K45,)</f>
        <v>315.74724172517551</v>
      </c>
      <c r="J45" s="2">
        <v>11.37</v>
      </c>
      <c r="K45" s="2">
        <v>9.9700000000000006</v>
      </c>
      <c r="L45" s="2">
        <v>1.4</v>
      </c>
      <c r="M45" s="2">
        <v>12.31</v>
      </c>
      <c r="N45" s="2">
        <v>656</v>
      </c>
      <c r="O45" s="77">
        <v>3148</v>
      </c>
      <c r="P45" s="2">
        <v>4.8</v>
      </c>
      <c r="Q45" s="2">
        <v>7.9</v>
      </c>
      <c r="R45" s="2">
        <v>398.41</v>
      </c>
      <c r="S45" s="2">
        <v>7.57</v>
      </c>
      <c r="T45" s="2">
        <v>5.41</v>
      </c>
      <c r="U45" s="2">
        <v>390.84</v>
      </c>
      <c r="V45" s="2">
        <v>39.200000000000003</v>
      </c>
      <c r="W45" s="2">
        <v>6088.38</v>
      </c>
      <c r="X45" s="2">
        <v>372000</v>
      </c>
      <c r="Y45" s="2">
        <v>1295161</v>
      </c>
      <c r="Z45" s="2">
        <v>0.2</v>
      </c>
      <c r="AA45" s="2">
        <v>0</v>
      </c>
      <c r="AB45" s="2">
        <v>43</v>
      </c>
    </row>
    <row r="46" spans="1:28" s="45" customFormat="1" hidden="1" x14ac:dyDescent="0.3">
      <c r="A46" s="4">
        <v>46150</v>
      </c>
      <c r="B46" s="8" t="s">
        <v>35</v>
      </c>
      <c r="C46" s="8" t="s">
        <v>53</v>
      </c>
      <c r="D46" s="7" t="s">
        <v>50</v>
      </c>
      <c r="E46" s="7" t="s">
        <v>51</v>
      </c>
      <c r="F46" s="13">
        <v>0</v>
      </c>
      <c r="G46" s="59"/>
      <c r="H46" s="6">
        <v>3000</v>
      </c>
      <c r="I46" s="6">
        <f t="shared" si="4"/>
        <v>0</v>
      </c>
      <c r="J46" s="2">
        <v>1.18</v>
      </c>
      <c r="K46" s="2">
        <v>0.48</v>
      </c>
      <c r="L46" s="2">
        <v>0.7</v>
      </c>
      <c r="M46" s="2">
        <v>59.45</v>
      </c>
      <c r="N46" s="2">
        <v>9</v>
      </c>
      <c r="O46" s="56">
        <v>0</v>
      </c>
      <c r="P46" s="2">
        <v>0</v>
      </c>
      <c r="Q46" s="2">
        <v>0</v>
      </c>
      <c r="R46" s="2">
        <v>7.57</v>
      </c>
      <c r="S46" s="2">
        <v>2.84</v>
      </c>
      <c r="T46" s="2">
        <v>4.0599999999999996</v>
      </c>
      <c r="U46" s="2">
        <v>4.7300000000000004</v>
      </c>
      <c r="V46" s="2">
        <v>9.91</v>
      </c>
      <c r="W46" s="2">
        <v>1990.5</v>
      </c>
      <c r="X46" s="2">
        <v>118207</v>
      </c>
      <c r="Y46" s="2">
        <v>220384</v>
      </c>
      <c r="Z46" s="2">
        <v>0</v>
      </c>
      <c r="AA46" s="2">
        <v>0</v>
      </c>
      <c r="AB46" s="2">
        <v>275.89999999999998</v>
      </c>
    </row>
    <row r="47" spans="1:28" hidden="1" x14ac:dyDescent="0.3">
      <c r="A47" s="4">
        <v>46150</v>
      </c>
      <c r="B47" s="8" t="s">
        <v>35</v>
      </c>
      <c r="C47" s="8" t="s">
        <v>36</v>
      </c>
      <c r="D47" s="7" t="s">
        <v>52</v>
      </c>
      <c r="E47" s="7" t="s">
        <v>51</v>
      </c>
      <c r="F47" s="13">
        <v>0</v>
      </c>
      <c r="G47" s="59"/>
      <c r="H47" s="6">
        <v>3000</v>
      </c>
      <c r="I47" s="6">
        <f t="shared" si="4"/>
        <v>155.95238095238096</v>
      </c>
      <c r="J47" s="2">
        <v>8.7799999999999994</v>
      </c>
      <c r="K47" s="2">
        <v>5.88</v>
      </c>
      <c r="L47" s="2">
        <v>2.9</v>
      </c>
      <c r="M47" s="2">
        <v>33.03</v>
      </c>
      <c r="N47" s="2">
        <v>462</v>
      </c>
      <c r="O47" s="56">
        <v>917</v>
      </c>
      <c r="P47" s="2">
        <v>1.98</v>
      </c>
      <c r="Q47" s="2">
        <v>7.34</v>
      </c>
      <c r="R47" s="2">
        <v>124.92</v>
      </c>
      <c r="S47" s="2">
        <v>11.36</v>
      </c>
      <c r="T47" s="2">
        <v>3.92</v>
      </c>
      <c r="U47" s="2">
        <v>113.56</v>
      </c>
      <c r="V47" s="2">
        <v>19.32</v>
      </c>
      <c r="W47" s="2">
        <v>439.09</v>
      </c>
      <c r="X47" s="2">
        <v>38748</v>
      </c>
      <c r="Y47" s="2">
        <v>77630</v>
      </c>
      <c r="Z47" s="2">
        <v>1.6</v>
      </c>
      <c r="AA47" s="2">
        <v>0</v>
      </c>
      <c r="AB47" s="2">
        <v>24.4</v>
      </c>
    </row>
    <row r="48" spans="1:28" hidden="1" x14ac:dyDescent="0.3">
      <c r="A48" s="4">
        <v>46151</v>
      </c>
      <c r="B48" s="8" t="s">
        <v>35</v>
      </c>
      <c r="C48" s="8" t="s">
        <v>36</v>
      </c>
      <c r="D48" s="7" t="s">
        <v>39</v>
      </c>
      <c r="E48" s="7" t="s">
        <v>40</v>
      </c>
      <c r="F48" s="13">
        <v>0</v>
      </c>
      <c r="G48" s="59"/>
      <c r="H48" s="6" t="s">
        <v>42</v>
      </c>
      <c r="I48" s="6">
        <f t="shared" si="4"/>
        <v>172.03703703703704</v>
      </c>
      <c r="J48" s="2">
        <v>7.6</v>
      </c>
      <c r="K48" s="2">
        <v>5.4</v>
      </c>
      <c r="L48" s="2">
        <v>2.2000000000000002</v>
      </c>
      <c r="M48" s="2">
        <v>28.97</v>
      </c>
      <c r="N48" s="2">
        <v>586</v>
      </c>
      <c r="O48" s="56">
        <v>929</v>
      </c>
      <c r="P48" s="2">
        <v>1.59</v>
      </c>
      <c r="Q48" s="2">
        <v>8.35</v>
      </c>
      <c r="R48" s="2">
        <v>111.2</v>
      </c>
      <c r="S48" s="2">
        <v>8.0399999999999991</v>
      </c>
      <c r="T48" s="2">
        <v>3.66</v>
      </c>
      <c r="U48" s="2">
        <v>103.15</v>
      </c>
      <c r="V48" s="2">
        <v>19.12</v>
      </c>
      <c r="W48" s="2">
        <v>8886.14</v>
      </c>
      <c r="X48" s="2">
        <v>54819</v>
      </c>
      <c r="Y48" s="2">
        <v>77213</v>
      </c>
      <c r="Z48" s="2">
        <v>0.5</v>
      </c>
      <c r="AA48" s="2">
        <v>0</v>
      </c>
      <c r="AB48" s="2">
        <v>256.39999999999998</v>
      </c>
    </row>
    <row r="49" spans="1:28" hidden="1" x14ac:dyDescent="0.3">
      <c r="A49" s="4">
        <v>46151</v>
      </c>
      <c r="B49" s="8" t="s">
        <v>35</v>
      </c>
      <c r="C49" s="8" t="s">
        <v>36</v>
      </c>
      <c r="D49" s="7" t="s">
        <v>43</v>
      </c>
      <c r="E49" s="7" t="s">
        <v>40</v>
      </c>
      <c r="F49" s="13">
        <v>0</v>
      </c>
      <c r="G49" s="59" t="s">
        <v>44</v>
      </c>
      <c r="H49" s="6" t="s">
        <v>42</v>
      </c>
      <c r="I49" s="6">
        <f t="shared" si="4"/>
        <v>68.403908794788279</v>
      </c>
      <c r="J49" s="2">
        <v>4.7699999999999996</v>
      </c>
      <c r="K49" s="2">
        <v>3.07</v>
      </c>
      <c r="L49" s="2">
        <v>1.7</v>
      </c>
      <c r="M49" s="2">
        <v>35.67</v>
      </c>
      <c r="N49" s="2">
        <v>140</v>
      </c>
      <c r="O49" s="56">
        <v>210</v>
      </c>
      <c r="P49" s="2">
        <v>1.5</v>
      </c>
      <c r="Q49" s="2">
        <v>3.41</v>
      </c>
      <c r="R49" s="2">
        <v>61.51</v>
      </c>
      <c r="S49" s="2">
        <v>7.57</v>
      </c>
      <c r="T49" s="2">
        <v>4.45</v>
      </c>
      <c r="U49" s="2">
        <v>53.94</v>
      </c>
      <c r="V49" s="2">
        <v>17.59</v>
      </c>
      <c r="W49" s="2">
        <v>4767.9799999999996</v>
      </c>
      <c r="X49" s="2">
        <v>220895</v>
      </c>
      <c r="Y49" s="2">
        <v>412744</v>
      </c>
      <c r="Z49" s="2">
        <v>1.1000000000000001</v>
      </c>
      <c r="AA49" s="2">
        <v>0.01</v>
      </c>
      <c r="AB49" s="2">
        <v>246.1</v>
      </c>
    </row>
    <row r="50" spans="1:28" hidden="1" x14ac:dyDescent="0.3">
      <c r="A50" s="4">
        <v>46151</v>
      </c>
      <c r="B50" s="8" t="s">
        <v>35</v>
      </c>
      <c r="C50" s="8" t="s">
        <v>36</v>
      </c>
      <c r="D50" s="7" t="s">
        <v>46</v>
      </c>
      <c r="E50" s="7" t="s">
        <v>47</v>
      </c>
      <c r="F50" s="13">
        <v>0</v>
      </c>
      <c r="G50" s="59"/>
      <c r="H50" s="6">
        <v>3000</v>
      </c>
      <c r="I50" s="6">
        <f t="shared" si="4"/>
        <v>199.46308724832215</v>
      </c>
      <c r="J50" s="2">
        <v>8.75</v>
      </c>
      <c r="K50" s="2">
        <v>7.45</v>
      </c>
      <c r="L50" s="2">
        <v>1.3</v>
      </c>
      <c r="M50" s="2">
        <v>14.86</v>
      </c>
      <c r="N50" s="2">
        <v>882</v>
      </c>
      <c r="O50" s="56">
        <v>1486</v>
      </c>
      <c r="P50" s="2">
        <v>1.68</v>
      </c>
      <c r="Q50" s="2">
        <v>6.38</v>
      </c>
      <c r="R50" s="2">
        <v>232.8</v>
      </c>
      <c r="S50" s="2">
        <v>8.52</v>
      </c>
      <c r="T50" s="2">
        <v>6.55</v>
      </c>
      <c r="U50" s="2">
        <v>224.29</v>
      </c>
      <c r="V50" s="2">
        <v>30.1</v>
      </c>
      <c r="W50" s="2">
        <v>7467.11</v>
      </c>
      <c r="X50" s="2">
        <v>87900</v>
      </c>
      <c r="Y50" s="2">
        <v>255260</v>
      </c>
      <c r="Z50" s="2">
        <v>0.3</v>
      </c>
      <c r="AA50" s="2">
        <v>0</v>
      </c>
      <c r="AB50" s="2">
        <v>231.1</v>
      </c>
    </row>
    <row r="51" spans="1:28" hidden="1" x14ac:dyDescent="0.3">
      <c r="A51" s="4">
        <v>46151</v>
      </c>
      <c r="B51" s="8" t="s">
        <v>35</v>
      </c>
      <c r="C51" s="8" t="s">
        <v>36</v>
      </c>
      <c r="D51" s="7" t="s">
        <v>49</v>
      </c>
      <c r="E51" s="7" t="s">
        <v>47</v>
      </c>
      <c r="F51" s="13">
        <v>0</v>
      </c>
      <c r="G51" s="59"/>
      <c r="H51" s="6">
        <v>3000</v>
      </c>
      <c r="I51" s="6">
        <f t="shared" si="4"/>
        <v>358.4664536741214</v>
      </c>
      <c r="J51" s="2">
        <v>7.11</v>
      </c>
      <c r="K51" s="2">
        <v>6.26</v>
      </c>
      <c r="L51" s="2">
        <v>0.85</v>
      </c>
      <c r="M51" s="2">
        <v>11.96</v>
      </c>
      <c r="N51" s="2">
        <v>742</v>
      </c>
      <c r="O51" s="56">
        <v>2244</v>
      </c>
      <c r="P51" s="2">
        <v>3.02</v>
      </c>
      <c r="Q51" s="2">
        <v>9.0500000000000007</v>
      </c>
      <c r="R51" s="2">
        <v>247.94</v>
      </c>
      <c r="S51" s="2">
        <v>3.31</v>
      </c>
      <c r="T51" s="2">
        <v>3.9</v>
      </c>
      <c r="U51" s="2">
        <v>244.63</v>
      </c>
      <c r="V51" s="2">
        <v>39.090000000000003</v>
      </c>
      <c r="W51" s="2">
        <v>1505.64</v>
      </c>
      <c r="X51" s="2">
        <v>142082</v>
      </c>
      <c r="Y51" s="2">
        <v>483038</v>
      </c>
      <c r="Z51" s="2">
        <v>0</v>
      </c>
      <c r="AA51" s="2">
        <v>0</v>
      </c>
      <c r="AB51" s="2">
        <v>4.3</v>
      </c>
    </row>
    <row r="52" spans="1:28" hidden="1" x14ac:dyDescent="0.3">
      <c r="A52" s="14">
        <v>46151</v>
      </c>
      <c r="B52" s="14" t="s">
        <v>35</v>
      </c>
      <c r="C52" s="14"/>
      <c r="D52" s="42"/>
      <c r="E52" s="42" t="s">
        <v>47</v>
      </c>
      <c r="F52" s="43">
        <v>0</v>
      </c>
      <c r="G52" s="60"/>
      <c r="H52" s="44">
        <v>12000</v>
      </c>
      <c r="I52" s="44"/>
      <c r="J52" s="42"/>
      <c r="K52" s="42"/>
      <c r="L52" s="42"/>
      <c r="M52" s="42"/>
      <c r="N52" s="42"/>
      <c r="O52" s="56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 spans="1:28" x14ac:dyDescent="0.3">
      <c r="A53" s="4">
        <v>46151</v>
      </c>
      <c r="B53" s="8" t="s">
        <v>35</v>
      </c>
      <c r="C53" s="8" t="s">
        <v>36</v>
      </c>
      <c r="D53" s="7" t="s">
        <v>48</v>
      </c>
      <c r="E53" s="7" t="s">
        <v>38</v>
      </c>
      <c r="F53" s="13">
        <v>2746.58</v>
      </c>
      <c r="G53" s="59"/>
      <c r="H53" s="6">
        <v>4000</v>
      </c>
      <c r="I53" s="6">
        <f t="shared" ref="I53:I68" si="5">IFERROR(O53/K53,)</f>
        <v>401.6519823788546</v>
      </c>
      <c r="J53" s="2">
        <v>11.03</v>
      </c>
      <c r="K53" s="2">
        <v>9.08</v>
      </c>
      <c r="L53" s="2">
        <v>1.95</v>
      </c>
      <c r="M53" s="2">
        <v>17.68</v>
      </c>
      <c r="N53" s="2">
        <v>835</v>
      </c>
      <c r="O53" s="77">
        <v>3647</v>
      </c>
      <c r="P53" s="2">
        <v>4.37</v>
      </c>
      <c r="Q53" s="2">
        <v>9.9700000000000006</v>
      </c>
      <c r="R53" s="2">
        <v>365.77</v>
      </c>
      <c r="S53" s="2">
        <v>9.94</v>
      </c>
      <c r="T53" s="2">
        <v>5.0999999999999996</v>
      </c>
      <c r="U53" s="2">
        <v>355.83</v>
      </c>
      <c r="V53" s="2">
        <v>39.200000000000003</v>
      </c>
      <c r="W53" s="2">
        <v>6099.4</v>
      </c>
      <c r="X53" s="2">
        <v>372835</v>
      </c>
      <c r="Y53" s="2">
        <v>1298808</v>
      </c>
      <c r="Z53" s="2">
        <v>0.2</v>
      </c>
      <c r="AA53" s="2">
        <v>0</v>
      </c>
      <c r="AB53" s="2">
        <v>43.2</v>
      </c>
    </row>
    <row r="54" spans="1:28" hidden="1" x14ac:dyDescent="0.3">
      <c r="A54" s="4">
        <v>46151</v>
      </c>
      <c r="B54" s="8" t="s">
        <v>35</v>
      </c>
      <c r="C54" s="8" t="s">
        <v>36</v>
      </c>
      <c r="D54" s="7" t="s">
        <v>50</v>
      </c>
      <c r="E54" s="7" t="s">
        <v>54</v>
      </c>
      <c r="F54" s="13">
        <v>0</v>
      </c>
      <c r="G54" s="59"/>
      <c r="H54" s="6" t="s">
        <v>42</v>
      </c>
      <c r="I54" s="6">
        <f t="shared" si="5"/>
        <v>139.55773955773955</v>
      </c>
      <c r="J54" s="2">
        <v>4.87</v>
      </c>
      <c r="K54" s="2">
        <v>4.07</v>
      </c>
      <c r="L54" s="2">
        <v>0.8</v>
      </c>
      <c r="M54" s="2">
        <v>16.440000000000001</v>
      </c>
      <c r="N54" s="2">
        <v>305</v>
      </c>
      <c r="O54" s="56">
        <v>568</v>
      </c>
      <c r="P54" s="2">
        <v>1.86</v>
      </c>
      <c r="Q54" s="2">
        <v>7.28</v>
      </c>
      <c r="R54" s="2">
        <v>78.069999999999993</v>
      </c>
      <c r="S54" s="2">
        <v>2.84</v>
      </c>
      <c r="T54" s="2">
        <v>3.55</v>
      </c>
      <c r="U54" s="2">
        <v>75.239999999999995</v>
      </c>
      <c r="V54" s="2">
        <v>18.5</v>
      </c>
      <c r="W54" s="2">
        <v>1995.37</v>
      </c>
      <c r="X54" s="2">
        <v>118512</v>
      </c>
      <c r="Y54" s="2">
        <v>220952</v>
      </c>
      <c r="Z54" s="2">
        <v>0.3</v>
      </c>
      <c r="AA54" s="2">
        <v>0</v>
      </c>
      <c r="AB54" s="2">
        <v>276.2</v>
      </c>
    </row>
    <row r="55" spans="1:28" s="45" customFormat="1" hidden="1" x14ac:dyDescent="0.3">
      <c r="A55" s="4">
        <v>46151</v>
      </c>
      <c r="B55" s="8" t="s">
        <v>35</v>
      </c>
      <c r="C55" s="8" t="s">
        <v>36</v>
      </c>
      <c r="D55" s="7" t="s">
        <v>52</v>
      </c>
      <c r="E55" s="7" t="s">
        <v>51</v>
      </c>
      <c r="F55" s="13">
        <v>0</v>
      </c>
      <c r="G55" s="59"/>
      <c r="H55" s="6">
        <v>3000</v>
      </c>
      <c r="I55" s="6">
        <f t="shared" si="5"/>
        <v>264.61988304093569</v>
      </c>
      <c r="J55" s="2">
        <v>8.74</v>
      </c>
      <c r="K55" s="2">
        <v>6.84</v>
      </c>
      <c r="L55" s="2">
        <v>1.9</v>
      </c>
      <c r="M55" s="2">
        <v>21.74</v>
      </c>
      <c r="N55" s="2">
        <v>924</v>
      </c>
      <c r="O55" s="56">
        <v>1810</v>
      </c>
      <c r="P55" s="2">
        <v>1.96</v>
      </c>
      <c r="Q55" s="2">
        <v>12.34</v>
      </c>
      <c r="R55" s="2">
        <v>146.68</v>
      </c>
      <c r="S55" s="2">
        <v>7.1</v>
      </c>
      <c r="T55" s="2">
        <v>3.74</v>
      </c>
      <c r="U55" s="2">
        <v>139.59</v>
      </c>
      <c r="V55" s="2">
        <v>20.399999999999999</v>
      </c>
      <c r="W55" s="2">
        <v>447.83</v>
      </c>
      <c r="X55" s="2">
        <v>39672</v>
      </c>
      <c r="Y55" s="2">
        <v>79440</v>
      </c>
      <c r="Z55" s="2">
        <v>1.3</v>
      </c>
      <c r="AA55" s="2">
        <v>0</v>
      </c>
      <c r="AB55" s="2">
        <v>25.7</v>
      </c>
    </row>
    <row r="56" spans="1:28" hidden="1" x14ac:dyDescent="0.3">
      <c r="A56" s="4">
        <v>46152</v>
      </c>
      <c r="B56" s="8" t="s">
        <v>55</v>
      </c>
      <c r="C56" s="8" t="s">
        <v>56</v>
      </c>
      <c r="D56" s="7" t="s">
        <v>39</v>
      </c>
      <c r="E56" s="7" t="s">
        <v>40</v>
      </c>
      <c r="F56" s="13">
        <v>0</v>
      </c>
      <c r="G56" s="59"/>
      <c r="H56" s="6"/>
      <c r="I56" s="6">
        <f t="shared" si="5"/>
        <v>0</v>
      </c>
      <c r="J56" s="2">
        <v>0</v>
      </c>
      <c r="K56" s="2">
        <v>0</v>
      </c>
      <c r="L56" s="2">
        <v>0</v>
      </c>
      <c r="M56" s="2" t="s">
        <v>45</v>
      </c>
      <c r="N56" s="2">
        <v>0</v>
      </c>
      <c r="O56" s="56">
        <v>0</v>
      </c>
      <c r="P56" s="2" t="s">
        <v>45</v>
      </c>
      <c r="Q56" s="2" t="s">
        <v>45</v>
      </c>
      <c r="R56" s="2">
        <v>0</v>
      </c>
      <c r="S56" s="2">
        <v>0</v>
      </c>
      <c r="T56" s="2" t="s">
        <v>45</v>
      </c>
      <c r="U56" s="2">
        <v>0</v>
      </c>
      <c r="V56" s="2" t="s">
        <v>45</v>
      </c>
      <c r="W56" s="2">
        <v>8886.14</v>
      </c>
      <c r="X56" s="2">
        <v>54819</v>
      </c>
      <c r="Y56" s="2">
        <v>77213</v>
      </c>
      <c r="Z56" s="2">
        <v>0</v>
      </c>
      <c r="AA56" s="2" t="s">
        <v>45</v>
      </c>
      <c r="AB56" s="2">
        <v>256.39999999999998</v>
      </c>
    </row>
    <row r="57" spans="1:28" hidden="1" x14ac:dyDescent="0.3">
      <c r="A57" s="4">
        <v>46152</v>
      </c>
      <c r="B57" s="8" t="s">
        <v>55</v>
      </c>
      <c r="C57" s="8" t="s">
        <v>56</v>
      </c>
      <c r="D57" s="7" t="s">
        <v>43</v>
      </c>
      <c r="E57" s="7" t="s">
        <v>40</v>
      </c>
      <c r="F57" s="13">
        <v>0</v>
      </c>
      <c r="G57" s="59"/>
      <c r="H57" s="6"/>
      <c r="I57" s="6">
        <f t="shared" si="5"/>
        <v>0</v>
      </c>
      <c r="J57" s="2" t="s">
        <v>45</v>
      </c>
      <c r="K57" s="2" t="s">
        <v>45</v>
      </c>
      <c r="L57" s="2" t="s">
        <v>45</v>
      </c>
      <c r="M57" s="2" t="s">
        <v>45</v>
      </c>
      <c r="N57" s="2" t="s">
        <v>45</v>
      </c>
      <c r="O57" s="56" t="s">
        <v>45</v>
      </c>
      <c r="P57" s="2" t="s">
        <v>45</v>
      </c>
      <c r="Q57" s="2" t="s">
        <v>45</v>
      </c>
      <c r="R57" s="2" t="s">
        <v>45</v>
      </c>
      <c r="S57" s="2" t="s">
        <v>45</v>
      </c>
      <c r="T57" s="2" t="s">
        <v>45</v>
      </c>
      <c r="U57" s="2" t="s">
        <v>45</v>
      </c>
      <c r="V57" s="2" t="s">
        <v>45</v>
      </c>
      <c r="W57" s="2" t="s">
        <v>45</v>
      </c>
      <c r="X57" s="2" t="s">
        <v>45</v>
      </c>
      <c r="Y57" s="2" t="s">
        <v>45</v>
      </c>
      <c r="Z57" s="2" t="s">
        <v>45</v>
      </c>
      <c r="AA57" s="2" t="s">
        <v>45</v>
      </c>
      <c r="AB57" s="2" t="s">
        <v>45</v>
      </c>
    </row>
    <row r="58" spans="1:28" hidden="1" x14ac:dyDescent="0.3">
      <c r="A58" s="4">
        <v>46152</v>
      </c>
      <c r="B58" s="8" t="s">
        <v>55</v>
      </c>
      <c r="C58" s="8" t="s">
        <v>56</v>
      </c>
      <c r="D58" s="7" t="s">
        <v>46</v>
      </c>
      <c r="E58" s="7" t="s">
        <v>47</v>
      </c>
      <c r="F58" s="13">
        <v>0</v>
      </c>
      <c r="G58" s="59"/>
      <c r="H58" s="6"/>
      <c r="I58" s="6">
        <f t="shared" si="5"/>
        <v>0</v>
      </c>
      <c r="J58" s="2">
        <v>0</v>
      </c>
      <c r="K58" s="2">
        <v>0</v>
      </c>
      <c r="L58" s="2">
        <v>0</v>
      </c>
      <c r="M58" s="2" t="s">
        <v>45</v>
      </c>
      <c r="N58" s="2">
        <v>0</v>
      </c>
      <c r="O58" s="56">
        <v>0</v>
      </c>
      <c r="P58" s="2" t="s">
        <v>45</v>
      </c>
      <c r="Q58" s="2" t="s">
        <v>45</v>
      </c>
      <c r="R58" s="2">
        <v>0</v>
      </c>
      <c r="S58" s="2">
        <v>0</v>
      </c>
      <c r="T58" s="2" t="s">
        <v>45</v>
      </c>
      <c r="U58" s="2">
        <v>0</v>
      </c>
      <c r="V58" s="2" t="s">
        <v>45</v>
      </c>
      <c r="W58" s="2">
        <v>7467.11</v>
      </c>
      <c r="X58" s="2">
        <v>87900</v>
      </c>
      <c r="Y58" s="2">
        <v>255260</v>
      </c>
      <c r="Z58" s="2">
        <v>0</v>
      </c>
      <c r="AA58" s="2" t="s">
        <v>45</v>
      </c>
      <c r="AB58" s="2">
        <v>231.1</v>
      </c>
    </row>
    <row r="59" spans="1:28" x14ac:dyDescent="0.3">
      <c r="A59" s="4">
        <v>46152</v>
      </c>
      <c r="B59" s="8" t="s">
        <v>57</v>
      </c>
      <c r="C59" s="8" t="s">
        <v>36</v>
      </c>
      <c r="D59" s="7" t="s">
        <v>48</v>
      </c>
      <c r="E59" s="7" t="s">
        <v>38</v>
      </c>
      <c r="F59" s="13">
        <v>2961.82</v>
      </c>
      <c r="G59" s="59"/>
      <c r="H59" s="6">
        <f>24000/7</f>
        <v>3428.5714285714284</v>
      </c>
      <c r="I59" s="6">
        <f t="shared" si="5"/>
        <v>531.11455108359132</v>
      </c>
      <c r="J59" s="2">
        <v>7.66</v>
      </c>
      <c r="K59" s="2">
        <v>6.46</v>
      </c>
      <c r="L59" s="2">
        <v>1.2</v>
      </c>
      <c r="M59" s="2">
        <v>15.67</v>
      </c>
      <c r="N59" s="2">
        <v>722</v>
      </c>
      <c r="O59" s="77">
        <v>3431</v>
      </c>
      <c r="P59" s="2">
        <v>4.75</v>
      </c>
      <c r="Q59" s="2">
        <v>13.73</v>
      </c>
      <c r="R59" s="2">
        <v>249.84</v>
      </c>
      <c r="S59" s="2">
        <v>6.62</v>
      </c>
      <c r="T59" s="2">
        <v>5.52</v>
      </c>
      <c r="U59" s="2">
        <v>243.21</v>
      </c>
      <c r="V59" s="2">
        <v>37.659999999999997</v>
      </c>
      <c r="W59" s="2">
        <v>6107.06</v>
      </c>
      <c r="X59" s="2">
        <v>373557</v>
      </c>
      <c r="Y59" s="2">
        <v>1302239</v>
      </c>
      <c r="Z59" s="2">
        <v>0</v>
      </c>
      <c r="AA59" s="2">
        <v>0</v>
      </c>
      <c r="AB59" s="2">
        <v>43.2</v>
      </c>
    </row>
    <row r="60" spans="1:28" hidden="1" x14ac:dyDescent="0.3">
      <c r="A60" s="4">
        <v>46152</v>
      </c>
      <c r="B60" s="8" t="s">
        <v>55</v>
      </c>
      <c r="C60" s="8" t="s">
        <v>56</v>
      </c>
      <c r="D60" s="7" t="s">
        <v>50</v>
      </c>
      <c r="E60" s="7"/>
      <c r="F60" s="13">
        <v>0</v>
      </c>
      <c r="G60" s="59"/>
      <c r="H60" s="6"/>
      <c r="I60" s="6">
        <f t="shared" si="5"/>
        <v>0</v>
      </c>
      <c r="J60" s="2" t="s">
        <v>45</v>
      </c>
      <c r="K60" s="2" t="s">
        <v>45</v>
      </c>
      <c r="L60" s="2" t="s">
        <v>45</v>
      </c>
      <c r="M60" s="2" t="s">
        <v>45</v>
      </c>
      <c r="N60" s="2" t="s">
        <v>45</v>
      </c>
      <c r="O60" s="56" t="s">
        <v>45</v>
      </c>
      <c r="P60" s="2" t="s">
        <v>45</v>
      </c>
      <c r="Q60" s="2" t="s">
        <v>45</v>
      </c>
      <c r="R60" s="2" t="s">
        <v>45</v>
      </c>
      <c r="S60" s="2" t="s">
        <v>45</v>
      </c>
      <c r="T60" s="2" t="s">
        <v>45</v>
      </c>
      <c r="U60" s="2" t="s">
        <v>45</v>
      </c>
      <c r="V60" s="2" t="s">
        <v>45</v>
      </c>
      <c r="W60" s="2" t="s">
        <v>45</v>
      </c>
      <c r="X60" s="2" t="s">
        <v>45</v>
      </c>
      <c r="Y60" s="2" t="s">
        <v>45</v>
      </c>
      <c r="Z60" s="2" t="s">
        <v>45</v>
      </c>
      <c r="AA60" s="2" t="s">
        <v>45</v>
      </c>
      <c r="AB60" s="2" t="s">
        <v>45</v>
      </c>
    </row>
    <row r="61" spans="1:28" hidden="1" x14ac:dyDescent="0.3">
      <c r="A61" s="4">
        <v>46152</v>
      </c>
      <c r="B61" s="8" t="s">
        <v>55</v>
      </c>
      <c r="C61" s="8" t="s">
        <v>56</v>
      </c>
      <c r="D61" s="7" t="s">
        <v>49</v>
      </c>
      <c r="E61" s="7"/>
      <c r="F61" s="13">
        <v>0</v>
      </c>
      <c r="G61" s="59"/>
      <c r="H61" s="6"/>
      <c r="I61" s="6">
        <f t="shared" si="5"/>
        <v>0</v>
      </c>
      <c r="J61" s="2" t="s">
        <v>45</v>
      </c>
      <c r="K61" s="2" t="s">
        <v>45</v>
      </c>
      <c r="L61" s="2" t="s">
        <v>45</v>
      </c>
      <c r="M61" s="2" t="s">
        <v>45</v>
      </c>
      <c r="N61" s="2" t="s">
        <v>45</v>
      </c>
      <c r="O61" s="56" t="s">
        <v>45</v>
      </c>
      <c r="P61" s="2" t="s">
        <v>45</v>
      </c>
      <c r="Q61" s="2" t="s">
        <v>45</v>
      </c>
      <c r="R61" s="2" t="s">
        <v>45</v>
      </c>
      <c r="S61" s="2" t="s">
        <v>45</v>
      </c>
      <c r="T61" s="2" t="s">
        <v>45</v>
      </c>
      <c r="U61" s="2" t="s">
        <v>45</v>
      </c>
      <c r="V61" s="2" t="s">
        <v>45</v>
      </c>
      <c r="W61" s="2" t="s">
        <v>45</v>
      </c>
      <c r="X61" s="2" t="s">
        <v>45</v>
      </c>
      <c r="Y61" s="2" t="s">
        <v>45</v>
      </c>
      <c r="Z61" s="2" t="s">
        <v>45</v>
      </c>
      <c r="AA61" s="2" t="s">
        <v>45</v>
      </c>
      <c r="AB61" s="2" t="s">
        <v>45</v>
      </c>
    </row>
    <row r="62" spans="1:28" hidden="1" x14ac:dyDescent="0.3">
      <c r="A62" s="4">
        <v>46152</v>
      </c>
      <c r="B62" s="8" t="s">
        <v>55</v>
      </c>
      <c r="C62" s="8" t="s">
        <v>56</v>
      </c>
      <c r="D62" s="7" t="s">
        <v>52</v>
      </c>
      <c r="E62" s="7"/>
      <c r="F62" s="13">
        <v>0</v>
      </c>
      <c r="G62" s="59"/>
      <c r="H62" s="6"/>
      <c r="I62" s="6">
        <f t="shared" si="5"/>
        <v>0</v>
      </c>
      <c r="J62" s="2">
        <v>0</v>
      </c>
      <c r="K62" s="2">
        <v>0</v>
      </c>
      <c r="L62" s="2">
        <v>0</v>
      </c>
      <c r="M62" s="2" t="s">
        <v>45</v>
      </c>
      <c r="N62" s="2">
        <v>0</v>
      </c>
      <c r="O62" s="56">
        <v>0</v>
      </c>
      <c r="P62" s="2" t="s">
        <v>45</v>
      </c>
      <c r="Q62" s="2" t="s">
        <v>45</v>
      </c>
      <c r="R62" s="2">
        <v>0</v>
      </c>
      <c r="S62" s="2">
        <v>0</v>
      </c>
      <c r="T62" s="2" t="s">
        <v>45</v>
      </c>
      <c r="U62" s="2">
        <v>0</v>
      </c>
      <c r="V62" s="2" t="s">
        <v>45</v>
      </c>
      <c r="W62" s="2">
        <v>447.83</v>
      </c>
      <c r="X62" s="2">
        <v>39672</v>
      </c>
      <c r="Y62" s="2">
        <v>79440</v>
      </c>
      <c r="Z62" s="2">
        <v>0</v>
      </c>
      <c r="AA62" s="2" t="s">
        <v>45</v>
      </c>
      <c r="AB62" s="2">
        <v>25.7</v>
      </c>
    </row>
    <row r="63" spans="1:28" hidden="1" x14ac:dyDescent="0.3">
      <c r="A63" s="4">
        <v>46153</v>
      </c>
      <c r="B63" s="8" t="s">
        <v>57</v>
      </c>
      <c r="C63" s="8" t="s">
        <v>36</v>
      </c>
      <c r="D63" s="7" t="s">
        <v>39</v>
      </c>
      <c r="E63" s="7" t="s">
        <v>40</v>
      </c>
      <c r="F63" s="13">
        <v>0</v>
      </c>
      <c r="G63" s="59"/>
      <c r="H63" s="6" t="s">
        <v>42</v>
      </c>
      <c r="I63" s="6">
        <f t="shared" si="5"/>
        <v>155.41601255886971</v>
      </c>
      <c r="J63" s="2">
        <v>9.02</v>
      </c>
      <c r="K63" s="2">
        <v>6.37</v>
      </c>
      <c r="L63" s="2">
        <v>2.65</v>
      </c>
      <c r="M63" s="2">
        <v>29.37</v>
      </c>
      <c r="N63" s="2">
        <v>663</v>
      </c>
      <c r="O63" s="56">
        <v>990</v>
      </c>
      <c r="P63" s="2">
        <v>1.49</v>
      </c>
      <c r="Q63" s="2">
        <v>7.69</v>
      </c>
      <c r="R63" s="2">
        <v>128.69999999999999</v>
      </c>
      <c r="S63" s="2">
        <v>9.94</v>
      </c>
      <c r="T63" s="2">
        <v>3.75</v>
      </c>
      <c r="U63" s="2">
        <v>118.77</v>
      </c>
      <c r="V63" s="2">
        <v>18.64</v>
      </c>
      <c r="W63" s="2">
        <v>8895.16</v>
      </c>
      <c r="X63" s="2">
        <v>55482</v>
      </c>
      <c r="Y63" s="2">
        <v>78203</v>
      </c>
      <c r="Z63" s="2">
        <v>0.2</v>
      </c>
      <c r="AA63" s="2">
        <v>0</v>
      </c>
      <c r="AB63" s="2">
        <v>256.60000000000002</v>
      </c>
    </row>
    <row r="64" spans="1:28" hidden="1" x14ac:dyDescent="0.3">
      <c r="A64" s="4">
        <v>46153</v>
      </c>
      <c r="B64" s="8" t="s">
        <v>57</v>
      </c>
      <c r="C64" s="8" t="s">
        <v>36</v>
      </c>
      <c r="D64" s="7" t="s">
        <v>43</v>
      </c>
      <c r="E64" s="7" t="s">
        <v>40</v>
      </c>
      <c r="F64" s="13">
        <v>0</v>
      </c>
      <c r="G64" s="59" t="s">
        <v>44</v>
      </c>
      <c r="H64" s="6" t="s">
        <v>42</v>
      </c>
      <c r="I64" s="6">
        <f t="shared" si="5"/>
        <v>77.634961439588693</v>
      </c>
      <c r="J64" s="2">
        <v>6.44</v>
      </c>
      <c r="K64" s="2">
        <v>3.89</v>
      </c>
      <c r="L64" s="2">
        <v>2.5499999999999998</v>
      </c>
      <c r="M64" s="2">
        <v>39.590000000000003</v>
      </c>
      <c r="N64" s="2">
        <v>198</v>
      </c>
      <c r="O64" s="56">
        <v>302</v>
      </c>
      <c r="P64" s="2">
        <v>1.53</v>
      </c>
      <c r="Q64" s="2">
        <v>4.07</v>
      </c>
      <c r="R64" s="2">
        <v>74.290000000000006</v>
      </c>
      <c r="S64" s="2">
        <v>8.99</v>
      </c>
      <c r="T64" s="2">
        <v>3.53</v>
      </c>
      <c r="U64" s="2">
        <v>65.3</v>
      </c>
      <c r="V64" s="2">
        <v>16.78</v>
      </c>
      <c r="W64" s="2">
        <v>4774.42</v>
      </c>
      <c r="X64" s="2">
        <v>221093</v>
      </c>
      <c r="Y64" s="2">
        <v>413046</v>
      </c>
      <c r="Z64" s="2">
        <v>0.9</v>
      </c>
      <c r="AA64" s="2">
        <v>0</v>
      </c>
      <c r="AB64" s="2">
        <v>247</v>
      </c>
    </row>
    <row r="65" spans="1:28" hidden="1" x14ac:dyDescent="0.3">
      <c r="A65" s="4">
        <v>46153</v>
      </c>
      <c r="B65" s="8" t="s">
        <v>57</v>
      </c>
      <c r="C65" s="8" t="s">
        <v>36</v>
      </c>
      <c r="D65" s="7" t="s">
        <v>46</v>
      </c>
      <c r="E65" s="7" t="s">
        <v>47</v>
      </c>
      <c r="F65" s="13">
        <v>0</v>
      </c>
      <c r="G65" s="59"/>
      <c r="H65" s="6">
        <v>3000</v>
      </c>
      <c r="I65" s="6">
        <f t="shared" si="5"/>
        <v>266.66666666666669</v>
      </c>
      <c r="J65" s="2">
        <v>9.64</v>
      </c>
      <c r="K65" s="2">
        <v>8.49</v>
      </c>
      <c r="L65" s="2">
        <v>1.1499999999999999</v>
      </c>
      <c r="M65" s="2">
        <v>11.93</v>
      </c>
      <c r="N65" s="2">
        <v>930</v>
      </c>
      <c r="O65" s="56">
        <v>2264</v>
      </c>
      <c r="P65" s="2">
        <v>2.4300000000000002</v>
      </c>
      <c r="Q65" s="2">
        <v>8.15</v>
      </c>
      <c r="R65" s="2">
        <v>277.75</v>
      </c>
      <c r="S65" s="2">
        <v>8.52</v>
      </c>
      <c r="T65" s="2">
        <v>7.41</v>
      </c>
      <c r="U65" s="2">
        <v>269.24</v>
      </c>
      <c r="V65" s="2">
        <v>31.71</v>
      </c>
      <c r="W65" s="2">
        <v>7476.75</v>
      </c>
      <c r="X65" s="2">
        <v>88830</v>
      </c>
      <c r="Y65" s="2">
        <v>257524</v>
      </c>
      <c r="Z65" s="2">
        <v>0.3</v>
      </c>
      <c r="AA65" s="2">
        <v>0</v>
      </c>
      <c r="AB65" s="2">
        <v>231.4</v>
      </c>
    </row>
    <row r="66" spans="1:28" hidden="1" x14ac:dyDescent="0.3">
      <c r="A66" s="4">
        <v>46153</v>
      </c>
      <c r="B66" s="8" t="s">
        <v>57</v>
      </c>
      <c r="C66" s="8" t="s">
        <v>36</v>
      </c>
      <c r="D66" s="7" t="s">
        <v>49</v>
      </c>
      <c r="E66" s="7" t="s">
        <v>47</v>
      </c>
      <c r="F66" s="13">
        <v>0</v>
      </c>
      <c r="G66" s="59"/>
      <c r="H66" s="6">
        <v>3000</v>
      </c>
      <c r="I66" s="6">
        <f t="shared" si="5"/>
        <v>349.0956072351421</v>
      </c>
      <c r="J66" s="2">
        <v>4.72</v>
      </c>
      <c r="K66" s="2">
        <v>3.87</v>
      </c>
      <c r="L66" s="2">
        <v>0.85</v>
      </c>
      <c r="M66" s="2">
        <v>17.989999999999998</v>
      </c>
      <c r="N66" s="2">
        <v>421</v>
      </c>
      <c r="O66" s="56">
        <v>1351</v>
      </c>
      <c r="P66" s="2">
        <v>3.21</v>
      </c>
      <c r="Q66" s="2">
        <v>9.49</v>
      </c>
      <c r="R66" s="2">
        <v>142.43</v>
      </c>
      <c r="S66" s="2">
        <v>4.26</v>
      </c>
      <c r="T66" s="2">
        <v>5.01</v>
      </c>
      <c r="U66" s="2">
        <v>138.16999999999999</v>
      </c>
      <c r="V66" s="2">
        <v>35.659999999999997</v>
      </c>
      <c r="W66" s="2">
        <v>1510.36</v>
      </c>
      <c r="X66" s="2">
        <v>142503</v>
      </c>
      <c r="Y66" s="2">
        <v>484389</v>
      </c>
      <c r="Z66" s="2">
        <v>0.1</v>
      </c>
      <c r="AA66" s="2">
        <v>0</v>
      </c>
      <c r="AB66" s="2">
        <v>4.4000000000000004</v>
      </c>
    </row>
    <row r="67" spans="1:28" x14ac:dyDescent="0.3">
      <c r="A67" s="4">
        <v>46153</v>
      </c>
      <c r="B67" s="8" t="s">
        <v>57</v>
      </c>
      <c r="C67" s="8" t="s">
        <v>36</v>
      </c>
      <c r="D67" s="7" t="s">
        <v>48</v>
      </c>
      <c r="E67" s="7" t="s">
        <v>38</v>
      </c>
      <c r="F67" s="13">
        <v>3839.92</v>
      </c>
      <c r="G67" s="59"/>
      <c r="H67" s="6">
        <f>24000/7</f>
        <v>3428.5714285714284</v>
      </c>
      <c r="I67" s="6">
        <f t="shared" si="5"/>
        <v>514.36651583710409</v>
      </c>
      <c r="J67" s="2">
        <v>10.54</v>
      </c>
      <c r="K67" s="2">
        <v>8.84</v>
      </c>
      <c r="L67" s="2">
        <v>1.7</v>
      </c>
      <c r="M67" s="2">
        <v>16.12</v>
      </c>
      <c r="N67" s="2">
        <v>958</v>
      </c>
      <c r="O67" s="77">
        <v>4547</v>
      </c>
      <c r="P67" s="2">
        <v>4.75</v>
      </c>
      <c r="Q67" s="2">
        <v>13.27</v>
      </c>
      <c r="R67" s="2">
        <v>342.58</v>
      </c>
      <c r="S67" s="2">
        <v>8.52</v>
      </c>
      <c r="T67" s="2">
        <v>5.01</v>
      </c>
      <c r="U67" s="2">
        <v>334.06</v>
      </c>
      <c r="V67" s="2">
        <v>37.770000000000003</v>
      </c>
      <c r="W67" s="2">
        <v>6117.61</v>
      </c>
      <c r="X67" s="2">
        <v>374515</v>
      </c>
      <c r="Y67" s="2">
        <v>1306786</v>
      </c>
      <c r="Z67" s="2">
        <v>0.1</v>
      </c>
      <c r="AA67" s="2">
        <v>0</v>
      </c>
      <c r="AB67" s="2">
        <v>43.3</v>
      </c>
    </row>
    <row r="68" spans="1:28" hidden="1" x14ac:dyDescent="0.3">
      <c r="A68" s="4">
        <v>46153</v>
      </c>
      <c r="B68" s="8" t="s">
        <v>57</v>
      </c>
      <c r="C68" s="8" t="s">
        <v>36</v>
      </c>
      <c r="D68" s="7" t="s">
        <v>50</v>
      </c>
      <c r="E68" s="7" t="s">
        <v>54</v>
      </c>
      <c r="F68" s="13">
        <v>0</v>
      </c>
      <c r="G68" s="59"/>
      <c r="H68" s="6" t="s">
        <v>42</v>
      </c>
      <c r="I68" s="6">
        <f t="shared" si="5"/>
        <v>89.247311827956992</v>
      </c>
      <c r="J68" s="2">
        <v>8.11</v>
      </c>
      <c r="K68" s="2">
        <v>6.51</v>
      </c>
      <c r="L68" s="2">
        <v>1.6</v>
      </c>
      <c r="M68" s="2">
        <v>19.73</v>
      </c>
      <c r="N68" s="2">
        <v>308</v>
      </c>
      <c r="O68" s="56">
        <v>581</v>
      </c>
      <c r="P68" s="2">
        <v>1.89</v>
      </c>
      <c r="Q68" s="2">
        <v>4.43</v>
      </c>
      <c r="R68" s="2">
        <v>131.07</v>
      </c>
      <c r="S68" s="2">
        <v>7.1</v>
      </c>
      <c r="T68" s="2">
        <v>4.4400000000000004</v>
      </c>
      <c r="U68" s="2">
        <v>123.97</v>
      </c>
      <c r="V68" s="2">
        <v>19.04</v>
      </c>
      <c r="W68" s="2">
        <v>2003.48</v>
      </c>
      <c r="X68" s="2">
        <v>118820</v>
      </c>
      <c r="Y68" s="2">
        <v>221533</v>
      </c>
      <c r="Z68" s="2">
        <v>0.9</v>
      </c>
      <c r="AA68" s="2">
        <v>0</v>
      </c>
      <c r="AB68" s="2">
        <v>277.10000000000002</v>
      </c>
    </row>
    <row r="69" spans="1:28" hidden="1" x14ac:dyDescent="0.3">
      <c r="A69" s="14">
        <v>46153</v>
      </c>
      <c r="B69" s="14" t="s">
        <v>57</v>
      </c>
      <c r="C69" s="14"/>
      <c r="D69" s="42"/>
      <c r="E69" s="42" t="s">
        <v>47</v>
      </c>
      <c r="F69" s="43">
        <v>0</v>
      </c>
      <c r="G69" s="60"/>
      <c r="H69" s="44">
        <f>15000-6000</f>
        <v>9000</v>
      </c>
      <c r="I69" s="44"/>
      <c r="J69" s="42"/>
      <c r="K69" s="42"/>
      <c r="L69" s="42"/>
      <c r="M69" s="42"/>
      <c r="N69" s="42"/>
      <c r="O69" s="56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spans="1:28" hidden="1" x14ac:dyDescent="0.3">
      <c r="A70" s="4">
        <v>46153</v>
      </c>
      <c r="B70" s="8" t="s">
        <v>57</v>
      </c>
      <c r="C70" s="8" t="s">
        <v>36</v>
      </c>
      <c r="D70" s="7" t="s">
        <v>52</v>
      </c>
      <c r="E70" s="7" t="s">
        <v>51</v>
      </c>
      <c r="F70" s="13">
        <v>0</v>
      </c>
      <c r="G70" s="59"/>
      <c r="H70" s="6">
        <v>3000</v>
      </c>
      <c r="I70" s="6">
        <f t="shared" ref="I70:I77" si="6">IFERROR(O70/K70,)</f>
        <v>211.77117711771177</v>
      </c>
      <c r="J70" s="2">
        <v>10.94</v>
      </c>
      <c r="K70" s="2">
        <v>9.09</v>
      </c>
      <c r="L70" s="2">
        <v>1.85</v>
      </c>
      <c r="M70" s="2">
        <v>16.91</v>
      </c>
      <c r="N70" s="2">
        <v>1004</v>
      </c>
      <c r="O70" s="56">
        <v>1925</v>
      </c>
      <c r="P70" s="2">
        <v>1.92</v>
      </c>
      <c r="Q70" s="2">
        <v>10.050000000000001</v>
      </c>
      <c r="R70" s="2">
        <v>191.64</v>
      </c>
      <c r="S70" s="2">
        <v>7.1</v>
      </c>
      <c r="T70" s="2">
        <v>3.84</v>
      </c>
      <c r="U70" s="2">
        <v>184.54</v>
      </c>
      <c r="V70" s="2">
        <v>20.3</v>
      </c>
      <c r="W70" s="2">
        <v>458.77</v>
      </c>
      <c r="X70" s="2">
        <v>40676</v>
      </c>
      <c r="Y70" s="2">
        <v>81365</v>
      </c>
      <c r="Z70" s="2">
        <v>1.4</v>
      </c>
      <c r="AA70" s="2">
        <v>0</v>
      </c>
      <c r="AB70" s="2">
        <v>27.1</v>
      </c>
    </row>
    <row r="71" spans="1:28" hidden="1" x14ac:dyDescent="0.3">
      <c r="A71" s="4">
        <v>46154</v>
      </c>
      <c r="B71" s="8" t="s">
        <v>57</v>
      </c>
      <c r="C71" s="8" t="s">
        <v>36</v>
      </c>
      <c r="D71" s="7" t="s">
        <v>39</v>
      </c>
      <c r="E71" s="7" t="s">
        <v>40</v>
      </c>
      <c r="F71" s="13">
        <v>0</v>
      </c>
      <c r="G71" s="59"/>
      <c r="H71" s="6" t="s">
        <v>42</v>
      </c>
      <c r="I71" s="6">
        <f t="shared" si="6"/>
        <v>239.8852223816356</v>
      </c>
      <c r="J71" s="2">
        <v>8.9700000000000006</v>
      </c>
      <c r="K71" s="2">
        <v>6.97</v>
      </c>
      <c r="L71" s="2">
        <v>2</v>
      </c>
      <c r="M71" s="2">
        <v>22.3</v>
      </c>
      <c r="N71" s="2">
        <v>1005</v>
      </c>
      <c r="O71" s="56">
        <v>1672</v>
      </c>
      <c r="P71" s="2">
        <v>1.66</v>
      </c>
      <c r="Q71" s="2">
        <v>11.55</v>
      </c>
      <c r="R71" s="2">
        <v>144.79</v>
      </c>
      <c r="S71" s="2">
        <v>7.57</v>
      </c>
      <c r="T71" s="2">
        <v>3.79</v>
      </c>
      <c r="U71" s="2">
        <v>137.22</v>
      </c>
      <c r="V71" s="2">
        <v>19.690000000000001</v>
      </c>
      <c r="W71" s="2">
        <v>8904.1299999999992</v>
      </c>
      <c r="X71" s="2">
        <v>56487</v>
      </c>
      <c r="Y71" s="2">
        <v>79875</v>
      </c>
      <c r="Z71" s="2">
        <v>0.8</v>
      </c>
      <c r="AA71" s="2">
        <v>0</v>
      </c>
      <c r="AB71" s="2">
        <v>257.39999999999998</v>
      </c>
    </row>
    <row r="72" spans="1:28" hidden="1" x14ac:dyDescent="0.3">
      <c r="A72" s="4">
        <v>46154</v>
      </c>
      <c r="B72" s="8" t="s">
        <v>57</v>
      </c>
      <c r="C72" s="8" t="s">
        <v>36</v>
      </c>
      <c r="D72" s="7" t="s">
        <v>43</v>
      </c>
      <c r="E72" s="7" t="s">
        <v>40</v>
      </c>
      <c r="F72" s="13">
        <v>0</v>
      </c>
      <c r="G72" s="59" t="s">
        <v>44</v>
      </c>
      <c r="H72" s="6" t="s">
        <v>42</v>
      </c>
      <c r="I72" s="6">
        <f t="shared" si="6"/>
        <v>0</v>
      </c>
      <c r="J72" s="2">
        <v>4.43</v>
      </c>
      <c r="K72" s="2">
        <v>3.78</v>
      </c>
      <c r="L72" s="2">
        <v>0.65</v>
      </c>
      <c r="M72" s="2">
        <v>14.66</v>
      </c>
      <c r="N72" s="2">
        <v>0</v>
      </c>
      <c r="O72" s="56">
        <v>0</v>
      </c>
      <c r="P72" s="2" t="s">
        <v>45</v>
      </c>
      <c r="Q72" s="2">
        <v>0</v>
      </c>
      <c r="R72" s="2">
        <v>83.28</v>
      </c>
      <c r="S72" s="2">
        <v>1.89</v>
      </c>
      <c r="T72" s="2">
        <v>2.91</v>
      </c>
      <c r="U72" s="2">
        <v>81.39</v>
      </c>
      <c r="V72" s="2">
        <v>21.51</v>
      </c>
      <c r="W72" s="2">
        <v>8503.33</v>
      </c>
      <c r="X72" s="2">
        <v>58208</v>
      </c>
      <c r="Y72" s="2">
        <v>95660</v>
      </c>
      <c r="Z72" s="2">
        <v>1.1000000000000001</v>
      </c>
      <c r="AA72" s="2" t="s">
        <v>45</v>
      </c>
      <c r="AB72" s="2">
        <v>208.5</v>
      </c>
    </row>
    <row r="73" spans="1:28" x14ac:dyDescent="0.3">
      <c r="A73" s="4">
        <v>46154</v>
      </c>
      <c r="B73" s="8" t="s">
        <v>57</v>
      </c>
      <c r="C73" s="8" t="s">
        <v>36</v>
      </c>
      <c r="D73" s="7" t="s">
        <v>48</v>
      </c>
      <c r="E73" s="7" t="s">
        <v>38</v>
      </c>
      <c r="F73" s="13">
        <v>3257.79</v>
      </c>
      <c r="G73" s="59"/>
      <c r="H73" s="6">
        <f>24000/7</f>
        <v>3428.5714285714284</v>
      </c>
      <c r="I73" s="6">
        <f t="shared" si="6"/>
        <v>515.8730158730159</v>
      </c>
      <c r="J73" s="2">
        <v>10.45</v>
      </c>
      <c r="K73" s="2">
        <v>9.4499999999999993</v>
      </c>
      <c r="L73" s="2">
        <v>1</v>
      </c>
      <c r="M73" s="2">
        <v>9.57</v>
      </c>
      <c r="N73" s="2">
        <v>1029</v>
      </c>
      <c r="O73" s="77">
        <v>4875</v>
      </c>
      <c r="P73" s="2">
        <v>4.74</v>
      </c>
      <c r="Q73" s="2">
        <v>13.66</v>
      </c>
      <c r="R73" s="2">
        <v>356.77</v>
      </c>
      <c r="S73" s="2">
        <v>6.62</v>
      </c>
      <c r="T73" s="2">
        <v>6.62</v>
      </c>
      <c r="U73" s="2">
        <v>350.15</v>
      </c>
      <c r="V73" s="2">
        <v>37.04</v>
      </c>
      <c r="W73" s="2">
        <v>6128.06</v>
      </c>
      <c r="X73" s="2">
        <v>375544</v>
      </c>
      <c r="Y73" s="2">
        <v>1311661</v>
      </c>
      <c r="Z73" s="2">
        <v>0.1</v>
      </c>
      <c r="AA73" s="2">
        <v>0</v>
      </c>
      <c r="AB73" s="2">
        <v>43.4</v>
      </c>
    </row>
    <row r="74" spans="1:28" hidden="1" x14ac:dyDescent="0.3">
      <c r="A74" s="4">
        <v>46154</v>
      </c>
      <c r="B74" s="8" t="s">
        <v>57</v>
      </c>
      <c r="C74" s="8" t="s">
        <v>36</v>
      </c>
      <c r="D74" s="7" t="s">
        <v>50</v>
      </c>
      <c r="E74" s="7" t="s">
        <v>54</v>
      </c>
      <c r="F74" s="13">
        <v>0</v>
      </c>
      <c r="G74" s="59"/>
      <c r="H74" s="6" t="s">
        <v>42</v>
      </c>
      <c r="I74" s="6">
        <f t="shared" si="6"/>
        <v>133.76623376623377</v>
      </c>
      <c r="J74" s="2">
        <v>8.41</v>
      </c>
      <c r="K74" s="2">
        <v>6.16</v>
      </c>
      <c r="L74" s="2">
        <v>2.25</v>
      </c>
      <c r="M74" s="2">
        <v>26.74</v>
      </c>
      <c r="N74" s="2">
        <v>428</v>
      </c>
      <c r="O74" s="56">
        <v>824</v>
      </c>
      <c r="P74" s="2">
        <v>1.93</v>
      </c>
      <c r="Q74" s="2">
        <v>6.43</v>
      </c>
      <c r="R74" s="2">
        <v>128.22999999999999</v>
      </c>
      <c r="S74" s="2">
        <v>8.99</v>
      </c>
      <c r="T74" s="2">
        <v>4</v>
      </c>
      <c r="U74" s="2">
        <v>119.24</v>
      </c>
      <c r="V74" s="2">
        <v>19.350000000000001</v>
      </c>
      <c r="W74" s="2">
        <v>2011.89</v>
      </c>
      <c r="X74" s="2">
        <v>119248</v>
      </c>
      <c r="Y74" s="2">
        <v>222357</v>
      </c>
      <c r="Z74" s="2">
        <v>0.3</v>
      </c>
      <c r="AA74" s="2">
        <v>0</v>
      </c>
      <c r="AB74" s="2">
        <v>277.39999999999998</v>
      </c>
    </row>
    <row r="75" spans="1:28" hidden="1" x14ac:dyDescent="0.3">
      <c r="A75" s="4">
        <v>46154</v>
      </c>
      <c r="B75" s="8" t="s">
        <v>57</v>
      </c>
      <c r="C75" s="8" t="s">
        <v>36</v>
      </c>
      <c r="D75" s="7" t="s">
        <v>46</v>
      </c>
      <c r="E75" s="7" t="s">
        <v>47</v>
      </c>
      <c r="F75" s="13">
        <v>0</v>
      </c>
      <c r="G75" s="59"/>
      <c r="H75" s="6">
        <v>3000</v>
      </c>
      <c r="I75" s="6">
        <f t="shared" si="6"/>
        <v>295.17241379310349</v>
      </c>
      <c r="J75" s="2">
        <v>7.15</v>
      </c>
      <c r="K75" s="2">
        <v>4.3499999999999996</v>
      </c>
      <c r="L75" s="2">
        <v>2.8</v>
      </c>
      <c r="M75" s="2">
        <v>39.159999999999997</v>
      </c>
      <c r="N75" s="2">
        <v>399</v>
      </c>
      <c r="O75" s="56">
        <v>1284</v>
      </c>
      <c r="P75" s="2">
        <v>3.22</v>
      </c>
      <c r="Q75" s="2">
        <v>9.02</v>
      </c>
      <c r="R75" s="2">
        <v>142.43</v>
      </c>
      <c r="S75" s="2">
        <v>15.61</v>
      </c>
      <c r="T75" s="2">
        <v>5.58</v>
      </c>
      <c r="U75" s="2">
        <v>126.81</v>
      </c>
      <c r="V75" s="2">
        <v>29.15</v>
      </c>
      <c r="W75" s="2">
        <v>7483.9</v>
      </c>
      <c r="X75" s="2">
        <v>89229</v>
      </c>
      <c r="Y75" s="2">
        <v>258808</v>
      </c>
      <c r="Z75" s="2">
        <v>0.1</v>
      </c>
      <c r="AA75" s="2">
        <v>0</v>
      </c>
      <c r="AB75" s="2">
        <v>231.5</v>
      </c>
    </row>
    <row r="76" spans="1:28" hidden="1" x14ac:dyDescent="0.3">
      <c r="A76" s="4">
        <v>46154</v>
      </c>
      <c r="B76" s="8" t="s">
        <v>57</v>
      </c>
      <c r="C76" s="8" t="s">
        <v>36</v>
      </c>
      <c r="D76" s="7" t="s">
        <v>49</v>
      </c>
      <c r="E76" s="7" t="s">
        <v>47</v>
      </c>
      <c r="F76" s="13">
        <v>0</v>
      </c>
      <c r="G76" s="59"/>
      <c r="H76" s="6">
        <v>3000</v>
      </c>
      <c r="I76" s="6">
        <f t="shared" si="6"/>
        <v>538.38028169014092</v>
      </c>
      <c r="J76" s="2">
        <v>6.98</v>
      </c>
      <c r="K76" s="2">
        <v>5.68</v>
      </c>
      <c r="L76" s="2">
        <v>1.3</v>
      </c>
      <c r="M76" s="2">
        <v>18.62</v>
      </c>
      <c r="N76" s="2">
        <v>740</v>
      </c>
      <c r="O76" s="56">
        <v>3058</v>
      </c>
      <c r="P76" s="2">
        <v>4.13</v>
      </c>
      <c r="Q76" s="2">
        <v>13.33</v>
      </c>
      <c r="R76" s="2">
        <v>229.49</v>
      </c>
      <c r="S76" s="2">
        <v>5.68</v>
      </c>
      <c r="T76" s="2">
        <v>4.37</v>
      </c>
      <c r="U76" s="2">
        <v>223.81</v>
      </c>
      <c r="V76" s="2">
        <v>39.39</v>
      </c>
      <c r="W76" s="2">
        <v>1517.34</v>
      </c>
      <c r="X76" s="2">
        <v>143243</v>
      </c>
      <c r="Y76" s="2">
        <v>487447</v>
      </c>
      <c r="Z76" s="2">
        <v>0</v>
      </c>
      <c r="AA76" s="2">
        <v>0</v>
      </c>
      <c r="AB76" s="2">
        <v>4.4000000000000004</v>
      </c>
    </row>
    <row r="77" spans="1:28" hidden="1" x14ac:dyDescent="0.3">
      <c r="A77" s="4">
        <v>46154</v>
      </c>
      <c r="B77" s="8" t="s">
        <v>57</v>
      </c>
      <c r="C77" s="8" t="s">
        <v>36</v>
      </c>
      <c r="D77" s="7" t="s">
        <v>52</v>
      </c>
      <c r="E77" s="7" t="s">
        <v>47</v>
      </c>
      <c r="F77" s="13">
        <v>0</v>
      </c>
      <c r="G77" s="59"/>
      <c r="H77" s="6">
        <v>3000</v>
      </c>
      <c r="I77" s="6">
        <f t="shared" si="6"/>
        <v>234.94152046783626</v>
      </c>
      <c r="J77" s="2">
        <v>8.49</v>
      </c>
      <c r="K77" s="2">
        <v>6.84</v>
      </c>
      <c r="L77" s="2">
        <v>1.65</v>
      </c>
      <c r="M77" s="2">
        <v>19.440000000000001</v>
      </c>
      <c r="N77" s="2">
        <v>757</v>
      </c>
      <c r="O77" s="56">
        <v>1607</v>
      </c>
      <c r="P77" s="2">
        <v>2.12</v>
      </c>
      <c r="Q77" s="2">
        <v>11.25</v>
      </c>
      <c r="R77" s="2">
        <v>142.9</v>
      </c>
      <c r="S77" s="2">
        <v>7.1</v>
      </c>
      <c r="T77" s="2">
        <v>4.3</v>
      </c>
      <c r="U77" s="2">
        <v>135.80000000000001</v>
      </c>
      <c r="V77" s="2">
        <v>19.86</v>
      </c>
      <c r="W77" s="2">
        <v>467.26</v>
      </c>
      <c r="X77" s="2">
        <v>41433</v>
      </c>
      <c r="Y77" s="2">
        <v>82972</v>
      </c>
      <c r="Z77" s="2">
        <v>1.4</v>
      </c>
      <c r="AA77" s="2">
        <v>0</v>
      </c>
      <c r="AB77" s="2">
        <v>28.5</v>
      </c>
    </row>
    <row r="78" spans="1:28" hidden="1" x14ac:dyDescent="0.3">
      <c r="A78" s="14">
        <v>46154</v>
      </c>
      <c r="B78" s="14" t="s">
        <v>57</v>
      </c>
      <c r="C78" s="14"/>
      <c r="D78" s="42"/>
      <c r="E78" s="42" t="s">
        <v>47</v>
      </c>
      <c r="F78" s="43">
        <v>0</v>
      </c>
      <c r="G78" s="60"/>
      <c r="H78" s="44">
        <v>6000</v>
      </c>
      <c r="I78" s="44"/>
      <c r="J78" s="42"/>
      <c r="K78" s="42"/>
      <c r="L78" s="42"/>
      <c r="M78" s="42"/>
      <c r="N78" s="42"/>
      <c r="O78" s="56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spans="1:28" hidden="1" x14ac:dyDescent="0.3">
      <c r="A79" s="4">
        <v>46155</v>
      </c>
      <c r="B79" s="8" t="s">
        <v>55</v>
      </c>
      <c r="C79" s="8" t="s">
        <v>56</v>
      </c>
      <c r="D79" s="7" t="s">
        <v>39</v>
      </c>
      <c r="E79" s="7" t="s">
        <v>40</v>
      </c>
      <c r="F79" s="13">
        <v>0</v>
      </c>
      <c r="G79" s="59"/>
      <c r="H79" s="6" t="s">
        <v>42</v>
      </c>
      <c r="I79" s="6">
        <f t="shared" ref="I79:I92" si="7">IFERROR(O79/K79,)</f>
        <v>0</v>
      </c>
      <c r="J79" s="2">
        <v>0</v>
      </c>
      <c r="K79" s="2">
        <v>0</v>
      </c>
      <c r="L79" s="2">
        <v>0</v>
      </c>
      <c r="M79" s="2" t="s">
        <v>45</v>
      </c>
      <c r="N79" s="2">
        <v>0</v>
      </c>
      <c r="O79" s="56">
        <v>0</v>
      </c>
      <c r="P79" s="2" t="s">
        <v>45</v>
      </c>
      <c r="Q79" s="2" t="s">
        <v>45</v>
      </c>
      <c r="R79" s="2">
        <v>0</v>
      </c>
      <c r="S79" s="2">
        <v>0</v>
      </c>
      <c r="T79" s="2" t="s">
        <v>45</v>
      </c>
      <c r="U79" s="2">
        <v>0</v>
      </c>
      <c r="V79" s="2" t="s">
        <v>45</v>
      </c>
      <c r="W79" s="2">
        <v>8904.1299999999992</v>
      </c>
      <c r="X79" s="2">
        <v>56487</v>
      </c>
      <c r="Y79" s="2">
        <v>79875</v>
      </c>
      <c r="Z79" s="2">
        <v>0</v>
      </c>
      <c r="AA79" s="2" t="s">
        <v>45</v>
      </c>
      <c r="AB79" s="2">
        <v>257.39999999999998</v>
      </c>
    </row>
    <row r="80" spans="1:28" hidden="1" x14ac:dyDescent="0.3">
      <c r="A80" s="4">
        <v>46155</v>
      </c>
      <c r="B80" s="8" t="s">
        <v>55</v>
      </c>
      <c r="C80" s="8" t="s">
        <v>56</v>
      </c>
      <c r="D80" s="7" t="s">
        <v>43</v>
      </c>
      <c r="E80" s="7" t="s">
        <v>40</v>
      </c>
      <c r="F80" s="13">
        <v>0</v>
      </c>
      <c r="G80" s="59" t="s">
        <v>53</v>
      </c>
      <c r="H80" s="6" t="s">
        <v>42</v>
      </c>
      <c r="I80" s="6">
        <f t="shared" si="7"/>
        <v>0</v>
      </c>
      <c r="J80" s="2" t="s">
        <v>45</v>
      </c>
      <c r="K80" s="2" t="s">
        <v>45</v>
      </c>
      <c r="L80" s="2" t="s">
        <v>45</v>
      </c>
      <c r="M80" s="2" t="s">
        <v>45</v>
      </c>
      <c r="N80" s="2" t="s">
        <v>45</v>
      </c>
      <c r="O80" s="56" t="s">
        <v>45</v>
      </c>
      <c r="P80" s="2" t="s">
        <v>45</v>
      </c>
      <c r="Q80" s="2" t="s">
        <v>45</v>
      </c>
      <c r="R80" s="2" t="s">
        <v>45</v>
      </c>
      <c r="S80" s="2" t="s">
        <v>45</v>
      </c>
      <c r="T80" s="2" t="s">
        <v>45</v>
      </c>
      <c r="U80" s="2" t="s">
        <v>45</v>
      </c>
      <c r="V80" s="2" t="s">
        <v>45</v>
      </c>
      <c r="W80" s="2" t="s">
        <v>45</v>
      </c>
      <c r="X80" s="2" t="s">
        <v>45</v>
      </c>
      <c r="Y80" s="2" t="s">
        <v>45</v>
      </c>
      <c r="Z80" s="2" t="s">
        <v>45</v>
      </c>
      <c r="AA80" s="2" t="s">
        <v>45</v>
      </c>
      <c r="AB80" s="2" t="s">
        <v>45</v>
      </c>
    </row>
    <row r="81" spans="1:28" x14ac:dyDescent="0.3">
      <c r="A81" s="4">
        <v>46155</v>
      </c>
      <c r="B81" s="8" t="s">
        <v>57</v>
      </c>
      <c r="C81" s="8" t="s">
        <v>36</v>
      </c>
      <c r="D81" s="7" t="s">
        <v>48</v>
      </c>
      <c r="E81" s="7" t="s">
        <v>38</v>
      </c>
      <c r="F81" s="13">
        <v>3337.78</v>
      </c>
      <c r="G81" s="59"/>
      <c r="H81" s="6">
        <f>24000/7</f>
        <v>3428.5714285714284</v>
      </c>
      <c r="I81" s="6">
        <f t="shared" si="7"/>
        <v>519.4723618090452</v>
      </c>
      <c r="J81" s="2">
        <v>9.4600000000000009</v>
      </c>
      <c r="K81" s="2">
        <v>7.96</v>
      </c>
      <c r="L81" s="2">
        <v>1.5</v>
      </c>
      <c r="M81" s="2">
        <v>15.85</v>
      </c>
      <c r="N81" s="2">
        <v>927</v>
      </c>
      <c r="O81" s="77">
        <v>4135</v>
      </c>
      <c r="P81" s="2">
        <v>4.46</v>
      </c>
      <c r="Q81" s="2">
        <v>13.78</v>
      </c>
      <c r="R81" s="2">
        <v>299.99</v>
      </c>
      <c r="S81" s="2">
        <v>8.0399999999999991</v>
      </c>
      <c r="T81" s="2">
        <v>5.36</v>
      </c>
      <c r="U81" s="2">
        <v>291.95</v>
      </c>
      <c r="V81" s="2">
        <v>36.659999999999997</v>
      </c>
      <c r="W81" s="2">
        <v>6137.53</v>
      </c>
      <c r="X81" s="2">
        <v>376471</v>
      </c>
      <c r="Y81" s="2">
        <v>1315796</v>
      </c>
      <c r="Z81" s="2">
        <v>0.1</v>
      </c>
      <c r="AA81" s="2">
        <v>0</v>
      </c>
      <c r="AB81" s="2">
        <v>43.5</v>
      </c>
    </row>
    <row r="82" spans="1:28" hidden="1" x14ac:dyDescent="0.3">
      <c r="A82" s="4">
        <v>46155</v>
      </c>
      <c r="B82" s="8" t="s">
        <v>55</v>
      </c>
      <c r="C82" s="8" t="s">
        <v>56</v>
      </c>
      <c r="D82" s="7" t="s">
        <v>50</v>
      </c>
      <c r="E82" s="7" t="s">
        <v>40</v>
      </c>
      <c r="F82" s="13">
        <v>0</v>
      </c>
      <c r="G82" s="59"/>
      <c r="H82" s="6" t="s">
        <v>42</v>
      </c>
      <c r="I82" s="6">
        <f t="shared" si="7"/>
        <v>0</v>
      </c>
      <c r="J82" s="2" t="s">
        <v>45</v>
      </c>
      <c r="K82" s="2" t="s">
        <v>45</v>
      </c>
      <c r="L82" s="2" t="s">
        <v>45</v>
      </c>
      <c r="M82" s="2" t="s">
        <v>45</v>
      </c>
      <c r="N82" s="2" t="s">
        <v>45</v>
      </c>
      <c r="O82" s="56" t="s">
        <v>45</v>
      </c>
      <c r="P82" s="2" t="s">
        <v>45</v>
      </c>
      <c r="Q82" s="2" t="s">
        <v>45</v>
      </c>
      <c r="R82" s="2" t="s">
        <v>45</v>
      </c>
      <c r="S82" s="2" t="s">
        <v>45</v>
      </c>
      <c r="T82" s="2" t="s">
        <v>45</v>
      </c>
      <c r="U82" s="2" t="s">
        <v>45</v>
      </c>
      <c r="V82" s="2" t="s">
        <v>45</v>
      </c>
      <c r="W82" s="2" t="s">
        <v>45</v>
      </c>
      <c r="X82" s="2" t="s">
        <v>45</v>
      </c>
      <c r="Y82" s="2" t="s">
        <v>45</v>
      </c>
      <c r="Z82" s="2" t="s">
        <v>45</v>
      </c>
      <c r="AA82" s="2" t="s">
        <v>45</v>
      </c>
      <c r="AB82" s="2" t="s">
        <v>45</v>
      </c>
    </row>
    <row r="83" spans="1:28" hidden="1" x14ac:dyDescent="0.3">
      <c r="A83" s="4">
        <v>46155</v>
      </c>
      <c r="B83" s="8" t="s">
        <v>55</v>
      </c>
      <c r="C83" s="8" t="s">
        <v>56</v>
      </c>
      <c r="D83" s="7" t="s">
        <v>46</v>
      </c>
      <c r="E83" s="7" t="s">
        <v>47</v>
      </c>
      <c r="F83" s="13">
        <v>0</v>
      </c>
      <c r="G83" s="59"/>
      <c r="H83" s="6">
        <v>3000</v>
      </c>
      <c r="I83" s="6">
        <f t="shared" si="7"/>
        <v>0</v>
      </c>
      <c r="J83" s="2">
        <v>0</v>
      </c>
      <c r="K83" s="2">
        <v>0</v>
      </c>
      <c r="L83" s="2">
        <v>0</v>
      </c>
      <c r="M83" s="2" t="s">
        <v>45</v>
      </c>
      <c r="N83" s="2">
        <v>0</v>
      </c>
      <c r="O83" s="56">
        <v>0</v>
      </c>
      <c r="P83" s="2" t="s">
        <v>45</v>
      </c>
      <c r="Q83" s="2" t="s">
        <v>45</v>
      </c>
      <c r="R83" s="2">
        <v>0</v>
      </c>
      <c r="S83" s="2">
        <v>0</v>
      </c>
      <c r="T83" s="2" t="s">
        <v>45</v>
      </c>
      <c r="U83" s="2">
        <v>0</v>
      </c>
      <c r="V83" s="2" t="s">
        <v>45</v>
      </c>
      <c r="W83" s="2">
        <v>7483.9</v>
      </c>
      <c r="X83" s="2">
        <v>89229</v>
      </c>
      <c r="Y83" s="2">
        <v>258808</v>
      </c>
      <c r="Z83" s="2">
        <v>0</v>
      </c>
      <c r="AA83" s="2" t="s">
        <v>45</v>
      </c>
      <c r="AB83" s="2">
        <v>231.5</v>
      </c>
    </row>
    <row r="84" spans="1:28" hidden="1" x14ac:dyDescent="0.3">
      <c r="A84" s="4">
        <v>46155</v>
      </c>
      <c r="B84" s="8" t="s">
        <v>55</v>
      </c>
      <c r="C84" s="8" t="s">
        <v>56</v>
      </c>
      <c r="D84" s="7" t="s">
        <v>49</v>
      </c>
      <c r="E84" s="7" t="s">
        <v>47</v>
      </c>
      <c r="F84" s="13">
        <v>0</v>
      </c>
      <c r="G84" s="59"/>
      <c r="H84" s="6">
        <v>3000</v>
      </c>
      <c r="I84" s="6">
        <f t="shared" si="7"/>
        <v>0</v>
      </c>
      <c r="J84" s="2" t="s">
        <v>45</v>
      </c>
      <c r="K84" s="2" t="s">
        <v>45</v>
      </c>
      <c r="L84" s="2" t="s">
        <v>45</v>
      </c>
      <c r="M84" s="2" t="s">
        <v>45</v>
      </c>
      <c r="N84" s="2" t="s">
        <v>45</v>
      </c>
      <c r="O84" s="56" t="s">
        <v>45</v>
      </c>
      <c r="P84" s="2" t="s">
        <v>45</v>
      </c>
      <c r="Q84" s="2" t="s">
        <v>45</v>
      </c>
      <c r="R84" s="2" t="s">
        <v>45</v>
      </c>
      <c r="S84" s="2" t="s">
        <v>45</v>
      </c>
      <c r="T84" s="2" t="s">
        <v>45</v>
      </c>
      <c r="U84" s="2" t="s">
        <v>45</v>
      </c>
      <c r="V84" s="2" t="s">
        <v>45</v>
      </c>
      <c r="W84" s="2" t="s">
        <v>45</v>
      </c>
      <c r="X84" s="2" t="s">
        <v>45</v>
      </c>
      <c r="Y84" s="2" t="s">
        <v>45</v>
      </c>
      <c r="Z84" s="2" t="s">
        <v>45</v>
      </c>
      <c r="AA84" s="2" t="s">
        <v>45</v>
      </c>
      <c r="AB84" s="2" t="s">
        <v>45</v>
      </c>
    </row>
    <row r="85" spans="1:28" hidden="1" x14ac:dyDescent="0.3">
      <c r="A85" s="4">
        <v>46155</v>
      </c>
      <c r="B85" s="8" t="s">
        <v>55</v>
      </c>
      <c r="C85" s="8" t="s">
        <v>56</v>
      </c>
      <c r="D85" s="7" t="s">
        <v>52</v>
      </c>
      <c r="E85" s="7" t="s">
        <v>47</v>
      </c>
      <c r="F85" s="13">
        <v>0</v>
      </c>
      <c r="G85" s="59"/>
      <c r="H85" s="6">
        <v>3000</v>
      </c>
      <c r="I85" s="6">
        <f t="shared" si="7"/>
        <v>0</v>
      </c>
      <c r="J85" s="2">
        <v>0</v>
      </c>
      <c r="K85" s="2">
        <v>0</v>
      </c>
      <c r="L85" s="2">
        <v>0</v>
      </c>
      <c r="M85" s="2" t="s">
        <v>45</v>
      </c>
      <c r="N85" s="2">
        <v>0</v>
      </c>
      <c r="O85" s="56">
        <v>0</v>
      </c>
      <c r="P85" s="2" t="s">
        <v>45</v>
      </c>
      <c r="Q85" s="2" t="s">
        <v>45</v>
      </c>
      <c r="R85" s="2">
        <v>0</v>
      </c>
      <c r="S85" s="2">
        <v>0</v>
      </c>
      <c r="T85" s="2" t="s">
        <v>45</v>
      </c>
      <c r="U85" s="2">
        <v>0</v>
      </c>
      <c r="V85" s="2" t="s">
        <v>45</v>
      </c>
      <c r="W85" s="2">
        <v>467.26</v>
      </c>
      <c r="X85" s="2">
        <v>41433</v>
      </c>
      <c r="Y85" s="2">
        <v>82972</v>
      </c>
      <c r="Z85" s="2">
        <v>0</v>
      </c>
      <c r="AA85" s="2" t="s">
        <v>45</v>
      </c>
      <c r="AB85" s="2">
        <v>28.5</v>
      </c>
    </row>
    <row r="86" spans="1:28" hidden="1" x14ac:dyDescent="0.3">
      <c r="A86" s="4">
        <v>46156</v>
      </c>
      <c r="B86" s="8" t="s">
        <v>57</v>
      </c>
      <c r="C86" s="8" t="s">
        <v>36</v>
      </c>
      <c r="D86" s="7" t="s">
        <v>39</v>
      </c>
      <c r="E86" s="7" t="s">
        <v>40</v>
      </c>
      <c r="F86" s="13">
        <v>0</v>
      </c>
      <c r="G86" s="59"/>
      <c r="H86" s="6" t="s">
        <v>42</v>
      </c>
      <c r="I86" s="6">
        <f t="shared" si="7"/>
        <v>144.71153846153845</v>
      </c>
      <c r="J86" s="2">
        <v>7.34</v>
      </c>
      <c r="K86" s="2">
        <v>6.24</v>
      </c>
      <c r="L86" s="2">
        <v>1.1000000000000001</v>
      </c>
      <c r="M86" s="2">
        <v>14.98</v>
      </c>
      <c r="N86" s="2">
        <v>783</v>
      </c>
      <c r="O86" s="56">
        <v>903</v>
      </c>
      <c r="P86" s="2">
        <v>1.1499999999999999</v>
      </c>
      <c r="Q86" s="2">
        <v>7.31</v>
      </c>
      <c r="R86" s="2">
        <v>123.5</v>
      </c>
      <c r="S86" s="2">
        <v>4.26</v>
      </c>
      <c r="T86" s="2">
        <v>3.87</v>
      </c>
      <c r="U86" s="2">
        <v>119.24</v>
      </c>
      <c r="V86" s="2">
        <v>19.100000000000001</v>
      </c>
      <c r="W86" s="2">
        <v>8911.4699999999993</v>
      </c>
      <c r="X86" s="2">
        <v>57270</v>
      </c>
      <c r="Y86" s="2">
        <v>80778</v>
      </c>
      <c r="Z86" s="2">
        <v>0.2</v>
      </c>
      <c r="AA86" s="2">
        <v>0</v>
      </c>
      <c r="AB86" s="2">
        <v>257.60000000000002</v>
      </c>
    </row>
    <row r="87" spans="1:28" hidden="1" x14ac:dyDescent="0.3">
      <c r="A87" s="4">
        <v>46156</v>
      </c>
      <c r="B87" s="8" t="s">
        <v>55</v>
      </c>
      <c r="C87" s="8" t="s">
        <v>56</v>
      </c>
      <c r="D87" s="7" t="s">
        <v>43</v>
      </c>
      <c r="E87" s="7" t="s">
        <v>40</v>
      </c>
      <c r="F87" s="13">
        <v>0</v>
      </c>
      <c r="G87" s="59" t="s">
        <v>53</v>
      </c>
      <c r="H87" s="6" t="s">
        <v>42</v>
      </c>
      <c r="I87" s="6">
        <f t="shared" si="7"/>
        <v>0</v>
      </c>
      <c r="J87" s="2">
        <v>0.28000000000000003</v>
      </c>
      <c r="K87" s="2">
        <v>0.08</v>
      </c>
      <c r="L87" s="2">
        <v>0.2</v>
      </c>
      <c r="M87" s="2">
        <v>71.150000000000006</v>
      </c>
      <c r="N87" s="2">
        <v>0</v>
      </c>
      <c r="O87" s="56">
        <v>0</v>
      </c>
      <c r="P87" s="2" t="s">
        <v>45</v>
      </c>
      <c r="Q87" s="2">
        <v>0</v>
      </c>
      <c r="R87" s="2">
        <v>1.42</v>
      </c>
      <c r="S87" s="2">
        <v>1.89</v>
      </c>
      <c r="T87" s="2">
        <v>9.4600000000000009</v>
      </c>
      <c r="U87" s="2" t="s">
        <v>45</v>
      </c>
      <c r="V87" s="2" t="s">
        <v>45</v>
      </c>
      <c r="W87" s="2">
        <v>8503.61</v>
      </c>
      <c r="X87" s="2">
        <v>58208</v>
      </c>
      <c r="Y87" s="2">
        <v>95660</v>
      </c>
      <c r="Z87" s="2">
        <v>0</v>
      </c>
      <c r="AA87" s="2" t="s">
        <v>45</v>
      </c>
      <c r="AB87" s="2">
        <v>208.5</v>
      </c>
    </row>
    <row r="88" spans="1:28" x14ac:dyDescent="0.3">
      <c r="A88" s="4">
        <v>46156</v>
      </c>
      <c r="B88" s="8" t="s">
        <v>57</v>
      </c>
      <c r="C88" s="8" t="s">
        <v>36</v>
      </c>
      <c r="D88" s="7" t="s">
        <v>48</v>
      </c>
      <c r="E88" s="7" t="s">
        <v>38</v>
      </c>
      <c r="F88" s="13">
        <v>2566.6</v>
      </c>
      <c r="G88" s="59"/>
      <c r="H88" s="6">
        <f>24000/7</f>
        <v>3428.5714285714284</v>
      </c>
      <c r="I88" s="6">
        <f t="shared" si="7"/>
        <v>475.83979328165373</v>
      </c>
      <c r="J88" s="2">
        <v>9.94</v>
      </c>
      <c r="K88" s="2">
        <v>7.74</v>
      </c>
      <c r="L88" s="2">
        <v>2.2000000000000002</v>
      </c>
      <c r="M88" s="2">
        <v>22.12</v>
      </c>
      <c r="N88" s="2">
        <v>843</v>
      </c>
      <c r="O88" s="77">
        <v>3683</v>
      </c>
      <c r="P88" s="2">
        <v>4.37</v>
      </c>
      <c r="Q88" s="2">
        <v>12.64</v>
      </c>
      <c r="R88" s="2">
        <v>291.48</v>
      </c>
      <c r="S88" s="2">
        <v>11.36</v>
      </c>
      <c r="T88" s="2">
        <v>5.16</v>
      </c>
      <c r="U88" s="2">
        <v>280.12</v>
      </c>
      <c r="V88" s="2">
        <v>36.17</v>
      </c>
      <c r="W88" s="2">
        <v>6147.47</v>
      </c>
      <c r="X88" s="2">
        <v>377314</v>
      </c>
      <c r="Y88" s="2">
        <v>1319479</v>
      </c>
      <c r="Z88" s="2">
        <v>0</v>
      </c>
      <c r="AA88" s="2">
        <v>0</v>
      </c>
      <c r="AB88" s="2">
        <v>43.5</v>
      </c>
    </row>
    <row r="89" spans="1:28" hidden="1" x14ac:dyDescent="0.3">
      <c r="A89" s="4">
        <v>46156</v>
      </c>
      <c r="B89" s="8" t="s">
        <v>57</v>
      </c>
      <c r="C89" s="8" t="s">
        <v>36</v>
      </c>
      <c r="D89" s="7" t="s">
        <v>50</v>
      </c>
      <c r="E89" s="7" t="s">
        <v>40</v>
      </c>
      <c r="F89" s="13">
        <v>0</v>
      </c>
      <c r="G89" s="59"/>
      <c r="H89" s="6" t="s">
        <v>42</v>
      </c>
      <c r="I89" s="6">
        <f t="shared" si="7"/>
        <v>120.60491493383743</v>
      </c>
      <c r="J89" s="2">
        <v>7.69</v>
      </c>
      <c r="K89" s="2">
        <v>5.29</v>
      </c>
      <c r="L89" s="2">
        <v>2.4</v>
      </c>
      <c r="M89" s="2">
        <v>31.21</v>
      </c>
      <c r="N89" s="2">
        <v>354</v>
      </c>
      <c r="O89" s="56">
        <v>638</v>
      </c>
      <c r="P89" s="2">
        <v>1.8</v>
      </c>
      <c r="Q89" s="2">
        <v>5.89</v>
      </c>
      <c r="R89" s="2">
        <v>108.36</v>
      </c>
      <c r="S89" s="2">
        <v>9.4600000000000009</v>
      </c>
      <c r="T89" s="2">
        <v>3.94</v>
      </c>
      <c r="U89" s="2">
        <v>98.89</v>
      </c>
      <c r="V89" s="2">
        <v>18.7</v>
      </c>
      <c r="W89" s="2">
        <v>2019.58</v>
      </c>
      <c r="X89" s="2">
        <v>119602</v>
      </c>
      <c r="Y89" s="2">
        <v>222995</v>
      </c>
      <c r="Z89" s="2">
        <v>0.5</v>
      </c>
      <c r="AA89" s="2">
        <v>0</v>
      </c>
      <c r="AB89" s="2">
        <v>277.89999999999998</v>
      </c>
    </row>
    <row r="90" spans="1:28" hidden="1" x14ac:dyDescent="0.3">
      <c r="A90" s="4">
        <v>46156</v>
      </c>
      <c r="B90" s="8" t="s">
        <v>57</v>
      </c>
      <c r="C90" s="8" t="s">
        <v>36</v>
      </c>
      <c r="D90" s="7" t="s">
        <v>46</v>
      </c>
      <c r="E90" s="7" t="s">
        <v>47</v>
      </c>
      <c r="F90" s="13">
        <v>0</v>
      </c>
      <c r="G90" s="59"/>
      <c r="H90" s="6">
        <v>3000</v>
      </c>
      <c r="I90" s="6">
        <f t="shared" si="7"/>
        <v>377.37226277372258</v>
      </c>
      <c r="J90" s="2">
        <v>8.1300000000000008</v>
      </c>
      <c r="K90" s="2">
        <v>5.48</v>
      </c>
      <c r="L90" s="2">
        <v>2.65</v>
      </c>
      <c r="M90" s="2">
        <v>32.590000000000003</v>
      </c>
      <c r="N90" s="2">
        <v>621</v>
      </c>
      <c r="O90" s="56">
        <v>2068</v>
      </c>
      <c r="P90" s="2">
        <v>3.33</v>
      </c>
      <c r="Q90" s="2">
        <v>11.09</v>
      </c>
      <c r="R90" s="2">
        <v>186.43</v>
      </c>
      <c r="S90" s="2">
        <v>15.14</v>
      </c>
      <c r="T90" s="2">
        <v>5.71</v>
      </c>
      <c r="U90" s="2">
        <v>171.29</v>
      </c>
      <c r="V90" s="2">
        <v>31.25</v>
      </c>
      <c r="W90" s="2">
        <v>7492.03</v>
      </c>
      <c r="X90" s="2">
        <v>89850</v>
      </c>
      <c r="Y90" s="2">
        <v>260876</v>
      </c>
      <c r="Z90" s="2">
        <v>0.5</v>
      </c>
      <c r="AA90" s="2">
        <v>0</v>
      </c>
      <c r="AB90" s="2">
        <v>232</v>
      </c>
    </row>
    <row r="91" spans="1:28" hidden="1" x14ac:dyDescent="0.3">
      <c r="A91" s="4">
        <v>46156</v>
      </c>
      <c r="B91" s="8" t="s">
        <v>57</v>
      </c>
      <c r="C91" s="8" t="s">
        <v>36</v>
      </c>
      <c r="D91" s="7" t="s">
        <v>49</v>
      </c>
      <c r="E91" s="7" t="s">
        <v>47</v>
      </c>
      <c r="F91" s="13">
        <v>0</v>
      </c>
      <c r="G91" s="59"/>
      <c r="H91" s="6">
        <v>3000</v>
      </c>
      <c r="I91" s="6">
        <f t="shared" si="7"/>
        <v>458.88888888888886</v>
      </c>
      <c r="J91" s="2">
        <v>6.9</v>
      </c>
      <c r="K91" s="2">
        <v>5.4</v>
      </c>
      <c r="L91" s="2">
        <v>1.5</v>
      </c>
      <c r="M91" s="2">
        <v>21.74</v>
      </c>
      <c r="N91" s="2">
        <v>599</v>
      </c>
      <c r="O91" s="56">
        <v>2478</v>
      </c>
      <c r="P91" s="2">
        <v>4.1399999999999997</v>
      </c>
      <c r="Q91" s="2">
        <v>11.9</v>
      </c>
      <c r="R91" s="2">
        <v>208.2</v>
      </c>
      <c r="S91" s="2">
        <v>7.1</v>
      </c>
      <c r="T91" s="2">
        <v>4.7300000000000004</v>
      </c>
      <c r="U91" s="2">
        <v>201.1</v>
      </c>
      <c r="V91" s="2">
        <v>37.25</v>
      </c>
      <c r="W91" s="2">
        <v>1524.24</v>
      </c>
      <c r="X91" s="2">
        <v>143842</v>
      </c>
      <c r="Y91" s="2">
        <v>489925</v>
      </c>
      <c r="Z91" s="2">
        <v>0</v>
      </c>
      <c r="AA91" s="2">
        <v>0</v>
      </c>
      <c r="AB91" s="2">
        <v>4.4000000000000004</v>
      </c>
    </row>
    <row r="92" spans="1:28" hidden="1" x14ac:dyDescent="0.3">
      <c r="A92" s="4">
        <v>46156</v>
      </c>
      <c r="B92" s="8" t="s">
        <v>57</v>
      </c>
      <c r="C92" s="8" t="s">
        <v>36</v>
      </c>
      <c r="D92" s="7" t="s">
        <v>52</v>
      </c>
      <c r="E92" s="7" t="s">
        <v>47</v>
      </c>
      <c r="F92" s="13">
        <v>0</v>
      </c>
      <c r="G92" s="59"/>
      <c r="H92" s="6">
        <v>3000</v>
      </c>
      <c r="I92" s="6">
        <f t="shared" si="7"/>
        <v>318.02656546489567</v>
      </c>
      <c r="J92" s="2">
        <v>7.97</v>
      </c>
      <c r="K92" s="2">
        <v>5.27</v>
      </c>
      <c r="L92" s="2">
        <v>2.7</v>
      </c>
      <c r="M92" s="2">
        <v>33.89</v>
      </c>
      <c r="N92" s="2">
        <v>675</v>
      </c>
      <c r="O92" s="56">
        <v>1676</v>
      </c>
      <c r="P92" s="2">
        <v>2.48</v>
      </c>
      <c r="Q92" s="2">
        <v>15.07</v>
      </c>
      <c r="R92" s="2">
        <v>111.2</v>
      </c>
      <c r="S92" s="2">
        <v>9.94</v>
      </c>
      <c r="T92" s="2">
        <v>3.68</v>
      </c>
      <c r="U92" s="2">
        <v>101.26</v>
      </c>
      <c r="V92" s="2">
        <v>19.22</v>
      </c>
      <c r="W92" s="2">
        <v>475.23</v>
      </c>
      <c r="X92" s="2">
        <v>42108</v>
      </c>
      <c r="Y92" s="2">
        <v>84648</v>
      </c>
      <c r="Z92" s="2">
        <v>0.4</v>
      </c>
      <c r="AA92" s="2">
        <v>0</v>
      </c>
      <c r="AB92" s="2">
        <v>28.9</v>
      </c>
    </row>
    <row r="93" spans="1:28" hidden="1" x14ac:dyDescent="0.3">
      <c r="A93" s="14">
        <v>46156</v>
      </c>
      <c r="B93" s="14" t="s">
        <v>57</v>
      </c>
      <c r="C93" s="14"/>
      <c r="D93" s="42"/>
      <c r="E93" s="42" t="s">
        <v>47</v>
      </c>
      <c r="F93" s="43">
        <v>0</v>
      </c>
      <c r="G93" s="60"/>
      <c r="H93" s="44">
        <v>6000</v>
      </c>
      <c r="I93" s="44"/>
      <c r="J93" s="42"/>
      <c r="K93" s="42"/>
      <c r="L93" s="42"/>
      <c r="M93" s="42"/>
      <c r="N93" s="42"/>
      <c r="O93" s="56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28" hidden="1" x14ac:dyDescent="0.3">
      <c r="A94" s="4">
        <v>46157</v>
      </c>
      <c r="B94" s="8" t="s">
        <v>57</v>
      </c>
      <c r="C94" s="8" t="s">
        <v>36</v>
      </c>
      <c r="D94" s="7" t="s">
        <v>39</v>
      </c>
      <c r="E94" s="7" t="s">
        <v>40</v>
      </c>
      <c r="F94" s="13">
        <v>0</v>
      </c>
      <c r="G94" s="59"/>
      <c r="H94" s="6" t="s">
        <v>42</v>
      </c>
      <c r="I94" s="6">
        <f t="shared" ref="I94:I99" si="8">IFERROR(O94/K94,)</f>
        <v>145.18072289156626</v>
      </c>
      <c r="J94" s="2">
        <v>7.13</v>
      </c>
      <c r="K94" s="2">
        <v>4.9800000000000004</v>
      </c>
      <c r="L94" s="2">
        <v>2.15</v>
      </c>
      <c r="M94" s="2">
        <v>30.17</v>
      </c>
      <c r="N94" s="2">
        <v>427</v>
      </c>
      <c r="O94" s="56">
        <v>723</v>
      </c>
      <c r="P94" s="2">
        <v>1.69</v>
      </c>
      <c r="Q94" s="2">
        <v>7.24</v>
      </c>
      <c r="R94" s="2">
        <v>99.84</v>
      </c>
      <c r="S94" s="2">
        <v>8.52</v>
      </c>
      <c r="T94" s="2">
        <v>3.96</v>
      </c>
      <c r="U94" s="2">
        <v>91.32</v>
      </c>
      <c r="V94" s="2">
        <v>18.350000000000001</v>
      </c>
      <c r="W94" s="2">
        <v>8918.6</v>
      </c>
      <c r="X94" s="2">
        <v>57697</v>
      </c>
      <c r="Y94" s="2">
        <v>81501</v>
      </c>
      <c r="Z94" s="2">
        <v>0</v>
      </c>
      <c r="AA94" s="2">
        <v>0</v>
      </c>
      <c r="AB94" s="2">
        <v>257.60000000000002</v>
      </c>
    </row>
    <row r="95" spans="1:28" hidden="1" x14ac:dyDescent="0.3">
      <c r="A95" s="4">
        <v>46157</v>
      </c>
      <c r="B95" s="8" t="s">
        <v>55</v>
      </c>
      <c r="C95" s="8" t="s">
        <v>56</v>
      </c>
      <c r="D95" s="7" t="s">
        <v>43</v>
      </c>
      <c r="E95" s="7" t="s">
        <v>40</v>
      </c>
      <c r="F95" s="13">
        <v>0</v>
      </c>
      <c r="G95" s="59" t="s">
        <v>53</v>
      </c>
      <c r="H95" s="6" t="s">
        <v>42</v>
      </c>
      <c r="I95" s="6">
        <f t="shared" si="8"/>
        <v>0</v>
      </c>
      <c r="J95" s="2">
        <v>1.48</v>
      </c>
      <c r="K95" s="2">
        <v>0.38</v>
      </c>
      <c r="L95" s="2">
        <v>1.1000000000000001</v>
      </c>
      <c r="M95" s="2">
        <v>74.510000000000005</v>
      </c>
      <c r="N95" s="2">
        <v>0</v>
      </c>
      <c r="O95" s="56">
        <v>0</v>
      </c>
      <c r="P95" s="2" t="s">
        <v>45</v>
      </c>
      <c r="Q95" s="2">
        <v>0</v>
      </c>
      <c r="R95" s="2">
        <v>10.88</v>
      </c>
      <c r="S95" s="2">
        <v>5.68</v>
      </c>
      <c r="T95" s="2">
        <v>5.16</v>
      </c>
      <c r="U95" s="2">
        <v>5.2</v>
      </c>
      <c r="V95" s="2">
        <v>13.83</v>
      </c>
      <c r="W95" s="2">
        <v>8505.08</v>
      </c>
      <c r="X95" s="2">
        <v>58208</v>
      </c>
      <c r="Y95" s="2">
        <v>95660</v>
      </c>
      <c r="Z95" s="2">
        <v>0</v>
      </c>
      <c r="AA95" s="2" t="s">
        <v>45</v>
      </c>
      <c r="AB95" s="2">
        <v>208.5</v>
      </c>
    </row>
    <row r="96" spans="1:28" x14ac:dyDescent="0.3">
      <c r="A96" s="4">
        <v>46157</v>
      </c>
      <c r="B96" s="8" t="s">
        <v>57</v>
      </c>
      <c r="C96" s="8" t="s">
        <v>36</v>
      </c>
      <c r="D96" s="7" t="s">
        <v>48</v>
      </c>
      <c r="E96" s="7" t="s">
        <v>38</v>
      </c>
      <c r="F96" s="13">
        <v>1856.48</v>
      </c>
      <c r="G96" s="59"/>
      <c r="H96" s="6">
        <f>24000/7</f>
        <v>3428.5714285714284</v>
      </c>
      <c r="I96" s="6">
        <f t="shared" si="8"/>
        <v>452.63157894736844</v>
      </c>
      <c r="J96" s="2">
        <v>5.5</v>
      </c>
      <c r="K96" s="2">
        <v>4.75</v>
      </c>
      <c r="L96" s="2">
        <v>0.75</v>
      </c>
      <c r="M96" s="2">
        <v>13.64</v>
      </c>
      <c r="N96" s="2">
        <v>526</v>
      </c>
      <c r="O96" s="77">
        <v>2150</v>
      </c>
      <c r="P96" s="2">
        <v>4.09</v>
      </c>
      <c r="Q96" s="2">
        <v>12.15</v>
      </c>
      <c r="R96" s="2">
        <v>176.97</v>
      </c>
      <c r="S96" s="2">
        <v>4.26</v>
      </c>
      <c r="T96" s="2">
        <v>5.68</v>
      </c>
      <c r="U96" s="2">
        <v>172.71</v>
      </c>
      <c r="V96" s="2">
        <v>36.36</v>
      </c>
      <c r="W96" s="2">
        <v>6152.97</v>
      </c>
      <c r="X96" s="2">
        <v>377840</v>
      </c>
      <c r="Y96" s="2">
        <v>1321629</v>
      </c>
      <c r="Z96" s="2">
        <v>0.1</v>
      </c>
      <c r="AA96" s="2">
        <v>0</v>
      </c>
      <c r="AB96" s="2">
        <v>43.6</v>
      </c>
    </row>
    <row r="97" spans="1:28" hidden="1" x14ac:dyDescent="0.3">
      <c r="A97" s="4">
        <v>46157</v>
      </c>
      <c r="B97" s="8" t="s">
        <v>57</v>
      </c>
      <c r="C97" s="8" t="s">
        <v>36</v>
      </c>
      <c r="D97" s="7" t="s">
        <v>50</v>
      </c>
      <c r="E97" s="7" t="s">
        <v>40</v>
      </c>
      <c r="F97" s="13">
        <v>0</v>
      </c>
      <c r="G97" s="59"/>
      <c r="H97" s="6" t="s">
        <v>42</v>
      </c>
      <c r="I97" s="6">
        <f t="shared" si="8"/>
        <v>60.294117647058819</v>
      </c>
      <c r="J97" s="2">
        <v>0.83</v>
      </c>
      <c r="K97" s="2">
        <v>0.68</v>
      </c>
      <c r="L97" s="2">
        <v>0.15</v>
      </c>
      <c r="M97" s="2">
        <v>18.02</v>
      </c>
      <c r="N97" s="2">
        <v>26</v>
      </c>
      <c r="O97" s="56">
        <v>41</v>
      </c>
      <c r="P97" s="2">
        <v>1.58</v>
      </c>
      <c r="Q97" s="2">
        <v>3.33</v>
      </c>
      <c r="R97" s="2">
        <v>12.3</v>
      </c>
      <c r="S97" s="2">
        <v>0.95</v>
      </c>
      <c r="T97" s="2">
        <v>6.31</v>
      </c>
      <c r="U97" s="2">
        <v>11.36</v>
      </c>
      <c r="V97" s="2">
        <v>16.64</v>
      </c>
      <c r="W97" s="2">
        <v>2020.42</v>
      </c>
      <c r="X97" s="2">
        <v>119628</v>
      </c>
      <c r="Y97" s="2">
        <v>223036</v>
      </c>
      <c r="Z97" s="2">
        <v>0.1</v>
      </c>
      <c r="AA97" s="2">
        <v>0</v>
      </c>
      <c r="AB97" s="2">
        <v>278</v>
      </c>
    </row>
    <row r="98" spans="1:28" hidden="1" x14ac:dyDescent="0.3">
      <c r="A98" s="4">
        <v>46157</v>
      </c>
      <c r="B98" s="8" t="s">
        <v>57</v>
      </c>
      <c r="C98" s="8" t="s">
        <v>36</v>
      </c>
      <c r="D98" s="7" t="s">
        <v>46</v>
      </c>
      <c r="E98" s="7" t="s">
        <v>47</v>
      </c>
      <c r="F98" s="13">
        <v>0</v>
      </c>
      <c r="G98" s="59"/>
      <c r="H98" s="6">
        <v>3000</v>
      </c>
      <c r="I98" s="6">
        <f t="shared" si="8"/>
        <v>390.33112582781456</v>
      </c>
      <c r="J98" s="2">
        <v>7.9</v>
      </c>
      <c r="K98" s="2">
        <v>7.55</v>
      </c>
      <c r="L98" s="2">
        <v>0.35</v>
      </c>
      <c r="M98" s="2">
        <v>4.43</v>
      </c>
      <c r="N98" s="2">
        <v>903</v>
      </c>
      <c r="O98" s="56">
        <v>2947</v>
      </c>
      <c r="P98" s="2">
        <v>3.26</v>
      </c>
      <c r="Q98" s="2">
        <v>12.16</v>
      </c>
      <c r="R98" s="2">
        <v>242.27</v>
      </c>
      <c r="S98" s="2">
        <v>3.79</v>
      </c>
      <c r="T98" s="2">
        <v>10.82</v>
      </c>
      <c r="U98" s="2">
        <v>238.48</v>
      </c>
      <c r="V98" s="2">
        <v>31.61</v>
      </c>
      <c r="W98" s="2">
        <v>7499.93</v>
      </c>
      <c r="X98" s="2">
        <v>90753</v>
      </c>
      <c r="Y98" s="2">
        <v>263823</v>
      </c>
      <c r="Z98" s="2">
        <v>0.4</v>
      </c>
      <c r="AA98" s="2">
        <v>0</v>
      </c>
      <c r="AB98" s="2">
        <v>232.4</v>
      </c>
    </row>
    <row r="99" spans="1:28" hidden="1" x14ac:dyDescent="0.3">
      <c r="A99" s="4">
        <v>46157</v>
      </c>
      <c r="B99" s="8" t="s">
        <v>57</v>
      </c>
      <c r="C99" s="8" t="s">
        <v>36</v>
      </c>
      <c r="D99" s="7" t="s">
        <v>49</v>
      </c>
      <c r="E99" s="7" t="s">
        <v>47</v>
      </c>
      <c r="F99" s="13">
        <v>0</v>
      </c>
      <c r="G99" s="59"/>
      <c r="H99" s="6">
        <v>3000</v>
      </c>
      <c r="I99" s="6">
        <f t="shared" si="8"/>
        <v>449.29078014184398</v>
      </c>
      <c r="J99" s="2">
        <v>7.29</v>
      </c>
      <c r="K99" s="2">
        <v>5.64</v>
      </c>
      <c r="L99" s="2">
        <v>1.65</v>
      </c>
      <c r="M99" s="2">
        <v>22.62</v>
      </c>
      <c r="N99" s="2">
        <v>636</v>
      </c>
      <c r="O99" s="56">
        <v>2534</v>
      </c>
      <c r="P99" s="2">
        <v>3.98</v>
      </c>
      <c r="Q99" s="2">
        <v>11.44</v>
      </c>
      <c r="R99" s="2">
        <v>221.45</v>
      </c>
      <c r="S99" s="2">
        <v>7.57</v>
      </c>
      <c r="T99" s="2">
        <v>4.59</v>
      </c>
      <c r="U99" s="2">
        <v>213.88</v>
      </c>
      <c r="V99" s="2">
        <v>37.9</v>
      </c>
      <c r="W99" s="2">
        <v>1531.54</v>
      </c>
      <c r="X99" s="2">
        <v>144478</v>
      </c>
      <c r="Y99" s="2">
        <v>492459</v>
      </c>
      <c r="Z99" s="2">
        <v>0</v>
      </c>
      <c r="AA99" s="2">
        <v>0</v>
      </c>
      <c r="AB99" s="2">
        <v>4.4000000000000004</v>
      </c>
    </row>
    <row r="100" spans="1:28" hidden="1" x14ac:dyDescent="0.3">
      <c r="A100" s="14">
        <v>46157</v>
      </c>
      <c r="B100" s="14" t="s">
        <v>57</v>
      </c>
      <c r="C100" s="14"/>
      <c r="D100" s="42"/>
      <c r="E100" s="42" t="s">
        <v>47</v>
      </c>
      <c r="F100" s="43">
        <v>0</v>
      </c>
      <c r="G100" s="60"/>
      <c r="H100" s="44">
        <v>9000</v>
      </c>
      <c r="I100" s="44"/>
      <c r="J100" s="42"/>
      <c r="K100" s="42"/>
      <c r="L100" s="42"/>
      <c r="M100" s="42"/>
      <c r="N100" s="42"/>
      <c r="O100" s="56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spans="1:28" hidden="1" x14ac:dyDescent="0.3">
      <c r="A101" s="4">
        <v>46157</v>
      </c>
      <c r="B101" s="8" t="s">
        <v>57</v>
      </c>
      <c r="C101" s="8" t="s">
        <v>36</v>
      </c>
      <c r="D101" s="7" t="s">
        <v>52</v>
      </c>
      <c r="E101" s="7" t="s">
        <v>40</v>
      </c>
      <c r="F101" s="13">
        <v>0</v>
      </c>
      <c r="G101" s="59"/>
      <c r="H101" s="6" t="s">
        <v>42</v>
      </c>
      <c r="I101" s="6">
        <f t="shared" ref="I101:I107" si="9">IFERROR(O101/K101,)</f>
        <v>164.77541371158389</v>
      </c>
      <c r="J101" s="2">
        <v>5.78</v>
      </c>
      <c r="K101" s="2">
        <v>4.2300000000000004</v>
      </c>
      <c r="L101" s="2">
        <v>1.55</v>
      </c>
      <c r="M101" s="2">
        <v>26.82</v>
      </c>
      <c r="N101" s="2">
        <v>384</v>
      </c>
      <c r="O101" s="56">
        <v>697</v>
      </c>
      <c r="P101" s="2">
        <v>1.82</v>
      </c>
      <c r="Q101" s="2">
        <v>7.63</v>
      </c>
      <c r="R101" s="2">
        <v>91.32</v>
      </c>
      <c r="S101" s="2">
        <v>5.68</v>
      </c>
      <c r="T101" s="2">
        <v>3.66</v>
      </c>
      <c r="U101" s="2">
        <v>85.64</v>
      </c>
      <c r="V101" s="2">
        <v>20.260000000000002</v>
      </c>
      <c r="W101" s="2">
        <v>481.01</v>
      </c>
      <c r="X101" s="2">
        <v>42492</v>
      </c>
      <c r="Y101" s="2">
        <v>85345</v>
      </c>
      <c r="Z101" s="2">
        <v>1.5</v>
      </c>
      <c r="AA101" s="2">
        <v>0</v>
      </c>
      <c r="AB101" s="2">
        <v>30.4</v>
      </c>
    </row>
    <row r="102" spans="1:28" hidden="1" x14ac:dyDescent="0.3">
      <c r="A102" s="4">
        <v>46158</v>
      </c>
      <c r="B102" s="8" t="s">
        <v>57</v>
      </c>
      <c r="C102" s="8" t="s">
        <v>36</v>
      </c>
      <c r="D102" s="7" t="s">
        <v>39</v>
      </c>
      <c r="E102" s="7" t="s">
        <v>40</v>
      </c>
      <c r="F102" s="13">
        <v>0</v>
      </c>
      <c r="G102" s="59"/>
      <c r="H102" s="6" t="s">
        <v>42</v>
      </c>
      <c r="I102" s="6">
        <f t="shared" si="9"/>
        <v>79.039301310043669</v>
      </c>
      <c r="J102" s="2">
        <v>2.89</v>
      </c>
      <c r="K102" s="2">
        <v>2.29</v>
      </c>
      <c r="L102" s="2">
        <v>0.6</v>
      </c>
      <c r="M102" s="2">
        <v>20.78</v>
      </c>
      <c r="N102" s="2">
        <v>154</v>
      </c>
      <c r="O102" s="56">
        <v>181</v>
      </c>
      <c r="P102" s="2">
        <v>1.18</v>
      </c>
      <c r="Q102" s="2">
        <v>3.94</v>
      </c>
      <c r="R102" s="2">
        <v>45.9</v>
      </c>
      <c r="S102" s="2">
        <v>1.89</v>
      </c>
      <c r="T102" s="2">
        <v>3.15</v>
      </c>
      <c r="U102" s="2">
        <v>44.01</v>
      </c>
      <c r="V102" s="2">
        <v>19.239999999999998</v>
      </c>
      <c r="W102" s="2">
        <v>8921.49</v>
      </c>
      <c r="X102" s="2">
        <v>57851</v>
      </c>
      <c r="Y102" s="2">
        <v>81682</v>
      </c>
      <c r="Z102" s="2">
        <v>0.9</v>
      </c>
      <c r="AA102" s="2">
        <v>0.01</v>
      </c>
      <c r="AB102" s="2">
        <v>258.5</v>
      </c>
    </row>
    <row r="103" spans="1:28" hidden="1" x14ac:dyDescent="0.3">
      <c r="A103" s="4">
        <v>46158</v>
      </c>
      <c r="B103" s="8" t="s">
        <v>55</v>
      </c>
      <c r="C103" s="8" t="s">
        <v>56</v>
      </c>
      <c r="D103" s="7" t="s">
        <v>43</v>
      </c>
      <c r="E103" s="7" t="s">
        <v>40</v>
      </c>
      <c r="F103" s="13">
        <v>0</v>
      </c>
      <c r="G103" s="59" t="s">
        <v>53</v>
      </c>
      <c r="H103" s="6" t="s">
        <v>42</v>
      </c>
      <c r="I103" s="6">
        <f t="shared" si="9"/>
        <v>0</v>
      </c>
      <c r="J103" s="2">
        <v>0</v>
      </c>
      <c r="K103" s="2">
        <v>0</v>
      </c>
      <c r="L103" s="2">
        <v>0</v>
      </c>
      <c r="M103" s="2" t="s">
        <v>45</v>
      </c>
      <c r="N103" s="2">
        <v>0</v>
      </c>
      <c r="O103" s="56">
        <v>0</v>
      </c>
      <c r="P103" s="2" t="s">
        <v>45</v>
      </c>
      <c r="Q103" s="2" t="s">
        <v>45</v>
      </c>
      <c r="R103" s="2">
        <v>0</v>
      </c>
      <c r="S103" s="2">
        <v>0</v>
      </c>
      <c r="T103" s="2" t="s">
        <v>45</v>
      </c>
      <c r="U103" s="2">
        <v>0</v>
      </c>
      <c r="V103" s="2" t="s">
        <v>45</v>
      </c>
      <c r="W103" s="2">
        <v>8505.08</v>
      </c>
      <c r="X103" s="2">
        <v>58208</v>
      </c>
      <c r="Y103" s="2">
        <v>95660</v>
      </c>
      <c r="Z103" s="2">
        <v>0</v>
      </c>
      <c r="AA103" s="2" t="s">
        <v>45</v>
      </c>
      <c r="AB103" s="2">
        <v>208.5</v>
      </c>
    </row>
    <row r="104" spans="1:28" x14ac:dyDescent="0.3">
      <c r="A104" s="4">
        <v>46158</v>
      </c>
      <c r="B104" s="8" t="s">
        <v>57</v>
      </c>
      <c r="C104" s="8" t="s">
        <v>36</v>
      </c>
      <c r="D104" s="7" t="s">
        <v>48</v>
      </c>
      <c r="E104" s="7" t="s">
        <v>38</v>
      </c>
      <c r="F104" s="13">
        <v>2286.91</v>
      </c>
      <c r="G104" s="59"/>
      <c r="H104" s="6">
        <f>24000/7</f>
        <v>3428.5714285714284</v>
      </c>
      <c r="I104" s="6">
        <f t="shared" si="9"/>
        <v>543.29896907216494</v>
      </c>
      <c r="J104" s="2">
        <v>4.83</v>
      </c>
      <c r="K104" s="2">
        <v>3.88</v>
      </c>
      <c r="L104" s="2">
        <v>0.95</v>
      </c>
      <c r="M104" s="2">
        <v>19.68</v>
      </c>
      <c r="N104" s="2">
        <v>529</v>
      </c>
      <c r="O104" s="77">
        <v>2108</v>
      </c>
      <c r="P104" s="2">
        <v>3.98</v>
      </c>
      <c r="Q104" s="2">
        <v>14.05</v>
      </c>
      <c r="R104" s="2">
        <v>150</v>
      </c>
      <c r="S104" s="2">
        <v>5.2</v>
      </c>
      <c r="T104" s="2">
        <v>5.48</v>
      </c>
      <c r="U104" s="2">
        <v>144.79</v>
      </c>
      <c r="V104" s="2">
        <v>37.340000000000003</v>
      </c>
      <c r="W104" s="2">
        <v>6157.8</v>
      </c>
      <c r="X104" s="2">
        <v>378369</v>
      </c>
      <c r="Y104" s="2">
        <v>1323737</v>
      </c>
      <c r="Z104" s="2">
        <v>0</v>
      </c>
      <c r="AA104" s="2">
        <v>0</v>
      </c>
      <c r="AB104" s="2">
        <v>43.6</v>
      </c>
    </row>
    <row r="105" spans="1:28" s="45" customFormat="1" hidden="1" x14ac:dyDescent="0.3">
      <c r="A105" s="4">
        <v>46158</v>
      </c>
      <c r="B105" s="8" t="s">
        <v>57</v>
      </c>
      <c r="C105" s="8" t="s">
        <v>36</v>
      </c>
      <c r="D105" s="7" t="s">
        <v>50</v>
      </c>
      <c r="E105" s="7" t="s">
        <v>54</v>
      </c>
      <c r="F105" s="13">
        <v>0</v>
      </c>
      <c r="G105" s="59"/>
      <c r="H105" s="6" t="s">
        <v>42</v>
      </c>
      <c r="I105" s="6">
        <f t="shared" si="9"/>
        <v>33.950617283950614</v>
      </c>
      <c r="J105" s="2">
        <v>2.72</v>
      </c>
      <c r="K105" s="2">
        <v>1.62</v>
      </c>
      <c r="L105" s="2">
        <v>1.1000000000000001</v>
      </c>
      <c r="M105" s="2">
        <v>40.51</v>
      </c>
      <c r="N105" s="2">
        <v>49</v>
      </c>
      <c r="O105" s="56">
        <v>55</v>
      </c>
      <c r="P105" s="2">
        <v>1.1200000000000001</v>
      </c>
      <c r="Q105" s="2">
        <v>2.08</v>
      </c>
      <c r="R105" s="2">
        <v>26.5</v>
      </c>
      <c r="S105" s="2">
        <v>4.26</v>
      </c>
      <c r="T105" s="2">
        <v>3.87</v>
      </c>
      <c r="U105" s="2">
        <v>22.24</v>
      </c>
      <c r="V105" s="2">
        <v>13.77</v>
      </c>
      <c r="W105" s="2">
        <v>2023.13</v>
      </c>
      <c r="X105" s="2">
        <v>119677</v>
      </c>
      <c r="Y105" s="2">
        <v>223091</v>
      </c>
      <c r="Z105" s="2">
        <v>0.4</v>
      </c>
      <c r="AA105" s="2">
        <v>0.01</v>
      </c>
      <c r="AB105" s="2">
        <v>278.39999999999998</v>
      </c>
    </row>
    <row r="106" spans="1:28" hidden="1" x14ac:dyDescent="0.3">
      <c r="A106" s="4">
        <v>46158</v>
      </c>
      <c r="B106" s="8" t="s">
        <v>57</v>
      </c>
      <c r="C106" s="8" t="s">
        <v>36</v>
      </c>
      <c r="D106" s="7" t="s">
        <v>46</v>
      </c>
      <c r="E106" s="7" t="s">
        <v>47</v>
      </c>
      <c r="F106" s="13">
        <v>0</v>
      </c>
      <c r="G106" s="59"/>
      <c r="H106" s="6">
        <v>3000</v>
      </c>
      <c r="I106" s="6">
        <f t="shared" si="9"/>
        <v>454.1044776119403</v>
      </c>
      <c r="J106" s="2">
        <v>3.78</v>
      </c>
      <c r="K106" s="2">
        <v>2.68</v>
      </c>
      <c r="L106" s="2">
        <v>1.1000000000000001</v>
      </c>
      <c r="M106" s="2">
        <v>29.08</v>
      </c>
      <c r="N106" s="2">
        <v>363</v>
      </c>
      <c r="O106" s="56">
        <v>1217</v>
      </c>
      <c r="P106" s="2">
        <v>3.35</v>
      </c>
      <c r="Q106" s="2">
        <v>13.61</v>
      </c>
      <c r="R106" s="2">
        <v>89.43</v>
      </c>
      <c r="S106" s="2">
        <v>7.57</v>
      </c>
      <c r="T106" s="2">
        <v>6.88</v>
      </c>
      <c r="U106" s="2">
        <v>81.86</v>
      </c>
      <c r="V106" s="2">
        <v>30.52</v>
      </c>
      <c r="W106" s="2">
        <v>7503.71</v>
      </c>
      <c r="X106" s="2">
        <v>91116</v>
      </c>
      <c r="Y106" s="2">
        <v>265040</v>
      </c>
      <c r="Z106" s="2">
        <v>0.3</v>
      </c>
      <c r="AA106" s="2">
        <v>0</v>
      </c>
      <c r="AB106" s="2">
        <v>232.7</v>
      </c>
    </row>
    <row r="107" spans="1:28" hidden="1" x14ac:dyDescent="0.3">
      <c r="A107" s="4">
        <v>46158</v>
      </c>
      <c r="B107" s="8" t="s">
        <v>57</v>
      </c>
      <c r="C107" s="8" t="s">
        <v>36</v>
      </c>
      <c r="D107" s="7" t="s">
        <v>49</v>
      </c>
      <c r="E107" s="7" t="s">
        <v>47</v>
      </c>
      <c r="F107" s="13">
        <v>0</v>
      </c>
      <c r="G107" s="59"/>
      <c r="H107" s="6">
        <v>3000</v>
      </c>
      <c r="I107" s="6">
        <f t="shared" si="9"/>
        <v>522.97297297297291</v>
      </c>
      <c r="J107" s="2">
        <v>2.77</v>
      </c>
      <c r="K107" s="2">
        <v>2.2200000000000002</v>
      </c>
      <c r="L107" s="2">
        <v>0.55000000000000004</v>
      </c>
      <c r="M107" s="2">
        <v>19.86</v>
      </c>
      <c r="N107" s="2">
        <v>248</v>
      </c>
      <c r="O107" s="56">
        <v>1161</v>
      </c>
      <c r="P107" s="2">
        <v>4.68</v>
      </c>
      <c r="Q107" s="2">
        <v>13.26</v>
      </c>
      <c r="R107" s="2">
        <v>87.54</v>
      </c>
      <c r="S107" s="2">
        <v>1.89</v>
      </c>
      <c r="T107" s="2">
        <v>3.44</v>
      </c>
      <c r="U107" s="2">
        <v>85.64</v>
      </c>
      <c r="V107" s="2">
        <v>38.590000000000003</v>
      </c>
      <c r="W107" s="2">
        <v>1534.31</v>
      </c>
      <c r="X107" s="2">
        <v>144726</v>
      </c>
      <c r="Y107" s="2">
        <v>493620</v>
      </c>
      <c r="Z107" s="2">
        <v>0</v>
      </c>
      <c r="AA107" s="2">
        <v>0</v>
      </c>
      <c r="AB107" s="2">
        <v>4.4000000000000004</v>
      </c>
    </row>
    <row r="108" spans="1:28" hidden="1" x14ac:dyDescent="0.3">
      <c r="A108" s="14">
        <v>46158</v>
      </c>
      <c r="B108" s="14" t="s">
        <v>57</v>
      </c>
      <c r="C108" s="14"/>
      <c r="D108" s="42"/>
      <c r="E108" s="42" t="s">
        <v>47</v>
      </c>
      <c r="F108" s="43">
        <v>0</v>
      </c>
      <c r="G108" s="60"/>
      <c r="H108" s="44">
        <v>9000</v>
      </c>
      <c r="I108" s="44"/>
      <c r="J108" s="42"/>
      <c r="K108" s="42"/>
      <c r="L108" s="42"/>
      <c r="M108" s="42"/>
      <c r="N108" s="42"/>
      <c r="O108" s="56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spans="1:28" s="45" customFormat="1" hidden="1" x14ac:dyDescent="0.3">
      <c r="A109" s="4">
        <v>46158</v>
      </c>
      <c r="B109" s="8" t="s">
        <v>57</v>
      </c>
      <c r="C109" s="8" t="s">
        <v>36</v>
      </c>
      <c r="D109" s="7" t="s">
        <v>52</v>
      </c>
      <c r="E109" s="7" t="s">
        <v>40</v>
      </c>
      <c r="F109" s="13">
        <v>0</v>
      </c>
      <c r="G109" s="59"/>
      <c r="H109" s="6" t="s">
        <v>42</v>
      </c>
      <c r="I109" s="6">
        <f t="shared" ref="I109:I120" si="10">IFERROR(O109/K109,)</f>
        <v>104.76190476190476</v>
      </c>
      <c r="J109" s="2">
        <v>4.1100000000000003</v>
      </c>
      <c r="K109" s="2">
        <v>2.31</v>
      </c>
      <c r="L109" s="2">
        <v>1.8</v>
      </c>
      <c r="M109" s="2">
        <v>43.8</v>
      </c>
      <c r="N109" s="2">
        <v>182</v>
      </c>
      <c r="O109" s="56">
        <v>242</v>
      </c>
      <c r="P109" s="2">
        <v>1.33</v>
      </c>
      <c r="Q109" s="2">
        <v>4.87</v>
      </c>
      <c r="R109" s="2">
        <v>49.68</v>
      </c>
      <c r="S109" s="2">
        <v>7.57</v>
      </c>
      <c r="T109" s="2">
        <v>4.21</v>
      </c>
      <c r="U109" s="2">
        <v>42.11</v>
      </c>
      <c r="V109" s="2">
        <v>18.23</v>
      </c>
      <c r="W109" s="2">
        <v>485.12</v>
      </c>
      <c r="X109" s="2">
        <v>42674</v>
      </c>
      <c r="Y109" s="2">
        <v>85587</v>
      </c>
      <c r="Z109" s="2">
        <v>0.8</v>
      </c>
      <c r="AA109" s="2">
        <v>0</v>
      </c>
      <c r="AB109" s="2">
        <v>31.2</v>
      </c>
    </row>
    <row r="110" spans="1:28" hidden="1" x14ac:dyDescent="0.3">
      <c r="A110" s="4">
        <v>46159</v>
      </c>
      <c r="B110" s="8" t="s">
        <v>55</v>
      </c>
      <c r="C110" s="8" t="s">
        <v>56</v>
      </c>
      <c r="D110" s="7" t="s">
        <v>39</v>
      </c>
      <c r="E110" s="7" t="s">
        <v>40</v>
      </c>
      <c r="F110" s="13">
        <v>0</v>
      </c>
      <c r="G110" s="59"/>
      <c r="H110" s="6" t="s">
        <v>42</v>
      </c>
      <c r="I110" s="6">
        <f t="shared" si="10"/>
        <v>0</v>
      </c>
      <c r="J110" s="2">
        <v>0</v>
      </c>
      <c r="K110" s="2">
        <v>0</v>
      </c>
      <c r="L110" s="2">
        <v>0</v>
      </c>
      <c r="M110" s="2" t="s">
        <v>45</v>
      </c>
      <c r="N110" s="2">
        <v>0</v>
      </c>
      <c r="O110" s="56">
        <v>0</v>
      </c>
      <c r="P110" s="2" t="s">
        <v>45</v>
      </c>
      <c r="Q110" s="2" t="s">
        <v>45</v>
      </c>
      <c r="R110" s="2">
        <v>0</v>
      </c>
      <c r="S110" s="2">
        <v>0</v>
      </c>
      <c r="T110" s="2" t="s">
        <v>45</v>
      </c>
      <c r="U110" s="2">
        <v>0</v>
      </c>
      <c r="V110" s="2" t="s">
        <v>45</v>
      </c>
      <c r="W110" s="2">
        <v>8921.49</v>
      </c>
      <c r="X110" s="2">
        <v>57851</v>
      </c>
      <c r="Y110" s="2">
        <v>81682</v>
      </c>
      <c r="Z110" s="2">
        <v>0</v>
      </c>
      <c r="AA110" s="2" t="s">
        <v>45</v>
      </c>
      <c r="AB110" s="2">
        <v>258.5</v>
      </c>
    </row>
    <row r="111" spans="1:28" hidden="1" x14ac:dyDescent="0.3">
      <c r="A111" s="4">
        <v>46159</v>
      </c>
      <c r="B111" s="8" t="s">
        <v>55</v>
      </c>
      <c r="C111" s="8" t="s">
        <v>56</v>
      </c>
      <c r="D111" s="7" t="s">
        <v>43</v>
      </c>
      <c r="E111" s="7" t="s">
        <v>40</v>
      </c>
      <c r="F111" s="13">
        <v>0</v>
      </c>
      <c r="G111" s="59" t="s">
        <v>53</v>
      </c>
      <c r="H111" s="6" t="s">
        <v>42</v>
      </c>
      <c r="I111" s="6">
        <f t="shared" si="10"/>
        <v>0</v>
      </c>
      <c r="J111" s="2">
        <v>0</v>
      </c>
      <c r="K111" s="2">
        <v>0</v>
      </c>
      <c r="L111" s="2">
        <v>0</v>
      </c>
      <c r="M111" s="2" t="s">
        <v>45</v>
      </c>
      <c r="N111" s="2">
        <v>0</v>
      </c>
      <c r="O111" s="56">
        <v>0</v>
      </c>
      <c r="P111" s="2" t="s">
        <v>45</v>
      </c>
      <c r="Q111" s="2" t="s">
        <v>45</v>
      </c>
      <c r="R111" s="2">
        <v>0</v>
      </c>
      <c r="S111" s="2">
        <v>0</v>
      </c>
      <c r="T111" s="2" t="s">
        <v>45</v>
      </c>
      <c r="U111" s="2">
        <v>0</v>
      </c>
      <c r="V111" s="2" t="s">
        <v>45</v>
      </c>
      <c r="W111" s="2">
        <v>8505.08</v>
      </c>
      <c r="X111" s="2">
        <v>58208</v>
      </c>
      <c r="Y111" s="2">
        <v>95660</v>
      </c>
      <c r="Z111" s="2">
        <v>0</v>
      </c>
      <c r="AA111" s="2" t="s">
        <v>45</v>
      </c>
      <c r="AB111" s="2">
        <v>208.5</v>
      </c>
    </row>
    <row r="112" spans="1:28" x14ac:dyDescent="0.3">
      <c r="A112" s="4">
        <v>46159</v>
      </c>
      <c r="B112" s="8" t="s">
        <v>58</v>
      </c>
      <c r="C112" s="8" t="s">
        <v>36</v>
      </c>
      <c r="D112" s="7" t="s">
        <v>48</v>
      </c>
      <c r="E112" s="7" t="s">
        <v>38</v>
      </c>
      <c r="F112" s="13">
        <v>3030.59</v>
      </c>
      <c r="G112" s="59"/>
      <c r="H112" s="6">
        <f>24000/8</f>
        <v>3000</v>
      </c>
      <c r="I112" s="6">
        <f t="shared" si="10"/>
        <v>447.05014749262534</v>
      </c>
      <c r="J112" s="2">
        <v>8.08</v>
      </c>
      <c r="K112" s="2">
        <v>6.78</v>
      </c>
      <c r="L112" s="2">
        <v>1.3</v>
      </c>
      <c r="M112" s="2">
        <v>16.079999999999998</v>
      </c>
      <c r="N112" s="2">
        <v>761</v>
      </c>
      <c r="O112" s="77">
        <v>3031</v>
      </c>
      <c r="P112" s="2">
        <v>3.98</v>
      </c>
      <c r="Q112" s="2">
        <v>11.4</v>
      </c>
      <c r="R112" s="2">
        <v>265.93</v>
      </c>
      <c r="S112" s="2">
        <v>7.1</v>
      </c>
      <c r="T112" s="2">
        <v>5.46</v>
      </c>
      <c r="U112" s="2">
        <v>258.83</v>
      </c>
      <c r="V112" s="2">
        <v>38.15</v>
      </c>
      <c r="W112" s="2">
        <v>6165.88</v>
      </c>
      <c r="X112" s="2">
        <v>379130</v>
      </c>
      <c r="Y112" s="2">
        <v>1326768</v>
      </c>
      <c r="Z112" s="2">
        <v>0.1</v>
      </c>
      <c r="AA112" s="2">
        <v>0</v>
      </c>
      <c r="AB112" s="2">
        <v>43.7</v>
      </c>
    </row>
    <row r="113" spans="1:28" hidden="1" x14ac:dyDescent="0.3">
      <c r="A113" s="4">
        <v>46159</v>
      </c>
      <c r="B113" s="8" t="s">
        <v>55</v>
      </c>
      <c r="C113" s="8" t="s">
        <v>56</v>
      </c>
      <c r="D113" s="7" t="s">
        <v>50</v>
      </c>
      <c r="E113" s="7" t="s">
        <v>40</v>
      </c>
      <c r="F113" s="13">
        <v>0</v>
      </c>
      <c r="G113" s="59"/>
      <c r="H113" s="6" t="s">
        <v>42</v>
      </c>
      <c r="I113" s="6">
        <f t="shared" si="10"/>
        <v>0</v>
      </c>
      <c r="J113" s="2" t="s">
        <v>45</v>
      </c>
      <c r="K113" s="2" t="s">
        <v>45</v>
      </c>
      <c r="L113" s="2" t="s">
        <v>45</v>
      </c>
      <c r="M113" s="2" t="s">
        <v>45</v>
      </c>
      <c r="N113" s="2" t="s">
        <v>45</v>
      </c>
      <c r="O113" s="56" t="s">
        <v>45</v>
      </c>
      <c r="P113" s="2" t="s">
        <v>45</v>
      </c>
      <c r="Q113" s="2" t="s">
        <v>45</v>
      </c>
      <c r="R113" s="2" t="s">
        <v>45</v>
      </c>
      <c r="S113" s="2" t="s">
        <v>45</v>
      </c>
      <c r="T113" s="2" t="s">
        <v>45</v>
      </c>
      <c r="U113" s="2" t="s">
        <v>45</v>
      </c>
      <c r="V113" s="2" t="s">
        <v>45</v>
      </c>
      <c r="W113" s="2" t="s">
        <v>45</v>
      </c>
      <c r="X113" s="2" t="s">
        <v>45</v>
      </c>
      <c r="Y113" s="2" t="s">
        <v>45</v>
      </c>
      <c r="Z113" s="2" t="s">
        <v>45</v>
      </c>
      <c r="AA113" s="2" t="s">
        <v>45</v>
      </c>
      <c r="AB113" s="2" t="s">
        <v>45</v>
      </c>
    </row>
    <row r="114" spans="1:28" hidden="1" x14ac:dyDescent="0.3">
      <c r="A114" s="4">
        <v>46159</v>
      </c>
      <c r="B114" s="8" t="s">
        <v>55</v>
      </c>
      <c r="C114" s="8" t="s">
        <v>56</v>
      </c>
      <c r="D114" s="7" t="s">
        <v>46</v>
      </c>
      <c r="E114" s="7" t="s">
        <v>47</v>
      </c>
      <c r="F114" s="13">
        <v>0</v>
      </c>
      <c r="G114" s="59"/>
      <c r="H114" s="6">
        <v>3000</v>
      </c>
      <c r="I114" s="6">
        <f t="shared" si="10"/>
        <v>0</v>
      </c>
      <c r="J114" s="2" t="s">
        <v>45</v>
      </c>
      <c r="K114" s="2" t="s">
        <v>45</v>
      </c>
      <c r="L114" s="2" t="s">
        <v>45</v>
      </c>
      <c r="M114" s="2" t="s">
        <v>45</v>
      </c>
      <c r="N114" s="2" t="s">
        <v>45</v>
      </c>
      <c r="O114" s="56" t="s">
        <v>45</v>
      </c>
      <c r="P114" s="2" t="s">
        <v>45</v>
      </c>
      <c r="Q114" s="2" t="s">
        <v>45</v>
      </c>
      <c r="R114" s="2" t="s">
        <v>45</v>
      </c>
      <c r="S114" s="2" t="s">
        <v>45</v>
      </c>
      <c r="T114" s="2" t="s">
        <v>45</v>
      </c>
      <c r="U114" s="2" t="s">
        <v>45</v>
      </c>
      <c r="V114" s="2" t="s">
        <v>45</v>
      </c>
      <c r="W114" s="2" t="s">
        <v>45</v>
      </c>
      <c r="X114" s="2" t="s">
        <v>45</v>
      </c>
      <c r="Y114" s="2" t="s">
        <v>45</v>
      </c>
      <c r="Z114" s="2" t="s">
        <v>45</v>
      </c>
      <c r="AA114" s="2" t="s">
        <v>45</v>
      </c>
      <c r="AB114" s="2" t="s">
        <v>45</v>
      </c>
    </row>
    <row r="115" spans="1:28" hidden="1" x14ac:dyDescent="0.3">
      <c r="A115" s="4">
        <v>46159</v>
      </c>
      <c r="B115" s="8" t="s">
        <v>55</v>
      </c>
      <c r="C115" s="8" t="s">
        <v>56</v>
      </c>
      <c r="D115" s="7" t="s">
        <v>49</v>
      </c>
      <c r="E115" s="7" t="s">
        <v>47</v>
      </c>
      <c r="F115" s="13">
        <v>0</v>
      </c>
      <c r="G115" s="59"/>
      <c r="H115" s="6">
        <v>3000</v>
      </c>
      <c r="I115" s="6">
        <f t="shared" si="10"/>
        <v>0</v>
      </c>
      <c r="J115" s="2" t="s">
        <v>45</v>
      </c>
      <c r="K115" s="2" t="s">
        <v>45</v>
      </c>
      <c r="L115" s="2" t="s">
        <v>45</v>
      </c>
      <c r="M115" s="2" t="s">
        <v>45</v>
      </c>
      <c r="N115" s="2" t="s">
        <v>45</v>
      </c>
      <c r="O115" s="56" t="s">
        <v>45</v>
      </c>
      <c r="P115" s="2" t="s">
        <v>45</v>
      </c>
      <c r="Q115" s="2" t="s">
        <v>45</v>
      </c>
      <c r="R115" s="2" t="s">
        <v>45</v>
      </c>
      <c r="S115" s="2" t="s">
        <v>45</v>
      </c>
      <c r="T115" s="2" t="s">
        <v>45</v>
      </c>
      <c r="U115" s="2" t="s">
        <v>45</v>
      </c>
      <c r="V115" s="2" t="s">
        <v>45</v>
      </c>
      <c r="W115" s="2" t="s">
        <v>45</v>
      </c>
      <c r="X115" s="2" t="s">
        <v>45</v>
      </c>
      <c r="Y115" s="2" t="s">
        <v>45</v>
      </c>
      <c r="Z115" s="2" t="s">
        <v>45</v>
      </c>
      <c r="AA115" s="2" t="s">
        <v>45</v>
      </c>
      <c r="AB115" s="2" t="s">
        <v>45</v>
      </c>
    </row>
    <row r="116" spans="1:28" hidden="1" x14ac:dyDescent="0.3">
      <c r="A116" s="4">
        <v>46159</v>
      </c>
      <c r="B116" s="8" t="s">
        <v>55</v>
      </c>
      <c r="C116" s="8" t="s">
        <v>56</v>
      </c>
      <c r="D116" s="7" t="s">
        <v>52</v>
      </c>
      <c r="E116" s="7" t="s">
        <v>47</v>
      </c>
      <c r="F116" s="13">
        <v>0</v>
      </c>
      <c r="G116" s="59"/>
      <c r="H116" s="6">
        <v>3000</v>
      </c>
      <c r="I116" s="6">
        <f t="shared" si="10"/>
        <v>0</v>
      </c>
      <c r="J116" s="2" t="s">
        <v>45</v>
      </c>
      <c r="K116" s="2" t="s">
        <v>45</v>
      </c>
      <c r="L116" s="2" t="s">
        <v>45</v>
      </c>
      <c r="M116" s="2" t="s">
        <v>45</v>
      </c>
      <c r="N116" s="2" t="s">
        <v>45</v>
      </c>
      <c r="O116" s="56" t="s">
        <v>45</v>
      </c>
      <c r="P116" s="2" t="s">
        <v>45</v>
      </c>
      <c r="Q116" s="2" t="s">
        <v>45</v>
      </c>
      <c r="R116" s="2" t="s">
        <v>45</v>
      </c>
      <c r="S116" s="2" t="s">
        <v>45</v>
      </c>
      <c r="T116" s="2" t="s">
        <v>45</v>
      </c>
      <c r="U116" s="2" t="s">
        <v>45</v>
      </c>
      <c r="V116" s="2" t="s">
        <v>45</v>
      </c>
      <c r="W116" s="2" t="s">
        <v>45</v>
      </c>
      <c r="X116" s="2" t="s">
        <v>45</v>
      </c>
      <c r="Y116" s="2" t="s">
        <v>45</v>
      </c>
      <c r="Z116" s="2" t="s">
        <v>45</v>
      </c>
      <c r="AA116" s="2" t="s">
        <v>45</v>
      </c>
      <c r="AB116" s="2" t="s">
        <v>45</v>
      </c>
    </row>
    <row r="117" spans="1:28" hidden="1" x14ac:dyDescent="0.3">
      <c r="A117" s="4">
        <v>46160</v>
      </c>
      <c r="B117" s="8" t="s">
        <v>58</v>
      </c>
      <c r="C117" s="8" t="s">
        <v>36</v>
      </c>
      <c r="D117" s="7" t="s">
        <v>39</v>
      </c>
      <c r="E117" s="7" t="s">
        <v>40</v>
      </c>
      <c r="F117" s="13">
        <v>0</v>
      </c>
      <c r="G117" s="59"/>
      <c r="H117" s="6" t="s">
        <v>42</v>
      </c>
      <c r="I117" s="6">
        <f t="shared" si="10"/>
        <v>182.03389830508473</v>
      </c>
      <c r="J117" s="2">
        <v>7.15</v>
      </c>
      <c r="K117" s="2">
        <v>5.9</v>
      </c>
      <c r="L117" s="2">
        <v>1.25</v>
      </c>
      <c r="M117" s="2">
        <v>17.489999999999998</v>
      </c>
      <c r="N117" s="2">
        <v>694</v>
      </c>
      <c r="O117" s="56">
        <v>1074</v>
      </c>
      <c r="P117" s="2">
        <v>1.55</v>
      </c>
      <c r="Q117" s="2">
        <v>8.73</v>
      </c>
      <c r="R117" s="2">
        <v>123.03</v>
      </c>
      <c r="S117" s="2">
        <v>5.2</v>
      </c>
      <c r="T117" s="2">
        <v>4.16</v>
      </c>
      <c r="U117" s="2">
        <v>117.82</v>
      </c>
      <c r="V117" s="2">
        <v>19.98</v>
      </c>
      <c r="W117" s="2">
        <v>8928.6299999999992</v>
      </c>
      <c r="X117" s="2">
        <v>58545</v>
      </c>
      <c r="Y117" s="2">
        <v>82756</v>
      </c>
      <c r="Z117" s="2">
        <v>0.3</v>
      </c>
      <c r="AA117" s="2">
        <v>0</v>
      </c>
      <c r="AB117" s="2">
        <v>258.8</v>
      </c>
    </row>
    <row r="118" spans="1:28" s="45" customFormat="1" hidden="1" x14ac:dyDescent="0.3">
      <c r="A118" s="4">
        <v>46160</v>
      </c>
      <c r="B118" s="8" t="s">
        <v>55</v>
      </c>
      <c r="C118" s="8" t="s">
        <v>56</v>
      </c>
      <c r="D118" s="7" t="s">
        <v>43</v>
      </c>
      <c r="E118" s="7" t="s">
        <v>40</v>
      </c>
      <c r="F118" s="13">
        <v>0</v>
      </c>
      <c r="G118" s="59" t="s">
        <v>53</v>
      </c>
      <c r="H118" s="6" t="s">
        <v>42</v>
      </c>
      <c r="I118" s="6">
        <f t="shared" si="10"/>
        <v>0</v>
      </c>
      <c r="J118" s="2">
        <v>0</v>
      </c>
      <c r="K118" s="2">
        <v>0</v>
      </c>
      <c r="L118" s="2">
        <v>0</v>
      </c>
      <c r="M118" s="2" t="s">
        <v>45</v>
      </c>
      <c r="N118" s="2">
        <v>0</v>
      </c>
      <c r="O118" s="56">
        <v>0</v>
      </c>
      <c r="P118" s="2" t="s">
        <v>45</v>
      </c>
      <c r="Q118" s="2" t="s">
        <v>45</v>
      </c>
      <c r="R118" s="2">
        <v>0</v>
      </c>
      <c r="S118" s="2">
        <v>0</v>
      </c>
      <c r="T118" s="2" t="s">
        <v>45</v>
      </c>
      <c r="U118" s="2">
        <v>0</v>
      </c>
      <c r="V118" s="2" t="s">
        <v>45</v>
      </c>
      <c r="W118" s="2">
        <v>8505.08</v>
      </c>
      <c r="X118" s="2">
        <v>58208</v>
      </c>
      <c r="Y118" s="2">
        <v>95660</v>
      </c>
      <c r="Z118" s="2">
        <v>0</v>
      </c>
      <c r="AA118" s="2" t="s">
        <v>45</v>
      </c>
      <c r="AB118" s="2">
        <v>208.5</v>
      </c>
    </row>
    <row r="119" spans="1:28" x14ac:dyDescent="0.3">
      <c r="A119" s="4">
        <v>46160</v>
      </c>
      <c r="B119" s="8" t="s">
        <v>58</v>
      </c>
      <c r="C119" s="8" t="s">
        <v>36</v>
      </c>
      <c r="D119" s="7" t="s">
        <v>48</v>
      </c>
      <c r="E119" s="7" t="s">
        <v>38</v>
      </c>
      <c r="F119" s="13">
        <v>1215.1400000000001</v>
      </c>
      <c r="G119" s="59"/>
      <c r="H119" s="6">
        <f>24000/8</f>
        <v>3000</v>
      </c>
      <c r="I119" s="6">
        <f t="shared" si="10"/>
        <v>287.6521739130435</v>
      </c>
      <c r="J119" s="2">
        <v>7</v>
      </c>
      <c r="K119" s="2">
        <v>5.75</v>
      </c>
      <c r="L119" s="2">
        <v>1.25</v>
      </c>
      <c r="M119" s="2">
        <v>17.850000000000001</v>
      </c>
      <c r="N119" s="2">
        <v>440</v>
      </c>
      <c r="O119" s="77">
        <v>1654</v>
      </c>
      <c r="P119" s="2">
        <v>3.76</v>
      </c>
      <c r="Q119" s="2">
        <v>7.33</v>
      </c>
      <c r="R119" s="2">
        <v>225.7</v>
      </c>
      <c r="S119" s="2">
        <v>7.1</v>
      </c>
      <c r="T119" s="2">
        <v>5.68</v>
      </c>
      <c r="U119" s="2">
        <v>218.61</v>
      </c>
      <c r="V119" s="2">
        <v>38</v>
      </c>
      <c r="W119" s="2">
        <v>6172.89</v>
      </c>
      <c r="X119" s="2">
        <v>379570</v>
      </c>
      <c r="Y119" s="2">
        <v>1328422</v>
      </c>
      <c r="Z119" s="2">
        <v>0.1</v>
      </c>
      <c r="AA119" s="2">
        <v>0</v>
      </c>
      <c r="AB119" s="2">
        <v>43.8</v>
      </c>
    </row>
    <row r="120" spans="1:28" hidden="1" x14ac:dyDescent="0.3">
      <c r="A120" s="4">
        <v>46160</v>
      </c>
      <c r="B120" s="8" t="s">
        <v>58</v>
      </c>
      <c r="C120" s="8" t="s">
        <v>36</v>
      </c>
      <c r="D120" s="7" t="s">
        <v>50</v>
      </c>
      <c r="E120" s="7" t="s">
        <v>40</v>
      </c>
      <c r="F120" s="13">
        <v>0</v>
      </c>
      <c r="G120" s="59"/>
      <c r="H120" s="6" t="s">
        <v>42</v>
      </c>
      <c r="I120" s="6">
        <f t="shared" si="10"/>
        <v>82.173913043478265</v>
      </c>
      <c r="J120" s="2">
        <v>6.7</v>
      </c>
      <c r="K120" s="2">
        <v>4.5999999999999996</v>
      </c>
      <c r="L120" s="2">
        <v>2.1</v>
      </c>
      <c r="M120" s="2">
        <v>31.32</v>
      </c>
      <c r="N120" s="2">
        <v>267</v>
      </c>
      <c r="O120" s="56">
        <v>378</v>
      </c>
      <c r="P120" s="2">
        <v>1.42</v>
      </c>
      <c r="Q120" s="2">
        <v>4.0599999999999996</v>
      </c>
      <c r="R120" s="2">
        <v>93.22</v>
      </c>
      <c r="S120" s="2">
        <v>8.52</v>
      </c>
      <c r="T120" s="2">
        <v>4.0599999999999996</v>
      </c>
      <c r="U120" s="2">
        <v>84.7</v>
      </c>
      <c r="V120" s="2">
        <v>18.39</v>
      </c>
      <c r="W120" s="2">
        <v>2029.84</v>
      </c>
      <c r="X120" s="2">
        <v>119944</v>
      </c>
      <c r="Y120" s="2">
        <v>223469</v>
      </c>
      <c r="Z120" s="2">
        <v>1.1000000000000001</v>
      </c>
      <c r="AA120" s="2">
        <v>0</v>
      </c>
      <c r="AB120" s="2">
        <v>279.5</v>
      </c>
    </row>
    <row r="121" spans="1:28" s="45" customFormat="1" hidden="1" x14ac:dyDescent="0.3">
      <c r="A121" s="4">
        <v>46160</v>
      </c>
      <c r="B121" s="8" t="s">
        <v>58</v>
      </c>
      <c r="C121" s="8" t="s">
        <v>36</v>
      </c>
      <c r="D121" s="7" t="s">
        <v>46</v>
      </c>
      <c r="E121" s="7" t="s">
        <v>47</v>
      </c>
      <c r="F121" s="13">
        <v>0</v>
      </c>
      <c r="G121" s="59" t="s">
        <v>59</v>
      </c>
      <c r="H121" s="6">
        <v>3000</v>
      </c>
      <c r="I121" s="6">
        <v>0</v>
      </c>
      <c r="J121" s="2">
        <v>6.89</v>
      </c>
      <c r="K121" s="2">
        <v>5.24</v>
      </c>
      <c r="L121" s="2">
        <v>1.65</v>
      </c>
      <c r="M121" s="2">
        <v>23.93</v>
      </c>
      <c r="N121" s="2">
        <v>449</v>
      </c>
      <c r="O121" s="56">
        <v>0</v>
      </c>
      <c r="P121" s="2">
        <v>3472631.41</v>
      </c>
      <c r="Q121" s="2">
        <v>8930089.5999999996</v>
      </c>
      <c r="R121" s="2">
        <v>174.6</v>
      </c>
      <c r="S121" s="2">
        <v>14.2</v>
      </c>
      <c r="T121" s="2">
        <v>8.6</v>
      </c>
      <c r="U121" s="2">
        <v>160.41</v>
      </c>
      <c r="V121" s="2">
        <v>30.59</v>
      </c>
      <c r="W121" s="2">
        <v>7510.6</v>
      </c>
      <c r="X121" s="2">
        <v>91565</v>
      </c>
      <c r="Y121" s="2">
        <v>1559476544</v>
      </c>
      <c r="Z121" s="2">
        <v>0.3</v>
      </c>
      <c r="AA121" s="2">
        <v>0</v>
      </c>
      <c r="AB121" s="2">
        <v>233</v>
      </c>
    </row>
    <row r="122" spans="1:28" hidden="1" x14ac:dyDescent="0.3">
      <c r="A122" s="4">
        <v>46160</v>
      </c>
      <c r="B122" s="8" t="s">
        <v>58</v>
      </c>
      <c r="C122" s="8" t="s">
        <v>36</v>
      </c>
      <c r="D122" s="7" t="s">
        <v>49</v>
      </c>
      <c r="E122" s="7" t="s">
        <v>47</v>
      </c>
      <c r="F122" s="13">
        <v>0</v>
      </c>
      <c r="G122" s="59"/>
      <c r="H122" s="6">
        <v>3000</v>
      </c>
      <c r="I122" s="6">
        <f>IFERROR(O122/K122,)</f>
        <v>459.56632653061223</v>
      </c>
      <c r="J122" s="2">
        <v>8.94</v>
      </c>
      <c r="K122" s="2">
        <v>7.84</v>
      </c>
      <c r="L122" s="2">
        <v>1.1000000000000001</v>
      </c>
      <c r="M122" s="2">
        <v>12.3</v>
      </c>
      <c r="N122" s="2">
        <v>1125</v>
      </c>
      <c r="O122" s="56">
        <v>3603</v>
      </c>
      <c r="P122" s="2">
        <v>3.2</v>
      </c>
      <c r="Q122" s="2">
        <v>11.45</v>
      </c>
      <c r="R122" s="2">
        <v>314.66000000000003</v>
      </c>
      <c r="S122" s="2">
        <v>5.68</v>
      </c>
      <c r="T122" s="2">
        <v>5.16</v>
      </c>
      <c r="U122" s="2">
        <v>308.98</v>
      </c>
      <c r="V122" s="2">
        <v>39.409999999999997</v>
      </c>
      <c r="W122" s="2">
        <v>1543.25</v>
      </c>
      <c r="X122" s="2">
        <v>145851</v>
      </c>
      <c r="Y122" s="2">
        <v>497223</v>
      </c>
      <c r="Z122" s="2">
        <v>0</v>
      </c>
      <c r="AA122" s="2">
        <v>0</v>
      </c>
      <c r="AB122" s="2">
        <v>4.4000000000000004</v>
      </c>
    </row>
    <row r="123" spans="1:28" hidden="1" x14ac:dyDescent="0.3">
      <c r="A123" s="4">
        <v>46160</v>
      </c>
      <c r="B123" s="8" t="s">
        <v>58</v>
      </c>
      <c r="C123" s="8" t="s">
        <v>36</v>
      </c>
      <c r="D123" s="7" t="s">
        <v>52</v>
      </c>
      <c r="E123" s="7" t="s">
        <v>47</v>
      </c>
      <c r="F123" s="13">
        <v>0</v>
      </c>
      <c r="G123" s="59"/>
      <c r="H123" s="6">
        <v>3000</v>
      </c>
      <c r="I123" s="6">
        <f>IFERROR(O123/K123,)</f>
        <v>167.05685618729095</v>
      </c>
      <c r="J123" s="2">
        <v>7.78</v>
      </c>
      <c r="K123" s="2">
        <v>5.98</v>
      </c>
      <c r="L123" s="2">
        <v>1.8</v>
      </c>
      <c r="M123" s="2">
        <v>23.14</v>
      </c>
      <c r="N123" s="2">
        <v>659</v>
      </c>
      <c r="O123" s="56">
        <v>999</v>
      </c>
      <c r="P123" s="2">
        <v>1.52</v>
      </c>
      <c r="Q123" s="2">
        <v>7.51</v>
      </c>
      <c r="R123" s="2">
        <v>132.96</v>
      </c>
      <c r="S123" s="2">
        <v>7.1</v>
      </c>
      <c r="T123" s="2">
        <v>3.94</v>
      </c>
      <c r="U123" s="2">
        <v>125.86</v>
      </c>
      <c r="V123" s="2">
        <v>21.05</v>
      </c>
      <c r="W123" s="2">
        <v>492.9</v>
      </c>
      <c r="X123" s="2">
        <v>43333</v>
      </c>
      <c r="Y123" s="2">
        <v>86586</v>
      </c>
      <c r="Z123" s="2">
        <v>0.6</v>
      </c>
      <c r="AA123" s="2">
        <v>0</v>
      </c>
      <c r="AB123" s="2">
        <v>31.8</v>
      </c>
    </row>
    <row r="124" spans="1:28" s="45" customFormat="1" hidden="1" x14ac:dyDescent="0.3">
      <c r="A124" s="14">
        <v>46160</v>
      </c>
      <c r="B124" s="14" t="s">
        <v>58</v>
      </c>
      <c r="C124" s="14"/>
      <c r="D124" s="42"/>
      <c r="E124" s="42" t="s">
        <v>47</v>
      </c>
      <c r="F124" s="43">
        <v>0</v>
      </c>
      <c r="G124" s="60"/>
      <c r="H124" s="44">
        <v>6000</v>
      </c>
      <c r="I124" s="44"/>
      <c r="J124" s="42"/>
      <c r="K124" s="42"/>
      <c r="L124" s="42"/>
      <c r="M124" s="42"/>
      <c r="N124" s="42"/>
      <c r="O124" s="56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spans="1:28" hidden="1" x14ac:dyDescent="0.3">
      <c r="A125" s="4">
        <v>46161</v>
      </c>
      <c r="B125" s="8" t="s">
        <v>58</v>
      </c>
      <c r="C125" s="8" t="s">
        <v>36</v>
      </c>
      <c r="D125" s="7" t="s">
        <v>39</v>
      </c>
      <c r="E125" s="7" t="s">
        <v>40</v>
      </c>
      <c r="F125" s="13">
        <v>0</v>
      </c>
      <c r="G125" s="59"/>
      <c r="H125" s="6" t="s">
        <v>42</v>
      </c>
      <c r="I125" s="6">
        <f t="shared" ref="I125:I131" si="11">IFERROR(O125/K125,)</f>
        <v>117.30769230769231</v>
      </c>
      <c r="J125" s="2">
        <v>2.58</v>
      </c>
      <c r="K125" s="2">
        <v>2.08</v>
      </c>
      <c r="L125" s="2">
        <v>0.5</v>
      </c>
      <c r="M125" s="2">
        <v>19.420000000000002</v>
      </c>
      <c r="N125" s="2">
        <v>152</v>
      </c>
      <c r="O125" s="56">
        <v>244</v>
      </c>
      <c r="P125" s="2">
        <v>1.61</v>
      </c>
      <c r="Q125" s="2">
        <v>5.93</v>
      </c>
      <c r="R125" s="2">
        <v>41.17</v>
      </c>
      <c r="S125" s="2">
        <v>1.89</v>
      </c>
      <c r="T125" s="2">
        <v>3.79</v>
      </c>
      <c r="U125" s="2">
        <v>39.270000000000003</v>
      </c>
      <c r="V125" s="2">
        <v>18.93</v>
      </c>
      <c r="W125" s="2">
        <v>8931.2099999999991</v>
      </c>
      <c r="X125" s="2">
        <v>58697</v>
      </c>
      <c r="Y125" s="2">
        <v>83000</v>
      </c>
      <c r="Z125" s="2">
        <v>0.1</v>
      </c>
      <c r="AA125" s="2">
        <v>0</v>
      </c>
      <c r="AB125" s="2">
        <v>258.89999999999998</v>
      </c>
    </row>
    <row r="126" spans="1:28" hidden="1" x14ac:dyDescent="0.3">
      <c r="A126" s="4">
        <v>46161</v>
      </c>
      <c r="B126" s="8" t="s">
        <v>55</v>
      </c>
      <c r="C126" s="8" t="s">
        <v>56</v>
      </c>
      <c r="D126" s="7" t="s">
        <v>43</v>
      </c>
      <c r="E126" s="7" t="s">
        <v>40</v>
      </c>
      <c r="F126" s="13">
        <v>0</v>
      </c>
      <c r="G126" s="59" t="s">
        <v>53</v>
      </c>
      <c r="H126" s="6" t="s">
        <v>42</v>
      </c>
      <c r="I126" s="6">
        <f t="shared" si="11"/>
        <v>0</v>
      </c>
      <c r="J126" s="2">
        <v>1.52</v>
      </c>
      <c r="K126" s="2">
        <v>0.67</v>
      </c>
      <c r="L126" s="2">
        <v>0.85</v>
      </c>
      <c r="M126" s="2">
        <v>55.94</v>
      </c>
      <c r="N126" s="2">
        <v>0</v>
      </c>
      <c r="O126" s="56">
        <v>0</v>
      </c>
      <c r="P126" s="2" t="s">
        <v>45</v>
      </c>
      <c r="Q126" s="2">
        <v>0</v>
      </c>
      <c r="R126" s="2">
        <v>12.78</v>
      </c>
      <c r="S126" s="2">
        <v>4.26</v>
      </c>
      <c r="T126" s="2">
        <v>5.01</v>
      </c>
      <c r="U126" s="2">
        <v>8.52</v>
      </c>
      <c r="V126" s="2">
        <v>12.72</v>
      </c>
      <c r="W126" s="2">
        <v>8506.6</v>
      </c>
      <c r="X126" s="2">
        <v>58208</v>
      </c>
      <c r="Y126" s="2">
        <v>95660</v>
      </c>
      <c r="Z126" s="2">
        <v>0</v>
      </c>
      <c r="AA126" s="2" t="s">
        <v>45</v>
      </c>
      <c r="AB126" s="2">
        <v>208.5</v>
      </c>
    </row>
    <row r="127" spans="1:28" x14ac:dyDescent="0.3">
      <c r="A127" s="4">
        <v>46161</v>
      </c>
      <c r="B127" s="8" t="s">
        <v>58</v>
      </c>
      <c r="C127" s="8" t="s">
        <v>36</v>
      </c>
      <c r="D127" s="7" t="s">
        <v>48</v>
      </c>
      <c r="E127" s="7" t="s">
        <v>38</v>
      </c>
      <c r="F127" s="13">
        <v>2851.57</v>
      </c>
      <c r="G127" s="59"/>
      <c r="H127" s="6">
        <f>24000/8</f>
        <v>3000</v>
      </c>
      <c r="I127" s="6">
        <f t="shared" si="11"/>
        <v>421.7021276595745</v>
      </c>
      <c r="J127" s="2">
        <v>8</v>
      </c>
      <c r="K127" s="2">
        <v>7.05</v>
      </c>
      <c r="L127" s="2">
        <v>0.95</v>
      </c>
      <c r="M127" s="2">
        <v>11.88</v>
      </c>
      <c r="N127" s="2">
        <v>731</v>
      </c>
      <c r="O127" s="77">
        <v>2973</v>
      </c>
      <c r="P127" s="2">
        <v>4.07</v>
      </c>
      <c r="Q127" s="2">
        <v>11</v>
      </c>
      <c r="R127" s="2">
        <v>270.18</v>
      </c>
      <c r="S127" s="2">
        <v>5.68</v>
      </c>
      <c r="T127" s="2">
        <v>5.98</v>
      </c>
      <c r="U127" s="2">
        <v>264.51</v>
      </c>
      <c r="V127" s="2">
        <v>37.53</v>
      </c>
      <c r="W127" s="2">
        <v>6180.88</v>
      </c>
      <c r="X127" s="2">
        <v>380301</v>
      </c>
      <c r="Y127" s="2">
        <v>1331395</v>
      </c>
      <c r="Z127" s="2">
        <v>0.1</v>
      </c>
      <c r="AA127" s="2">
        <v>0</v>
      </c>
      <c r="AB127" s="2">
        <v>43.9</v>
      </c>
    </row>
    <row r="128" spans="1:28" hidden="1" x14ac:dyDescent="0.3">
      <c r="A128" s="4">
        <v>46161</v>
      </c>
      <c r="B128" s="8" t="s">
        <v>58</v>
      </c>
      <c r="C128" s="8" t="s">
        <v>36</v>
      </c>
      <c r="D128" s="7" t="s">
        <v>50</v>
      </c>
      <c r="E128" s="7" t="s">
        <v>40</v>
      </c>
      <c r="F128" s="13">
        <v>0</v>
      </c>
      <c r="G128" s="59"/>
      <c r="H128" s="6" t="s">
        <v>42</v>
      </c>
      <c r="I128" s="6">
        <f t="shared" si="11"/>
        <v>108.41584158415841</v>
      </c>
      <c r="J128" s="2">
        <v>6.29</v>
      </c>
      <c r="K128" s="2">
        <v>4.04</v>
      </c>
      <c r="L128" s="2">
        <v>2.25</v>
      </c>
      <c r="M128" s="2">
        <v>35.78</v>
      </c>
      <c r="N128" s="2">
        <v>295</v>
      </c>
      <c r="O128" s="56">
        <v>438</v>
      </c>
      <c r="P128" s="2">
        <v>1.48</v>
      </c>
      <c r="Q128" s="2">
        <v>5.0599999999999996</v>
      </c>
      <c r="R128" s="2">
        <v>86.59</v>
      </c>
      <c r="S128" s="2">
        <v>8.52</v>
      </c>
      <c r="T128" s="2">
        <v>3.79</v>
      </c>
      <c r="U128" s="2">
        <v>78.069999999999993</v>
      </c>
      <c r="V128" s="2">
        <v>19.329999999999998</v>
      </c>
      <c r="W128" s="2">
        <v>2036.12</v>
      </c>
      <c r="X128" s="2">
        <v>120239</v>
      </c>
      <c r="Y128" s="2">
        <v>223907</v>
      </c>
      <c r="Z128" s="2">
        <v>0.8</v>
      </c>
      <c r="AA128" s="2">
        <v>0</v>
      </c>
      <c r="AB128" s="2">
        <v>280.3</v>
      </c>
    </row>
    <row r="129" spans="1:28" hidden="1" x14ac:dyDescent="0.3">
      <c r="A129" s="4">
        <v>46161</v>
      </c>
      <c r="B129" s="8" t="s">
        <v>58</v>
      </c>
      <c r="C129" s="8" t="s">
        <v>36</v>
      </c>
      <c r="D129" s="7" t="s">
        <v>46</v>
      </c>
      <c r="E129" s="7" t="s">
        <v>47</v>
      </c>
      <c r="F129" s="13">
        <v>0</v>
      </c>
      <c r="G129" s="59" t="s">
        <v>60</v>
      </c>
      <c r="H129" s="6">
        <v>3000</v>
      </c>
      <c r="I129" s="6">
        <f t="shared" si="11"/>
        <v>0</v>
      </c>
      <c r="J129" s="2">
        <v>7.6</v>
      </c>
      <c r="K129" s="2">
        <v>5.95</v>
      </c>
      <c r="L129" s="2">
        <v>1.65</v>
      </c>
      <c r="M129" s="2">
        <v>21.71</v>
      </c>
      <c r="N129" s="2">
        <v>656</v>
      </c>
      <c r="O129" s="56">
        <v>0</v>
      </c>
      <c r="P129" s="2">
        <v>0</v>
      </c>
      <c r="Q129" s="2">
        <v>0</v>
      </c>
      <c r="R129" s="2">
        <v>197.31</v>
      </c>
      <c r="S129" s="2">
        <v>12.3</v>
      </c>
      <c r="T129" s="2">
        <v>7.46</v>
      </c>
      <c r="U129" s="2">
        <v>185.01</v>
      </c>
      <c r="V129" s="2">
        <v>31.09</v>
      </c>
      <c r="W129" s="2">
        <v>7518.2</v>
      </c>
      <c r="X129" s="2">
        <v>92221</v>
      </c>
      <c r="Y129" s="2">
        <v>267075</v>
      </c>
      <c r="Z129" s="2">
        <v>0.4</v>
      </c>
      <c r="AA129" s="2">
        <v>0</v>
      </c>
      <c r="AB129" s="2">
        <v>233.4</v>
      </c>
    </row>
    <row r="130" spans="1:28" hidden="1" x14ac:dyDescent="0.3">
      <c r="A130" s="4">
        <v>46161</v>
      </c>
      <c r="B130" s="8" t="s">
        <v>58</v>
      </c>
      <c r="C130" s="8" t="s">
        <v>36</v>
      </c>
      <c r="D130" s="7" t="s">
        <v>49</v>
      </c>
      <c r="E130" s="7" t="s">
        <v>47</v>
      </c>
      <c r="F130" s="13">
        <v>0</v>
      </c>
      <c r="G130" s="59"/>
      <c r="H130" s="6">
        <v>3000</v>
      </c>
      <c r="I130" s="6">
        <f t="shared" si="11"/>
        <v>451.54185022026434</v>
      </c>
      <c r="J130" s="2">
        <v>7.71</v>
      </c>
      <c r="K130" s="2">
        <v>6.81</v>
      </c>
      <c r="L130" s="2">
        <v>0.9</v>
      </c>
      <c r="M130" s="2">
        <v>11.67</v>
      </c>
      <c r="N130" s="2">
        <v>1053</v>
      </c>
      <c r="O130" s="56">
        <v>3075</v>
      </c>
      <c r="P130" s="2">
        <v>2.92</v>
      </c>
      <c r="Q130" s="2">
        <v>11.15</v>
      </c>
      <c r="R130" s="2">
        <v>275.86</v>
      </c>
      <c r="S130" s="2">
        <v>3.79</v>
      </c>
      <c r="T130" s="2">
        <v>4.21</v>
      </c>
      <c r="U130" s="2">
        <v>272.08</v>
      </c>
      <c r="V130" s="2">
        <v>39.93</v>
      </c>
      <c r="W130" s="2">
        <v>1550.96</v>
      </c>
      <c r="X130" s="2">
        <v>146904</v>
      </c>
      <c r="Y130" s="2">
        <v>500298</v>
      </c>
      <c r="Z130" s="2">
        <v>0.1</v>
      </c>
      <c r="AA130" s="2">
        <v>0</v>
      </c>
      <c r="AB130" s="2">
        <v>4.5</v>
      </c>
    </row>
    <row r="131" spans="1:28" s="45" customFormat="1" hidden="1" x14ac:dyDescent="0.3">
      <c r="A131" s="4">
        <v>46161</v>
      </c>
      <c r="B131" s="8" t="s">
        <v>58</v>
      </c>
      <c r="C131" s="8" t="s">
        <v>36</v>
      </c>
      <c r="D131" s="7" t="s">
        <v>52</v>
      </c>
      <c r="E131" s="7" t="s">
        <v>47</v>
      </c>
      <c r="F131" s="13">
        <v>0</v>
      </c>
      <c r="G131" s="59"/>
      <c r="H131" s="6">
        <v>3000</v>
      </c>
      <c r="I131" s="6">
        <f t="shared" si="11"/>
        <v>261.74957118353342</v>
      </c>
      <c r="J131" s="2">
        <v>7.93</v>
      </c>
      <c r="K131" s="2">
        <v>5.83</v>
      </c>
      <c r="L131" s="2">
        <v>2.1</v>
      </c>
      <c r="M131" s="2">
        <v>26.5</v>
      </c>
      <c r="N131" s="2">
        <v>853</v>
      </c>
      <c r="O131" s="56">
        <v>1526</v>
      </c>
      <c r="P131" s="2">
        <v>1.79</v>
      </c>
      <c r="Q131" s="2">
        <v>11.24</v>
      </c>
      <c r="R131" s="2">
        <v>135.80000000000001</v>
      </c>
      <c r="S131" s="2">
        <v>7.57</v>
      </c>
      <c r="T131" s="2">
        <v>3.61</v>
      </c>
      <c r="U131" s="2">
        <v>128.22999999999999</v>
      </c>
      <c r="V131" s="2">
        <v>22.01</v>
      </c>
      <c r="W131" s="2">
        <v>500.82</v>
      </c>
      <c r="X131" s="2">
        <v>44186</v>
      </c>
      <c r="Y131" s="2">
        <v>88112</v>
      </c>
      <c r="Z131" s="2">
        <v>0.9</v>
      </c>
      <c r="AA131" s="2">
        <v>0</v>
      </c>
      <c r="AB131" s="2">
        <v>32.700000000000003</v>
      </c>
    </row>
    <row r="132" spans="1:28" hidden="1" x14ac:dyDescent="0.3">
      <c r="A132" s="14">
        <v>46161</v>
      </c>
      <c r="B132" s="14" t="s">
        <v>58</v>
      </c>
      <c r="C132" s="14"/>
      <c r="D132" s="42"/>
      <c r="E132" s="42" t="s">
        <v>47</v>
      </c>
      <c r="F132" s="43">
        <v>0</v>
      </c>
      <c r="G132" s="60"/>
      <c r="H132" s="44">
        <v>6000</v>
      </c>
      <c r="I132" s="44"/>
      <c r="J132" s="42"/>
      <c r="K132" s="42"/>
      <c r="L132" s="42"/>
      <c r="M132" s="42"/>
      <c r="N132" s="42"/>
      <c r="O132" s="56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spans="1:28" hidden="1" x14ac:dyDescent="0.3">
      <c r="A133" s="4">
        <v>46162</v>
      </c>
      <c r="B133" s="8" t="s">
        <v>58</v>
      </c>
      <c r="C133" s="8" t="s">
        <v>36</v>
      </c>
      <c r="D133" s="7" t="s">
        <v>39</v>
      </c>
      <c r="E133" s="7" t="s">
        <v>40</v>
      </c>
      <c r="F133" s="13">
        <v>0</v>
      </c>
      <c r="G133" s="59"/>
      <c r="H133" s="6" t="s">
        <v>42</v>
      </c>
      <c r="I133" s="6">
        <f t="shared" ref="I133:I139" si="12">IFERROR(O133/K133,)</f>
        <v>152.47524752475249</v>
      </c>
      <c r="J133" s="2">
        <v>3.28</v>
      </c>
      <c r="K133" s="2">
        <v>3.03</v>
      </c>
      <c r="L133" s="2">
        <v>0.25</v>
      </c>
      <c r="M133" s="2">
        <v>7.63</v>
      </c>
      <c r="N133" s="2">
        <v>342</v>
      </c>
      <c r="O133" s="56">
        <v>462</v>
      </c>
      <c r="P133" s="2">
        <v>1.35</v>
      </c>
      <c r="Q133" s="2">
        <v>7.57</v>
      </c>
      <c r="R133" s="2">
        <v>61.04</v>
      </c>
      <c r="S133" s="2">
        <v>0.95</v>
      </c>
      <c r="T133" s="2">
        <v>3.79</v>
      </c>
      <c r="U133" s="2">
        <v>60.09</v>
      </c>
      <c r="V133" s="2">
        <v>19.86</v>
      </c>
      <c r="W133" s="2">
        <v>8934.48</v>
      </c>
      <c r="X133" s="2">
        <v>59039</v>
      </c>
      <c r="Y133" s="2">
        <v>83462</v>
      </c>
      <c r="Z133" s="2">
        <v>0.2</v>
      </c>
      <c r="AA133" s="2">
        <v>0</v>
      </c>
      <c r="AB133" s="2">
        <v>259.10000000000002</v>
      </c>
    </row>
    <row r="134" spans="1:28" hidden="1" x14ac:dyDescent="0.3">
      <c r="A134" s="4">
        <v>46162</v>
      </c>
      <c r="B134" s="8" t="s">
        <v>55</v>
      </c>
      <c r="C134" s="8" t="s">
        <v>56</v>
      </c>
      <c r="D134" s="7" t="s">
        <v>43</v>
      </c>
      <c r="E134" s="7" t="s">
        <v>40</v>
      </c>
      <c r="F134" s="13">
        <v>0</v>
      </c>
      <c r="G134" s="59" t="s">
        <v>53</v>
      </c>
      <c r="H134" s="6" t="s">
        <v>42</v>
      </c>
      <c r="I134" s="6">
        <f t="shared" si="12"/>
        <v>0</v>
      </c>
      <c r="J134" s="2">
        <v>5.36</v>
      </c>
      <c r="K134" s="2">
        <v>4.3600000000000003</v>
      </c>
      <c r="L134" s="2">
        <v>1</v>
      </c>
      <c r="M134" s="2">
        <v>18.649999999999999</v>
      </c>
      <c r="N134" s="2">
        <v>0</v>
      </c>
      <c r="O134" s="56">
        <v>0</v>
      </c>
      <c r="P134" s="2" t="s">
        <v>45</v>
      </c>
      <c r="Q134" s="2">
        <v>0</v>
      </c>
      <c r="R134" s="2">
        <v>91.8</v>
      </c>
      <c r="S134" s="2">
        <v>3.79</v>
      </c>
      <c r="T134" s="2">
        <v>3.79</v>
      </c>
      <c r="U134" s="2">
        <v>88.01</v>
      </c>
      <c r="V134" s="2">
        <v>20.18</v>
      </c>
      <c r="W134" s="2">
        <v>8511.9599999999991</v>
      </c>
      <c r="X134" s="2">
        <v>58208</v>
      </c>
      <c r="Y134" s="2">
        <v>95660</v>
      </c>
      <c r="Z134" s="2">
        <v>0.5</v>
      </c>
      <c r="AA134" s="2" t="s">
        <v>45</v>
      </c>
      <c r="AB134" s="2">
        <v>209</v>
      </c>
    </row>
    <row r="135" spans="1:28" s="45" customFormat="1" x14ac:dyDescent="0.3">
      <c r="A135" s="4">
        <v>46162</v>
      </c>
      <c r="B135" s="8" t="s">
        <v>58</v>
      </c>
      <c r="C135" s="8" t="s">
        <v>36</v>
      </c>
      <c r="D135" s="7" t="s">
        <v>48</v>
      </c>
      <c r="E135" s="7" t="s">
        <v>38</v>
      </c>
      <c r="F135" s="13">
        <v>3210</v>
      </c>
      <c r="G135" s="59"/>
      <c r="H135" s="6">
        <f>24000/8</f>
        <v>3000</v>
      </c>
      <c r="I135" s="6">
        <f t="shared" si="12"/>
        <v>492.71523178807945</v>
      </c>
      <c r="J135" s="2">
        <v>10.16</v>
      </c>
      <c r="K135" s="2">
        <v>9.06</v>
      </c>
      <c r="L135" s="2">
        <v>1.1000000000000001</v>
      </c>
      <c r="M135" s="2">
        <v>10.83</v>
      </c>
      <c r="N135" s="2">
        <v>1167</v>
      </c>
      <c r="O135" s="77">
        <v>4464</v>
      </c>
      <c r="P135" s="2">
        <v>3.83</v>
      </c>
      <c r="Q135" s="2">
        <v>12.89</v>
      </c>
      <c r="R135" s="2">
        <v>346.36</v>
      </c>
      <c r="S135" s="2">
        <v>6.15</v>
      </c>
      <c r="T135" s="2">
        <v>5.59</v>
      </c>
      <c r="U135" s="2">
        <v>340.21</v>
      </c>
      <c r="V135" s="2">
        <v>37.56</v>
      </c>
      <c r="W135" s="2">
        <v>6191.04</v>
      </c>
      <c r="X135" s="2">
        <v>381468</v>
      </c>
      <c r="Y135" s="2">
        <v>1335859</v>
      </c>
      <c r="Z135" s="2">
        <v>0</v>
      </c>
      <c r="AA135" s="2">
        <v>0</v>
      </c>
      <c r="AB135" s="2">
        <v>43.9</v>
      </c>
    </row>
    <row r="136" spans="1:28" hidden="1" x14ac:dyDescent="0.3">
      <c r="A136" s="4">
        <v>46162</v>
      </c>
      <c r="B136" s="8" t="s">
        <v>58</v>
      </c>
      <c r="C136" s="8" t="s">
        <v>36</v>
      </c>
      <c r="D136" s="7" t="s">
        <v>50</v>
      </c>
      <c r="E136" s="7" t="s">
        <v>40</v>
      </c>
      <c r="F136" s="13">
        <v>0</v>
      </c>
      <c r="G136" s="59"/>
      <c r="H136" s="6" t="s">
        <v>42</v>
      </c>
      <c r="I136" s="6">
        <f t="shared" si="12"/>
        <v>104.56852791878173</v>
      </c>
      <c r="J136" s="2">
        <v>3.87</v>
      </c>
      <c r="K136" s="2">
        <v>1.97</v>
      </c>
      <c r="L136" s="2">
        <v>1.9</v>
      </c>
      <c r="M136" s="2">
        <v>49.09</v>
      </c>
      <c r="N136" s="2">
        <v>154</v>
      </c>
      <c r="O136" s="56">
        <v>206</v>
      </c>
      <c r="P136" s="2">
        <v>1.34</v>
      </c>
      <c r="Q136" s="2">
        <v>5</v>
      </c>
      <c r="R136" s="2">
        <v>41.17</v>
      </c>
      <c r="S136" s="2">
        <v>6.62</v>
      </c>
      <c r="T136" s="2">
        <v>3.49</v>
      </c>
      <c r="U136" s="2">
        <v>34.54</v>
      </c>
      <c r="V136" s="2">
        <v>17.53</v>
      </c>
      <c r="W136" s="2">
        <v>2040</v>
      </c>
      <c r="X136" s="2">
        <v>120393</v>
      </c>
      <c r="Y136" s="2">
        <v>224113</v>
      </c>
      <c r="Z136" s="2">
        <v>0.2</v>
      </c>
      <c r="AA136" s="2">
        <v>0</v>
      </c>
      <c r="AB136" s="2">
        <v>280.5</v>
      </c>
    </row>
    <row r="137" spans="1:28" hidden="1" x14ac:dyDescent="0.3">
      <c r="A137" s="4">
        <v>46162</v>
      </c>
      <c r="B137" s="8" t="s">
        <v>58</v>
      </c>
      <c r="C137" s="8" t="s">
        <v>36</v>
      </c>
      <c r="D137" s="7" t="s">
        <v>46</v>
      </c>
      <c r="E137" s="7" t="s">
        <v>47</v>
      </c>
      <c r="F137" s="13">
        <v>0</v>
      </c>
      <c r="G137" s="59"/>
      <c r="H137" s="6">
        <v>3000</v>
      </c>
      <c r="I137" s="6">
        <f t="shared" si="12"/>
        <v>199.07918968692451</v>
      </c>
      <c r="J137" s="2">
        <v>6.98</v>
      </c>
      <c r="K137" s="2">
        <v>5.43</v>
      </c>
      <c r="L137" s="2">
        <v>1.55</v>
      </c>
      <c r="M137" s="2">
        <v>22.22</v>
      </c>
      <c r="N137" s="2">
        <v>645</v>
      </c>
      <c r="O137" s="56">
        <v>1081</v>
      </c>
      <c r="P137" s="2">
        <v>1.68</v>
      </c>
      <c r="Q137" s="2">
        <v>6.04</v>
      </c>
      <c r="R137" s="2">
        <v>178.86</v>
      </c>
      <c r="S137" s="2">
        <v>9.4600000000000009</v>
      </c>
      <c r="T137" s="2">
        <v>6.11</v>
      </c>
      <c r="U137" s="2">
        <v>169.4</v>
      </c>
      <c r="V137" s="2">
        <v>31.22</v>
      </c>
      <c r="W137" s="2">
        <v>7525.18</v>
      </c>
      <c r="X137" s="2">
        <v>92866</v>
      </c>
      <c r="Y137" s="2">
        <v>268156</v>
      </c>
      <c r="Z137" s="2">
        <v>0.2</v>
      </c>
      <c r="AA137" s="2">
        <v>0</v>
      </c>
      <c r="AB137" s="2">
        <v>233.6</v>
      </c>
    </row>
    <row r="138" spans="1:28" hidden="1" x14ac:dyDescent="0.3">
      <c r="A138" s="4">
        <v>46162</v>
      </c>
      <c r="B138" s="8" t="s">
        <v>58</v>
      </c>
      <c r="C138" s="8" t="s">
        <v>36</v>
      </c>
      <c r="D138" s="7" t="s">
        <v>49</v>
      </c>
      <c r="E138" s="7" t="s">
        <v>47</v>
      </c>
      <c r="F138" s="13">
        <v>0</v>
      </c>
      <c r="G138" s="59"/>
      <c r="H138" s="6">
        <v>3000</v>
      </c>
      <c r="I138" s="6">
        <f t="shared" si="12"/>
        <v>292.13114754098365</v>
      </c>
      <c r="J138" s="2">
        <v>7</v>
      </c>
      <c r="K138" s="2">
        <v>6.1</v>
      </c>
      <c r="L138" s="2">
        <v>0.9</v>
      </c>
      <c r="M138" s="2">
        <v>12.86</v>
      </c>
      <c r="N138" s="2">
        <v>533</v>
      </c>
      <c r="O138" s="56">
        <v>1782</v>
      </c>
      <c r="P138" s="2">
        <v>3.34</v>
      </c>
      <c r="Q138" s="2">
        <v>10.1</v>
      </c>
      <c r="R138" s="2">
        <v>176.49</v>
      </c>
      <c r="S138" s="2">
        <v>4.26</v>
      </c>
      <c r="T138" s="2">
        <v>4.7300000000000004</v>
      </c>
      <c r="U138" s="2">
        <v>172.24</v>
      </c>
      <c r="V138" s="2">
        <v>28.24</v>
      </c>
      <c r="W138" s="2">
        <v>1557.96</v>
      </c>
      <c r="X138" s="2">
        <v>147437</v>
      </c>
      <c r="Y138" s="2">
        <v>502080</v>
      </c>
      <c r="Z138" s="2">
        <v>0</v>
      </c>
      <c r="AA138" s="2">
        <v>0</v>
      </c>
      <c r="AB138" s="2">
        <v>4.5</v>
      </c>
    </row>
    <row r="139" spans="1:28" s="45" customFormat="1" hidden="1" x14ac:dyDescent="0.3">
      <c r="A139" s="4">
        <v>46162</v>
      </c>
      <c r="B139" s="8" t="s">
        <v>58</v>
      </c>
      <c r="C139" s="8" t="s">
        <v>36</v>
      </c>
      <c r="D139" s="7" t="s">
        <v>52</v>
      </c>
      <c r="E139" s="7" t="s">
        <v>47</v>
      </c>
      <c r="F139" s="13">
        <v>0</v>
      </c>
      <c r="G139" s="59"/>
      <c r="H139" s="6">
        <v>3000</v>
      </c>
      <c r="I139" s="6">
        <f t="shared" si="12"/>
        <v>255.8303886925795</v>
      </c>
      <c r="J139" s="2">
        <v>4.63</v>
      </c>
      <c r="K139" s="2">
        <v>2.83</v>
      </c>
      <c r="L139" s="2">
        <v>1.8</v>
      </c>
      <c r="M139" s="2">
        <v>38.909999999999997</v>
      </c>
      <c r="N139" s="2">
        <v>368</v>
      </c>
      <c r="O139" s="56">
        <v>724</v>
      </c>
      <c r="P139" s="2">
        <v>1.97</v>
      </c>
      <c r="Q139" s="2">
        <v>11.33</v>
      </c>
      <c r="R139" s="2">
        <v>63.88</v>
      </c>
      <c r="S139" s="2">
        <v>6.62</v>
      </c>
      <c r="T139" s="2">
        <v>3.68</v>
      </c>
      <c r="U139" s="2">
        <v>57.25</v>
      </c>
      <c r="V139" s="2">
        <v>20.260000000000002</v>
      </c>
      <c r="W139" s="2">
        <v>505.45</v>
      </c>
      <c r="X139" s="2">
        <v>44554</v>
      </c>
      <c r="Y139" s="2">
        <v>88836</v>
      </c>
      <c r="Z139" s="2">
        <v>0.9</v>
      </c>
      <c r="AA139" s="2">
        <v>0</v>
      </c>
      <c r="AB139" s="2">
        <v>33.6</v>
      </c>
    </row>
    <row r="140" spans="1:28" hidden="1" x14ac:dyDescent="0.3">
      <c r="A140" s="14">
        <v>46162</v>
      </c>
      <c r="B140" s="14" t="s">
        <v>58</v>
      </c>
      <c r="C140" s="14"/>
      <c r="D140" s="42"/>
      <c r="E140" s="42" t="s">
        <v>47</v>
      </c>
      <c r="F140" s="43">
        <v>0</v>
      </c>
      <c r="G140" s="60"/>
      <c r="H140" s="44">
        <v>6000</v>
      </c>
      <c r="I140" s="44"/>
      <c r="J140" s="42"/>
      <c r="K140" s="42"/>
      <c r="L140" s="42"/>
      <c r="M140" s="42"/>
      <c r="N140" s="42"/>
      <c r="O140" s="56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spans="1:28" hidden="1" x14ac:dyDescent="0.3">
      <c r="A141" s="4">
        <v>46163</v>
      </c>
      <c r="B141" s="8" t="s">
        <v>58</v>
      </c>
      <c r="C141" s="8" t="s">
        <v>36</v>
      </c>
      <c r="D141" s="7" t="s">
        <v>39</v>
      </c>
      <c r="E141" s="7" t="s">
        <v>61</v>
      </c>
      <c r="F141" s="13">
        <v>0</v>
      </c>
      <c r="G141" s="59"/>
      <c r="H141" s="6">
        <v>3000</v>
      </c>
      <c r="I141" s="6">
        <f t="shared" ref="I141:I147" si="13">IFERROR(O141/K141,)</f>
        <v>155.49295774647888</v>
      </c>
      <c r="J141" s="2">
        <v>8.35</v>
      </c>
      <c r="K141" s="2">
        <v>7.1</v>
      </c>
      <c r="L141" s="2">
        <v>1.25</v>
      </c>
      <c r="M141" s="2">
        <v>14.98</v>
      </c>
      <c r="N141" s="2">
        <v>794</v>
      </c>
      <c r="O141" s="56">
        <v>1104</v>
      </c>
      <c r="P141" s="2">
        <v>1.39</v>
      </c>
      <c r="Q141" s="2">
        <v>7.55</v>
      </c>
      <c r="R141" s="2">
        <v>146.21</v>
      </c>
      <c r="S141" s="2">
        <v>5.2</v>
      </c>
      <c r="T141" s="2">
        <v>4.16</v>
      </c>
      <c r="U141" s="2">
        <v>141.01</v>
      </c>
      <c r="V141" s="2">
        <v>19.87</v>
      </c>
      <c r="W141" s="2">
        <v>8942.83</v>
      </c>
      <c r="X141" s="2">
        <v>59833</v>
      </c>
      <c r="Y141" s="2">
        <v>84566</v>
      </c>
      <c r="Z141" s="2">
        <v>7.9</v>
      </c>
      <c r="AA141" s="2">
        <v>0.01</v>
      </c>
      <c r="AB141" s="2">
        <v>267</v>
      </c>
    </row>
    <row r="142" spans="1:28" x14ac:dyDescent="0.3">
      <c r="A142" s="4">
        <v>46163</v>
      </c>
      <c r="B142" s="8" t="s">
        <v>58</v>
      </c>
      <c r="C142" s="8" t="s">
        <v>36</v>
      </c>
      <c r="D142" s="7" t="s">
        <v>48</v>
      </c>
      <c r="E142" s="7" t="s">
        <v>38</v>
      </c>
      <c r="F142" s="13">
        <v>129.52000000000001</v>
      </c>
      <c r="G142" s="59"/>
      <c r="H142" s="6">
        <f>24000/8</f>
        <v>3000</v>
      </c>
      <c r="I142" s="6">
        <f t="shared" si="13"/>
        <v>298</v>
      </c>
      <c r="J142" s="2">
        <v>1.85</v>
      </c>
      <c r="K142" s="2">
        <v>1.5</v>
      </c>
      <c r="L142" s="2">
        <v>0.35</v>
      </c>
      <c r="M142" s="2">
        <v>18.940000000000001</v>
      </c>
      <c r="N142" s="2">
        <v>155</v>
      </c>
      <c r="O142" s="77">
        <v>447</v>
      </c>
      <c r="P142" s="2">
        <v>2.88</v>
      </c>
      <c r="Q142" s="2">
        <v>7.94</v>
      </c>
      <c r="R142" s="2">
        <v>56.31</v>
      </c>
      <c r="S142" s="2">
        <v>2.84</v>
      </c>
      <c r="T142" s="2">
        <v>8.11</v>
      </c>
      <c r="U142" s="2">
        <v>53.47</v>
      </c>
      <c r="V142" s="2">
        <v>35.700000000000003</v>
      </c>
      <c r="W142" s="2">
        <v>6192.89</v>
      </c>
      <c r="X142" s="2">
        <v>381623</v>
      </c>
      <c r="Y142" s="2">
        <v>1336306</v>
      </c>
      <c r="Z142" s="2">
        <v>0.1</v>
      </c>
      <c r="AA142" s="2">
        <v>0</v>
      </c>
      <c r="AB142" s="2">
        <v>44</v>
      </c>
    </row>
    <row r="143" spans="1:28" hidden="1" x14ac:dyDescent="0.3">
      <c r="A143" s="4">
        <v>46163</v>
      </c>
      <c r="B143" s="8" t="s">
        <v>58</v>
      </c>
      <c r="C143" s="8" t="s">
        <v>36</v>
      </c>
      <c r="D143" s="7" t="s">
        <v>50</v>
      </c>
      <c r="E143" s="7" t="s">
        <v>40</v>
      </c>
      <c r="F143" s="13">
        <v>0</v>
      </c>
      <c r="G143" s="59"/>
      <c r="H143" s="6" t="s">
        <v>42</v>
      </c>
      <c r="I143" s="6">
        <f t="shared" si="13"/>
        <v>130.05464480874318</v>
      </c>
      <c r="J143" s="2">
        <v>6.44</v>
      </c>
      <c r="K143" s="2">
        <v>5.49</v>
      </c>
      <c r="L143" s="2">
        <v>0.95</v>
      </c>
      <c r="M143" s="2">
        <v>14.74</v>
      </c>
      <c r="N143" s="2">
        <v>428</v>
      </c>
      <c r="O143" s="56">
        <v>714</v>
      </c>
      <c r="P143" s="2">
        <v>1.67</v>
      </c>
      <c r="Q143" s="2">
        <v>6.5</v>
      </c>
      <c r="R143" s="2">
        <v>109.78</v>
      </c>
      <c r="S143" s="2">
        <v>4.26</v>
      </c>
      <c r="T143" s="2">
        <v>4.4800000000000004</v>
      </c>
      <c r="U143" s="2">
        <v>105.52</v>
      </c>
      <c r="V143" s="2">
        <v>19.2</v>
      </c>
      <c r="W143" s="2">
        <v>2046.44</v>
      </c>
      <c r="X143" s="2">
        <v>120821</v>
      </c>
      <c r="Y143" s="2">
        <v>224827</v>
      </c>
      <c r="Z143" s="2">
        <v>0.9</v>
      </c>
      <c r="AA143" s="2">
        <v>0</v>
      </c>
      <c r="AB143" s="2">
        <v>281.39999999999998</v>
      </c>
    </row>
    <row r="144" spans="1:28" hidden="1" x14ac:dyDescent="0.3">
      <c r="A144" s="4">
        <v>46163</v>
      </c>
      <c r="B144" s="8" t="s">
        <v>58</v>
      </c>
      <c r="C144" s="8" t="s">
        <v>36</v>
      </c>
      <c r="D144" s="7" t="s">
        <v>43</v>
      </c>
      <c r="E144" s="7" t="s">
        <v>47</v>
      </c>
      <c r="F144" s="13">
        <v>0</v>
      </c>
      <c r="G144" s="59" t="s">
        <v>60</v>
      </c>
      <c r="H144" s="6">
        <v>3000</v>
      </c>
      <c r="I144" s="6">
        <f t="shared" si="13"/>
        <v>0</v>
      </c>
      <c r="J144" s="2">
        <v>7.85</v>
      </c>
      <c r="K144" s="2">
        <v>6.2</v>
      </c>
      <c r="L144" s="2">
        <v>1.65</v>
      </c>
      <c r="M144" s="2">
        <v>21.03</v>
      </c>
      <c r="N144" s="2">
        <v>0</v>
      </c>
      <c r="O144" s="56">
        <v>0</v>
      </c>
      <c r="P144" s="2" t="s">
        <v>45</v>
      </c>
      <c r="Q144" s="2">
        <v>0</v>
      </c>
      <c r="R144" s="2">
        <v>137.22</v>
      </c>
      <c r="S144" s="2">
        <v>6.15</v>
      </c>
      <c r="T144" s="2">
        <v>3.73</v>
      </c>
      <c r="U144" s="2">
        <v>131.07</v>
      </c>
      <c r="V144" s="2">
        <v>21.15</v>
      </c>
      <c r="W144" s="2">
        <v>8519.81</v>
      </c>
      <c r="X144" s="2">
        <v>58208</v>
      </c>
      <c r="Y144" s="2">
        <v>95660</v>
      </c>
      <c r="Z144" s="2">
        <v>0.9</v>
      </c>
      <c r="AA144" s="2" t="s">
        <v>45</v>
      </c>
      <c r="AB144" s="2">
        <v>209.9</v>
      </c>
    </row>
    <row r="145" spans="1:28" hidden="1" x14ac:dyDescent="0.3">
      <c r="A145" s="4">
        <v>46163</v>
      </c>
      <c r="B145" s="8" t="s">
        <v>55</v>
      </c>
      <c r="C145" s="8" t="s">
        <v>56</v>
      </c>
      <c r="D145" s="7" t="s">
        <v>46</v>
      </c>
      <c r="E145" s="7" t="s">
        <v>47</v>
      </c>
      <c r="F145" s="13">
        <v>0</v>
      </c>
      <c r="G145" s="59"/>
      <c r="H145" s="6" t="s">
        <v>42</v>
      </c>
      <c r="I145" s="6">
        <f t="shared" si="13"/>
        <v>170.87033747779751</v>
      </c>
      <c r="J145" s="2">
        <v>7.88</v>
      </c>
      <c r="K145" s="2">
        <v>5.63</v>
      </c>
      <c r="L145" s="2">
        <v>2.25</v>
      </c>
      <c r="M145" s="2">
        <v>28.57</v>
      </c>
      <c r="N145" s="2">
        <v>419</v>
      </c>
      <c r="O145" s="56">
        <v>962</v>
      </c>
      <c r="P145" s="2">
        <v>2.2999999999999998</v>
      </c>
      <c r="Q145" s="2">
        <v>5.04</v>
      </c>
      <c r="R145" s="2">
        <v>190.69</v>
      </c>
      <c r="S145" s="2">
        <v>16.559999999999999</v>
      </c>
      <c r="T145" s="2">
        <v>7.36</v>
      </c>
      <c r="U145" s="2">
        <v>174.13</v>
      </c>
      <c r="V145" s="2">
        <v>30.95</v>
      </c>
      <c r="W145" s="2">
        <v>7533.06</v>
      </c>
      <c r="X145" s="2">
        <v>93285</v>
      </c>
      <c r="Y145" s="2">
        <v>269118</v>
      </c>
      <c r="Z145" s="2">
        <v>0.2</v>
      </c>
      <c r="AA145" s="2">
        <v>0</v>
      </c>
      <c r="AB145" s="2">
        <v>233.8</v>
      </c>
    </row>
    <row r="146" spans="1:28" hidden="1" x14ac:dyDescent="0.3">
      <c r="A146" s="4">
        <v>46163</v>
      </c>
      <c r="B146" s="8" t="s">
        <v>55</v>
      </c>
      <c r="C146" s="8" t="s">
        <v>56</v>
      </c>
      <c r="D146" s="7" t="s">
        <v>49</v>
      </c>
      <c r="E146" s="7" t="s">
        <v>47</v>
      </c>
      <c r="F146" s="13">
        <v>0</v>
      </c>
      <c r="G146" s="59"/>
      <c r="H146" s="6" t="s">
        <v>42</v>
      </c>
      <c r="I146" s="6">
        <f t="shared" si="13"/>
        <v>374.48186528497411</v>
      </c>
      <c r="J146" s="2">
        <v>8.82</v>
      </c>
      <c r="K146" s="2">
        <v>7.72</v>
      </c>
      <c r="L146" s="2">
        <v>1.1000000000000001</v>
      </c>
      <c r="M146" s="2">
        <v>12.48</v>
      </c>
      <c r="N146" s="2">
        <v>903</v>
      </c>
      <c r="O146" s="56">
        <v>2891</v>
      </c>
      <c r="P146" s="2">
        <v>3.2</v>
      </c>
      <c r="Q146" s="2">
        <v>9.1199999999999992</v>
      </c>
      <c r="R146" s="2">
        <v>317.02999999999997</v>
      </c>
      <c r="S146" s="2">
        <v>4.7300000000000004</v>
      </c>
      <c r="T146" s="2">
        <v>4.3</v>
      </c>
      <c r="U146" s="2">
        <v>312.3</v>
      </c>
      <c r="V146" s="2">
        <v>40.47</v>
      </c>
      <c r="W146" s="2">
        <v>1566.78</v>
      </c>
      <c r="X146" s="2">
        <v>148480</v>
      </c>
      <c r="Y146" s="2">
        <v>505407</v>
      </c>
      <c r="Z146" s="2">
        <v>0</v>
      </c>
      <c r="AA146" s="2">
        <v>0</v>
      </c>
      <c r="AB146" s="2">
        <v>4.5</v>
      </c>
    </row>
    <row r="147" spans="1:28" hidden="1" x14ac:dyDescent="0.3">
      <c r="A147" s="4">
        <v>46163</v>
      </c>
      <c r="B147" s="8" t="s">
        <v>55</v>
      </c>
      <c r="C147" s="8" t="s">
        <v>56</v>
      </c>
      <c r="D147" s="7" t="s">
        <v>52</v>
      </c>
      <c r="E147" s="7" t="s">
        <v>47</v>
      </c>
      <c r="F147" s="13">
        <v>0</v>
      </c>
      <c r="G147" s="59" t="s">
        <v>53</v>
      </c>
      <c r="H147" s="6" t="s">
        <v>42</v>
      </c>
      <c r="I147" s="6">
        <f t="shared" si="13"/>
        <v>0</v>
      </c>
      <c r="J147" s="2">
        <v>0.28999999999999998</v>
      </c>
      <c r="K147" s="2">
        <v>0.09</v>
      </c>
      <c r="L147" s="2">
        <v>0.2</v>
      </c>
      <c r="M147" s="2">
        <v>69.040000000000006</v>
      </c>
      <c r="N147" s="2">
        <v>0</v>
      </c>
      <c r="O147" s="56">
        <v>0</v>
      </c>
      <c r="P147" s="2" t="s">
        <v>45</v>
      </c>
      <c r="Q147" s="2">
        <v>0</v>
      </c>
      <c r="R147" s="2">
        <v>1.42</v>
      </c>
      <c r="S147" s="2">
        <v>0.95</v>
      </c>
      <c r="T147" s="2">
        <v>4.7300000000000004</v>
      </c>
      <c r="U147" s="2">
        <v>0.47</v>
      </c>
      <c r="V147" s="2">
        <v>5.28</v>
      </c>
      <c r="W147" s="2">
        <v>505.74</v>
      </c>
      <c r="X147" s="2">
        <v>44554</v>
      </c>
      <c r="Y147" s="2">
        <v>88836</v>
      </c>
      <c r="Z147" s="2">
        <v>0</v>
      </c>
      <c r="AA147" s="2" t="s">
        <v>45</v>
      </c>
      <c r="AB147" s="2">
        <v>33.6</v>
      </c>
    </row>
    <row r="148" spans="1:28" hidden="1" x14ac:dyDescent="0.3">
      <c r="A148" s="14">
        <v>46163</v>
      </c>
      <c r="B148" s="14" t="s">
        <v>58</v>
      </c>
      <c r="C148" s="14"/>
      <c r="D148" s="42"/>
      <c r="E148" s="42" t="s">
        <v>47</v>
      </c>
      <c r="F148" s="43">
        <v>0</v>
      </c>
      <c r="G148" s="60"/>
      <c r="H148" s="44">
        <v>12000</v>
      </c>
      <c r="I148" s="44"/>
      <c r="J148" s="42"/>
      <c r="K148" s="42"/>
      <c r="L148" s="42"/>
      <c r="M148" s="42"/>
      <c r="N148" s="42"/>
      <c r="O148" s="56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spans="1:28" hidden="1" x14ac:dyDescent="0.3">
      <c r="A149" s="4">
        <v>46164</v>
      </c>
      <c r="B149" s="8" t="s">
        <v>58</v>
      </c>
      <c r="C149" s="8" t="s">
        <v>36</v>
      </c>
      <c r="D149" s="7" t="s">
        <v>39</v>
      </c>
      <c r="E149" s="7" t="s">
        <v>61</v>
      </c>
      <c r="F149" s="13">
        <v>0</v>
      </c>
      <c r="G149" s="59"/>
      <c r="H149" s="6">
        <v>2500</v>
      </c>
      <c r="I149" s="6">
        <f t="shared" ref="I149:I155" si="14">IFERROR(O149/K149,)</f>
        <v>85.641025641025649</v>
      </c>
      <c r="J149" s="2">
        <v>9.65</v>
      </c>
      <c r="K149" s="2">
        <v>7.8</v>
      </c>
      <c r="L149" s="2">
        <v>1.85</v>
      </c>
      <c r="M149" s="2">
        <v>19.16</v>
      </c>
      <c r="N149" s="2">
        <v>640</v>
      </c>
      <c r="O149" s="56">
        <v>668</v>
      </c>
      <c r="P149" s="2">
        <v>1.04</v>
      </c>
      <c r="Q149" s="2">
        <v>4.1500000000000004</v>
      </c>
      <c r="R149" s="2">
        <v>160.88</v>
      </c>
      <c r="S149" s="2">
        <v>6.62</v>
      </c>
      <c r="T149" s="2">
        <v>3.58</v>
      </c>
      <c r="U149" s="2">
        <v>154.26</v>
      </c>
      <c r="V149" s="2">
        <v>19.77</v>
      </c>
      <c r="W149" s="2">
        <v>8952.48</v>
      </c>
      <c r="X149" s="2">
        <v>60473</v>
      </c>
      <c r="Y149" s="2">
        <v>85234</v>
      </c>
      <c r="Z149" s="2">
        <v>1</v>
      </c>
      <c r="AA149" s="2">
        <v>0</v>
      </c>
      <c r="AB149" s="2">
        <v>268</v>
      </c>
    </row>
    <row r="150" spans="1:28" x14ac:dyDescent="0.3">
      <c r="A150" s="4">
        <v>46164</v>
      </c>
      <c r="B150" s="8" t="s">
        <v>58</v>
      </c>
      <c r="C150" s="8" t="s">
        <v>36</v>
      </c>
      <c r="D150" s="7" t="s">
        <v>48</v>
      </c>
      <c r="E150" s="7" t="s">
        <v>38</v>
      </c>
      <c r="F150" s="13">
        <v>1484</v>
      </c>
      <c r="G150" s="59"/>
      <c r="H150" s="6">
        <f>24000/8</f>
        <v>3000</v>
      </c>
      <c r="I150" s="6">
        <f t="shared" si="14"/>
        <v>406.17469879518075</v>
      </c>
      <c r="J150" s="2">
        <v>7.74</v>
      </c>
      <c r="K150" s="2">
        <v>6.64</v>
      </c>
      <c r="L150" s="2">
        <v>1.1000000000000001</v>
      </c>
      <c r="M150" s="2">
        <v>14.21</v>
      </c>
      <c r="N150" s="2">
        <v>717</v>
      </c>
      <c r="O150" s="77">
        <v>2697</v>
      </c>
      <c r="P150" s="2">
        <v>3.76</v>
      </c>
      <c r="Q150" s="2">
        <v>10.75</v>
      </c>
      <c r="R150" s="2">
        <v>250.78</v>
      </c>
      <c r="S150" s="2">
        <v>6.15</v>
      </c>
      <c r="T150" s="2">
        <v>5.59</v>
      </c>
      <c r="U150" s="2">
        <v>244.63</v>
      </c>
      <c r="V150" s="2">
        <v>36.840000000000003</v>
      </c>
      <c r="W150" s="2">
        <v>6200.63</v>
      </c>
      <c r="X150" s="2">
        <v>382340</v>
      </c>
      <c r="Y150" s="2">
        <v>1339003</v>
      </c>
      <c r="Z150" s="2">
        <v>0.1</v>
      </c>
      <c r="AA150" s="2">
        <v>0</v>
      </c>
      <c r="AB150" s="2">
        <v>44.1</v>
      </c>
    </row>
    <row r="151" spans="1:28" hidden="1" x14ac:dyDescent="0.3">
      <c r="A151" s="4">
        <v>46164</v>
      </c>
      <c r="B151" s="8" t="s">
        <v>58</v>
      </c>
      <c r="C151" s="8" t="s">
        <v>36</v>
      </c>
      <c r="D151" s="7" t="s">
        <v>43</v>
      </c>
      <c r="E151" s="7" t="s">
        <v>47</v>
      </c>
      <c r="F151" s="13">
        <v>0</v>
      </c>
      <c r="G151" s="59" t="s">
        <v>60</v>
      </c>
      <c r="H151" s="6">
        <v>3000</v>
      </c>
      <c r="I151" s="6">
        <f t="shared" si="14"/>
        <v>265.15151515151518</v>
      </c>
      <c r="J151" s="2">
        <v>8.35</v>
      </c>
      <c r="K151" s="2">
        <v>6.6</v>
      </c>
      <c r="L151" s="2">
        <v>1.75</v>
      </c>
      <c r="M151" s="2">
        <v>20.96</v>
      </c>
      <c r="N151" s="6"/>
      <c r="O151" s="78">
        <f>70*25</f>
        <v>1750</v>
      </c>
      <c r="P151" s="2" t="s">
        <v>45</v>
      </c>
      <c r="Q151" s="2">
        <v>0</v>
      </c>
      <c r="R151" s="2">
        <v>148.58000000000001</v>
      </c>
      <c r="S151" s="2">
        <v>6.62</v>
      </c>
      <c r="T151" s="2">
        <v>3.79</v>
      </c>
      <c r="U151" s="2">
        <v>141.94999999999999</v>
      </c>
      <c r="V151" s="2">
        <v>21.51</v>
      </c>
      <c r="W151" s="2">
        <v>8528.16</v>
      </c>
      <c r="X151" s="2">
        <v>58208</v>
      </c>
      <c r="Y151" s="2">
        <v>95660</v>
      </c>
      <c r="Z151" s="2">
        <v>1.5</v>
      </c>
      <c r="AA151" s="2" t="s">
        <v>45</v>
      </c>
      <c r="AB151" s="2">
        <v>211.4</v>
      </c>
    </row>
    <row r="152" spans="1:28" hidden="1" x14ac:dyDescent="0.3">
      <c r="A152" s="4">
        <v>46164</v>
      </c>
      <c r="B152" s="8" t="s">
        <v>58</v>
      </c>
      <c r="C152" s="8" t="s">
        <v>36</v>
      </c>
      <c r="D152" s="7" t="s">
        <v>46</v>
      </c>
      <c r="E152" s="7" t="s">
        <v>47</v>
      </c>
      <c r="F152" s="13">
        <v>0</v>
      </c>
      <c r="G152" s="59"/>
      <c r="H152" s="6">
        <v>3000</v>
      </c>
      <c r="I152" s="6">
        <f t="shared" si="14"/>
        <v>138.04347826086956</v>
      </c>
      <c r="J152" s="2">
        <v>1.52</v>
      </c>
      <c r="K152" s="2">
        <v>0.92</v>
      </c>
      <c r="L152" s="2">
        <v>0.6</v>
      </c>
      <c r="M152" s="2">
        <v>39.36</v>
      </c>
      <c r="N152" s="2">
        <v>62</v>
      </c>
      <c r="O152" s="56">
        <v>127</v>
      </c>
      <c r="P152" s="2">
        <v>2.0499999999999998</v>
      </c>
      <c r="Q152" s="2">
        <v>3.95</v>
      </c>
      <c r="R152" s="2">
        <v>32.18</v>
      </c>
      <c r="S152" s="2">
        <v>3.79</v>
      </c>
      <c r="T152" s="2">
        <v>6.31</v>
      </c>
      <c r="U152" s="2">
        <v>28.39</v>
      </c>
      <c r="V152" s="2">
        <v>30.72</v>
      </c>
      <c r="W152" s="2">
        <v>7534.58</v>
      </c>
      <c r="X152" s="2">
        <v>93347</v>
      </c>
      <c r="Y152" s="2">
        <v>269245</v>
      </c>
      <c r="Z152" s="2">
        <v>0.2</v>
      </c>
      <c r="AA152" s="2">
        <v>0</v>
      </c>
      <c r="AB152" s="2">
        <v>234</v>
      </c>
    </row>
    <row r="153" spans="1:28" hidden="1" x14ac:dyDescent="0.3">
      <c r="A153" s="4">
        <v>46164</v>
      </c>
      <c r="B153" s="8" t="s">
        <v>58</v>
      </c>
      <c r="C153" s="8" t="s">
        <v>36</v>
      </c>
      <c r="D153" s="7" t="s">
        <v>50</v>
      </c>
      <c r="E153" s="7" t="s">
        <v>47</v>
      </c>
      <c r="F153" s="13">
        <v>0</v>
      </c>
      <c r="G153" s="59"/>
      <c r="H153" s="6">
        <v>3000</v>
      </c>
      <c r="I153" s="6">
        <f t="shared" si="14"/>
        <v>225.0351617440225</v>
      </c>
      <c r="J153" s="2">
        <v>8.26</v>
      </c>
      <c r="K153" s="2">
        <v>7.11</v>
      </c>
      <c r="L153" s="2">
        <v>1.1499999999999999</v>
      </c>
      <c r="M153" s="2">
        <v>13.93</v>
      </c>
      <c r="N153" s="2">
        <v>783</v>
      </c>
      <c r="O153" s="56">
        <v>1600</v>
      </c>
      <c r="P153" s="2">
        <v>2.04</v>
      </c>
      <c r="Q153" s="2">
        <v>10.37</v>
      </c>
      <c r="R153" s="2">
        <v>154.26</v>
      </c>
      <c r="S153" s="2">
        <v>4.26</v>
      </c>
      <c r="T153" s="2">
        <v>3.7</v>
      </c>
      <c r="U153" s="2">
        <v>150</v>
      </c>
      <c r="V153" s="2">
        <v>21.11</v>
      </c>
      <c r="W153" s="2">
        <v>2054.6999999999998</v>
      </c>
      <c r="X153" s="2">
        <v>121604</v>
      </c>
      <c r="Y153" s="2">
        <v>226427</v>
      </c>
      <c r="Z153" s="2">
        <v>1.7</v>
      </c>
      <c r="AA153" s="2">
        <v>0</v>
      </c>
      <c r="AB153" s="2">
        <v>283.10000000000002</v>
      </c>
    </row>
    <row r="154" spans="1:28" hidden="1" x14ac:dyDescent="0.3">
      <c r="A154" s="4">
        <v>46164</v>
      </c>
      <c r="B154" s="8" t="s">
        <v>58</v>
      </c>
      <c r="C154" s="8" t="s">
        <v>36</v>
      </c>
      <c r="D154" s="7" t="s">
        <v>49</v>
      </c>
      <c r="E154" s="7" t="s">
        <v>47</v>
      </c>
      <c r="F154" s="13">
        <v>0</v>
      </c>
      <c r="G154" s="59"/>
      <c r="H154" s="6">
        <v>3000</v>
      </c>
      <c r="I154" s="6">
        <f t="shared" si="14"/>
        <v>391.1764705882353</v>
      </c>
      <c r="J154" s="2">
        <v>8.35</v>
      </c>
      <c r="K154" s="2">
        <v>6.8</v>
      </c>
      <c r="L154" s="2">
        <v>1.55</v>
      </c>
      <c r="M154" s="2">
        <v>18.559999999999999</v>
      </c>
      <c r="N154" s="2">
        <v>807</v>
      </c>
      <c r="O154" s="56">
        <v>2660</v>
      </c>
      <c r="P154" s="2">
        <v>3.3</v>
      </c>
      <c r="Q154" s="2">
        <v>9.69</v>
      </c>
      <c r="R154" s="2">
        <v>274.44</v>
      </c>
      <c r="S154" s="2">
        <v>6.15</v>
      </c>
      <c r="T154" s="2">
        <v>3.97</v>
      </c>
      <c r="U154" s="2">
        <v>268.29000000000002</v>
      </c>
      <c r="V154" s="2">
        <v>39.450000000000003</v>
      </c>
      <c r="W154" s="2">
        <v>1575.13</v>
      </c>
      <c r="X154" s="2">
        <v>149287</v>
      </c>
      <c r="Y154" s="2">
        <v>508067</v>
      </c>
      <c r="Z154" s="2">
        <v>0</v>
      </c>
      <c r="AA154" s="2">
        <v>0</v>
      </c>
      <c r="AB154" s="2">
        <v>4.5</v>
      </c>
    </row>
    <row r="155" spans="1:28" hidden="1" x14ac:dyDescent="0.3">
      <c r="A155" s="4">
        <v>46164</v>
      </c>
      <c r="B155" s="8" t="s">
        <v>58</v>
      </c>
      <c r="C155" s="8" t="s">
        <v>36</v>
      </c>
      <c r="D155" s="7" t="s">
        <v>52</v>
      </c>
      <c r="E155" s="7" t="s">
        <v>47</v>
      </c>
      <c r="F155" s="13">
        <v>0</v>
      </c>
      <c r="G155" s="59"/>
      <c r="H155" s="6">
        <v>3000</v>
      </c>
      <c r="I155" s="6">
        <f t="shared" si="14"/>
        <v>83.932853717026376</v>
      </c>
      <c r="J155" s="2">
        <v>5.07</v>
      </c>
      <c r="K155" s="2">
        <v>4.17</v>
      </c>
      <c r="L155" s="2">
        <v>0.9</v>
      </c>
      <c r="M155" s="2">
        <v>17.77</v>
      </c>
      <c r="N155" s="2">
        <v>320</v>
      </c>
      <c r="O155" s="56">
        <v>350</v>
      </c>
      <c r="P155" s="2">
        <v>1.0900000000000001</v>
      </c>
      <c r="Q155" s="2">
        <v>3.85</v>
      </c>
      <c r="R155" s="2">
        <v>90.85</v>
      </c>
      <c r="S155" s="2">
        <v>3.31</v>
      </c>
      <c r="T155" s="2">
        <v>3.68</v>
      </c>
      <c r="U155" s="2">
        <v>87.54</v>
      </c>
      <c r="V155" s="2">
        <v>21.02</v>
      </c>
      <c r="W155" s="2">
        <v>510.8</v>
      </c>
      <c r="X155" s="2">
        <v>44874</v>
      </c>
      <c r="Y155" s="2">
        <v>89186</v>
      </c>
      <c r="Z155" s="2">
        <v>0.5</v>
      </c>
      <c r="AA155" s="2">
        <v>0</v>
      </c>
      <c r="AB155" s="2">
        <v>34.1</v>
      </c>
    </row>
    <row r="156" spans="1:28" hidden="1" x14ac:dyDescent="0.3">
      <c r="A156" s="14">
        <v>46164</v>
      </c>
      <c r="B156" s="14" t="s">
        <v>58</v>
      </c>
      <c r="C156" s="14"/>
      <c r="D156" s="42"/>
      <c r="E156" s="42" t="s">
        <v>47</v>
      </c>
      <c r="F156" s="43">
        <v>0</v>
      </c>
      <c r="G156" s="60"/>
      <c r="H156" s="44">
        <v>0</v>
      </c>
      <c r="I156" s="44"/>
      <c r="J156" s="42"/>
      <c r="K156" s="42"/>
      <c r="L156" s="42"/>
      <c r="M156" s="42"/>
      <c r="N156" s="42"/>
      <c r="O156" s="56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spans="1:28" hidden="1" x14ac:dyDescent="0.3">
      <c r="A157" s="4">
        <v>46165</v>
      </c>
      <c r="B157" s="8" t="s">
        <v>58</v>
      </c>
      <c r="C157" s="8" t="s">
        <v>36</v>
      </c>
      <c r="D157" s="7" t="s">
        <v>39</v>
      </c>
      <c r="E157" s="7" t="s">
        <v>61</v>
      </c>
      <c r="F157" s="13">
        <v>0</v>
      </c>
      <c r="G157" s="59"/>
      <c r="H157" s="6">
        <v>2500</v>
      </c>
      <c r="I157" s="6">
        <f t="shared" ref="I157:I163" si="15">IFERROR(O157/K157,)</f>
        <v>179.10112359550561</v>
      </c>
      <c r="J157" s="2">
        <v>6.1</v>
      </c>
      <c r="K157" s="2">
        <v>4.45</v>
      </c>
      <c r="L157" s="2">
        <v>1.65</v>
      </c>
      <c r="M157" s="2">
        <v>27.06</v>
      </c>
      <c r="N157" s="2">
        <v>413</v>
      </c>
      <c r="O157" s="56">
        <v>797</v>
      </c>
      <c r="P157" s="2">
        <v>1.93</v>
      </c>
      <c r="Q157" s="2">
        <v>8.3800000000000008</v>
      </c>
      <c r="R157" s="2">
        <v>95.11</v>
      </c>
      <c r="S157" s="2">
        <v>6.15</v>
      </c>
      <c r="T157" s="2">
        <v>3.73</v>
      </c>
      <c r="U157" s="2">
        <v>88.96</v>
      </c>
      <c r="V157" s="2">
        <v>20</v>
      </c>
      <c r="W157" s="2">
        <v>8958.58</v>
      </c>
      <c r="X157" s="2">
        <v>60886</v>
      </c>
      <c r="Y157" s="2">
        <v>86031</v>
      </c>
      <c r="Z157" s="2">
        <v>2</v>
      </c>
      <c r="AA157" s="2">
        <v>0</v>
      </c>
      <c r="AB157" s="2">
        <v>270</v>
      </c>
    </row>
    <row r="158" spans="1:28" hidden="1" x14ac:dyDescent="0.3">
      <c r="A158" s="4">
        <v>46165</v>
      </c>
      <c r="B158" s="8" t="s">
        <v>58</v>
      </c>
      <c r="C158" s="8" t="s">
        <v>36</v>
      </c>
      <c r="D158" s="7" t="s">
        <v>46</v>
      </c>
      <c r="E158" s="7" t="s">
        <v>47</v>
      </c>
      <c r="F158" s="13">
        <v>0</v>
      </c>
      <c r="G158" s="59"/>
      <c r="H158" s="6">
        <v>3000</v>
      </c>
      <c r="I158" s="6">
        <f t="shared" si="15"/>
        <v>207.98969072164948</v>
      </c>
      <c r="J158" s="2">
        <v>5.83</v>
      </c>
      <c r="K158" s="2">
        <v>3.88</v>
      </c>
      <c r="L158" s="2">
        <v>1.95</v>
      </c>
      <c r="M158" s="2">
        <v>33.42</v>
      </c>
      <c r="N158" s="2">
        <v>318</v>
      </c>
      <c r="O158" s="56">
        <v>807</v>
      </c>
      <c r="P158" s="2">
        <v>2.54</v>
      </c>
      <c r="Q158" s="2">
        <v>6.16</v>
      </c>
      <c r="R158" s="2">
        <v>131.07</v>
      </c>
      <c r="S158" s="2">
        <v>13.25</v>
      </c>
      <c r="T158" s="2">
        <v>6.79</v>
      </c>
      <c r="U158" s="2">
        <v>117.82</v>
      </c>
      <c r="V158" s="2">
        <v>30.33</v>
      </c>
      <c r="W158" s="2">
        <v>7540.42</v>
      </c>
      <c r="X158" s="2">
        <v>93665</v>
      </c>
      <c r="Y158" s="2">
        <v>270052</v>
      </c>
      <c r="Z158" s="2">
        <v>0.3</v>
      </c>
      <c r="AA158" s="2">
        <v>0</v>
      </c>
      <c r="AB158" s="2">
        <v>234.3</v>
      </c>
    </row>
    <row r="159" spans="1:28" x14ac:dyDescent="0.3">
      <c r="A159" s="4">
        <v>46165</v>
      </c>
      <c r="B159" s="8" t="s">
        <v>58</v>
      </c>
      <c r="C159" s="8" t="s">
        <v>36</v>
      </c>
      <c r="D159" s="7" t="s">
        <v>48</v>
      </c>
      <c r="E159" s="7" t="s">
        <v>38</v>
      </c>
      <c r="F159" s="13">
        <v>1811</v>
      </c>
      <c r="G159" s="59"/>
      <c r="H159" s="6">
        <f>24000/8</f>
        <v>3000</v>
      </c>
      <c r="I159" s="6">
        <f t="shared" si="15"/>
        <v>393.55638166047089</v>
      </c>
      <c r="J159" s="2">
        <v>9.32</v>
      </c>
      <c r="K159" s="2">
        <v>8.07</v>
      </c>
      <c r="L159" s="2">
        <v>1.25</v>
      </c>
      <c r="M159" s="2">
        <v>13.41</v>
      </c>
      <c r="N159" s="2">
        <v>805</v>
      </c>
      <c r="O159" s="77">
        <v>3176</v>
      </c>
      <c r="P159" s="2">
        <v>3.95</v>
      </c>
      <c r="Q159" s="2">
        <v>10.41</v>
      </c>
      <c r="R159" s="2">
        <v>305.2</v>
      </c>
      <c r="S159" s="2">
        <v>6.62</v>
      </c>
      <c r="T159" s="2">
        <v>5.3</v>
      </c>
      <c r="U159" s="2">
        <v>298.57</v>
      </c>
      <c r="V159" s="2">
        <v>36.99</v>
      </c>
      <c r="W159" s="2">
        <v>6209.95</v>
      </c>
      <c r="X159" s="2">
        <v>383145</v>
      </c>
      <c r="Y159" s="2">
        <v>1342179</v>
      </c>
      <c r="Z159" s="2">
        <v>0.2</v>
      </c>
      <c r="AA159" s="2">
        <v>0</v>
      </c>
      <c r="AB159" s="2">
        <v>44.3</v>
      </c>
    </row>
    <row r="160" spans="1:28" hidden="1" x14ac:dyDescent="0.3">
      <c r="A160" s="4">
        <v>46165</v>
      </c>
      <c r="B160" s="8" t="s">
        <v>58</v>
      </c>
      <c r="C160" s="8" t="s">
        <v>36</v>
      </c>
      <c r="D160" s="7" t="s">
        <v>43</v>
      </c>
      <c r="E160" s="7" t="s">
        <v>47</v>
      </c>
      <c r="F160" s="13">
        <v>0</v>
      </c>
      <c r="G160" s="59" t="s">
        <v>60</v>
      </c>
      <c r="H160" s="6">
        <v>3000</v>
      </c>
      <c r="I160" s="6">
        <f t="shared" si="15"/>
        <v>336.70033670033666</v>
      </c>
      <c r="J160" s="2">
        <v>7.09</v>
      </c>
      <c r="K160" s="2">
        <v>5.94</v>
      </c>
      <c r="L160" s="2">
        <v>1.1499999999999999</v>
      </c>
      <c r="M160" s="2">
        <v>16.21</v>
      </c>
      <c r="N160" s="6"/>
      <c r="O160" s="78">
        <f>80*25</f>
        <v>2000</v>
      </c>
      <c r="P160" s="2" t="s">
        <v>45</v>
      </c>
      <c r="Q160" s="2">
        <v>0</v>
      </c>
      <c r="R160" s="2">
        <v>132.02000000000001</v>
      </c>
      <c r="S160" s="2">
        <v>4.26</v>
      </c>
      <c r="T160" s="2">
        <v>3.7</v>
      </c>
      <c r="U160" s="2">
        <v>127.76</v>
      </c>
      <c r="V160" s="2">
        <v>21.5</v>
      </c>
      <c r="W160" s="2">
        <v>8535.25</v>
      </c>
      <c r="X160" s="2">
        <v>58208</v>
      </c>
      <c r="Y160" s="2">
        <v>95660</v>
      </c>
      <c r="Z160" s="2">
        <v>0.9</v>
      </c>
      <c r="AA160" s="2" t="s">
        <v>45</v>
      </c>
      <c r="AB160" s="2">
        <v>212.3</v>
      </c>
    </row>
    <row r="161" spans="1:28" hidden="1" x14ac:dyDescent="0.3">
      <c r="A161" s="4">
        <v>46165</v>
      </c>
      <c r="B161" s="8" t="s">
        <v>58</v>
      </c>
      <c r="C161" s="8" t="s">
        <v>36</v>
      </c>
      <c r="D161" s="7" t="s">
        <v>50</v>
      </c>
      <c r="E161" s="7" t="s">
        <v>47</v>
      </c>
      <c r="F161" s="13">
        <v>0</v>
      </c>
      <c r="G161" s="59"/>
      <c r="H161" s="6">
        <v>3000</v>
      </c>
      <c r="I161" s="6">
        <f t="shared" si="15"/>
        <v>266.39004149377593</v>
      </c>
      <c r="J161" s="2">
        <v>6.22</v>
      </c>
      <c r="K161" s="2">
        <v>4.82</v>
      </c>
      <c r="L161" s="2">
        <v>1.4</v>
      </c>
      <c r="M161" s="2">
        <v>22.51</v>
      </c>
      <c r="N161" s="2">
        <v>587</v>
      </c>
      <c r="O161" s="56">
        <v>1284</v>
      </c>
      <c r="P161" s="2">
        <v>2.19</v>
      </c>
      <c r="Q161" s="2">
        <v>12.39</v>
      </c>
      <c r="R161" s="2">
        <v>103.63</v>
      </c>
      <c r="S161" s="2">
        <v>6.15</v>
      </c>
      <c r="T161" s="2">
        <v>4.3899999999999997</v>
      </c>
      <c r="U161" s="2">
        <v>97.47</v>
      </c>
      <c r="V161" s="2">
        <v>20.23</v>
      </c>
      <c r="W161" s="2">
        <v>2060.92</v>
      </c>
      <c r="X161" s="2">
        <v>122191</v>
      </c>
      <c r="Y161" s="2">
        <v>227711</v>
      </c>
      <c r="Z161" s="2">
        <v>0.4</v>
      </c>
      <c r="AA161" s="2">
        <v>0</v>
      </c>
      <c r="AB161" s="2">
        <v>283.5</v>
      </c>
    </row>
    <row r="162" spans="1:28" hidden="1" x14ac:dyDescent="0.3">
      <c r="A162" s="4">
        <v>46165</v>
      </c>
      <c r="B162" s="8" t="s">
        <v>58</v>
      </c>
      <c r="C162" s="8" t="s">
        <v>36</v>
      </c>
      <c r="D162" s="7" t="s">
        <v>49</v>
      </c>
      <c r="E162" s="7" t="s">
        <v>47</v>
      </c>
      <c r="F162" s="13">
        <v>0</v>
      </c>
      <c r="G162" s="59"/>
      <c r="H162" s="6">
        <v>3000</v>
      </c>
      <c r="I162" s="6">
        <f t="shared" si="15"/>
        <v>450.75757575757575</v>
      </c>
      <c r="J162" s="2">
        <v>6.28</v>
      </c>
      <c r="K162" s="2">
        <v>5.28</v>
      </c>
      <c r="L162" s="2">
        <v>1</v>
      </c>
      <c r="M162" s="2">
        <v>15.92</v>
      </c>
      <c r="N162" s="2">
        <v>632</v>
      </c>
      <c r="O162" s="56">
        <v>2380</v>
      </c>
      <c r="P162" s="2">
        <v>3.77</v>
      </c>
      <c r="Q162" s="2">
        <v>13.06</v>
      </c>
      <c r="R162" s="2">
        <v>182.17</v>
      </c>
      <c r="S162" s="2">
        <v>5.2</v>
      </c>
      <c r="T162" s="2">
        <v>5.2</v>
      </c>
      <c r="U162" s="2">
        <v>176.97</v>
      </c>
      <c r="V162" s="2">
        <v>33.51</v>
      </c>
      <c r="W162" s="2">
        <v>1581.41</v>
      </c>
      <c r="X162" s="2">
        <v>149919</v>
      </c>
      <c r="Y162" s="2">
        <v>510447</v>
      </c>
      <c r="Z162" s="2">
        <v>0</v>
      </c>
      <c r="AA162" s="2">
        <v>0</v>
      </c>
      <c r="AB162" s="2">
        <v>4.5</v>
      </c>
    </row>
    <row r="163" spans="1:28" hidden="1" x14ac:dyDescent="0.3">
      <c r="A163" s="4">
        <v>46165</v>
      </c>
      <c r="B163" s="8" t="s">
        <v>58</v>
      </c>
      <c r="C163" s="8" t="s">
        <v>36</v>
      </c>
      <c r="D163" s="7" t="s">
        <v>52</v>
      </c>
      <c r="E163" s="7" t="s">
        <v>47</v>
      </c>
      <c r="F163" s="13">
        <v>0</v>
      </c>
      <c r="G163" s="59"/>
      <c r="H163" s="6">
        <v>3000</v>
      </c>
      <c r="I163" s="6">
        <f t="shared" si="15"/>
        <v>273.65853658536588</v>
      </c>
      <c r="J163" s="2">
        <v>6.1</v>
      </c>
      <c r="K163" s="2">
        <v>4.0999999999999996</v>
      </c>
      <c r="L163" s="2">
        <v>2</v>
      </c>
      <c r="M163" s="2">
        <v>32.81</v>
      </c>
      <c r="N163" s="2">
        <v>563</v>
      </c>
      <c r="O163" s="56">
        <v>1122</v>
      </c>
      <c r="P163" s="2">
        <v>1.99</v>
      </c>
      <c r="Q163" s="2">
        <v>11.86</v>
      </c>
      <c r="R163" s="2">
        <v>94.64</v>
      </c>
      <c r="S163" s="2">
        <v>7.57</v>
      </c>
      <c r="T163" s="2">
        <v>3.79</v>
      </c>
      <c r="U163" s="2">
        <v>87.06</v>
      </c>
      <c r="V163" s="2">
        <v>21.25</v>
      </c>
      <c r="W163" s="2">
        <v>516.9</v>
      </c>
      <c r="X163" s="2">
        <v>45437</v>
      </c>
      <c r="Y163" s="2">
        <v>90308</v>
      </c>
      <c r="Z163" s="2">
        <v>0.5</v>
      </c>
      <c r="AA163" s="2">
        <v>0</v>
      </c>
      <c r="AB163" s="2">
        <v>34.6</v>
      </c>
    </row>
    <row r="164" spans="1:28" hidden="1" x14ac:dyDescent="0.3">
      <c r="A164" s="14">
        <v>46165</v>
      </c>
      <c r="B164" s="14" t="s">
        <v>58</v>
      </c>
      <c r="C164" s="14"/>
      <c r="D164" s="42"/>
      <c r="E164" s="42" t="s">
        <v>47</v>
      </c>
      <c r="F164" s="43">
        <v>0</v>
      </c>
      <c r="G164" s="60"/>
      <c r="H164" s="44"/>
      <c r="I164" s="44"/>
      <c r="J164" s="42"/>
      <c r="K164" s="42"/>
      <c r="L164" s="42"/>
      <c r="M164" s="42"/>
      <c r="N164" s="42"/>
      <c r="O164" s="56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spans="1:28" hidden="1" x14ac:dyDescent="0.3">
      <c r="A165" s="4">
        <v>46166</v>
      </c>
      <c r="B165" s="8" t="s">
        <v>55</v>
      </c>
      <c r="C165" s="8" t="s">
        <v>56</v>
      </c>
      <c r="D165" s="7" t="s">
        <v>39</v>
      </c>
      <c r="E165" s="7" t="s">
        <v>61</v>
      </c>
      <c r="F165" s="13">
        <v>0</v>
      </c>
      <c r="G165" s="59"/>
      <c r="H165" s="6" t="s">
        <v>42</v>
      </c>
      <c r="I165" s="6">
        <f>IFERROR(O165/K165,)</f>
        <v>0</v>
      </c>
      <c r="J165" s="2">
        <v>0</v>
      </c>
      <c r="K165" s="2">
        <v>0</v>
      </c>
      <c r="L165" s="2">
        <v>0</v>
      </c>
      <c r="M165" s="2" t="s">
        <v>45</v>
      </c>
      <c r="N165" s="2">
        <v>0</v>
      </c>
      <c r="O165" s="56">
        <v>0</v>
      </c>
      <c r="P165" s="2" t="s">
        <v>45</v>
      </c>
      <c r="Q165" s="2" t="s">
        <v>45</v>
      </c>
      <c r="R165" s="2">
        <v>0</v>
      </c>
      <c r="S165" s="2">
        <v>0</v>
      </c>
      <c r="T165" s="2" t="s">
        <v>45</v>
      </c>
      <c r="U165" s="2">
        <v>0</v>
      </c>
      <c r="V165" s="2" t="s">
        <v>45</v>
      </c>
      <c r="W165" s="2">
        <v>8958.58</v>
      </c>
      <c r="X165" s="2">
        <v>60886</v>
      </c>
      <c r="Y165" s="2">
        <v>86031</v>
      </c>
      <c r="Z165" s="2">
        <v>0</v>
      </c>
      <c r="AA165" s="2" t="s">
        <v>45</v>
      </c>
      <c r="AB165" s="2">
        <v>270</v>
      </c>
    </row>
    <row r="166" spans="1:28" hidden="1" x14ac:dyDescent="0.3">
      <c r="A166" s="4">
        <v>46166</v>
      </c>
      <c r="B166" s="8" t="s">
        <v>55</v>
      </c>
      <c r="C166" s="8" t="s">
        <v>56</v>
      </c>
      <c r="D166" s="7" t="s">
        <v>46</v>
      </c>
      <c r="E166" s="7" t="s">
        <v>47</v>
      </c>
      <c r="F166" s="13">
        <v>0</v>
      </c>
      <c r="G166" s="59"/>
      <c r="H166" s="6" t="s">
        <v>42</v>
      </c>
      <c r="I166" s="6">
        <f>IFERROR(O166/K166,)</f>
        <v>0</v>
      </c>
      <c r="J166" s="2">
        <v>0</v>
      </c>
      <c r="K166" s="2">
        <v>0</v>
      </c>
      <c r="L166" s="2">
        <v>0</v>
      </c>
      <c r="M166" s="2" t="s">
        <v>45</v>
      </c>
      <c r="N166" s="2">
        <v>0</v>
      </c>
      <c r="O166" s="56">
        <v>0</v>
      </c>
      <c r="P166" s="2" t="s">
        <v>45</v>
      </c>
      <c r="Q166" s="2" t="s">
        <v>45</v>
      </c>
      <c r="R166" s="2">
        <v>0</v>
      </c>
      <c r="S166" s="2">
        <v>0</v>
      </c>
      <c r="T166" s="2" t="s">
        <v>45</v>
      </c>
      <c r="U166" s="2">
        <v>0</v>
      </c>
      <c r="V166" s="2" t="s">
        <v>45</v>
      </c>
      <c r="W166" s="2">
        <v>7540.42</v>
      </c>
      <c r="X166" s="2">
        <v>93665</v>
      </c>
      <c r="Y166" s="2">
        <v>270052</v>
      </c>
      <c r="Z166" s="2">
        <v>0</v>
      </c>
      <c r="AA166" s="2" t="s">
        <v>45</v>
      </c>
      <c r="AB166" s="2">
        <v>234.3</v>
      </c>
    </row>
    <row r="167" spans="1:28" x14ac:dyDescent="0.3">
      <c r="A167" s="4">
        <v>46166</v>
      </c>
      <c r="B167" s="8" t="s">
        <v>58</v>
      </c>
      <c r="C167" s="8" t="s">
        <v>36</v>
      </c>
      <c r="D167" s="7" t="s">
        <v>48</v>
      </c>
      <c r="E167" s="7" t="s">
        <v>38</v>
      </c>
      <c r="F167" s="13">
        <v>2329</v>
      </c>
      <c r="G167" s="59"/>
      <c r="H167" s="6">
        <f>24000/8</f>
        <v>3000</v>
      </c>
      <c r="I167" s="6">
        <f>IFERROR(O167/K167,)</f>
        <v>430.33707865168537</v>
      </c>
      <c r="J167" s="2">
        <v>8.6199999999999992</v>
      </c>
      <c r="K167" s="2">
        <v>7.12</v>
      </c>
      <c r="L167" s="2">
        <v>1.5</v>
      </c>
      <c r="M167" s="2">
        <v>17.399999999999999</v>
      </c>
      <c r="N167" s="2">
        <v>779</v>
      </c>
      <c r="O167" s="77">
        <v>3064</v>
      </c>
      <c r="P167" s="2">
        <v>3.93</v>
      </c>
      <c r="Q167" s="2">
        <v>11.28</v>
      </c>
      <c r="R167" s="2">
        <v>271.60000000000002</v>
      </c>
      <c r="S167" s="2">
        <v>8.52</v>
      </c>
      <c r="T167" s="2">
        <v>5.68</v>
      </c>
      <c r="U167" s="2">
        <v>263.08999999999997</v>
      </c>
      <c r="V167" s="2">
        <v>36.93</v>
      </c>
      <c r="W167" s="2">
        <v>6218.57</v>
      </c>
      <c r="X167" s="2">
        <v>383924</v>
      </c>
      <c r="Y167" s="2">
        <v>1345243</v>
      </c>
      <c r="Z167" s="2">
        <v>0.1</v>
      </c>
      <c r="AA167" s="2">
        <v>0</v>
      </c>
      <c r="AB167" s="2">
        <v>44.4</v>
      </c>
    </row>
    <row r="168" spans="1:28" hidden="1" x14ac:dyDescent="0.3">
      <c r="A168" s="4">
        <v>46166</v>
      </c>
      <c r="B168" s="8" t="s">
        <v>55</v>
      </c>
      <c r="C168" s="8" t="s">
        <v>56</v>
      </c>
      <c r="D168" s="7" t="s">
        <v>43</v>
      </c>
      <c r="E168" s="7" t="s">
        <v>47</v>
      </c>
      <c r="F168" s="13">
        <v>0</v>
      </c>
      <c r="G168" s="59" t="s">
        <v>60</v>
      </c>
      <c r="H168" s="6" t="s">
        <v>42</v>
      </c>
      <c r="I168" s="6">
        <f>IFERROR(O168/K168,)</f>
        <v>0</v>
      </c>
      <c r="J168" s="2">
        <v>0</v>
      </c>
      <c r="K168" s="2">
        <v>0</v>
      </c>
      <c r="L168" s="2">
        <v>0</v>
      </c>
      <c r="M168" s="2" t="s">
        <v>45</v>
      </c>
      <c r="N168" s="2">
        <v>0</v>
      </c>
      <c r="O168" s="56">
        <v>0</v>
      </c>
      <c r="P168" s="2" t="s">
        <v>45</v>
      </c>
      <c r="Q168" s="2" t="s">
        <v>45</v>
      </c>
      <c r="R168" s="2">
        <v>0</v>
      </c>
      <c r="S168" s="2">
        <v>0</v>
      </c>
      <c r="T168" s="2" t="s">
        <v>45</v>
      </c>
      <c r="U168" s="2">
        <v>0</v>
      </c>
      <c r="V168" s="2" t="s">
        <v>45</v>
      </c>
      <c r="W168" s="2">
        <v>8535.25</v>
      </c>
      <c r="X168" s="2">
        <v>58208</v>
      </c>
      <c r="Y168" s="2">
        <v>95660</v>
      </c>
      <c r="Z168" s="2">
        <v>0</v>
      </c>
      <c r="AA168" s="2" t="s">
        <v>45</v>
      </c>
      <c r="AB168" s="2">
        <v>212.3</v>
      </c>
    </row>
    <row r="169" spans="1:28" hidden="1" x14ac:dyDescent="0.3">
      <c r="A169" s="4">
        <v>46166</v>
      </c>
      <c r="B169" s="8" t="s">
        <v>55</v>
      </c>
      <c r="C169" s="8" t="s">
        <v>56</v>
      </c>
      <c r="D169" s="7" t="s">
        <v>50</v>
      </c>
      <c r="E169" s="7" t="s">
        <v>47</v>
      </c>
      <c r="F169" s="13">
        <v>0</v>
      </c>
      <c r="G169" s="59"/>
      <c r="H169" s="6" t="s">
        <v>42</v>
      </c>
      <c r="I169" s="6">
        <v>0</v>
      </c>
      <c r="J169" s="2">
        <v>0.42</v>
      </c>
      <c r="K169" s="2">
        <v>0.37</v>
      </c>
      <c r="L169" s="2">
        <v>0.05</v>
      </c>
      <c r="M169" s="2">
        <v>12.03</v>
      </c>
      <c r="N169" s="2">
        <v>35</v>
      </c>
      <c r="O169" s="56">
        <v>0</v>
      </c>
      <c r="P169" s="2">
        <v>1.83</v>
      </c>
      <c r="Q169" s="2">
        <v>7.12</v>
      </c>
      <c r="R169" s="2">
        <v>8.99</v>
      </c>
      <c r="S169" s="2">
        <v>0</v>
      </c>
      <c r="T169" s="2">
        <v>0</v>
      </c>
      <c r="U169" s="2">
        <v>8.99</v>
      </c>
      <c r="V169" s="2">
        <v>24.58</v>
      </c>
      <c r="W169" s="2">
        <v>2061.33</v>
      </c>
      <c r="X169" s="2">
        <v>122226</v>
      </c>
      <c r="Y169" s="2">
        <v>227775</v>
      </c>
      <c r="Z169" s="2">
        <v>0</v>
      </c>
      <c r="AA169" s="2">
        <v>0</v>
      </c>
      <c r="AB169" s="2">
        <v>283.5</v>
      </c>
    </row>
    <row r="170" spans="1:28" hidden="1" x14ac:dyDescent="0.3">
      <c r="A170" s="4">
        <v>46166</v>
      </c>
      <c r="B170" s="8" t="s">
        <v>55</v>
      </c>
      <c r="C170" s="8" t="s">
        <v>56</v>
      </c>
      <c r="D170" s="7" t="s">
        <v>49</v>
      </c>
      <c r="E170" s="7" t="s">
        <v>47</v>
      </c>
      <c r="F170" s="13">
        <v>0</v>
      </c>
      <c r="G170" s="59"/>
      <c r="H170" s="6" t="s">
        <v>42</v>
      </c>
      <c r="I170" s="6">
        <f t="shared" ref="I170:I177" si="16">IFERROR(O170/K170,)</f>
        <v>0</v>
      </c>
      <c r="J170" s="2" t="s">
        <v>45</v>
      </c>
      <c r="K170" s="2" t="s">
        <v>45</v>
      </c>
      <c r="L170" s="2" t="s">
        <v>45</v>
      </c>
      <c r="M170" s="2" t="s">
        <v>45</v>
      </c>
      <c r="N170" s="2" t="s">
        <v>45</v>
      </c>
      <c r="O170" s="56" t="s">
        <v>45</v>
      </c>
      <c r="P170" s="2" t="s">
        <v>45</v>
      </c>
      <c r="Q170" s="2" t="s">
        <v>45</v>
      </c>
      <c r="R170" s="2" t="s">
        <v>45</v>
      </c>
      <c r="S170" s="2" t="s">
        <v>45</v>
      </c>
      <c r="T170" s="2" t="s">
        <v>45</v>
      </c>
      <c r="U170" s="2" t="s">
        <v>45</v>
      </c>
      <c r="V170" s="2" t="s">
        <v>45</v>
      </c>
      <c r="W170" s="2" t="s">
        <v>45</v>
      </c>
      <c r="X170" s="2" t="s">
        <v>45</v>
      </c>
      <c r="Y170" s="2" t="s">
        <v>45</v>
      </c>
      <c r="Z170" s="2" t="s">
        <v>45</v>
      </c>
      <c r="AA170" s="2" t="s">
        <v>45</v>
      </c>
      <c r="AB170" s="2" t="s">
        <v>45</v>
      </c>
    </row>
    <row r="171" spans="1:28" hidden="1" x14ac:dyDescent="0.3">
      <c r="A171" s="4">
        <v>46166</v>
      </c>
      <c r="B171" s="8" t="s">
        <v>55</v>
      </c>
      <c r="C171" s="8" t="s">
        <v>56</v>
      </c>
      <c r="D171" s="7" t="s">
        <v>52</v>
      </c>
      <c r="E171" s="7" t="s">
        <v>47</v>
      </c>
      <c r="F171" s="13">
        <v>0</v>
      </c>
      <c r="G171" s="59"/>
      <c r="H171" s="6" t="s">
        <v>42</v>
      </c>
      <c r="I171" s="6">
        <f t="shared" si="16"/>
        <v>0</v>
      </c>
      <c r="J171" s="2">
        <v>0</v>
      </c>
      <c r="K171" s="2">
        <v>0</v>
      </c>
      <c r="L171" s="2">
        <v>0</v>
      </c>
      <c r="M171" s="2" t="s">
        <v>45</v>
      </c>
      <c r="N171" s="2">
        <v>0</v>
      </c>
      <c r="O171" s="56">
        <v>0</v>
      </c>
      <c r="P171" s="2" t="s">
        <v>45</v>
      </c>
      <c r="Q171" s="2" t="s">
        <v>45</v>
      </c>
      <c r="R171" s="2">
        <v>0</v>
      </c>
      <c r="S171" s="2">
        <v>0</v>
      </c>
      <c r="T171" s="2" t="s">
        <v>45</v>
      </c>
      <c r="U171" s="2">
        <v>0</v>
      </c>
      <c r="V171" s="2" t="s">
        <v>45</v>
      </c>
      <c r="W171" s="2">
        <v>516.9</v>
      </c>
      <c r="X171" s="2">
        <v>45437</v>
      </c>
      <c r="Y171" s="2">
        <v>90308</v>
      </c>
      <c r="Z171" s="2">
        <v>0</v>
      </c>
      <c r="AA171" s="2" t="s">
        <v>45</v>
      </c>
      <c r="AB171" s="2">
        <v>34.6</v>
      </c>
    </row>
    <row r="172" spans="1:28" hidden="1" x14ac:dyDescent="0.3">
      <c r="A172" s="4">
        <v>46167</v>
      </c>
      <c r="B172" s="8" t="s">
        <v>62</v>
      </c>
      <c r="C172" s="8" t="s">
        <v>36</v>
      </c>
      <c r="D172" s="7" t="s">
        <v>39</v>
      </c>
      <c r="E172" s="7" t="s">
        <v>47</v>
      </c>
      <c r="F172" s="13">
        <v>0</v>
      </c>
      <c r="G172" s="59"/>
      <c r="H172" s="6">
        <v>3000</v>
      </c>
      <c r="I172" s="6">
        <f t="shared" si="16"/>
        <v>285.2480417754569</v>
      </c>
      <c r="J172" s="2">
        <v>8.16</v>
      </c>
      <c r="K172" s="2">
        <v>7.66</v>
      </c>
      <c r="L172" s="2">
        <v>0.5</v>
      </c>
      <c r="M172" s="2">
        <v>6.13</v>
      </c>
      <c r="N172" s="2">
        <v>1138</v>
      </c>
      <c r="O172" s="56">
        <v>2185</v>
      </c>
      <c r="P172" s="2">
        <v>1.92</v>
      </c>
      <c r="Q172" s="2">
        <v>13.16</v>
      </c>
      <c r="R172" s="2">
        <v>166.08</v>
      </c>
      <c r="S172" s="2">
        <v>1.89</v>
      </c>
      <c r="T172" s="2">
        <v>3.79</v>
      </c>
      <c r="U172" s="2">
        <v>164.19</v>
      </c>
      <c r="V172" s="2">
        <v>21.43</v>
      </c>
      <c r="W172" s="2">
        <v>8966.75</v>
      </c>
      <c r="X172" s="2">
        <v>62024</v>
      </c>
      <c r="Y172" s="2">
        <v>88216</v>
      </c>
      <c r="Z172" s="2">
        <v>1</v>
      </c>
      <c r="AA172" s="2">
        <v>0</v>
      </c>
      <c r="AB172" s="2">
        <v>271</v>
      </c>
    </row>
    <row r="173" spans="1:28" hidden="1" x14ac:dyDescent="0.3">
      <c r="A173" s="4">
        <v>46167</v>
      </c>
      <c r="B173" s="8" t="s">
        <v>62</v>
      </c>
      <c r="C173" s="8" t="s">
        <v>36</v>
      </c>
      <c r="D173" s="7" t="s">
        <v>43</v>
      </c>
      <c r="E173" s="7" t="s">
        <v>47</v>
      </c>
      <c r="F173" s="13">
        <v>0</v>
      </c>
      <c r="G173" s="59"/>
      <c r="H173" s="6">
        <v>3000</v>
      </c>
      <c r="I173" s="6">
        <f t="shared" si="16"/>
        <v>417.6610978520286</v>
      </c>
      <c r="J173" s="2">
        <v>4.99</v>
      </c>
      <c r="K173" s="2">
        <v>4.1900000000000004</v>
      </c>
      <c r="L173" s="2">
        <v>0.8</v>
      </c>
      <c r="M173" s="2"/>
      <c r="N173" s="2"/>
      <c r="O173" s="56">
        <v>1750</v>
      </c>
      <c r="P173" s="2"/>
      <c r="Q173" s="2"/>
      <c r="R173" s="2"/>
      <c r="S173" s="2"/>
      <c r="T173" s="2"/>
      <c r="U173" s="2"/>
      <c r="V173" s="2"/>
      <c r="W173" s="2">
        <v>8540.25</v>
      </c>
      <c r="X173" s="2"/>
      <c r="Y173" s="2"/>
      <c r="Z173" s="2">
        <v>1.6</v>
      </c>
      <c r="AA173" s="2" t="s">
        <v>45</v>
      </c>
      <c r="AB173" s="2">
        <v>213.9</v>
      </c>
    </row>
    <row r="174" spans="1:28" hidden="1" x14ac:dyDescent="0.3">
      <c r="A174" s="4">
        <v>46167</v>
      </c>
      <c r="B174" s="8" t="s">
        <v>62</v>
      </c>
      <c r="C174" s="8" t="s">
        <v>36</v>
      </c>
      <c r="D174" s="7" t="s">
        <v>46</v>
      </c>
      <c r="E174" s="7" t="s">
        <v>61</v>
      </c>
      <c r="F174" s="13">
        <v>0</v>
      </c>
      <c r="G174" s="59"/>
      <c r="H174" s="6"/>
      <c r="I174" s="6">
        <f t="shared" si="16"/>
        <v>144.38502673796791</v>
      </c>
      <c r="J174" s="2">
        <v>8.07</v>
      </c>
      <c r="K174" s="2">
        <v>1.87</v>
      </c>
      <c r="L174" s="2">
        <v>6.2</v>
      </c>
      <c r="M174" s="2">
        <v>76.86</v>
      </c>
      <c r="N174" s="2">
        <v>139</v>
      </c>
      <c r="O174" s="56">
        <v>270</v>
      </c>
      <c r="P174" s="2">
        <v>1.94</v>
      </c>
      <c r="Q174" s="2">
        <v>3.14</v>
      </c>
      <c r="R174" s="2">
        <v>86.12</v>
      </c>
      <c r="S174" s="2">
        <v>29.34</v>
      </c>
      <c r="T174" s="2">
        <v>4.7300000000000004</v>
      </c>
      <c r="U174" s="2">
        <v>56.78</v>
      </c>
      <c r="V174" s="2">
        <v>30.42</v>
      </c>
      <c r="W174" s="2">
        <v>7548.48</v>
      </c>
      <c r="X174" s="2">
        <v>93804</v>
      </c>
      <c r="Y174" s="2">
        <v>270322</v>
      </c>
      <c r="Z174" s="2">
        <v>0.1</v>
      </c>
      <c r="AA174" s="2">
        <v>0</v>
      </c>
      <c r="AB174" s="2">
        <v>234.4</v>
      </c>
    </row>
    <row r="175" spans="1:28" x14ac:dyDescent="0.3">
      <c r="A175" s="4">
        <v>46167</v>
      </c>
      <c r="B175" s="8" t="s">
        <v>62</v>
      </c>
      <c r="C175" s="8" t="s">
        <v>36</v>
      </c>
      <c r="D175" s="7" t="s">
        <v>48</v>
      </c>
      <c r="E175" s="7" t="s">
        <v>38</v>
      </c>
      <c r="F175" s="13">
        <v>2810</v>
      </c>
      <c r="G175" s="59"/>
      <c r="H175" s="6">
        <f>24000/7</f>
        <v>3428.5714285714284</v>
      </c>
      <c r="I175" s="6">
        <f t="shared" si="16"/>
        <v>461.09510086455327</v>
      </c>
      <c r="J175" s="2">
        <v>8.49</v>
      </c>
      <c r="K175" s="2">
        <v>6.94</v>
      </c>
      <c r="L175" s="2">
        <v>1.55</v>
      </c>
      <c r="M175" s="2">
        <v>18.25</v>
      </c>
      <c r="N175" s="2">
        <v>727</v>
      </c>
      <c r="O175" s="77">
        <v>3200</v>
      </c>
      <c r="P175" s="2">
        <v>4.4000000000000004</v>
      </c>
      <c r="Q175" s="2">
        <v>11.99</v>
      </c>
      <c r="R175" s="2">
        <v>266.87</v>
      </c>
      <c r="S175" s="2">
        <v>8.52</v>
      </c>
      <c r="T175" s="2">
        <v>5.49</v>
      </c>
      <c r="U175" s="2">
        <v>258.35000000000002</v>
      </c>
      <c r="V175" s="2">
        <v>37.21</v>
      </c>
      <c r="W175" s="2">
        <v>6227.07</v>
      </c>
      <c r="X175" s="2">
        <v>384651</v>
      </c>
      <c r="Y175" s="2">
        <v>1348443</v>
      </c>
      <c r="Z175" s="2">
        <v>0.1</v>
      </c>
      <c r="AA175" s="2">
        <v>0</v>
      </c>
      <c r="AB175" s="2">
        <v>44.5</v>
      </c>
    </row>
    <row r="176" spans="1:28" hidden="1" x14ac:dyDescent="0.3">
      <c r="A176" s="4">
        <v>46167</v>
      </c>
      <c r="B176" s="8" t="s">
        <v>62</v>
      </c>
      <c r="C176" s="8" t="s">
        <v>36</v>
      </c>
      <c r="D176" s="7" t="s">
        <v>50</v>
      </c>
      <c r="E176" s="7" t="s">
        <v>47</v>
      </c>
      <c r="F176" s="13">
        <v>0</v>
      </c>
      <c r="G176" s="59"/>
      <c r="H176" s="6">
        <f>24000/8</f>
        <v>3000</v>
      </c>
      <c r="I176" s="6">
        <f t="shared" si="16"/>
        <v>262.40310077519376</v>
      </c>
      <c r="J176" s="2">
        <v>8.99</v>
      </c>
      <c r="K176" s="2">
        <v>7.74</v>
      </c>
      <c r="L176" s="2">
        <v>1.25</v>
      </c>
      <c r="M176" s="2">
        <v>13.9</v>
      </c>
      <c r="N176" s="2">
        <v>1005</v>
      </c>
      <c r="O176" s="56">
        <v>2031</v>
      </c>
      <c r="P176" s="2">
        <v>2.02</v>
      </c>
      <c r="Q176" s="2">
        <v>12.09</v>
      </c>
      <c r="R176" s="2">
        <v>167.98</v>
      </c>
      <c r="S176" s="2">
        <v>4.7300000000000004</v>
      </c>
      <c r="T176" s="2">
        <v>3.79</v>
      </c>
      <c r="U176" s="2">
        <v>163.25</v>
      </c>
      <c r="V176" s="2">
        <v>21.08</v>
      </c>
      <c r="W176" s="2">
        <v>2070.33</v>
      </c>
      <c r="X176" s="2">
        <v>123231</v>
      </c>
      <c r="Y176" s="2">
        <v>229806</v>
      </c>
      <c r="Z176" s="2">
        <v>1.8</v>
      </c>
      <c r="AA176" s="2">
        <v>0</v>
      </c>
      <c r="AB176" s="2">
        <v>285.3</v>
      </c>
    </row>
    <row r="177" spans="1:28" hidden="1" x14ac:dyDescent="0.3">
      <c r="A177" s="4">
        <v>46167</v>
      </c>
      <c r="B177" s="8" t="s">
        <v>62</v>
      </c>
      <c r="C177" s="8" t="s">
        <v>36</v>
      </c>
      <c r="D177" s="7" t="s">
        <v>49</v>
      </c>
      <c r="E177" s="7" t="s">
        <v>47</v>
      </c>
      <c r="F177" s="13">
        <v>0</v>
      </c>
      <c r="G177" s="59"/>
      <c r="H177" s="6">
        <f>24000/8</f>
        <v>3000</v>
      </c>
      <c r="I177" s="6">
        <f t="shared" si="16"/>
        <v>621.2311557788945</v>
      </c>
      <c r="J177" s="2">
        <v>9.26</v>
      </c>
      <c r="K177" s="2">
        <v>7.96</v>
      </c>
      <c r="L177" s="2">
        <v>1.3</v>
      </c>
      <c r="M177" s="2">
        <v>14.03</v>
      </c>
      <c r="N177" s="2">
        <v>1152</v>
      </c>
      <c r="O177" s="56">
        <v>4945</v>
      </c>
      <c r="P177" s="2">
        <v>4.29</v>
      </c>
      <c r="Q177" s="2">
        <v>14.76</v>
      </c>
      <c r="R177" s="2">
        <v>335.01</v>
      </c>
      <c r="S177" s="2">
        <v>6.15</v>
      </c>
      <c r="T177" s="2">
        <v>4.7300000000000004</v>
      </c>
      <c r="U177" s="2">
        <v>328.86</v>
      </c>
      <c r="V177" s="2">
        <v>41.29</v>
      </c>
      <c r="W177" s="2">
        <v>1590.67</v>
      </c>
      <c r="X177" s="2">
        <v>151140</v>
      </c>
      <c r="Y177" s="2">
        <v>515618</v>
      </c>
      <c r="Z177" s="2">
        <v>0.1</v>
      </c>
      <c r="AA177" s="2">
        <v>0</v>
      </c>
      <c r="AB177" s="2">
        <v>4.5999999999999996</v>
      </c>
    </row>
    <row r="178" spans="1:28" hidden="1" x14ac:dyDescent="0.3">
      <c r="A178" s="14">
        <v>46167</v>
      </c>
      <c r="B178" s="14" t="s">
        <v>62</v>
      </c>
      <c r="C178" s="14"/>
      <c r="D178" s="42"/>
      <c r="E178" s="42" t="s">
        <v>47</v>
      </c>
      <c r="F178" s="43">
        <v>0</v>
      </c>
      <c r="G178" s="60"/>
      <c r="H178" s="44"/>
      <c r="I178" s="44"/>
      <c r="J178" s="42"/>
      <c r="K178" s="42"/>
      <c r="L178" s="42"/>
      <c r="M178" s="42"/>
      <c r="N178" s="42"/>
      <c r="O178" s="56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spans="1:28" hidden="1" x14ac:dyDescent="0.3">
      <c r="A179" s="4">
        <v>46167</v>
      </c>
      <c r="B179" s="8" t="s">
        <v>62</v>
      </c>
      <c r="C179" s="8" t="s">
        <v>36</v>
      </c>
      <c r="D179" s="7" t="s">
        <v>49</v>
      </c>
      <c r="E179" s="7" t="s">
        <v>47</v>
      </c>
      <c r="F179" s="13">
        <v>0</v>
      </c>
      <c r="G179" s="59"/>
      <c r="H179" s="6">
        <f>24000/8</f>
        <v>3000</v>
      </c>
      <c r="I179" s="6">
        <f t="shared" ref="I179:I185" si="17">IFERROR(O179/K179,)</f>
        <v>185.47619047619048</v>
      </c>
      <c r="J179" s="2">
        <v>5.7</v>
      </c>
      <c r="K179" s="2">
        <v>4.2</v>
      </c>
      <c r="L179" s="2">
        <v>1.5</v>
      </c>
      <c r="M179" s="2">
        <v>26.32</v>
      </c>
      <c r="N179" s="2">
        <v>466</v>
      </c>
      <c r="O179" s="56">
        <v>779</v>
      </c>
      <c r="P179" s="2">
        <v>1.67</v>
      </c>
      <c r="Q179" s="2">
        <v>8.6199999999999992</v>
      </c>
      <c r="R179" s="2">
        <v>90.38</v>
      </c>
      <c r="S179" s="2">
        <v>5.68</v>
      </c>
      <c r="T179" s="2">
        <v>3.79</v>
      </c>
      <c r="U179" s="2">
        <v>84.7</v>
      </c>
      <c r="V179" s="2">
        <v>20.18</v>
      </c>
      <c r="W179" s="2">
        <v>522.6</v>
      </c>
      <c r="X179" s="2">
        <v>45903</v>
      </c>
      <c r="Y179" s="2">
        <v>91087</v>
      </c>
      <c r="Z179" s="2">
        <v>0.7</v>
      </c>
      <c r="AA179" s="2">
        <v>0</v>
      </c>
      <c r="AB179" s="2">
        <v>35.299999999999997</v>
      </c>
    </row>
    <row r="180" spans="1:28" hidden="1" x14ac:dyDescent="0.3">
      <c r="A180" s="4">
        <v>46168</v>
      </c>
      <c r="B180" s="8" t="s">
        <v>62</v>
      </c>
      <c r="C180" s="8" t="s">
        <v>36</v>
      </c>
      <c r="D180" s="7" t="s">
        <v>39</v>
      </c>
      <c r="E180" s="7" t="s">
        <v>47</v>
      </c>
      <c r="F180" s="13">
        <v>0</v>
      </c>
      <c r="G180" s="59"/>
      <c r="H180" s="6">
        <v>3000</v>
      </c>
      <c r="I180" s="6">
        <f t="shared" si="17"/>
        <v>268.65869853917661</v>
      </c>
      <c r="J180" s="2">
        <v>8.08</v>
      </c>
      <c r="K180" s="2">
        <v>7.53</v>
      </c>
      <c r="L180" s="2">
        <v>0.55000000000000004</v>
      </c>
      <c r="M180" s="2">
        <v>6.81</v>
      </c>
      <c r="N180" s="2">
        <v>996</v>
      </c>
      <c r="O180" s="56">
        <v>2023</v>
      </c>
      <c r="P180" s="2">
        <v>2.0299999999999998</v>
      </c>
      <c r="Q180" s="2">
        <v>12.39</v>
      </c>
      <c r="R180" s="2">
        <v>163.25</v>
      </c>
      <c r="S180" s="2">
        <v>2.37</v>
      </c>
      <c r="T180" s="2">
        <v>4.3</v>
      </c>
      <c r="U180" s="2">
        <v>160.88</v>
      </c>
      <c r="V180" s="2">
        <v>21.37</v>
      </c>
      <c r="W180" s="2">
        <v>8974.82</v>
      </c>
      <c r="X180" s="2">
        <v>63020</v>
      </c>
      <c r="Y180" s="2">
        <v>90239</v>
      </c>
      <c r="Z180" s="2">
        <v>2.5</v>
      </c>
      <c r="AA180" s="2">
        <v>0</v>
      </c>
      <c r="AB180" s="2">
        <v>273.5</v>
      </c>
    </row>
    <row r="181" spans="1:28" hidden="1" x14ac:dyDescent="0.3">
      <c r="A181" s="4">
        <v>46168</v>
      </c>
      <c r="B181" s="8" t="s">
        <v>62</v>
      </c>
      <c r="C181" s="8" t="s">
        <v>36</v>
      </c>
      <c r="D181" s="7" t="s">
        <v>46</v>
      </c>
      <c r="E181" s="7" t="s">
        <v>61</v>
      </c>
      <c r="F181" s="13">
        <v>0</v>
      </c>
      <c r="G181" s="59"/>
      <c r="H181" s="6"/>
      <c r="I181" s="6">
        <f t="shared" si="17"/>
        <v>136.69724770642202</v>
      </c>
      <c r="J181" s="2">
        <v>2.29</v>
      </c>
      <c r="K181" s="2">
        <v>1.0900000000000001</v>
      </c>
      <c r="L181" s="2">
        <v>1.2</v>
      </c>
      <c r="M181" s="2">
        <v>52.42</v>
      </c>
      <c r="N181" s="2">
        <v>77</v>
      </c>
      <c r="O181" s="56">
        <v>149</v>
      </c>
      <c r="P181" s="2">
        <v>1.94</v>
      </c>
      <c r="Q181" s="2">
        <v>3.7</v>
      </c>
      <c r="R181" s="2">
        <v>40.22</v>
      </c>
      <c r="S181" s="2">
        <v>6.62</v>
      </c>
      <c r="T181" s="2">
        <v>5.52</v>
      </c>
      <c r="U181" s="2">
        <v>33.6</v>
      </c>
      <c r="V181" s="2">
        <v>30.84</v>
      </c>
      <c r="W181" s="2">
        <v>7550.77</v>
      </c>
      <c r="X181" s="2">
        <v>93881</v>
      </c>
      <c r="Y181" s="2">
        <v>270471</v>
      </c>
      <c r="Z181" s="2">
        <v>0.1</v>
      </c>
      <c r="AA181" s="2">
        <v>0</v>
      </c>
      <c r="AB181" s="2">
        <v>234.5</v>
      </c>
    </row>
    <row r="182" spans="1:28" x14ac:dyDescent="0.3">
      <c r="A182" s="4">
        <v>46168</v>
      </c>
      <c r="B182" s="8" t="s">
        <v>62</v>
      </c>
      <c r="C182" s="8" t="s">
        <v>36</v>
      </c>
      <c r="D182" s="7" t="s">
        <v>48</v>
      </c>
      <c r="E182" s="7" t="s">
        <v>38</v>
      </c>
      <c r="F182" s="13">
        <v>2994</v>
      </c>
      <c r="G182" s="59"/>
      <c r="H182" s="6">
        <f>24000/7</f>
        <v>3428.5714285714284</v>
      </c>
      <c r="I182" s="6">
        <f t="shared" si="17"/>
        <v>537.53213367609249</v>
      </c>
      <c r="J182" s="2">
        <v>9.18</v>
      </c>
      <c r="K182" s="2">
        <v>7.78</v>
      </c>
      <c r="L182" s="2">
        <v>1.4</v>
      </c>
      <c r="M182" s="2">
        <v>15.24</v>
      </c>
      <c r="N182" s="2">
        <v>966</v>
      </c>
      <c r="O182" s="77">
        <v>4182</v>
      </c>
      <c r="P182" s="2">
        <v>4.33</v>
      </c>
      <c r="Q182" s="2">
        <v>13.53</v>
      </c>
      <c r="R182" s="2">
        <v>308.98</v>
      </c>
      <c r="S182" s="2">
        <v>7.57</v>
      </c>
      <c r="T182" s="2">
        <v>5.41</v>
      </c>
      <c r="U182" s="2">
        <v>301.41000000000003</v>
      </c>
      <c r="V182" s="2">
        <v>38.72</v>
      </c>
      <c r="W182" s="2">
        <v>6236.25</v>
      </c>
      <c r="X182" s="2">
        <v>385617</v>
      </c>
      <c r="Y182" s="2">
        <v>1352625</v>
      </c>
      <c r="Z182" s="2">
        <v>0.1</v>
      </c>
      <c r="AA182" s="2">
        <v>0</v>
      </c>
      <c r="AB182" s="2">
        <v>44.6</v>
      </c>
    </row>
    <row r="183" spans="1:28" hidden="1" x14ac:dyDescent="0.3">
      <c r="A183" s="4">
        <v>46168</v>
      </c>
      <c r="B183" s="8" t="s">
        <v>62</v>
      </c>
      <c r="C183" s="8" t="s">
        <v>36</v>
      </c>
      <c r="D183" s="7" t="s">
        <v>43</v>
      </c>
      <c r="E183" s="7" t="s">
        <v>47</v>
      </c>
      <c r="F183" s="13">
        <v>0</v>
      </c>
      <c r="G183" s="59"/>
      <c r="H183" s="6">
        <v>3000</v>
      </c>
      <c r="I183" s="6">
        <f t="shared" si="17"/>
        <v>234.58445040214477</v>
      </c>
      <c r="J183" s="2">
        <v>8.06</v>
      </c>
      <c r="K183" s="2">
        <v>7.46</v>
      </c>
      <c r="L183" s="2">
        <v>0.6</v>
      </c>
      <c r="M183" s="2"/>
      <c r="N183" s="2"/>
      <c r="O183" s="56">
        <v>1750</v>
      </c>
      <c r="P183" s="2"/>
      <c r="Q183" s="2"/>
      <c r="R183" s="2"/>
      <c r="S183" s="2"/>
      <c r="T183" s="2"/>
      <c r="U183" s="2"/>
      <c r="V183" s="2"/>
      <c r="W183" s="2">
        <v>8548.2999999999993</v>
      </c>
      <c r="X183" s="2"/>
      <c r="Y183" s="2"/>
      <c r="Z183" s="2">
        <v>1.7</v>
      </c>
      <c r="AA183" s="2" t="s">
        <v>45</v>
      </c>
      <c r="AB183" s="2">
        <v>215.6</v>
      </c>
    </row>
    <row r="184" spans="1:28" hidden="1" x14ac:dyDescent="0.3">
      <c r="A184" s="4">
        <v>46168</v>
      </c>
      <c r="B184" s="8" t="s">
        <v>62</v>
      </c>
      <c r="C184" s="8" t="s">
        <v>36</v>
      </c>
      <c r="D184" s="7" t="s">
        <v>50</v>
      </c>
      <c r="E184" s="7" t="s">
        <v>47</v>
      </c>
      <c r="F184" s="13">
        <v>0</v>
      </c>
      <c r="G184" s="59"/>
      <c r="H184" s="6">
        <f>24000/8</f>
        <v>3000</v>
      </c>
      <c r="I184" s="6">
        <f t="shared" si="17"/>
        <v>100.00000000000001</v>
      </c>
      <c r="J184" s="2">
        <v>5.4</v>
      </c>
      <c r="K184" s="2">
        <v>4.0999999999999996</v>
      </c>
      <c r="L184" s="2">
        <v>1.3</v>
      </c>
      <c r="M184" s="2">
        <v>24.08</v>
      </c>
      <c r="N184" s="2">
        <v>179</v>
      </c>
      <c r="O184" s="56">
        <v>410</v>
      </c>
      <c r="P184" s="2">
        <v>2.29</v>
      </c>
      <c r="Q184" s="2">
        <v>4.58</v>
      </c>
      <c r="R184" s="2">
        <v>89.43</v>
      </c>
      <c r="S184" s="2">
        <v>5.2</v>
      </c>
      <c r="T184" s="2">
        <v>4</v>
      </c>
      <c r="U184" s="2">
        <v>84.23</v>
      </c>
      <c r="V184" s="2">
        <v>20.55</v>
      </c>
      <c r="W184" s="2">
        <v>2075.73</v>
      </c>
      <c r="X184" s="2">
        <v>123410</v>
      </c>
      <c r="Y184" s="2">
        <v>230216</v>
      </c>
      <c r="Z184" s="2">
        <v>0.8</v>
      </c>
      <c r="AA184" s="2">
        <v>0</v>
      </c>
      <c r="AB184" s="2">
        <v>286.10000000000002</v>
      </c>
    </row>
    <row r="185" spans="1:28" hidden="1" x14ac:dyDescent="0.3">
      <c r="A185" s="4">
        <v>46168</v>
      </c>
      <c r="B185" s="8" t="s">
        <v>62</v>
      </c>
      <c r="C185" s="8" t="s">
        <v>36</v>
      </c>
      <c r="D185" s="7" t="s">
        <v>49</v>
      </c>
      <c r="E185" s="7" t="s">
        <v>47</v>
      </c>
      <c r="F185" s="13">
        <v>0</v>
      </c>
      <c r="G185" s="59"/>
      <c r="H185" s="6">
        <f>24000/8</f>
        <v>3000</v>
      </c>
      <c r="I185" s="6">
        <f t="shared" si="17"/>
        <v>632.66563944530049</v>
      </c>
      <c r="J185" s="2">
        <v>7.84</v>
      </c>
      <c r="K185" s="2">
        <v>6.49</v>
      </c>
      <c r="L185" s="2">
        <v>1.35</v>
      </c>
      <c r="M185" s="2">
        <v>17.22</v>
      </c>
      <c r="N185" s="2">
        <v>895</v>
      </c>
      <c r="O185" s="56">
        <v>4106</v>
      </c>
      <c r="P185" s="2">
        <v>4.59</v>
      </c>
      <c r="Q185" s="2">
        <v>15.07</v>
      </c>
      <c r="R185" s="2">
        <v>272.55</v>
      </c>
      <c r="S185" s="2">
        <v>6.15</v>
      </c>
      <c r="T185" s="2">
        <v>4.5599999999999996</v>
      </c>
      <c r="U185" s="2">
        <v>266.39999999999998</v>
      </c>
      <c r="V185" s="2">
        <v>41.06</v>
      </c>
      <c r="W185" s="2">
        <v>1598.51</v>
      </c>
      <c r="X185" s="2">
        <v>152035</v>
      </c>
      <c r="Y185" s="2">
        <v>519724</v>
      </c>
      <c r="Z185" s="2">
        <v>0</v>
      </c>
      <c r="AA185" s="2">
        <v>0</v>
      </c>
      <c r="AB185" s="2">
        <v>4.5999999999999996</v>
      </c>
    </row>
    <row r="186" spans="1:28" hidden="1" x14ac:dyDescent="0.3">
      <c r="A186" s="14">
        <v>46168</v>
      </c>
      <c r="B186" s="14" t="s">
        <v>62</v>
      </c>
      <c r="C186" s="14"/>
      <c r="D186" s="42"/>
      <c r="E186" s="42" t="s">
        <v>47</v>
      </c>
      <c r="F186" s="43">
        <v>0</v>
      </c>
      <c r="G186" s="60"/>
      <c r="H186" s="44"/>
      <c r="I186" s="44"/>
      <c r="J186" s="42"/>
      <c r="K186" s="42"/>
      <c r="L186" s="42"/>
      <c r="M186" s="42"/>
      <c r="N186" s="42"/>
      <c r="O186" s="56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spans="1:28" hidden="1" x14ac:dyDescent="0.3">
      <c r="A187" s="4">
        <v>46168</v>
      </c>
      <c r="B187" s="8" t="s">
        <v>62</v>
      </c>
      <c r="C187" s="8" t="s">
        <v>36</v>
      </c>
      <c r="D187" s="7" t="s">
        <v>49</v>
      </c>
      <c r="E187" s="7" t="s">
        <v>47</v>
      </c>
      <c r="F187" s="13">
        <v>0</v>
      </c>
      <c r="G187" s="59"/>
      <c r="H187" s="6">
        <f>24000/8</f>
        <v>3000</v>
      </c>
      <c r="I187" s="6">
        <f t="shared" ref="I187:I193" si="18">IFERROR(O187/K187,)</f>
        <v>227.63157894736841</v>
      </c>
      <c r="J187" s="2">
        <v>6.72</v>
      </c>
      <c r="K187" s="2">
        <v>5.32</v>
      </c>
      <c r="L187" s="2">
        <v>1.4</v>
      </c>
      <c r="M187" s="2">
        <v>20.84</v>
      </c>
      <c r="N187" s="2">
        <v>648</v>
      </c>
      <c r="O187" s="56">
        <v>1211</v>
      </c>
      <c r="P187" s="2">
        <v>1.87</v>
      </c>
      <c r="Q187" s="2">
        <v>9.69</v>
      </c>
      <c r="R187" s="2">
        <v>124.92</v>
      </c>
      <c r="S187" s="2">
        <v>5.68</v>
      </c>
      <c r="T187" s="2">
        <v>4.0599999999999996</v>
      </c>
      <c r="U187" s="2">
        <v>119.24</v>
      </c>
      <c r="V187" s="2">
        <v>22.42</v>
      </c>
      <c r="W187" s="2">
        <v>529.32000000000005</v>
      </c>
      <c r="X187" s="2">
        <v>46551</v>
      </c>
      <c r="Y187" s="2">
        <v>92298</v>
      </c>
      <c r="Z187" s="2">
        <v>0.9</v>
      </c>
      <c r="AA187" s="2">
        <v>0</v>
      </c>
      <c r="AB187" s="2">
        <v>36.200000000000003</v>
      </c>
    </row>
    <row r="188" spans="1:28" hidden="1" x14ac:dyDescent="0.3">
      <c r="A188" s="4">
        <v>46169</v>
      </c>
      <c r="B188" s="8" t="s">
        <v>62</v>
      </c>
      <c r="C188" s="8" t="s">
        <v>36</v>
      </c>
      <c r="D188" s="7" t="s">
        <v>43</v>
      </c>
      <c r="E188" s="7" t="s">
        <v>61</v>
      </c>
      <c r="F188" s="13">
        <v>0</v>
      </c>
      <c r="G188" s="59"/>
      <c r="H188" s="6"/>
      <c r="I188" s="6">
        <f t="shared" si="18"/>
        <v>0</v>
      </c>
      <c r="J188" s="2">
        <v>6.24</v>
      </c>
      <c r="K188" s="2">
        <v>4.79</v>
      </c>
      <c r="L188" s="2">
        <v>1.45</v>
      </c>
      <c r="M188" s="2"/>
      <c r="N188" s="2"/>
      <c r="O188" s="56">
        <v>0</v>
      </c>
      <c r="P188" s="2"/>
      <c r="Q188" s="2"/>
      <c r="R188" s="2"/>
      <c r="S188" s="2"/>
      <c r="T188" s="2"/>
      <c r="U188" s="2"/>
      <c r="V188" s="2"/>
      <c r="W188" s="2">
        <v>8554.5400000000009</v>
      </c>
      <c r="X188" s="2"/>
      <c r="Y188" s="2"/>
      <c r="Z188" s="2">
        <v>1.1000000000000001</v>
      </c>
      <c r="AA188" s="2" t="s">
        <v>45</v>
      </c>
      <c r="AB188" s="2">
        <v>216.7</v>
      </c>
    </row>
    <row r="189" spans="1:28" hidden="1" x14ac:dyDescent="0.3">
      <c r="A189" s="4">
        <v>46169</v>
      </c>
      <c r="B189" s="8" t="s">
        <v>62</v>
      </c>
      <c r="C189" s="8" t="s">
        <v>36</v>
      </c>
      <c r="D189" s="7" t="s">
        <v>46</v>
      </c>
      <c r="E189" s="7" t="s">
        <v>54</v>
      </c>
      <c r="F189" s="13">
        <v>0</v>
      </c>
      <c r="G189" s="59"/>
      <c r="H189" s="6"/>
      <c r="I189" s="6">
        <f t="shared" si="18"/>
        <v>0.83333333333333337</v>
      </c>
      <c r="J189" s="2">
        <v>3.05</v>
      </c>
      <c r="K189" s="2">
        <v>1.2</v>
      </c>
      <c r="L189" s="2">
        <v>1.85</v>
      </c>
      <c r="M189" s="2">
        <v>60.59</v>
      </c>
      <c r="N189" s="2">
        <v>5</v>
      </c>
      <c r="O189" s="56">
        <v>1</v>
      </c>
      <c r="P189" s="2">
        <v>0.2</v>
      </c>
      <c r="Q189" s="2">
        <v>0.02</v>
      </c>
      <c r="R189" s="2">
        <v>44.48</v>
      </c>
      <c r="S189" s="2">
        <v>8.99</v>
      </c>
      <c r="T189" s="2">
        <v>4.8600000000000003</v>
      </c>
      <c r="U189" s="2">
        <v>35.49</v>
      </c>
      <c r="V189" s="2">
        <v>29.5</v>
      </c>
      <c r="W189" s="2">
        <v>7553.82</v>
      </c>
      <c r="X189" s="2">
        <v>93886</v>
      </c>
      <c r="Y189" s="2">
        <v>270472</v>
      </c>
      <c r="Z189" s="2">
        <v>0.2</v>
      </c>
      <c r="AA189" s="2">
        <v>0.04</v>
      </c>
      <c r="AB189" s="2">
        <v>234.7</v>
      </c>
    </row>
    <row r="190" spans="1:28" x14ac:dyDescent="0.3">
      <c r="A190" s="4">
        <v>46169</v>
      </c>
      <c r="B190" s="8" t="s">
        <v>62</v>
      </c>
      <c r="C190" s="8" t="s">
        <v>36</v>
      </c>
      <c r="D190" s="7" t="s">
        <v>48</v>
      </c>
      <c r="E190" s="7" t="s">
        <v>38</v>
      </c>
      <c r="F190" s="13">
        <v>3615</v>
      </c>
      <c r="G190" s="59"/>
      <c r="H190" s="6">
        <f>24000/7</f>
        <v>3428.5714285714284</v>
      </c>
      <c r="I190" s="6">
        <f t="shared" si="18"/>
        <v>523.83679312813172</v>
      </c>
      <c r="J190" s="2">
        <v>15.52</v>
      </c>
      <c r="K190" s="2">
        <v>13.97</v>
      </c>
      <c r="L190" s="2">
        <v>1.55</v>
      </c>
      <c r="M190" s="2">
        <v>9.99</v>
      </c>
      <c r="N190" s="2">
        <v>1858</v>
      </c>
      <c r="O190" s="77">
        <v>7318</v>
      </c>
      <c r="P190" s="2">
        <v>3.94</v>
      </c>
      <c r="Q190" s="2">
        <v>13.29</v>
      </c>
      <c r="R190" s="2">
        <v>550.78</v>
      </c>
      <c r="S190" s="2">
        <v>8.99</v>
      </c>
      <c r="T190" s="2">
        <v>5.8</v>
      </c>
      <c r="U190" s="2">
        <v>541.79</v>
      </c>
      <c r="V190" s="2">
        <v>38.78</v>
      </c>
      <c r="W190" s="2">
        <v>6251.77</v>
      </c>
      <c r="X190" s="2">
        <v>387475</v>
      </c>
      <c r="Y190" s="2">
        <v>1359943</v>
      </c>
      <c r="Z190" s="2">
        <v>0.1</v>
      </c>
      <c r="AA190" s="2">
        <v>0</v>
      </c>
      <c r="AB190" s="2">
        <v>44.7</v>
      </c>
    </row>
    <row r="191" spans="1:28" hidden="1" x14ac:dyDescent="0.3">
      <c r="A191" s="4">
        <v>46169</v>
      </c>
      <c r="B191" s="8" t="s">
        <v>62</v>
      </c>
      <c r="C191" s="8" t="s">
        <v>36</v>
      </c>
      <c r="D191" s="7" t="s">
        <v>39</v>
      </c>
      <c r="E191" s="7" t="s">
        <v>47</v>
      </c>
      <c r="F191" s="13">
        <v>0</v>
      </c>
      <c r="G191" s="59"/>
      <c r="H191" s="6">
        <v>3000</v>
      </c>
      <c r="I191" s="6">
        <f t="shared" si="18"/>
        <v>285.83617747440269</v>
      </c>
      <c r="J191" s="2">
        <v>6.76</v>
      </c>
      <c r="K191" s="2">
        <v>5.86</v>
      </c>
      <c r="L191" s="2">
        <v>0.9</v>
      </c>
      <c r="M191" s="2">
        <v>13.31</v>
      </c>
      <c r="N191" s="2">
        <v>939</v>
      </c>
      <c r="O191" s="56">
        <v>1675</v>
      </c>
      <c r="P191" s="2">
        <v>1.78</v>
      </c>
      <c r="Q191" s="2">
        <v>13.06</v>
      </c>
      <c r="R191" s="2">
        <v>128.22999999999999</v>
      </c>
      <c r="S191" s="2">
        <v>4.26</v>
      </c>
      <c r="T191" s="2">
        <v>4.7300000000000004</v>
      </c>
      <c r="U191" s="2">
        <v>123.97</v>
      </c>
      <c r="V191" s="2">
        <v>21.15</v>
      </c>
      <c r="W191" s="2">
        <v>8981.59</v>
      </c>
      <c r="X191" s="2">
        <v>63959</v>
      </c>
      <c r="Y191" s="2">
        <v>91914</v>
      </c>
      <c r="Z191" s="2">
        <v>0</v>
      </c>
      <c r="AA191" s="2">
        <v>0</v>
      </c>
      <c r="AB191" s="2">
        <v>273.5</v>
      </c>
    </row>
    <row r="192" spans="1:28" hidden="1" x14ac:dyDescent="0.3">
      <c r="A192" s="4">
        <v>46169</v>
      </c>
      <c r="B192" s="8" t="s">
        <v>62</v>
      </c>
      <c r="C192" s="8" t="s">
        <v>36</v>
      </c>
      <c r="D192" s="7" t="s">
        <v>50</v>
      </c>
      <c r="E192" s="7" t="s">
        <v>47</v>
      </c>
      <c r="F192" s="13">
        <v>0</v>
      </c>
      <c r="G192" s="59"/>
      <c r="H192" s="6">
        <f>24000/8</f>
        <v>3000</v>
      </c>
      <c r="I192" s="6">
        <f t="shared" si="18"/>
        <v>300.36363636363637</v>
      </c>
      <c r="J192" s="2">
        <v>7.8</v>
      </c>
      <c r="K192" s="2">
        <v>5.5</v>
      </c>
      <c r="L192" s="2">
        <v>2.2999999999999998</v>
      </c>
      <c r="M192" s="2">
        <v>29.49</v>
      </c>
      <c r="N192" s="2">
        <v>762</v>
      </c>
      <c r="O192" s="56">
        <v>1652</v>
      </c>
      <c r="P192" s="2">
        <v>2.17</v>
      </c>
      <c r="Q192" s="2">
        <v>12.93</v>
      </c>
      <c r="R192" s="2">
        <v>127.76</v>
      </c>
      <c r="S192" s="2">
        <v>8.52</v>
      </c>
      <c r="T192" s="2">
        <v>3.7</v>
      </c>
      <c r="U192" s="2">
        <v>119.24</v>
      </c>
      <c r="V192" s="2">
        <v>21.68</v>
      </c>
      <c r="W192" s="2">
        <v>2083.5300000000002</v>
      </c>
      <c r="X192" s="2">
        <v>124172</v>
      </c>
      <c r="Y192" s="2">
        <v>231868</v>
      </c>
      <c r="Z192" s="2">
        <v>1.3</v>
      </c>
      <c r="AA192" s="2">
        <v>0</v>
      </c>
      <c r="AB192" s="2">
        <v>287.39999999999998</v>
      </c>
    </row>
    <row r="193" spans="1:28" hidden="1" x14ac:dyDescent="0.3">
      <c r="A193" s="4">
        <v>46169</v>
      </c>
      <c r="B193" s="8" t="s">
        <v>62</v>
      </c>
      <c r="C193" s="8" t="s">
        <v>36</v>
      </c>
      <c r="D193" s="7" t="s">
        <v>49</v>
      </c>
      <c r="E193" s="7" t="s">
        <v>47</v>
      </c>
      <c r="F193" s="13">
        <v>0</v>
      </c>
      <c r="G193" s="59"/>
      <c r="H193" s="6">
        <f>24000/8</f>
        <v>3000</v>
      </c>
      <c r="I193" s="6">
        <f t="shared" si="18"/>
        <v>496.56019656019652</v>
      </c>
      <c r="J193" s="2">
        <v>5.57</v>
      </c>
      <c r="K193" s="2">
        <v>4.07</v>
      </c>
      <c r="L193" s="2">
        <v>1.5</v>
      </c>
      <c r="M193" s="2">
        <v>26.95</v>
      </c>
      <c r="N193" s="2">
        <v>534</v>
      </c>
      <c r="O193" s="56">
        <v>2021</v>
      </c>
      <c r="P193" s="2">
        <v>3.78</v>
      </c>
      <c r="Q193" s="2">
        <v>11.93</v>
      </c>
      <c r="R193" s="2">
        <v>169.4</v>
      </c>
      <c r="S193" s="2">
        <v>7.57</v>
      </c>
      <c r="T193" s="2">
        <v>5.05</v>
      </c>
      <c r="U193" s="2">
        <v>161.83000000000001</v>
      </c>
      <c r="V193" s="2">
        <v>39.81</v>
      </c>
      <c r="W193" s="2">
        <v>1604.08</v>
      </c>
      <c r="X193" s="2">
        <v>152569</v>
      </c>
      <c r="Y193" s="2">
        <v>521745</v>
      </c>
      <c r="Z193" s="2">
        <v>0</v>
      </c>
      <c r="AA193" s="2">
        <v>0</v>
      </c>
      <c r="AB193" s="2">
        <v>4.5999999999999996</v>
      </c>
    </row>
    <row r="194" spans="1:28" hidden="1" x14ac:dyDescent="0.3">
      <c r="A194" s="14">
        <v>46169</v>
      </c>
      <c r="B194" s="14" t="s">
        <v>62</v>
      </c>
      <c r="C194" s="14"/>
      <c r="D194" s="42"/>
      <c r="E194" s="42" t="s">
        <v>47</v>
      </c>
      <c r="F194" s="43">
        <v>0</v>
      </c>
      <c r="G194" s="60"/>
      <c r="H194" s="44">
        <v>3000</v>
      </c>
      <c r="I194" s="44"/>
      <c r="J194" s="42"/>
      <c r="K194" s="42"/>
      <c r="L194" s="42"/>
      <c r="M194" s="42"/>
      <c r="N194" s="42"/>
      <c r="O194" s="56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spans="1:28" hidden="1" x14ac:dyDescent="0.3">
      <c r="A195" s="4">
        <v>46169</v>
      </c>
      <c r="B195" s="8" t="s">
        <v>62</v>
      </c>
      <c r="C195" s="8" t="s">
        <v>36</v>
      </c>
      <c r="D195" s="7" t="s">
        <v>49</v>
      </c>
      <c r="E195" s="7" t="s">
        <v>47</v>
      </c>
      <c r="F195" s="13">
        <v>0</v>
      </c>
      <c r="G195" s="59"/>
      <c r="H195" s="6">
        <f>24000/8</f>
        <v>3000</v>
      </c>
      <c r="I195" s="6">
        <f t="shared" ref="I195:I201" si="19">IFERROR(O195/K195,)</f>
        <v>292.02363367799114</v>
      </c>
      <c r="J195" s="2">
        <v>8.32</v>
      </c>
      <c r="K195" s="2">
        <v>6.77</v>
      </c>
      <c r="L195" s="2">
        <v>1.55</v>
      </c>
      <c r="M195" s="2">
        <v>18.63</v>
      </c>
      <c r="N195" s="2">
        <v>912</v>
      </c>
      <c r="O195" s="56">
        <v>1977</v>
      </c>
      <c r="P195" s="2">
        <v>2.17</v>
      </c>
      <c r="Q195" s="2">
        <v>12.82</v>
      </c>
      <c r="R195" s="2">
        <v>154.26</v>
      </c>
      <c r="S195" s="2">
        <v>6.15</v>
      </c>
      <c r="T195" s="2">
        <v>3.97</v>
      </c>
      <c r="U195" s="2">
        <v>148.1</v>
      </c>
      <c r="V195" s="2">
        <v>21.88</v>
      </c>
      <c r="W195" s="2">
        <v>537.64</v>
      </c>
      <c r="X195" s="2">
        <v>47463</v>
      </c>
      <c r="Y195" s="2">
        <v>94275</v>
      </c>
      <c r="Z195" s="2">
        <v>1.8</v>
      </c>
      <c r="AA195" s="2">
        <v>0</v>
      </c>
      <c r="AB195" s="2">
        <v>38</v>
      </c>
    </row>
    <row r="196" spans="1:28" hidden="1" x14ac:dyDescent="0.3">
      <c r="A196" s="4">
        <v>46170</v>
      </c>
      <c r="B196" s="8" t="s">
        <v>62</v>
      </c>
      <c r="C196" s="8" t="s">
        <v>36</v>
      </c>
      <c r="D196" s="7" t="s">
        <v>43</v>
      </c>
      <c r="E196" s="7" t="s">
        <v>54</v>
      </c>
      <c r="F196" s="13">
        <v>0</v>
      </c>
      <c r="G196" s="59"/>
      <c r="H196" s="6"/>
      <c r="I196" s="6">
        <f t="shared" si="19"/>
        <v>0</v>
      </c>
      <c r="J196" s="2">
        <v>6.49</v>
      </c>
      <c r="K196" s="2">
        <v>5.69</v>
      </c>
      <c r="L196" s="2">
        <v>0.8</v>
      </c>
      <c r="M196" s="2"/>
      <c r="N196" s="2"/>
      <c r="O196" s="56">
        <v>0</v>
      </c>
      <c r="P196" s="2"/>
      <c r="Q196" s="2"/>
      <c r="R196" s="2"/>
      <c r="S196" s="2"/>
      <c r="T196" s="2"/>
      <c r="U196" s="2"/>
      <c r="V196" s="2"/>
      <c r="W196" s="2">
        <v>8561.0300000000007</v>
      </c>
      <c r="X196" s="2"/>
      <c r="Y196" s="2"/>
      <c r="Z196" s="2">
        <v>0.4</v>
      </c>
      <c r="AA196" s="2" t="s">
        <v>45</v>
      </c>
      <c r="AB196" s="2">
        <v>217.1</v>
      </c>
    </row>
    <row r="197" spans="1:28" hidden="1" x14ac:dyDescent="0.3">
      <c r="A197" s="4">
        <v>46170</v>
      </c>
      <c r="B197" s="8" t="s">
        <v>62</v>
      </c>
      <c r="C197" s="8" t="s">
        <v>36</v>
      </c>
      <c r="D197" s="7" t="s">
        <v>46</v>
      </c>
      <c r="E197" s="7" t="s">
        <v>40</v>
      </c>
      <c r="F197" s="13">
        <v>0</v>
      </c>
      <c r="G197" s="59"/>
      <c r="H197" s="6"/>
      <c r="I197" s="6">
        <f t="shared" si="19"/>
        <v>1.2987012987012987</v>
      </c>
      <c r="J197" s="2">
        <v>1.97</v>
      </c>
      <c r="K197" s="2">
        <v>0.77</v>
      </c>
      <c r="L197" s="2">
        <v>1.2</v>
      </c>
      <c r="M197" s="2">
        <v>60.92</v>
      </c>
      <c r="N197" s="2">
        <v>5</v>
      </c>
      <c r="O197" s="56">
        <v>1</v>
      </c>
      <c r="P197" s="2">
        <v>0.2</v>
      </c>
      <c r="Q197" s="2">
        <v>0.03</v>
      </c>
      <c r="R197" s="2">
        <v>30.28</v>
      </c>
      <c r="S197" s="2">
        <v>5.2</v>
      </c>
      <c r="T197" s="2">
        <v>4.34</v>
      </c>
      <c r="U197" s="2">
        <v>25.08</v>
      </c>
      <c r="V197" s="2">
        <v>32.58</v>
      </c>
      <c r="W197" s="2">
        <v>7555.79</v>
      </c>
      <c r="X197" s="2">
        <v>93891</v>
      </c>
      <c r="Y197" s="2">
        <v>270473</v>
      </c>
      <c r="Z197" s="2">
        <v>0</v>
      </c>
      <c r="AA197" s="2">
        <v>0</v>
      </c>
      <c r="AB197" s="2">
        <v>234.7</v>
      </c>
    </row>
    <row r="198" spans="1:28" x14ac:dyDescent="0.3">
      <c r="A198" s="4">
        <v>46170</v>
      </c>
      <c r="B198" s="8" t="s">
        <v>62</v>
      </c>
      <c r="C198" s="8" t="s">
        <v>36</v>
      </c>
      <c r="D198" s="7" t="s">
        <v>48</v>
      </c>
      <c r="E198" s="7" t="s">
        <v>38</v>
      </c>
      <c r="F198" s="13">
        <v>3359</v>
      </c>
      <c r="G198" s="59"/>
      <c r="H198" s="6">
        <f>24000/7</f>
        <v>3428.5714285714284</v>
      </c>
      <c r="I198" s="6">
        <f t="shared" si="19"/>
        <v>544.27570093457939</v>
      </c>
      <c r="J198" s="2">
        <v>9.81</v>
      </c>
      <c r="K198" s="2">
        <v>8.56</v>
      </c>
      <c r="L198" s="2">
        <v>1.25</v>
      </c>
      <c r="M198" s="2">
        <v>12.74</v>
      </c>
      <c r="N198" s="2">
        <v>1052</v>
      </c>
      <c r="O198" s="77">
        <v>4659</v>
      </c>
      <c r="P198" s="2">
        <v>4.43</v>
      </c>
      <c r="Q198" s="2">
        <v>13.6</v>
      </c>
      <c r="R198" s="2">
        <v>342.58</v>
      </c>
      <c r="S198" s="2">
        <v>6.62</v>
      </c>
      <c r="T198" s="2">
        <v>5.3</v>
      </c>
      <c r="U198" s="2">
        <v>335.96</v>
      </c>
      <c r="V198" s="2">
        <v>39.25</v>
      </c>
      <c r="W198" s="2">
        <v>6261.58</v>
      </c>
      <c r="X198" s="2">
        <v>388527</v>
      </c>
      <c r="Y198" s="2">
        <v>1364602</v>
      </c>
      <c r="Z198" s="2">
        <v>0.1</v>
      </c>
      <c r="AA198" s="2">
        <v>0</v>
      </c>
      <c r="AB198" s="2">
        <v>44.8</v>
      </c>
    </row>
    <row r="199" spans="1:28" hidden="1" x14ac:dyDescent="0.3">
      <c r="A199" s="4">
        <v>46170</v>
      </c>
      <c r="B199" s="8" t="s">
        <v>62</v>
      </c>
      <c r="C199" s="8" t="s">
        <v>36</v>
      </c>
      <c r="D199" s="7" t="s">
        <v>39</v>
      </c>
      <c r="E199" s="7" t="s">
        <v>47</v>
      </c>
      <c r="F199" s="13">
        <v>0</v>
      </c>
      <c r="G199" s="59"/>
      <c r="H199" s="6">
        <v>3000</v>
      </c>
      <c r="I199" s="6">
        <f t="shared" si="19"/>
        <v>409.19689119170988</v>
      </c>
      <c r="J199" s="2">
        <v>8.7200000000000006</v>
      </c>
      <c r="K199" s="2">
        <v>7.72</v>
      </c>
      <c r="L199" s="2">
        <v>1</v>
      </c>
      <c r="M199" s="2">
        <v>11.47</v>
      </c>
      <c r="N199" s="2">
        <v>1536</v>
      </c>
      <c r="O199" s="56">
        <v>3159</v>
      </c>
      <c r="P199" s="2">
        <v>2.06</v>
      </c>
      <c r="Q199" s="2">
        <v>17.899999999999999</v>
      </c>
      <c r="R199" s="2">
        <v>176.49</v>
      </c>
      <c r="S199" s="2">
        <v>3.79</v>
      </c>
      <c r="T199" s="2">
        <v>3.79</v>
      </c>
      <c r="U199" s="2">
        <v>172.71</v>
      </c>
      <c r="V199" s="2">
        <v>22.37</v>
      </c>
      <c r="W199" s="2">
        <v>8990.31</v>
      </c>
      <c r="X199" s="2">
        <v>65495</v>
      </c>
      <c r="Y199" s="2">
        <v>95073</v>
      </c>
      <c r="Z199" s="2">
        <v>0.2</v>
      </c>
      <c r="AA199" s="2">
        <v>0</v>
      </c>
      <c r="AB199" s="2">
        <v>273.7</v>
      </c>
    </row>
    <row r="200" spans="1:28" hidden="1" x14ac:dyDescent="0.3">
      <c r="A200" s="4">
        <v>46170</v>
      </c>
      <c r="B200" s="8" t="s">
        <v>62</v>
      </c>
      <c r="C200" s="8" t="s">
        <v>36</v>
      </c>
      <c r="D200" s="7" t="s">
        <v>50</v>
      </c>
      <c r="E200" s="7" t="s">
        <v>47</v>
      </c>
      <c r="F200" s="13">
        <v>0</v>
      </c>
      <c r="G200" s="59"/>
      <c r="H200" s="6">
        <f>24000/8</f>
        <v>3000</v>
      </c>
      <c r="I200" s="6">
        <f t="shared" si="19"/>
        <v>302.83842794759823</v>
      </c>
      <c r="J200" s="2">
        <v>7.88</v>
      </c>
      <c r="K200" s="2">
        <v>4.58</v>
      </c>
      <c r="L200" s="2">
        <v>3.3</v>
      </c>
      <c r="M200" s="2">
        <v>41.87</v>
      </c>
      <c r="N200" s="2">
        <v>590</v>
      </c>
      <c r="O200" s="56">
        <v>1387</v>
      </c>
      <c r="P200" s="2">
        <v>2.35</v>
      </c>
      <c r="Q200" s="2">
        <v>12.58</v>
      </c>
      <c r="R200" s="2">
        <v>110.25</v>
      </c>
      <c r="S200" s="2">
        <v>11.83</v>
      </c>
      <c r="T200" s="2">
        <v>3.58</v>
      </c>
      <c r="U200" s="2">
        <v>98.42</v>
      </c>
      <c r="V200" s="2">
        <v>21.49</v>
      </c>
      <c r="W200" s="2">
        <v>2091.41</v>
      </c>
      <c r="X200" s="2">
        <v>124762</v>
      </c>
      <c r="Y200" s="2">
        <v>233255</v>
      </c>
      <c r="Z200" s="2">
        <v>1.2</v>
      </c>
      <c r="AA200" s="2">
        <v>0</v>
      </c>
      <c r="AB200" s="2">
        <v>288.60000000000002</v>
      </c>
    </row>
    <row r="201" spans="1:28" hidden="1" x14ac:dyDescent="0.3">
      <c r="A201" s="4">
        <v>46170</v>
      </c>
      <c r="B201" s="8" t="s">
        <v>62</v>
      </c>
      <c r="C201" s="8" t="s">
        <v>36</v>
      </c>
      <c r="D201" s="7" t="s">
        <v>49</v>
      </c>
      <c r="E201" s="7" t="s">
        <v>47</v>
      </c>
      <c r="F201" s="13">
        <v>0</v>
      </c>
      <c r="G201" s="59"/>
      <c r="H201" s="6">
        <f>24000/8</f>
        <v>3000</v>
      </c>
      <c r="I201" s="6">
        <f t="shared" si="19"/>
        <v>397.53954305799647</v>
      </c>
      <c r="J201" s="2">
        <v>7.94</v>
      </c>
      <c r="K201" s="2">
        <v>5.69</v>
      </c>
      <c r="L201" s="2">
        <v>2.25</v>
      </c>
      <c r="M201" s="2">
        <v>28.35</v>
      </c>
      <c r="N201" s="2">
        <v>788</v>
      </c>
      <c r="O201" s="56">
        <v>2262</v>
      </c>
      <c r="P201" s="2">
        <v>2.87</v>
      </c>
      <c r="Q201" s="2">
        <v>9.7799999999999994</v>
      </c>
      <c r="R201" s="2">
        <v>231.38</v>
      </c>
      <c r="S201" s="2">
        <v>9.4600000000000009</v>
      </c>
      <c r="T201" s="2">
        <v>4.21</v>
      </c>
      <c r="U201" s="2">
        <v>221.92</v>
      </c>
      <c r="V201" s="2">
        <v>39.03</v>
      </c>
      <c r="W201" s="2">
        <v>1612.01</v>
      </c>
      <c r="X201" s="2">
        <v>153357</v>
      </c>
      <c r="Y201" s="2">
        <v>524007</v>
      </c>
      <c r="Z201" s="2">
        <v>0</v>
      </c>
      <c r="AA201" s="2">
        <v>0</v>
      </c>
      <c r="AB201" s="2">
        <v>4.5999999999999996</v>
      </c>
    </row>
    <row r="202" spans="1:28" hidden="1" x14ac:dyDescent="0.3">
      <c r="A202" s="14">
        <v>46170</v>
      </c>
      <c r="B202" s="14" t="s">
        <v>62</v>
      </c>
      <c r="C202" s="14"/>
      <c r="D202" s="42"/>
      <c r="E202" s="42" t="s">
        <v>47</v>
      </c>
      <c r="F202" s="43">
        <v>0</v>
      </c>
      <c r="G202" s="60"/>
      <c r="H202" s="44">
        <v>3000</v>
      </c>
      <c r="I202" s="44"/>
      <c r="J202" s="42"/>
      <c r="K202" s="42"/>
      <c r="L202" s="42"/>
      <c r="M202" s="42"/>
      <c r="N202" s="42"/>
      <c r="O202" s="56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28" hidden="1" x14ac:dyDescent="0.3">
      <c r="A203" s="4">
        <v>46170</v>
      </c>
      <c r="B203" s="8" t="s">
        <v>62</v>
      </c>
      <c r="C203" s="8" t="s">
        <v>36</v>
      </c>
      <c r="D203" s="7" t="s">
        <v>49</v>
      </c>
      <c r="E203" s="7" t="s">
        <v>47</v>
      </c>
      <c r="F203" s="13">
        <v>0</v>
      </c>
      <c r="G203" s="59"/>
      <c r="H203" s="6">
        <f>24000/8</f>
        <v>3000</v>
      </c>
      <c r="I203" s="6">
        <f t="shared" ref="I203:I209" si="20">IFERROR(O203/K203,)</f>
        <v>300.88105726872249</v>
      </c>
      <c r="J203" s="2">
        <v>8.91</v>
      </c>
      <c r="K203" s="2">
        <v>6.81</v>
      </c>
      <c r="L203" s="2">
        <v>2.1</v>
      </c>
      <c r="M203" s="2">
        <v>23.56</v>
      </c>
      <c r="N203" s="2">
        <v>1028</v>
      </c>
      <c r="O203" s="56">
        <v>2049</v>
      </c>
      <c r="P203" s="2">
        <v>1.99</v>
      </c>
      <c r="Q203" s="2">
        <v>13.16</v>
      </c>
      <c r="R203" s="2">
        <v>155.68</v>
      </c>
      <c r="S203" s="2">
        <v>8.52</v>
      </c>
      <c r="T203" s="2">
        <v>4.0599999999999996</v>
      </c>
      <c r="U203" s="2">
        <v>147.16</v>
      </c>
      <c r="V203" s="2">
        <v>21.6</v>
      </c>
      <c r="W203" s="2">
        <v>546.54999999999995</v>
      </c>
      <c r="X203" s="2">
        <v>48491</v>
      </c>
      <c r="Y203" s="2">
        <v>96324</v>
      </c>
      <c r="Z203" s="2">
        <v>2.2999999999999998</v>
      </c>
      <c r="AA203" s="2">
        <v>0</v>
      </c>
      <c r="AB203" s="2">
        <v>40.299999999999997</v>
      </c>
    </row>
    <row r="204" spans="1:28" hidden="1" x14ac:dyDescent="0.3">
      <c r="A204" s="4">
        <v>46171</v>
      </c>
      <c r="B204" s="8" t="s">
        <v>62</v>
      </c>
      <c r="C204" s="8" t="s">
        <v>36</v>
      </c>
      <c r="D204" s="7" t="s">
        <v>43</v>
      </c>
      <c r="E204" s="7" t="s">
        <v>54</v>
      </c>
      <c r="F204" s="13">
        <v>0</v>
      </c>
      <c r="G204" s="59"/>
      <c r="H204" s="6"/>
      <c r="I204" s="6">
        <f t="shared" si="20"/>
        <v>0</v>
      </c>
      <c r="J204" s="2">
        <v>6.68</v>
      </c>
      <c r="K204" s="2">
        <v>5.88</v>
      </c>
      <c r="L204" s="2">
        <v>0.8</v>
      </c>
      <c r="M204" s="2"/>
      <c r="N204" s="2"/>
      <c r="O204" s="56" t="s">
        <v>45</v>
      </c>
      <c r="P204" s="2"/>
      <c r="Q204" s="2"/>
      <c r="R204" s="2"/>
      <c r="S204" s="2"/>
      <c r="T204" s="2"/>
      <c r="U204" s="2"/>
      <c r="V204" s="2"/>
      <c r="W204" s="2">
        <v>8567.7099999999991</v>
      </c>
      <c r="X204" s="2"/>
      <c r="Y204" s="2"/>
      <c r="Z204" s="2">
        <v>1.7</v>
      </c>
      <c r="AA204" s="2" t="s">
        <v>45</v>
      </c>
      <c r="AB204" s="2">
        <v>218.8</v>
      </c>
    </row>
    <row r="205" spans="1:28" x14ac:dyDescent="0.3">
      <c r="A205" s="4">
        <v>46171</v>
      </c>
      <c r="B205" s="8" t="s">
        <v>62</v>
      </c>
      <c r="C205" s="8" t="s">
        <v>36</v>
      </c>
      <c r="D205" s="7" t="s">
        <v>48</v>
      </c>
      <c r="E205" s="7" t="s">
        <v>38</v>
      </c>
      <c r="F205" s="13">
        <v>4007</v>
      </c>
      <c r="G205" s="59"/>
      <c r="H205" s="6">
        <f>24000/7</f>
        <v>3428.5714285714284</v>
      </c>
      <c r="I205" s="6">
        <f t="shared" si="20"/>
        <v>563.20093457943926</v>
      </c>
      <c r="J205" s="2">
        <v>9.56</v>
      </c>
      <c r="K205" s="2">
        <v>8.56</v>
      </c>
      <c r="L205" s="2">
        <v>1</v>
      </c>
      <c r="M205" s="2">
        <v>10.46</v>
      </c>
      <c r="N205" s="2">
        <v>1136</v>
      </c>
      <c r="O205" s="77">
        <v>4821</v>
      </c>
      <c r="P205" s="2">
        <v>4.24</v>
      </c>
      <c r="Q205" s="2">
        <v>14.07</v>
      </c>
      <c r="R205" s="2">
        <v>342.58</v>
      </c>
      <c r="S205" s="2">
        <v>6.15</v>
      </c>
      <c r="T205" s="2">
        <v>6.15</v>
      </c>
      <c r="U205" s="2">
        <v>336.43</v>
      </c>
      <c r="V205" s="2">
        <v>39.31</v>
      </c>
      <c r="W205" s="2">
        <v>6271.14</v>
      </c>
      <c r="X205" s="2">
        <v>389663</v>
      </c>
      <c r="Y205" s="2">
        <v>1369423</v>
      </c>
      <c r="Z205" s="2">
        <v>0.1</v>
      </c>
      <c r="AA205" s="2">
        <v>0</v>
      </c>
      <c r="AB205" s="2">
        <v>44.9</v>
      </c>
    </row>
    <row r="206" spans="1:28" hidden="1" x14ac:dyDescent="0.3">
      <c r="A206" s="4">
        <v>46171</v>
      </c>
      <c r="B206" s="8" t="s">
        <v>62</v>
      </c>
      <c r="C206" s="8" t="s">
        <v>36</v>
      </c>
      <c r="D206" s="7" t="s">
        <v>39</v>
      </c>
      <c r="E206" s="7" t="s">
        <v>47</v>
      </c>
      <c r="F206" s="13">
        <v>0</v>
      </c>
      <c r="G206" s="59"/>
      <c r="H206" s="6">
        <v>3000</v>
      </c>
      <c r="I206" s="6">
        <f t="shared" si="20"/>
        <v>257.74473358116478</v>
      </c>
      <c r="J206" s="2">
        <v>8.57</v>
      </c>
      <c r="K206" s="2">
        <v>8.07</v>
      </c>
      <c r="L206" s="2">
        <v>0.5</v>
      </c>
      <c r="M206" s="2">
        <v>5.84</v>
      </c>
      <c r="N206" s="2">
        <v>1154</v>
      </c>
      <c r="O206" s="56">
        <v>2080</v>
      </c>
      <c r="P206" s="2">
        <v>1.8</v>
      </c>
      <c r="Q206" s="2">
        <v>11.98</v>
      </c>
      <c r="R206" s="2">
        <v>173.66</v>
      </c>
      <c r="S206" s="2">
        <v>2.37</v>
      </c>
      <c r="T206" s="2">
        <v>4.7300000000000004</v>
      </c>
      <c r="U206" s="2">
        <v>171.29</v>
      </c>
      <c r="V206" s="2">
        <v>21.23</v>
      </c>
      <c r="W206" s="2">
        <v>8998.8700000000008</v>
      </c>
      <c r="X206" s="2">
        <v>66649</v>
      </c>
      <c r="Y206" s="2">
        <v>97153</v>
      </c>
      <c r="Z206" s="2">
        <v>0.4</v>
      </c>
      <c r="AA206" s="2">
        <v>0</v>
      </c>
      <c r="AB206" s="2">
        <v>274.10000000000002</v>
      </c>
    </row>
    <row r="207" spans="1:28" hidden="1" x14ac:dyDescent="0.3">
      <c r="A207" s="4">
        <v>46171</v>
      </c>
      <c r="B207" s="8" t="s">
        <v>62</v>
      </c>
      <c r="C207" s="8" t="s">
        <v>36</v>
      </c>
      <c r="D207" s="7" t="s">
        <v>46</v>
      </c>
      <c r="E207" s="7" t="s">
        <v>47</v>
      </c>
      <c r="F207" s="13">
        <v>0</v>
      </c>
      <c r="G207" s="59"/>
      <c r="H207" s="6">
        <v>3000</v>
      </c>
      <c r="I207" s="6">
        <f t="shared" si="20"/>
        <v>264.87294469357249</v>
      </c>
      <c r="J207" s="2">
        <v>9.44</v>
      </c>
      <c r="K207" s="2">
        <v>6.69</v>
      </c>
      <c r="L207" s="2">
        <v>2.75</v>
      </c>
      <c r="M207" s="2">
        <v>29.13</v>
      </c>
      <c r="N207" s="2">
        <v>700</v>
      </c>
      <c r="O207" s="56">
        <v>1772</v>
      </c>
      <c r="P207" s="2">
        <v>2.5299999999999998</v>
      </c>
      <c r="Q207" s="2">
        <v>8.1199999999999992</v>
      </c>
      <c r="R207" s="2">
        <v>218.13</v>
      </c>
      <c r="S207" s="2">
        <v>17.03</v>
      </c>
      <c r="T207" s="2">
        <v>6.19</v>
      </c>
      <c r="U207" s="2">
        <v>201.1</v>
      </c>
      <c r="V207" s="2">
        <v>30.05</v>
      </c>
      <c r="W207" s="2">
        <v>7565.24</v>
      </c>
      <c r="X207" s="2">
        <v>94591</v>
      </c>
      <c r="Y207" s="2">
        <v>272245</v>
      </c>
      <c r="Z207" s="2">
        <v>0.2</v>
      </c>
      <c r="AA207" s="2">
        <v>0</v>
      </c>
      <c r="AB207" s="2">
        <v>234.9</v>
      </c>
    </row>
    <row r="208" spans="1:28" hidden="1" x14ac:dyDescent="0.3">
      <c r="A208" s="4">
        <v>46171</v>
      </c>
      <c r="B208" s="8" t="s">
        <v>62</v>
      </c>
      <c r="C208" s="8" t="s">
        <v>36</v>
      </c>
      <c r="D208" s="7" t="s">
        <v>50</v>
      </c>
      <c r="E208" s="7" t="s">
        <v>47</v>
      </c>
      <c r="F208" s="13">
        <v>0</v>
      </c>
      <c r="G208" s="59"/>
      <c r="H208" s="6">
        <f>24000/8</f>
        <v>3000</v>
      </c>
      <c r="I208" s="6">
        <f t="shared" si="20"/>
        <v>113.03370786516854</v>
      </c>
      <c r="J208" s="2">
        <v>5.5</v>
      </c>
      <c r="K208" s="2">
        <v>4.45</v>
      </c>
      <c r="L208" s="2">
        <v>1.05</v>
      </c>
      <c r="M208" s="2">
        <v>19.09</v>
      </c>
      <c r="N208" s="2">
        <v>249</v>
      </c>
      <c r="O208" s="56">
        <v>503</v>
      </c>
      <c r="P208" s="2">
        <v>2.02</v>
      </c>
      <c r="Q208" s="2">
        <v>5.59</v>
      </c>
      <c r="R208" s="2">
        <v>89.9</v>
      </c>
      <c r="S208" s="2">
        <v>4.7300000000000004</v>
      </c>
      <c r="T208" s="2">
        <v>4.51</v>
      </c>
      <c r="U208" s="2">
        <v>85.17</v>
      </c>
      <c r="V208" s="2">
        <v>19.14</v>
      </c>
      <c r="W208" s="2">
        <v>2096.91</v>
      </c>
      <c r="X208" s="2">
        <v>125011</v>
      </c>
      <c r="Y208" s="2">
        <v>233758</v>
      </c>
      <c r="Z208" s="2">
        <v>1.7</v>
      </c>
      <c r="AA208" s="2">
        <v>0.01</v>
      </c>
      <c r="AB208" s="2">
        <v>290.3</v>
      </c>
    </row>
    <row r="209" spans="1:28" hidden="1" x14ac:dyDescent="0.3">
      <c r="A209" s="4">
        <v>46171</v>
      </c>
      <c r="B209" s="8" t="s">
        <v>62</v>
      </c>
      <c r="C209" s="8" t="s">
        <v>36</v>
      </c>
      <c r="D209" s="7" t="s">
        <v>49</v>
      </c>
      <c r="E209" s="7" t="s">
        <v>47</v>
      </c>
      <c r="F209" s="13">
        <v>0</v>
      </c>
      <c r="G209" s="59"/>
      <c r="H209" s="6">
        <f>24000/8</f>
        <v>3000</v>
      </c>
      <c r="I209" s="6">
        <f t="shared" si="20"/>
        <v>458.57418111753367</v>
      </c>
      <c r="J209" s="2">
        <v>7.69</v>
      </c>
      <c r="K209" s="2">
        <v>5.19</v>
      </c>
      <c r="L209" s="2">
        <v>2.5</v>
      </c>
      <c r="M209" s="2">
        <v>32.49</v>
      </c>
      <c r="N209" s="2">
        <v>759</v>
      </c>
      <c r="O209" s="56">
        <v>2380</v>
      </c>
      <c r="P209" s="2">
        <v>3.14</v>
      </c>
      <c r="Q209" s="2">
        <v>10.86</v>
      </c>
      <c r="R209" s="2">
        <v>219.08</v>
      </c>
      <c r="S209" s="2">
        <v>9.94</v>
      </c>
      <c r="T209" s="2">
        <v>3.97</v>
      </c>
      <c r="U209" s="2">
        <v>209.14</v>
      </c>
      <c r="V209" s="2">
        <v>40.270000000000003</v>
      </c>
      <c r="W209" s="2">
        <v>1619.71</v>
      </c>
      <c r="X209" s="2">
        <v>154116</v>
      </c>
      <c r="Y209" s="2">
        <v>526387</v>
      </c>
      <c r="Z209" s="2">
        <v>0</v>
      </c>
      <c r="AA209" s="2">
        <v>0</v>
      </c>
      <c r="AB209" s="2">
        <v>4.5999999999999996</v>
      </c>
    </row>
    <row r="210" spans="1:28" hidden="1" x14ac:dyDescent="0.3">
      <c r="A210" s="14">
        <v>46171</v>
      </c>
      <c r="B210" s="14" t="s">
        <v>62</v>
      </c>
      <c r="C210" s="14"/>
      <c r="D210" s="42"/>
      <c r="E210" s="42" t="s">
        <v>47</v>
      </c>
      <c r="F210" s="43">
        <v>0</v>
      </c>
      <c r="G210" s="60"/>
      <c r="H210" s="44"/>
      <c r="I210" s="44"/>
      <c r="J210" s="42"/>
      <c r="K210" s="42"/>
      <c r="L210" s="42"/>
      <c r="M210" s="42"/>
      <c r="N210" s="42"/>
      <c r="O210" s="56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spans="1:28" hidden="1" x14ac:dyDescent="0.3">
      <c r="A211" s="4">
        <v>46171</v>
      </c>
      <c r="B211" s="8" t="s">
        <v>62</v>
      </c>
      <c r="C211" s="8" t="s">
        <v>36</v>
      </c>
      <c r="D211" s="7" t="s">
        <v>49</v>
      </c>
      <c r="E211" s="7" t="s">
        <v>47</v>
      </c>
      <c r="F211" s="13">
        <v>0</v>
      </c>
      <c r="G211" s="59"/>
      <c r="H211" s="6">
        <f>24000/8</f>
        <v>3000</v>
      </c>
      <c r="I211" s="6">
        <f t="shared" ref="I211:I217" si="21">IFERROR(O211/K211,)</f>
        <v>353.20197044334975</v>
      </c>
      <c r="J211" s="2">
        <v>8.19</v>
      </c>
      <c r="K211" s="2">
        <v>6.09</v>
      </c>
      <c r="L211" s="2">
        <v>2.1</v>
      </c>
      <c r="M211" s="2">
        <v>25.66</v>
      </c>
      <c r="N211" s="2">
        <v>981</v>
      </c>
      <c r="O211" s="56">
        <v>2151</v>
      </c>
      <c r="P211" s="2">
        <v>2.19</v>
      </c>
      <c r="Q211" s="2">
        <v>15.57</v>
      </c>
      <c r="R211" s="2">
        <v>138.16999999999999</v>
      </c>
      <c r="S211" s="2">
        <v>8.0399999999999991</v>
      </c>
      <c r="T211" s="2">
        <v>3.83</v>
      </c>
      <c r="U211" s="2">
        <v>130.12</v>
      </c>
      <c r="V211" s="2">
        <v>21.38</v>
      </c>
      <c r="W211" s="2">
        <v>554.73</v>
      </c>
      <c r="X211" s="2">
        <v>49472</v>
      </c>
      <c r="Y211" s="2">
        <v>98475</v>
      </c>
      <c r="Z211" s="2">
        <v>0.9</v>
      </c>
      <c r="AA211" s="2">
        <v>0</v>
      </c>
      <c r="AB211" s="2">
        <v>41.2</v>
      </c>
    </row>
    <row r="212" spans="1:28" hidden="1" x14ac:dyDescent="0.3">
      <c r="A212" s="4">
        <v>46172</v>
      </c>
      <c r="B212" s="8" t="s">
        <v>62</v>
      </c>
      <c r="C212" s="8" t="s">
        <v>36</v>
      </c>
      <c r="D212" s="7" t="s">
        <v>43</v>
      </c>
      <c r="E212" s="7" t="s">
        <v>40</v>
      </c>
      <c r="F212" s="13">
        <v>0</v>
      </c>
      <c r="G212" s="59"/>
      <c r="H212" s="6"/>
      <c r="I212" s="6">
        <f t="shared" si="21"/>
        <v>0</v>
      </c>
      <c r="J212" s="2">
        <v>3.79</v>
      </c>
      <c r="K212" s="2">
        <v>3.14</v>
      </c>
      <c r="L212" s="2">
        <v>0.65</v>
      </c>
      <c r="M212" s="2"/>
      <c r="N212" s="2"/>
      <c r="O212" s="56" t="s">
        <v>45</v>
      </c>
      <c r="P212" s="2"/>
      <c r="Q212" s="2"/>
      <c r="R212" s="2"/>
      <c r="S212" s="2"/>
      <c r="T212" s="2"/>
      <c r="U212" s="2"/>
      <c r="V212" s="2"/>
      <c r="W212" s="2">
        <v>8571.5</v>
      </c>
      <c r="X212" s="2"/>
      <c r="Y212" s="2"/>
      <c r="Z212" s="2">
        <v>1.3</v>
      </c>
      <c r="AA212" s="2" t="s">
        <v>45</v>
      </c>
      <c r="AB212" s="2">
        <v>220.1</v>
      </c>
    </row>
    <row r="213" spans="1:28" x14ac:dyDescent="0.3">
      <c r="A213" s="4">
        <v>46172</v>
      </c>
      <c r="B213" s="8" t="s">
        <v>62</v>
      </c>
      <c r="C213" s="8" t="s">
        <v>36</v>
      </c>
      <c r="D213" s="7" t="s">
        <v>48</v>
      </c>
      <c r="E213" s="7" t="s">
        <v>38</v>
      </c>
      <c r="F213" s="13">
        <v>3824</v>
      </c>
      <c r="G213" s="59"/>
      <c r="H213" s="6">
        <f>24000/7</f>
        <v>3428.5714285714284</v>
      </c>
      <c r="I213" s="6">
        <f t="shared" si="21"/>
        <v>513.16685584562993</v>
      </c>
      <c r="J213" s="2">
        <v>9.61</v>
      </c>
      <c r="K213" s="2">
        <v>8.81</v>
      </c>
      <c r="L213" s="2">
        <v>0.8</v>
      </c>
      <c r="M213" s="2">
        <v>8.32</v>
      </c>
      <c r="N213" s="2">
        <v>1030</v>
      </c>
      <c r="O213" s="77">
        <v>4521</v>
      </c>
      <c r="P213" s="2">
        <v>4.3899999999999997</v>
      </c>
      <c r="Q213" s="2">
        <v>12.84</v>
      </c>
      <c r="R213" s="2">
        <v>352.04</v>
      </c>
      <c r="S213" s="2">
        <v>4.7300000000000004</v>
      </c>
      <c r="T213" s="2">
        <v>5.91</v>
      </c>
      <c r="U213" s="2">
        <v>347.31</v>
      </c>
      <c r="V213" s="2">
        <v>39.409999999999997</v>
      </c>
      <c r="W213" s="2">
        <v>6280.75</v>
      </c>
      <c r="X213" s="2">
        <v>390693</v>
      </c>
      <c r="Y213" s="2">
        <v>1373944</v>
      </c>
      <c r="Z213" s="2">
        <v>0.1</v>
      </c>
      <c r="AA213" s="2">
        <v>0</v>
      </c>
      <c r="AB213" s="2">
        <v>45</v>
      </c>
    </row>
    <row r="214" spans="1:28" hidden="1" x14ac:dyDescent="0.3">
      <c r="A214" s="4">
        <v>46172</v>
      </c>
      <c r="B214" s="8" t="s">
        <v>62</v>
      </c>
      <c r="C214" s="8" t="s">
        <v>36</v>
      </c>
      <c r="D214" s="7" t="s">
        <v>39</v>
      </c>
      <c r="E214" s="7" t="s">
        <v>47</v>
      </c>
      <c r="F214" s="13">
        <v>0</v>
      </c>
      <c r="G214" s="59"/>
      <c r="H214" s="6">
        <v>3000</v>
      </c>
      <c r="I214" s="6">
        <f t="shared" si="21"/>
        <v>197.26027397260273</v>
      </c>
      <c r="J214" s="2">
        <v>5.96</v>
      </c>
      <c r="K214" s="2">
        <v>5.1100000000000003</v>
      </c>
      <c r="L214" s="2">
        <v>0.85</v>
      </c>
      <c r="M214" s="2">
        <v>14.26</v>
      </c>
      <c r="N214" s="2">
        <v>770</v>
      </c>
      <c r="O214" s="56">
        <v>1008</v>
      </c>
      <c r="P214" s="2">
        <v>1.31</v>
      </c>
      <c r="Q214" s="2">
        <v>9.07</v>
      </c>
      <c r="R214" s="2">
        <v>111.2</v>
      </c>
      <c r="S214" s="2">
        <v>2.84</v>
      </c>
      <c r="T214" s="2">
        <v>3.34</v>
      </c>
      <c r="U214" s="2">
        <v>108.36</v>
      </c>
      <c r="V214" s="2">
        <v>21.2</v>
      </c>
      <c r="W214" s="2">
        <v>9004.83</v>
      </c>
      <c r="X214" s="2">
        <v>67419</v>
      </c>
      <c r="Y214" s="2">
        <v>98161</v>
      </c>
      <c r="Z214" s="2">
        <v>0.3</v>
      </c>
      <c r="AA214" s="2">
        <v>0</v>
      </c>
      <c r="AB214" s="2">
        <v>274.39999999999998</v>
      </c>
    </row>
    <row r="215" spans="1:28" hidden="1" x14ac:dyDescent="0.3">
      <c r="A215" s="4">
        <v>46172</v>
      </c>
      <c r="B215" s="8" t="s">
        <v>62</v>
      </c>
      <c r="C215" s="8" t="s">
        <v>36</v>
      </c>
      <c r="D215" s="7" t="s">
        <v>46</v>
      </c>
      <c r="E215" s="7" t="s">
        <v>47</v>
      </c>
      <c r="F215" s="13">
        <v>0</v>
      </c>
      <c r="G215" s="59"/>
      <c r="H215" s="6">
        <v>3000</v>
      </c>
      <c r="I215" s="6">
        <f t="shared" si="21"/>
        <v>369.11447084233259</v>
      </c>
      <c r="J215" s="2">
        <v>6.38</v>
      </c>
      <c r="K215" s="2">
        <v>4.63</v>
      </c>
      <c r="L215" s="2">
        <v>1.75</v>
      </c>
      <c r="M215" s="2">
        <v>27.41</v>
      </c>
      <c r="N215" s="2">
        <v>669</v>
      </c>
      <c r="O215" s="56">
        <v>1709</v>
      </c>
      <c r="P215" s="2">
        <v>2.5499999999999998</v>
      </c>
      <c r="Q215" s="2">
        <v>10.75</v>
      </c>
      <c r="R215" s="2">
        <v>158.99</v>
      </c>
      <c r="S215" s="2">
        <v>14.67</v>
      </c>
      <c r="T215" s="2">
        <v>8.3800000000000008</v>
      </c>
      <c r="U215" s="2">
        <v>144.32</v>
      </c>
      <c r="V215" s="2">
        <v>31.14</v>
      </c>
      <c r="W215" s="2">
        <v>7571.62</v>
      </c>
      <c r="X215" s="2">
        <v>95260</v>
      </c>
      <c r="Y215" s="2">
        <v>273954</v>
      </c>
      <c r="Z215" s="2">
        <v>0.2</v>
      </c>
      <c r="AA215" s="2">
        <v>0</v>
      </c>
      <c r="AB215" s="2">
        <v>235.1</v>
      </c>
    </row>
    <row r="216" spans="1:28" hidden="1" x14ac:dyDescent="0.3">
      <c r="A216" s="4">
        <v>46172</v>
      </c>
      <c r="B216" s="8" t="s">
        <v>62</v>
      </c>
      <c r="C216" s="8" t="s">
        <v>36</v>
      </c>
      <c r="D216" s="7" t="s">
        <v>50</v>
      </c>
      <c r="E216" s="7" t="s">
        <v>47</v>
      </c>
      <c r="F216" s="13">
        <v>0</v>
      </c>
      <c r="G216" s="59"/>
      <c r="H216" s="6">
        <f>24000/8</f>
        <v>3000</v>
      </c>
      <c r="I216" s="6">
        <f t="shared" si="21"/>
        <v>287.94567062818339</v>
      </c>
      <c r="J216" s="2">
        <v>7.04</v>
      </c>
      <c r="K216" s="2">
        <v>5.89</v>
      </c>
      <c r="L216" s="2">
        <v>1.1499999999999999</v>
      </c>
      <c r="M216" s="2">
        <v>16.34</v>
      </c>
      <c r="N216" s="2">
        <v>799</v>
      </c>
      <c r="O216" s="56">
        <v>1696</v>
      </c>
      <c r="P216" s="2">
        <v>2.12</v>
      </c>
      <c r="Q216" s="2">
        <v>14.57</v>
      </c>
      <c r="R216" s="2">
        <v>116.4</v>
      </c>
      <c r="S216" s="2">
        <v>4.26</v>
      </c>
      <c r="T216" s="2">
        <v>3.7</v>
      </c>
      <c r="U216" s="2">
        <v>112.14</v>
      </c>
      <c r="V216" s="2">
        <v>19.04</v>
      </c>
      <c r="W216" s="2">
        <v>2103.9499999999998</v>
      </c>
      <c r="X216" s="2">
        <v>125810</v>
      </c>
      <c r="Y216" s="2">
        <v>235454</v>
      </c>
      <c r="Z216" s="2">
        <v>0.5</v>
      </c>
      <c r="AA216" s="2">
        <v>0</v>
      </c>
      <c r="AB216" s="2">
        <v>290.8</v>
      </c>
    </row>
    <row r="217" spans="1:28" hidden="1" x14ac:dyDescent="0.3">
      <c r="A217" s="4">
        <v>46172</v>
      </c>
      <c r="B217" s="8" t="s">
        <v>62</v>
      </c>
      <c r="C217" s="8" t="s">
        <v>36</v>
      </c>
      <c r="D217" s="7" t="s">
        <v>49</v>
      </c>
      <c r="E217" s="7" t="s">
        <v>47</v>
      </c>
      <c r="F217" s="13">
        <v>0</v>
      </c>
      <c r="G217" s="59"/>
      <c r="H217" s="6">
        <f>24000/8</f>
        <v>3000</v>
      </c>
      <c r="I217" s="6">
        <f t="shared" si="21"/>
        <v>391.12426035502961</v>
      </c>
      <c r="J217" s="2">
        <v>4.99</v>
      </c>
      <c r="K217" s="2">
        <v>3.38</v>
      </c>
      <c r="L217" s="2">
        <v>1.6</v>
      </c>
      <c r="M217" s="2">
        <v>32.1</v>
      </c>
      <c r="N217" s="2">
        <v>411</v>
      </c>
      <c r="O217" s="56">
        <v>1322</v>
      </c>
      <c r="P217" s="2">
        <v>3.22</v>
      </c>
      <c r="Q217" s="2">
        <v>9.5</v>
      </c>
      <c r="R217" s="2">
        <v>139.11000000000001</v>
      </c>
      <c r="S217" s="2">
        <v>7.57</v>
      </c>
      <c r="T217" s="2">
        <v>4.7300000000000004</v>
      </c>
      <c r="U217" s="2">
        <v>131.54</v>
      </c>
      <c r="V217" s="2">
        <v>38.86</v>
      </c>
      <c r="W217" s="2">
        <v>1624.69</v>
      </c>
      <c r="X217" s="2">
        <v>154527</v>
      </c>
      <c r="Y217" s="2">
        <v>527709</v>
      </c>
      <c r="Z217" s="2">
        <v>0</v>
      </c>
      <c r="AA217" s="2">
        <v>0</v>
      </c>
      <c r="AB217" s="2">
        <v>4.5999999999999996</v>
      </c>
    </row>
    <row r="218" spans="1:28" hidden="1" x14ac:dyDescent="0.3">
      <c r="A218" s="14">
        <v>46172</v>
      </c>
      <c r="B218" s="14" t="s">
        <v>62</v>
      </c>
      <c r="C218" s="14"/>
      <c r="D218" s="42"/>
      <c r="E218" s="42" t="s">
        <v>47</v>
      </c>
      <c r="F218" s="43">
        <v>0</v>
      </c>
      <c r="G218" s="60"/>
      <c r="H218" s="44"/>
      <c r="I218" s="44"/>
      <c r="J218" s="42"/>
      <c r="K218" s="42"/>
      <c r="L218" s="42"/>
      <c r="M218" s="42"/>
      <c r="N218" s="42"/>
      <c r="O218" s="56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spans="1:28" hidden="1" x14ac:dyDescent="0.3">
      <c r="A219" s="4">
        <v>46172</v>
      </c>
      <c r="B219" s="8" t="s">
        <v>62</v>
      </c>
      <c r="C219" s="8" t="s">
        <v>36</v>
      </c>
      <c r="D219" s="7" t="s">
        <v>49</v>
      </c>
      <c r="E219" s="7" t="s">
        <v>47</v>
      </c>
      <c r="F219" s="13">
        <v>0</v>
      </c>
      <c r="G219" s="59"/>
      <c r="H219" s="6">
        <f>24000/8</f>
        <v>3000</v>
      </c>
      <c r="I219" s="6">
        <f t="shared" ref="I219:I240" si="22">IFERROR(O219/K219,)</f>
        <v>341.23711340206188</v>
      </c>
      <c r="J219" s="2">
        <v>6.2</v>
      </c>
      <c r="K219" s="2">
        <v>4.8499999999999996</v>
      </c>
      <c r="L219" s="2">
        <v>1.35</v>
      </c>
      <c r="M219" s="2">
        <v>21.79</v>
      </c>
      <c r="N219" s="2">
        <v>724</v>
      </c>
      <c r="O219" s="56">
        <v>1655</v>
      </c>
      <c r="P219" s="2">
        <v>2.29</v>
      </c>
      <c r="Q219" s="2">
        <v>16.739999999999998</v>
      </c>
      <c r="R219" s="2">
        <v>98.89</v>
      </c>
      <c r="S219" s="2">
        <v>5.68</v>
      </c>
      <c r="T219" s="2">
        <v>4.21</v>
      </c>
      <c r="U219" s="2">
        <v>93.22</v>
      </c>
      <c r="V219" s="2">
        <v>19.23</v>
      </c>
      <c r="W219" s="2">
        <v>560.92999999999995</v>
      </c>
      <c r="X219" s="2">
        <v>50196</v>
      </c>
      <c r="Y219" s="2">
        <v>100130</v>
      </c>
      <c r="Z219" s="2">
        <v>1.1000000000000001</v>
      </c>
      <c r="AA219" s="2">
        <v>0</v>
      </c>
      <c r="AB219" s="2">
        <v>42.3</v>
      </c>
    </row>
    <row r="220" spans="1:28" hidden="1" x14ac:dyDescent="0.3">
      <c r="A220" s="4">
        <v>46173</v>
      </c>
      <c r="B220" s="8" t="s">
        <v>55</v>
      </c>
      <c r="C220" s="8" t="s">
        <v>56</v>
      </c>
      <c r="D220" s="7" t="s">
        <v>43</v>
      </c>
      <c r="E220" s="7" t="s">
        <v>40</v>
      </c>
      <c r="F220" s="13">
        <v>0</v>
      </c>
      <c r="G220" s="59"/>
      <c r="H220" s="6"/>
      <c r="I220" s="6">
        <f t="shared" si="22"/>
        <v>0</v>
      </c>
      <c r="J220" s="2">
        <v>0</v>
      </c>
      <c r="K220" s="2">
        <v>0</v>
      </c>
      <c r="L220" s="2">
        <v>0</v>
      </c>
      <c r="M220" s="2"/>
      <c r="N220" s="2"/>
      <c r="O220" s="56" t="s">
        <v>45</v>
      </c>
      <c r="P220" s="2"/>
      <c r="Q220" s="2"/>
      <c r="R220" s="2"/>
      <c r="S220" s="2"/>
      <c r="T220" s="2"/>
      <c r="U220" s="2"/>
      <c r="V220" s="2"/>
      <c r="W220" s="2">
        <v>8571.5</v>
      </c>
      <c r="X220" s="2"/>
      <c r="Y220" s="2"/>
      <c r="Z220" s="2">
        <v>0</v>
      </c>
      <c r="AA220" s="2" t="s">
        <v>45</v>
      </c>
      <c r="AB220" s="2">
        <v>220.1</v>
      </c>
    </row>
    <row r="221" spans="1:28" x14ac:dyDescent="0.3">
      <c r="A221" s="4">
        <v>46173</v>
      </c>
      <c r="B221" s="8" t="s">
        <v>62</v>
      </c>
      <c r="C221" s="8" t="s">
        <v>36</v>
      </c>
      <c r="D221" s="7" t="s">
        <v>48</v>
      </c>
      <c r="E221" s="7" t="s">
        <v>38</v>
      </c>
      <c r="F221" s="13">
        <v>4305</v>
      </c>
      <c r="G221" s="59"/>
      <c r="H221" s="6">
        <f>24000/7</f>
        <v>3428.5714285714284</v>
      </c>
      <c r="I221" s="6">
        <f t="shared" si="22"/>
        <v>122.69326683291771</v>
      </c>
      <c r="J221" s="2">
        <v>4.16</v>
      </c>
      <c r="K221" s="2">
        <v>4.01</v>
      </c>
      <c r="L221" s="2">
        <v>0.15</v>
      </c>
      <c r="M221" s="2">
        <v>3.61</v>
      </c>
      <c r="N221" s="2">
        <v>201</v>
      </c>
      <c r="O221" s="77">
        <v>492</v>
      </c>
      <c r="P221" s="2">
        <v>2.4500000000000002</v>
      </c>
      <c r="Q221" s="2">
        <v>3.16</v>
      </c>
      <c r="R221" s="2">
        <v>155.68</v>
      </c>
      <c r="S221" s="2">
        <v>1.42</v>
      </c>
      <c r="T221" s="2">
        <v>9.4600000000000009</v>
      </c>
      <c r="U221" s="2">
        <v>154.26</v>
      </c>
      <c r="V221" s="2">
        <v>38.51</v>
      </c>
      <c r="W221" s="2">
        <v>6284.91</v>
      </c>
      <c r="X221" s="2">
        <v>390894</v>
      </c>
      <c r="Y221" s="2">
        <v>1374436</v>
      </c>
      <c r="Z221" s="2">
        <v>0</v>
      </c>
      <c r="AA221" s="2">
        <v>0</v>
      </c>
      <c r="AB221" s="2">
        <v>45</v>
      </c>
    </row>
    <row r="222" spans="1:28" hidden="1" x14ac:dyDescent="0.3">
      <c r="A222" s="4">
        <v>46173</v>
      </c>
      <c r="B222" s="8" t="s">
        <v>55</v>
      </c>
      <c r="C222" s="8" t="s">
        <v>56</v>
      </c>
      <c r="D222" s="7" t="s">
        <v>39</v>
      </c>
      <c r="E222" s="7" t="s">
        <v>47</v>
      </c>
      <c r="F222" s="13">
        <v>0</v>
      </c>
      <c r="G222" s="59"/>
      <c r="H222" s="6">
        <v>0</v>
      </c>
      <c r="I222" s="6">
        <f t="shared" si="22"/>
        <v>0</v>
      </c>
      <c r="J222" s="2">
        <v>0</v>
      </c>
      <c r="K222" s="2">
        <v>0</v>
      </c>
      <c r="L222" s="2">
        <v>0</v>
      </c>
      <c r="M222" s="2" t="s">
        <v>45</v>
      </c>
      <c r="N222" s="2">
        <v>0</v>
      </c>
      <c r="O222" s="56">
        <v>0</v>
      </c>
      <c r="P222" s="2" t="s">
        <v>45</v>
      </c>
      <c r="Q222" s="2" t="s">
        <v>45</v>
      </c>
      <c r="R222" s="2">
        <v>0</v>
      </c>
      <c r="S222" s="2">
        <v>0</v>
      </c>
      <c r="T222" s="2" t="s">
        <v>45</v>
      </c>
      <c r="U222" s="2">
        <v>0</v>
      </c>
      <c r="V222" s="2" t="s">
        <v>45</v>
      </c>
      <c r="W222" s="2">
        <v>9004.83</v>
      </c>
      <c r="X222" s="2">
        <v>67419</v>
      </c>
      <c r="Y222" s="2">
        <v>98161</v>
      </c>
      <c r="Z222" s="2">
        <v>0</v>
      </c>
      <c r="AA222" s="2" t="s">
        <v>45</v>
      </c>
      <c r="AB222" s="2">
        <v>274.39999999999998</v>
      </c>
    </row>
    <row r="223" spans="1:28" hidden="1" x14ac:dyDescent="0.3">
      <c r="A223" s="4">
        <v>46173</v>
      </c>
      <c r="B223" s="8" t="s">
        <v>55</v>
      </c>
      <c r="C223" s="8" t="s">
        <v>56</v>
      </c>
      <c r="D223" s="7" t="s">
        <v>46</v>
      </c>
      <c r="E223" s="7" t="s">
        <v>47</v>
      </c>
      <c r="F223" s="13">
        <v>0</v>
      </c>
      <c r="G223" s="59"/>
      <c r="H223" s="6"/>
      <c r="I223" s="6">
        <f t="shared" si="22"/>
        <v>0</v>
      </c>
      <c r="J223" s="2">
        <v>0</v>
      </c>
      <c r="K223" s="2">
        <v>0</v>
      </c>
      <c r="L223" s="2">
        <v>0</v>
      </c>
      <c r="M223" s="2" t="s">
        <v>45</v>
      </c>
      <c r="N223" s="2">
        <v>0</v>
      </c>
      <c r="O223" s="56">
        <v>0</v>
      </c>
      <c r="P223" s="2" t="s">
        <v>45</v>
      </c>
      <c r="Q223" s="2" t="s">
        <v>45</v>
      </c>
      <c r="R223" s="2">
        <v>0</v>
      </c>
      <c r="S223" s="2">
        <v>0</v>
      </c>
      <c r="T223" s="2" t="s">
        <v>45</v>
      </c>
      <c r="U223" s="2">
        <v>0</v>
      </c>
      <c r="V223" s="2" t="s">
        <v>45</v>
      </c>
      <c r="W223" s="2">
        <v>7571.62</v>
      </c>
      <c r="X223" s="2">
        <v>95260</v>
      </c>
      <c r="Y223" s="2">
        <v>273954</v>
      </c>
      <c r="Z223" s="2">
        <v>0</v>
      </c>
      <c r="AA223" s="2" t="s">
        <v>45</v>
      </c>
      <c r="AB223" s="2">
        <v>235.1</v>
      </c>
    </row>
    <row r="224" spans="1:28" hidden="1" x14ac:dyDescent="0.3">
      <c r="A224" s="4">
        <v>46173</v>
      </c>
      <c r="B224" s="8" t="s">
        <v>55</v>
      </c>
      <c r="C224" s="8" t="s">
        <v>56</v>
      </c>
      <c r="D224" s="7" t="s">
        <v>50</v>
      </c>
      <c r="E224" s="7" t="s">
        <v>47</v>
      </c>
      <c r="F224" s="13">
        <v>0</v>
      </c>
      <c r="G224" s="59"/>
      <c r="H224" s="6"/>
      <c r="I224" s="6">
        <f t="shared" si="22"/>
        <v>0</v>
      </c>
      <c r="J224" s="2" t="s">
        <v>45</v>
      </c>
      <c r="K224" s="2" t="s">
        <v>45</v>
      </c>
      <c r="L224" s="2" t="s">
        <v>45</v>
      </c>
      <c r="M224" s="2" t="s">
        <v>45</v>
      </c>
      <c r="N224" s="2" t="s">
        <v>45</v>
      </c>
      <c r="O224" s="56" t="s">
        <v>45</v>
      </c>
      <c r="P224" s="2" t="s">
        <v>45</v>
      </c>
      <c r="Q224" s="2" t="s">
        <v>45</v>
      </c>
      <c r="R224" s="2" t="s">
        <v>45</v>
      </c>
      <c r="S224" s="2" t="s">
        <v>45</v>
      </c>
      <c r="T224" s="2" t="s">
        <v>45</v>
      </c>
      <c r="U224" s="2" t="s">
        <v>45</v>
      </c>
      <c r="V224" s="2" t="s">
        <v>45</v>
      </c>
      <c r="W224" s="2" t="s">
        <v>45</v>
      </c>
      <c r="X224" s="2" t="s">
        <v>45</v>
      </c>
      <c r="Y224" s="2" t="s">
        <v>45</v>
      </c>
      <c r="Z224" s="2" t="s">
        <v>45</v>
      </c>
      <c r="AA224" s="2" t="s">
        <v>45</v>
      </c>
      <c r="AB224" s="2" t="s">
        <v>45</v>
      </c>
    </row>
    <row r="225" spans="1:28" hidden="1" x14ac:dyDescent="0.3">
      <c r="A225" s="4">
        <v>46173</v>
      </c>
      <c r="B225" s="8" t="s">
        <v>55</v>
      </c>
      <c r="C225" s="8" t="s">
        <v>56</v>
      </c>
      <c r="D225" s="7" t="s">
        <v>49</v>
      </c>
      <c r="E225" s="7" t="s">
        <v>47</v>
      </c>
      <c r="F225" s="13">
        <v>0</v>
      </c>
      <c r="G225" s="59"/>
      <c r="H225" s="6"/>
      <c r="I225" s="6">
        <f t="shared" si="22"/>
        <v>0</v>
      </c>
      <c r="J225" s="2" t="s">
        <v>45</v>
      </c>
      <c r="K225" s="2" t="s">
        <v>45</v>
      </c>
      <c r="L225" s="2" t="s">
        <v>45</v>
      </c>
      <c r="M225" s="2" t="s">
        <v>45</v>
      </c>
      <c r="N225" s="2" t="s">
        <v>45</v>
      </c>
      <c r="O225" s="56" t="s">
        <v>45</v>
      </c>
      <c r="P225" s="2" t="s">
        <v>45</v>
      </c>
      <c r="Q225" s="2" t="s">
        <v>45</v>
      </c>
      <c r="R225" s="2" t="s">
        <v>45</v>
      </c>
      <c r="S225" s="2" t="s">
        <v>45</v>
      </c>
      <c r="T225" s="2" t="s">
        <v>45</v>
      </c>
      <c r="U225" s="2" t="s">
        <v>45</v>
      </c>
      <c r="V225" s="2" t="s">
        <v>45</v>
      </c>
      <c r="W225" s="2" t="s">
        <v>45</v>
      </c>
      <c r="X225" s="2" t="s">
        <v>45</v>
      </c>
      <c r="Y225" s="2" t="s">
        <v>45</v>
      </c>
      <c r="Z225" s="2" t="s">
        <v>45</v>
      </c>
      <c r="AA225" s="2" t="s">
        <v>45</v>
      </c>
      <c r="AB225" s="2" t="s">
        <v>45</v>
      </c>
    </row>
    <row r="226" spans="1:28" hidden="1" x14ac:dyDescent="0.3">
      <c r="A226" s="4">
        <v>46173</v>
      </c>
      <c r="B226" s="8" t="s">
        <v>55</v>
      </c>
      <c r="C226" s="8" t="s">
        <v>56</v>
      </c>
      <c r="D226" s="7" t="s">
        <v>49</v>
      </c>
      <c r="E226" s="7" t="s">
        <v>47</v>
      </c>
      <c r="F226" s="13">
        <v>0</v>
      </c>
      <c r="G226" s="59"/>
      <c r="H226" s="6"/>
      <c r="I226" s="6">
        <f t="shared" si="22"/>
        <v>0</v>
      </c>
      <c r="J226" s="2" t="s">
        <v>45</v>
      </c>
      <c r="K226" s="2" t="s">
        <v>45</v>
      </c>
      <c r="L226" s="2" t="s">
        <v>45</v>
      </c>
      <c r="M226" s="2" t="s">
        <v>45</v>
      </c>
      <c r="N226" s="2" t="s">
        <v>45</v>
      </c>
      <c r="O226" s="56" t="s">
        <v>45</v>
      </c>
      <c r="P226" s="2" t="s">
        <v>45</v>
      </c>
      <c r="Q226" s="2" t="s">
        <v>45</v>
      </c>
      <c r="R226" s="2" t="s">
        <v>45</v>
      </c>
      <c r="S226" s="2" t="s">
        <v>45</v>
      </c>
      <c r="T226" s="2" t="s">
        <v>45</v>
      </c>
      <c r="U226" s="2" t="s">
        <v>45</v>
      </c>
      <c r="V226" s="2" t="s">
        <v>45</v>
      </c>
      <c r="W226" s="2" t="s">
        <v>45</v>
      </c>
      <c r="X226" s="2" t="s">
        <v>45</v>
      </c>
      <c r="Y226" s="2" t="s">
        <v>45</v>
      </c>
      <c r="Z226" s="2" t="s">
        <v>45</v>
      </c>
      <c r="AA226" s="2" t="s">
        <v>45</v>
      </c>
      <c r="AB226" s="2" t="s">
        <v>45</v>
      </c>
    </row>
    <row r="227" spans="1:28" hidden="1" x14ac:dyDescent="0.3">
      <c r="A227" s="4">
        <v>46173</v>
      </c>
      <c r="B227" s="8" t="s">
        <v>55</v>
      </c>
      <c r="C227" s="8" t="s">
        <v>56</v>
      </c>
      <c r="D227" s="7" t="s">
        <v>39</v>
      </c>
      <c r="E227" s="7" t="s">
        <v>40</v>
      </c>
      <c r="F227" s="13">
        <v>0</v>
      </c>
      <c r="G227" s="59"/>
      <c r="H227" s="6"/>
      <c r="I227" s="6">
        <f t="shared" si="22"/>
        <v>0</v>
      </c>
      <c r="J227" s="2">
        <v>0</v>
      </c>
      <c r="K227" s="2">
        <v>0</v>
      </c>
      <c r="L227" s="2">
        <v>0</v>
      </c>
      <c r="M227" s="2" t="s">
        <v>45</v>
      </c>
      <c r="N227" s="2">
        <v>0</v>
      </c>
      <c r="O227" s="56">
        <v>0</v>
      </c>
      <c r="P227" s="2" t="s">
        <v>45</v>
      </c>
      <c r="Q227" s="2" t="s">
        <v>45</v>
      </c>
      <c r="R227" s="2">
        <v>0</v>
      </c>
      <c r="S227" s="2">
        <v>0</v>
      </c>
      <c r="T227" s="2" t="s">
        <v>45</v>
      </c>
      <c r="U227" s="2">
        <v>0</v>
      </c>
      <c r="V227" s="2" t="s">
        <v>45</v>
      </c>
      <c r="W227" s="2">
        <v>9004.83</v>
      </c>
      <c r="X227" s="2">
        <v>67419</v>
      </c>
      <c r="Y227" s="2">
        <v>98161</v>
      </c>
      <c r="Z227" s="2">
        <v>0</v>
      </c>
      <c r="AA227" s="2" t="s">
        <v>45</v>
      </c>
      <c r="AB227" s="2">
        <v>274.39999999999998</v>
      </c>
    </row>
    <row r="228" spans="1:28" hidden="1" x14ac:dyDescent="0.3">
      <c r="A228" s="4">
        <v>46173</v>
      </c>
      <c r="B228" s="8" t="s">
        <v>55</v>
      </c>
      <c r="C228" s="8" t="s">
        <v>56</v>
      </c>
      <c r="D228" s="7" t="s">
        <v>43</v>
      </c>
      <c r="E228" s="7" t="s">
        <v>40</v>
      </c>
      <c r="F228" s="13"/>
      <c r="G228" s="59"/>
      <c r="H228" s="6"/>
      <c r="I228" s="6">
        <f t="shared" si="22"/>
        <v>0</v>
      </c>
      <c r="J228" s="2">
        <v>0</v>
      </c>
      <c r="K228" s="2">
        <v>0</v>
      </c>
      <c r="L228" s="2">
        <v>0</v>
      </c>
      <c r="M228" s="2" t="s">
        <v>45</v>
      </c>
      <c r="N228" s="2" t="s">
        <v>45</v>
      </c>
      <c r="O228" s="56" t="s">
        <v>45</v>
      </c>
      <c r="P228" s="2" t="s">
        <v>45</v>
      </c>
      <c r="Q228" s="2" t="s">
        <v>45</v>
      </c>
      <c r="R228" s="2">
        <v>0</v>
      </c>
      <c r="S228" s="2">
        <v>0</v>
      </c>
      <c r="T228" s="2" t="s">
        <v>45</v>
      </c>
      <c r="U228" s="2">
        <v>0</v>
      </c>
      <c r="V228" s="2" t="s">
        <v>45</v>
      </c>
      <c r="W228" s="2">
        <v>8571.5</v>
      </c>
      <c r="X228" s="2" t="s">
        <v>45</v>
      </c>
      <c r="Y228" s="2" t="s">
        <v>45</v>
      </c>
      <c r="Z228" s="2">
        <v>0</v>
      </c>
      <c r="AA228" s="2" t="s">
        <v>45</v>
      </c>
      <c r="AB228" s="2">
        <v>220.1</v>
      </c>
    </row>
    <row r="229" spans="1:28" hidden="1" x14ac:dyDescent="0.3">
      <c r="A229" s="4">
        <v>46173</v>
      </c>
      <c r="B229" s="8" t="s">
        <v>55</v>
      </c>
      <c r="C229" s="8" t="s">
        <v>56</v>
      </c>
      <c r="D229" s="7" t="s">
        <v>46</v>
      </c>
      <c r="E229" s="7" t="s">
        <v>47</v>
      </c>
      <c r="F229" s="13"/>
      <c r="G229" s="59"/>
      <c r="H229" s="6"/>
      <c r="I229" s="6">
        <f t="shared" si="22"/>
        <v>0</v>
      </c>
      <c r="J229" s="2">
        <v>0</v>
      </c>
      <c r="K229" s="2">
        <v>0</v>
      </c>
      <c r="L229" s="2">
        <v>0</v>
      </c>
      <c r="M229" s="2" t="s">
        <v>45</v>
      </c>
      <c r="N229" s="2">
        <v>0</v>
      </c>
      <c r="O229" s="56">
        <v>0</v>
      </c>
      <c r="P229" s="2" t="s">
        <v>45</v>
      </c>
      <c r="Q229" s="2" t="s">
        <v>45</v>
      </c>
      <c r="R229" s="2">
        <v>0</v>
      </c>
      <c r="S229" s="2">
        <v>0</v>
      </c>
      <c r="T229" s="2" t="s">
        <v>45</v>
      </c>
      <c r="U229" s="2">
        <v>0</v>
      </c>
      <c r="V229" s="2" t="s">
        <v>45</v>
      </c>
      <c r="W229" s="2">
        <v>7571.62</v>
      </c>
      <c r="X229" s="2">
        <v>95260</v>
      </c>
      <c r="Y229" s="2">
        <v>273954</v>
      </c>
      <c r="Z229" s="2">
        <v>0</v>
      </c>
      <c r="AA229" s="2" t="s">
        <v>45</v>
      </c>
      <c r="AB229" s="2">
        <v>235.1</v>
      </c>
    </row>
    <row r="230" spans="1:28" x14ac:dyDescent="0.3">
      <c r="A230" s="4">
        <v>46173</v>
      </c>
      <c r="B230" s="8" t="s">
        <v>55</v>
      </c>
      <c r="C230" s="8" t="s">
        <v>56</v>
      </c>
      <c r="D230" s="7" t="s">
        <v>48</v>
      </c>
      <c r="E230" s="7" t="s">
        <v>38</v>
      </c>
      <c r="F230" s="13"/>
      <c r="G230" s="59" t="s">
        <v>63</v>
      </c>
      <c r="H230" s="6">
        <f>24000/8</f>
        <v>3000</v>
      </c>
      <c r="I230" s="6">
        <f t="shared" si="22"/>
        <v>122.69326683291771</v>
      </c>
      <c r="J230" s="2">
        <v>4.16</v>
      </c>
      <c r="K230" s="2">
        <v>4.01</v>
      </c>
      <c r="L230" s="2">
        <v>0.15</v>
      </c>
      <c r="M230" s="2">
        <v>3.61</v>
      </c>
      <c r="N230" s="2">
        <v>201</v>
      </c>
      <c r="O230" s="77">
        <v>492</v>
      </c>
      <c r="P230" s="2">
        <v>2.4500000000000002</v>
      </c>
      <c r="Q230" s="2">
        <v>3.16</v>
      </c>
      <c r="R230" s="2">
        <v>155.68</v>
      </c>
      <c r="S230" s="2">
        <v>1.42</v>
      </c>
      <c r="T230" s="2">
        <v>9.4600000000000009</v>
      </c>
      <c r="U230" s="2">
        <v>154.26</v>
      </c>
      <c r="V230" s="2">
        <v>38.51</v>
      </c>
      <c r="W230" s="2">
        <v>6284.91</v>
      </c>
      <c r="X230" s="2">
        <v>390894</v>
      </c>
      <c r="Y230" s="2">
        <v>1374436</v>
      </c>
      <c r="Z230" s="2">
        <v>0</v>
      </c>
      <c r="AA230" s="2">
        <v>0</v>
      </c>
      <c r="AB230" s="2">
        <v>45</v>
      </c>
    </row>
    <row r="231" spans="1:28" hidden="1" x14ac:dyDescent="0.3">
      <c r="A231" s="4">
        <v>46173</v>
      </c>
      <c r="B231" s="8" t="s">
        <v>55</v>
      </c>
      <c r="C231" s="8" t="s">
        <v>56</v>
      </c>
      <c r="D231" s="7" t="s">
        <v>50</v>
      </c>
      <c r="E231" s="7" t="s">
        <v>47</v>
      </c>
      <c r="F231" s="13"/>
      <c r="G231" s="59"/>
      <c r="H231" s="6"/>
      <c r="I231" s="6">
        <f t="shared" si="22"/>
        <v>0</v>
      </c>
      <c r="J231" s="2" t="s">
        <v>45</v>
      </c>
      <c r="K231" s="2" t="s">
        <v>45</v>
      </c>
      <c r="L231" s="2" t="s">
        <v>45</v>
      </c>
      <c r="M231" s="2" t="s">
        <v>45</v>
      </c>
      <c r="N231" s="2" t="s">
        <v>45</v>
      </c>
      <c r="O231" s="56" t="s">
        <v>45</v>
      </c>
      <c r="P231" s="2" t="s">
        <v>45</v>
      </c>
      <c r="Q231" s="2" t="s">
        <v>45</v>
      </c>
      <c r="R231" s="2" t="s">
        <v>45</v>
      </c>
      <c r="S231" s="2" t="s">
        <v>45</v>
      </c>
      <c r="T231" s="2" t="s">
        <v>45</v>
      </c>
      <c r="U231" s="2" t="s">
        <v>45</v>
      </c>
      <c r="V231" s="2" t="s">
        <v>45</v>
      </c>
      <c r="W231" s="2" t="s">
        <v>45</v>
      </c>
      <c r="X231" s="2" t="s">
        <v>45</v>
      </c>
      <c r="Y231" s="2" t="s">
        <v>45</v>
      </c>
      <c r="Z231" s="2" t="s">
        <v>45</v>
      </c>
      <c r="AA231" s="2" t="s">
        <v>45</v>
      </c>
      <c r="AB231" s="2" t="s">
        <v>45</v>
      </c>
    </row>
    <row r="232" spans="1:28" hidden="1" x14ac:dyDescent="0.3">
      <c r="A232" s="4">
        <v>46173</v>
      </c>
      <c r="B232" s="8" t="s">
        <v>55</v>
      </c>
      <c r="C232" s="8" t="s">
        <v>56</v>
      </c>
      <c r="D232" s="7" t="s">
        <v>49</v>
      </c>
      <c r="E232" s="7" t="s">
        <v>47</v>
      </c>
      <c r="F232" s="13"/>
      <c r="G232" s="59"/>
      <c r="H232" s="6"/>
      <c r="I232" s="6">
        <f t="shared" si="22"/>
        <v>0</v>
      </c>
      <c r="J232" s="2" t="s">
        <v>45</v>
      </c>
      <c r="K232" s="2" t="s">
        <v>45</v>
      </c>
      <c r="L232" s="2" t="s">
        <v>45</v>
      </c>
      <c r="M232" s="2" t="s">
        <v>45</v>
      </c>
      <c r="N232" s="2" t="s">
        <v>45</v>
      </c>
      <c r="O232" s="56" t="s">
        <v>45</v>
      </c>
      <c r="P232" s="2" t="s">
        <v>45</v>
      </c>
      <c r="Q232" s="2" t="s">
        <v>45</v>
      </c>
      <c r="R232" s="2" t="s">
        <v>45</v>
      </c>
      <c r="S232" s="2" t="s">
        <v>45</v>
      </c>
      <c r="T232" s="2" t="s">
        <v>45</v>
      </c>
      <c r="U232" s="2" t="s">
        <v>45</v>
      </c>
      <c r="V232" s="2" t="s">
        <v>45</v>
      </c>
      <c r="W232" s="2" t="s">
        <v>45</v>
      </c>
      <c r="X232" s="2" t="s">
        <v>45</v>
      </c>
      <c r="Y232" s="2" t="s">
        <v>45</v>
      </c>
      <c r="Z232" s="2" t="s">
        <v>45</v>
      </c>
      <c r="AA232" s="2" t="s">
        <v>45</v>
      </c>
      <c r="AB232" s="2" t="s">
        <v>45</v>
      </c>
    </row>
    <row r="233" spans="1:28" hidden="1" x14ac:dyDescent="0.3">
      <c r="A233" s="4">
        <v>46173</v>
      </c>
      <c r="B233" s="8" t="s">
        <v>55</v>
      </c>
      <c r="C233" s="8" t="s">
        <v>56</v>
      </c>
      <c r="D233" s="7" t="s">
        <v>52</v>
      </c>
      <c r="E233" s="7" t="s">
        <v>47</v>
      </c>
      <c r="F233" s="13"/>
      <c r="G233" s="59"/>
      <c r="H233" s="6"/>
      <c r="I233" s="6">
        <f t="shared" si="22"/>
        <v>0</v>
      </c>
      <c r="J233" s="2" t="s">
        <v>45</v>
      </c>
      <c r="K233" s="2" t="s">
        <v>45</v>
      </c>
      <c r="L233" s="2" t="s">
        <v>45</v>
      </c>
      <c r="M233" s="2" t="s">
        <v>45</v>
      </c>
      <c r="N233" s="2" t="s">
        <v>45</v>
      </c>
      <c r="O233" s="56" t="s">
        <v>45</v>
      </c>
      <c r="P233" s="2" t="s">
        <v>45</v>
      </c>
      <c r="Q233" s="2" t="s">
        <v>45</v>
      </c>
      <c r="R233" s="2" t="s">
        <v>45</v>
      </c>
      <c r="S233" s="2" t="s">
        <v>45</v>
      </c>
      <c r="T233" s="2" t="s">
        <v>45</v>
      </c>
      <c r="U233" s="2" t="s">
        <v>45</v>
      </c>
      <c r="V233" s="2" t="s">
        <v>45</v>
      </c>
      <c r="W233" s="2" t="s">
        <v>45</v>
      </c>
      <c r="X233" s="2" t="s">
        <v>45</v>
      </c>
      <c r="Y233" s="2" t="s">
        <v>45</v>
      </c>
      <c r="Z233" s="2" t="s">
        <v>45</v>
      </c>
      <c r="AA233" s="2" t="s">
        <v>45</v>
      </c>
      <c r="AB233" s="2" t="s">
        <v>45</v>
      </c>
    </row>
    <row r="234" spans="1:28" hidden="1" x14ac:dyDescent="0.3">
      <c r="A234" s="4">
        <v>46174</v>
      </c>
      <c r="B234" s="8" t="s">
        <v>64</v>
      </c>
      <c r="C234" s="8" t="s">
        <v>36</v>
      </c>
      <c r="D234" s="7" t="s">
        <v>39</v>
      </c>
      <c r="E234" s="7" t="s">
        <v>40</v>
      </c>
      <c r="F234" s="13">
        <v>0</v>
      </c>
      <c r="G234" s="59"/>
      <c r="H234" s="6"/>
      <c r="I234" s="6">
        <f t="shared" si="22"/>
        <v>82.899628252788105</v>
      </c>
      <c r="J234" s="2">
        <v>2.99</v>
      </c>
      <c r="K234" s="2">
        <v>2.69</v>
      </c>
      <c r="L234" s="2">
        <v>0.3</v>
      </c>
      <c r="M234" s="2">
        <v>10.02</v>
      </c>
      <c r="N234" s="2">
        <v>337</v>
      </c>
      <c r="O234" s="56">
        <v>223</v>
      </c>
      <c r="P234" s="2">
        <v>0.66</v>
      </c>
      <c r="Q234" s="2">
        <v>3.68</v>
      </c>
      <c r="R234" s="2">
        <v>60.57</v>
      </c>
      <c r="S234" s="2">
        <v>1.89</v>
      </c>
      <c r="T234" s="2">
        <v>6.31</v>
      </c>
      <c r="U234" s="2">
        <v>58.67</v>
      </c>
      <c r="V234" s="2">
        <v>21.78</v>
      </c>
      <c r="W234" s="2">
        <v>9007.83</v>
      </c>
      <c r="X234" s="2">
        <v>67756</v>
      </c>
      <c r="Y234" s="2">
        <v>98384</v>
      </c>
      <c r="Z234" s="2">
        <v>0.5</v>
      </c>
      <c r="AA234" s="2">
        <v>0</v>
      </c>
      <c r="AB234" s="2">
        <v>274.89999999999998</v>
      </c>
    </row>
    <row r="235" spans="1:28" hidden="1" x14ac:dyDescent="0.3">
      <c r="A235" s="4">
        <v>46174</v>
      </c>
      <c r="B235" s="8" t="s">
        <v>64</v>
      </c>
      <c r="C235" s="8" t="s">
        <v>36</v>
      </c>
      <c r="D235" s="7" t="s">
        <v>43</v>
      </c>
      <c r="E235" s="7" t="s">
        <v>40</v>
      </c>
      <c r="F235" s="13"/>
      <c r="G235" s="59"/>
      <c r="H235" s="6"/>
      <c r="I235" s="6">
        <f t="shared" si="22"/>
        <v>0</v>
      </c>
      <c r="J235" s="2">
        <v>4.18</v>
      </c>
      <c r="K235" s="2">
        <v>3.28</v>
      </c>
      <c r="L235" s="2">
        <v>0.9</v>
      </c>
      <c r="M235" s="2">
        <v>21.53</v>
      </c>
      <c r="N235" s="2" t="s">
        <v>45</v>
      </c>
      <c r="O235" s="56" t="s">
        <v>45</v>
      </c>
      <c r="P235" s="2" t="s">
        <v>45</v>
      </c>
      <c r="Q235" s="2" t="s">
        <v>45</v>
      </c>
      <c r="R235" s="2">
        <v>66.239999999999995</v>
      </c>
      <c r="S235" s="2">
        <v>3.31</v>
      </c>
      <c r="T235" s="2">
        <v>3.68</v>
      </c>
      <c r="U235" s="2">
        <v>62.93</v>
      </c>
      <c r="V235" s="2">
        <v>19.18</v>
      </c>
      <c r="W235" s="2">
        <v>8575.68</v>
      </c>
      <c r="X235" s="2" t="s">
        <v>45</v>
      </c>
      <c r="Y235" s="2" t="s">
        <v>45</v>
      </c>
      <c r="Z235" s="2">
        <v>1</v>
      </c>
      <c r="AA235" s="2" t="s">
        <v>45</v>
      </c>
      <c r="AB235" s="2">
        <v>221.1</v>
      </c>
    </row>
    <row r="236" spans="1:28" hidden="1" x14ac:dyDescent="0.3">
      <c r="A236" s="4">
        <v>46174</v>
      </c>
      <c r="B236" s="8" t="s">
        <v>64</v>
      </c>
      <c r="C236" s="8" t="s">
        <v>36</v>
      </c>
      <c r="D236" s="7" t="s">
        <v>46</v>
      </c>
      <c r="E236" s="7" t="s">
        <v>47</v>
      </c>
      <c r="F236" s="13"/>
      <c r="G236" s="59"/>
      <c r="H236" s="6">
        <v>3000</v>
      </c>
      <c r="I236" s="6">
        <f t="shared" si="22"/>
        <v>432.00589970501471</v>
      </c>
      <c r="J236" s="2">
        <v>7.98</v>
      </c>
      <c r="K236" s="2">
        <v>6.78</v>
      </c>
      <c r="L236" s="2">
        <v>1.2</v>
      </c>
      <c r="M236" s="2">
        <v>15.03</v>
      </c>
      <c r="N236" s="2">
        <v>1062</v>
      </c>
      <c r="O236" s="56">
        <v>2929</v>
      </c>
      <c r="P236" s="2">
        <v>2.76</v>
      </c>
      <c r="Q236" s="2">
        <v>13.11</v>
      </c>
      <c r="R236" s="2">
        <v>223.34</v>
      </c>
      <c r="S236" s="2">
        <v>10.88</v>
      </c>
      <c r="T236" s="2">
        <v>9.07</v>
      </c>
      <c r="U236" s="2">
        <v>212.46</v>
      </c>
      <c r="V236" s="2">
        <v>31.32</v>
      </c>
      <c r="W236" s="2">
        <v>7579.6</v>
      </c>
      <c r="X236" s="2">
        <v>96322</v>
      </c>
      <c r="Y236" s="2">
        <v>276883</v>
      </c>
      <c r="Z236" s="2">
        <v>0</v>
      </c>
      <c r="AA236" s="2">
        <v>0</v>
      </c>
      <c r="AB236" s="2">
        <v>235.1</v>
      </c>
    </row>
    <row r="237" spans="1:28" x14ac:dyDescent="0.3">
      <c r="A237" s="4">
        <v>46174</v>
      </c>
      <c r="B237" s="8" t="s">
        <v>64</v>
      </c>
      <c r="C237" s="8" t="s">
        <v>36</v>
      </c>
      <c r="D237" s="7" t="s">
        <v>48</v>
      </c>
      <c r="E237" s="7" t="s">
        <v>38</v>
      </c>
      <c r="F237" s="13">
        <v>4305</v>
      </c>
      <c r="G237" s="59"/>
      <c r="H237" s="6">
        <f>24000/7</f>
        <v>3428.5714285714284</v>
      </c>
      <c r="I237" s="6">
        <f t="shared" si="22"/>
        <v>523.76514445479961</v>
      </c>
      <c r="J237" s="2">
        <v>12.03</v>
      </c>
      <c r="K237" s="2">
        <v>10.73</v>
      </c>
      <c r="L237" s="2">
        <v>1.3</v>
      </c>
      <c r="M237" s="2">
        <v>10.81</v>
      </c>
      <c r="N237" s="2">
        <v>1250</v>
      </c>
      <c r="O237" s="77">
        <v>5620</v>
      </c>
      <c r="P237" s="2">
        <v>4.5</v>
      </c>
      <c r="Q237" s="2">
        <v>13.59</v>
      </c>
      <c r="R237" s="2">
        <v>413.56</v>
      </c>
      <c r="S237" s="2">
        <v>7.1</v>
      </c>
      <c r="T237" s="2">
        <v>5.46</v>
      </c>
      <c r="U237" s="2">
        <v>406.46</v>
      </c>
      <c r="V237" s="2">
        <v>37.880000000000003</v>
      </c>
      <c r="W237" s="2">
        <v>6296.94</v>
      </c>
      <c r="X237" s="2">
        <v>392144</v>
      </c>
      <c r="Y237" s="2">
        <v>1380056</v>
      </c>
      <c r="Z237" s="2">
        <v>0.1</v>
      </c>
      <c r="AA237" s="2">
        <v>0</v>
      </c>
      <c r="AB237" s="2">
        <v>45.1</v>
      </c>
    </row>
    <row r="238" spans="1:28" hidden="1" x14ac:dyDescent="0.3">
      <c r="A238" s="4">
        <v>46174</v>
      </c>
      <c r="B238" s="8" t="s">
        <v>64</v>
      </c>
      <c r="C238" s="8" t="s">
        <v>36</v>
      </c>
      <c r="D238" s="7" t="s">
        <v>50</v>
      </c>
      <c r="E238" s="7" t="s">
        <v>47</v>
      </c>
      <c r="F238" s="13"/>
      <c r="G238" s="59"/>
      <c r="H238" s="6">
        <v>3000</v>
      </c>
      <c r="I238" s="6">
        <f t="shared" si="22"/>
        <v>283.84279475982532</v>
      </c>
      <c r="J238" s="2">
        <v>8.48</v>
      </c>
      <c r="K238" s="2">
        <v>4.58</v>
      </c>
      <c r="L238" s="2">
        <v>3.9</v>
      </c>
      <c r="M238" s="2">
        <v>46.01</v>
      </c>
      <c r="N238" s="2">
        <v>598</v>
      </c>
      <c r="O238" s="56">
        <v>1300</v>
      </c>
      <c r="P238" s="2">
        <v>2.17</v>
      </c>
      <c r="Q238" s="2">
        <v>12.72</v>
      </c>
      <c r="R238" s="2">
        <v>102.21</v>
      </c>
      <c r="S238" s="2">
        <v>15.14</v>
      </c>
      <c r="T238" s="2">
        <v>3.88</v>
      </c>
      <c r="U238" s="2">
        <v>87.06</v>
      </c>
      <c r="V238" s="2">
        <v>19.03</v>
      </c>
      <c r="W238" s="2">
        <v>2112.42</v>
      </c>
      <c r="X238" s="2">
        <v>126408</v>
      </c>
      <c r="Y238" s="2">
        <v>236754</v>
      </c>
      <c r="Z238" s="2">
        <v>0.1</v>
      </c>
      <c r="AA238" s="2">
        <v>0</v>
      </c>
      <c r="AB238" s="2">
        <v>290.89999999999998</v>
      </c>
    </row>
    <row r="239" spans="1:28" hidden="1" x14ac:dyDescent="0.3">
      <c r="A239" s="4">
        <v>46174</v>
      </c>
      <c r="B239" s="8" t="s">
        <v>64</v>
      </c>
      <c r="C239" s="8" t="s">
        <v>36</v>
      </c>
      <c r="D239" s="7" t="s">
        <v>49</v>
      </c>
      <c r="E239" s="7" t="s">
        <v>47</v>
      </c>
      <c r="F239" s="13"/>
      <c r="G239" s="59"/>
      <c r="H239" s="6">
        <v>3000</v>
      </c>
      <c r="I239" s="6">
        <f t="shared" si="22"/>
        <v>426.06557377049182</v>
      </c>
      <c r="J239" s="2">
        <v>8.5500000000000007</v>
      </c>
      <c r="K239" s="2">
        <v>6.1</v>
      </c>
      <c r="L239" s="2">
        <v>2.4500000000000002</v>
      </c>
      <c r="M239" s="2">
        <v>28.65</v>
      </c>
      <c r="N239" s="2">
        <v>864</v>
      </c>
      <c r="O239" s="56">
        <v>2599</v>
      </c>
      <c r="P239" s="2">
        <v>3.01</v>
      </c>
      <c r="Q239" s="2">
        <v>10.4</v>
      </c>
      <c r="R239" s="2">
        <v>249.84</v>
      </c>
      <c r="S239" s="2">
        <v>10.41</v>
      </c>
      <c r="T239" s="2">
        <v>4.25</v>
      </c>
      <c r="U239" s="2">
        <v>239.43</v>
      </c>
      <c r="V239" s="2">
        <v>39.24</v>
      </c>
      <c r="W239" s="2">
        <v>1633.24</v>
      </c>
      <c r="X239" s="2">
        <v>155391</v>
      </c>
      <c r="Y239" s="2">
        <v>530308</v>
      </c>
      <c r="Z239" s="2">
        <v>0.1</v>
      </c>
      <c r="AA239" s="2">
        <v>0</v>
      </c>
      <c r="AB239" s="2">
        <v>4.7</v>
      </c>
    </row>
    <row r="240" spans="1:28" hidden="1" x14ac:dyDescent="0.3">
      <c r="A240" s="4">
        <v>46174</v>
      </c>
      <c r="B240" s="8" t="s">
        <v>64</v>
      </c>
      <c r="C240" s="8" t="s">
        <v>36</v>
      </c>
      <c r="D240" s="7" t="s">
        <v>52</v>
      </c>
      <c r="E240" s="7" t="s">
        <v>47</v>
      </c>
      <c r="F240" s="13"/>
      <c r="G240" s="59"/>
      <c r="H240" s="6">
        <v>3000</v>
      </c>
      <c r="I240" s="6">
        <f t="shared" si="22"/>
        <v>312.73792093704247</v>
      </c>
      <c r="J240" s="2">
        <v>8.48</v>
      </c>
      <c r="K240" s="2">
        <v>6.83</v>
      </c>
      <c r="L240" s="2">
        <v>1.65</v>
      </c>
      <c r="M240" s="2">
        <v>19.46</v>
      </c>
      <c r="N240" s="2">
        <v>1059</v>
      </c>
      <c r="O240" s="56">
        <v>2136</v>
      </c>
      <c r="P240" s="2">
        <v>2.02</v>
      </c>
      <c r="Q240" s="2">
        <v>14.2</v>
      </c>
      <c r="R240" s="2">
        <v>150.47</v>
      </c>
      <c r="S240" s="2">
        <v>6.62</v>
      </c>
      <c r="T240" s="2">
        <v>4.01</v>
      </c>
      <c r="U240" s="2">
        <v>143.85</v>
      </c>
      <c r="V240" s="2">
        <v>21.06</v>
      </c>
      <c r="W240" s="2">
        <v>569.41</v>
      </c>
      <c r="X240" s="2">
        <v>51255</v>
      </c>
      <c r="Y240" s="2">
        <v>102266</v>
      </c>
      <c r="Z240" s="2">
        <v>1.8</v>
      </c>
      <c r="AA240" s="2">
        <v>0</v>
      </c>
      <c r="AB240" s="2">
        <v>44.1</v>
      </c>
    </row>
    <row r="241" spans="1:28" hidden="1" x14ac:dyDescent="0.3">
      <c r="A241" s="14">
        <v>46174</v>
      </c>
      <c r="B241" s="14" t="s">
        <v>64</v>
      </c>
      <c r="C241" s="14" t="s">
        <v>36</v>
      </c>
      <c r="D241" s="42"/>
      <c r="E241" s="42" t="s">
        <v>47</v>
      </c>
      <c r="F241" s="43"/>
      <c r="G241" s="60"/>
      <c r="H241" s="44">
        <v>3000</v>
      </c>
      <c r="I241" s="44"/>
      <c r="J241" s="42"/>
      <c r="K241" s="42"/>
      <c r="L241" s="42"/>
      <c r="M241" s="42"/>
      <c r="N241" s="42"/>
      <c r="O241" s="60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spans="1:28" hidden="1" x14ac:dyDescent="0.3">
      <c r="A242" s="4">
        <v>46175</v>
      </c>
      <c r="B242" s="8" t="s">
        <v>64</v>
      </c>
      <c r="C242" s="8" t="s">
        <v>36</v>
      </c>
      <c r="D242" s="7" t="s">
        <v>39</v>
      </c>
      <c r="E242" s="7" t="s">
        <v>40</v>
      </c>
      <c r="F242" s="13">
        <v>0</v>
      </c>
      <c r="G242" s="59"/>
      <c r="H242" s="6"/>
      <c r="I242" s="6">
        <f t="shared" ref="I242:I248" si="23">IFERROR(O242/K242,)</f>
        <v>34.050179211469533</v>
      </c>
      <c r="J242" s="2">
        <v>3.19</v>
      </c>
      <c r="K242" s="2">
        <v>2.79</v>
      </c>
      <c r="L242" s="2">
        <v>0.4</v>
      </c>
      <c r="M242" s="2">
        <v>12.53</v>
      </c>
      <c r="N242" s="2">
        <v>105</v>
      </c>
      <c r="O242" s="56">
        <v>95</v>
      </c>
      <c r="P242" s="2">
        <v>0.9</v>
      </c>
      <c r="Q242" s="2">
        <v>1.81</v>
      </c>
      <c r="R242" s="2">
        <v>52.52</v>
      </c>
      <c r="S242" s="2">
        <v>1.42</v>
      </c>
      <c r="T242" s="2">
        <v>3.55</v>
      </c>
      <c r="U242" s="2">
        <v>51.1</v>
      </c>
      <c r="V242" s="2">
        <v>18.309999999999999</v>
      </c>
      <c r="W242" s="2">
        <v>9011.02</v>
      </c>
      <c r="X242" s="2">
        <v>67861</v>
      </c>
      <c r="Y242" s="2">
        <v>98479</v>
      </c>
      <c r="Z242" s="2">
        <v>0</v>
      </c>
      <c r="AA242" s="2">
        <v>0</v>
      </c>
      <c r="AB242" s="2">
        <v>274.89999999999998</v>
      </c>
    </row>
    <row r="243" spans="1:28" s="45" customFormat="1" hidden="1" x14ac:dyDescent="0.3">
      <c r="A243" s="4">
        <v>46175</v>
      </c>
      <c r="B243" s="8" t="s">
        <v>64</v>
      </c>
      <c r="C243" s="8" t="s">
        <v>36</v>
      </c>
      <c r="D243" s="7" t="s">
        <v>43</v>
      </c>
      <c r="E243" s="7" t="s">
        <v>40</v>
      </c>
      <c r="F243" s="13"/>
      <c r="G243" s="59"/>
      <c r="H243" s="6"/>
      <c r="I243" s="6">
        <f t="shared" si="23"/>
        <v>0</v>
      </c>
      <c r="J243" s="2">
        <v>5.55</v>
      </c>
      <c r="K243" s="2">
        <v>4.8</v>
      </c>
      <c r="L243" s="2">
        <v>0.75</v>
      </c>
      <c r="M243" s="2">
        <v>13.5</v>
      </c>
      <c r="N243" s="2" t="s">
        <v>45</v>
      </c>
      <c r="O243" s="56" t="s">
        <v>45</v>
      </c>
      <c r="P243" s="2" t="s">
        <v>45</v>
      </c>
      <c r="Q243" s="2" t="s">
        <v>45</v>
      </c>
      <c r="R243" s="2">
        <v>103.63</v>
      </c>
      <c r="S243" s="2">
        <v>2.84</v>
      </c>
      <c r="T243" s="2">
        <v>3.79</v>
      </c>
      <c r="U243" s="2">
        <v>100.79</v>
      </c>
      <c r="V243" s="2">
        <v>20.98</v>
      </c>
      <c r="W243" s="2">
        <v>8581.24</v>
      </c>
      <c r="X243" s="2" t="s">
        <v>45</v>
      </c>
      <c r="Y243" s="2" t="s">
        <v>45</v>
      </c>
      <c r="Z243" s="2">
        <v>1.1000000000000001</v>
      </c>
      <c r="AA243" s="2" t="s">
        <v>45</v>
      </c>
      <c r="AB243" s="2">
        <v>222.2</v>
      </c>
    </row>
    <row r="244" spans="1:28" hidden="1" x14ac:dyDescent="0.3">
      <c r="A244" s="4">
        <v>46175</v>
      </c>
      <c r="B244" s="8" t="s">
        <v>64</v>
      </c>
      <c r="C244" s="8" t="s">
        <v>36</v>
      </c>
      <c r="D244" s="7" t="s">
        <v>46</v>
      </c>
      <c r="E244" s="7" t="s">
        <v>47</v>
      </c>
      <c r="F244" s="13"/>
      <c r="G244" s="59"/>
      <c r="H244" s="6">
        <v>3000</v>
      </c>
      <c r="I244" s="6">
        <f t="shared" si="23"/>
        <v>434.23295454545456</v>
      </c>
      <c r="J244" s="2">
        <v>8.09</v>
      </c>
      <c r="K244" s="2">
        <v>7.04</v>
      </c>
      <c r="L244" s="2">
        <v>1.05</v>
      </c>
      <c r="M244" s="2">
        <v>12.98</v>
      </c>
      <c r="N244" s="2">
        <v>1110</v>
      </c>
      <c r="O244" s="56">
        <v>3057</v>
      </c>
      <c r="P244" s="2">
        <v>2.75</v>
      </c>
      <c r="Q244" s="2">
        <v>13.49</v>
      </c>
      <c r="R244" s="2">
        <v>226.65</v>
      </c>
      <c r="S244" s="2">
        <v>6.15</v>
      </c>
      <c r="T244" s="2">
        <v>5.86</v>
      </c>
      <c r="U244" s="2">
        <v>220.5</v>
      </c>
      <c r="V244" s="2">
        <v>31.33</v>
      </c>
      <c r="W244" s="2">
        <v>7587.69</v>
      </c>
      <c r="X244" s="2">
        <v>97432</v>
      </c>
      <c r="Y244" s="2">
        <v>279940</v>
      </c>
      <c r="Z244" s="2">
        <v>0.1</v>
      </c>
      <c r="AA244" s="2">
        <v>0</v>
      </c>
      <c r="AB244" s="2">
        <v>235.2</v>
      </c>
    </row>
    <row r="245" spans="1:28" x14ac:dyDescent="0.3">
      <c r="A245" s="4">
        <v>46175</v>
      </c>
      <c r="B245" s="8" t="s">
        <v>64</v>
      </c>
      <c r="C245" s="8" t="s">
        <v>36</v>
      </c>
      <c r="D245" s="7" t="s">
        <v>48</v>
      </c>
      <c r="E245" s="7" t="s">
        <v>38</v>
      </c>
      <c r="F245" s="13">
        <v>3307</v>
      </c>
      <c r="G245" s="59"/>
      <c r="H245" s="6">
        <f>24000/7</f>
        <v>3428.5714285714284</v>
      </c>
      <c r="I245" s="6">
        <f t="shared" si="23"/>
        <v>468.06282722513083</v>
      </c>
      <c r="J245" s="2">
        <v>12.66</v>
      </c>
      <c r="K245" s="2">
        <v>11.46</v>
      </c>
      <c r="L245" s="2">
        <v>1.2</v>
      </c>
      <c r="M245" s="2">
        <v>9.48</v>
      </c>
      <c r="N245" s="2">
        <v>1385</v>
      </c>
      <c r="O245" s="77">
        <v>5364</v>
      </c>
      <c r="P245" s="2">
        <v>3.87</v>
      </c>
      <c r="Q245" s="2">
        <v>12.57</v>
      </c>
      <c r="R245" s="2">
        <v>426.8</v>
      </c>
      <c r="S245" s="2">
        <v>6.62</v>
      </c>
      <c r="T245" s="2">
        <v>5.52</v>
      </c>
      <c r="U245" s="2">
        <v>420.18</v>
      </c>
      <c r="V245" s="2">
        <v>36.68</v>
      </c>
      <c r="W245" s="2">
        <v>6309.59</v>
      </c>
      <c r="X245" s="2">
        <v>393529</v>
      </c>
      <c r="Y245" s="2">
        <v>1385420</v>
      </c>
      <c r="Z245" s="2">
        <v>0.1</v>
      </c>
      <c r="AA245" s="2">
        <v>0</v>
      </c>
      <c r="AB245" s="2">
        <v>45.2</v>
      </c>
    </row>
    <row r="246" spans="1:28" hidden="1" x14ac:dyDescent="0.3">
      <c r="A246" s="4">
        <v>46175</v>
      </c>
      <c r="B246" s="8" t="s">
        <v>64</v>
      </c>
      <c r="C246" s="8" t="s">
        <v>36</v>
      </c>
      <c r="D246" s="7" t="s">
        <v>50</v>
      </c>
      <c r="E246" s="7" t="s">
        <v>47</v>
      </c>
      <c r="F246" s="13"/>
      <c r="G246" s="59"/>
      <c r="H246" s="6">
        <v>3000</v>
      </c>
      <c r="I246" s="6">
        <f t="shared" si="23"/>
        <v>229.42206654991244</v>
      </c>
      <c r="J246" s="2">
        <v>8.61</v>
      </c>
      <c r="K246" s="2">
        <v>5.71</v>
      </c>
      <c r="L246" s="2">
        <v>2.9</v>
      </c>
      <c r="M246" s="2">
        <v>33.67</v>
      </c>
      <c r="N246" s="2">
        <v>754</v>
      </c>
      <c r="O246" s="56">
        <v>1310</v>
      </c>
      <c r="P246" s="2">
        <v>1.74</v>
      </c>
      <c r="Q246" s="2">
        <v>10.37</v>
      </c>
      <c r="R246" s="2">
        <v>126.34</v>
      </c>
      <c r="S246" s="2">
        <v>9.94</v>
      </c>
      <c r="T246" s="2">
        <v>3.43</v>
      </c>
      <c r="U246" s="2">
        <v>116.4</v>
      </c>
      <c r="V246" s="2">
        <v>20.37</v>
      </c>
      <c r="W246" s="2">
        <v>2121.04</v>
      </c>
      <c r="X246" s="2">
        <v>127162</v>
      </c>
      <c r="Y246" s="2">
        <v>238064</v>
      </c>
      <c r="Z246" s="2">
        <v>0.4</v>
      </c>
      <c r="AA246" s="2">
        <v>0</v>
      </c>
      <c r="AB246" s="2">
        <v>291.3</v>
      </c>
    </row>
    <row r="247" spans="1:28" hidden="1" x14ac:dyDescent="0.3">
      <c r="A247" s="4">
        <v>46175</v>
      </c>
      <c r="B247" s="8" t="s">
        <v>64</v>
      </c>
      <c r="C247" s="8" t="s">
        <v>36</v>
      </c>
      <c r="D247" s="7" t="s">
        <v>49</v>
      </c>
      <c r="E247" s="7" t="s">
        <v>47</v>
      </c>
      <c r="F247" s="13"/>
      <c r="G247" s="59"/>
      <c r="H247" s="6">
        <v>3000</v>
      </c>
      <c r="I247" s="6">
        <f t="shared" si="23"/>
        <v>533.98692810457521</v>
      </c>
      <c r="J247" s="2">
        <v>7.29</v>
      </c>
      <c r="K247" s="2">
        <v>4.59</v>
      </c>
      <c r="L247" s="2">
        <v>2.7</v>
      </c>
      <c r="M247" s="2">
        <v>37.04</v>
      </c>
      <c r="N247" s="2">
        <v>682</v>
      </c>
      <c r="O247" s="56">
        <v>2451</v>
      </c>
      <c r="P247" s="2">
        <v>3.59</v>
      </c>
      <c r="Q247" s="2">
        <v>12.82</v>
      </c>
      <c r="R247" s="2">
        <v>191.16</v>
      </c>
      <c r="S247" s="2">
        <v>11.83</v>
      </c>
      <c r="T247" s="2">
        <v>4.38</v>
      </c>
      <c r="U247" s="2">
        <v>179.33</v>
      </c>
      <c r="V247" s="2">
        <v>39.08</v>
      </c>
      <c r="W247" s="2">
        <v>1640.53</v>
      </c>
      <c r="X247" s="2">
        <v>156073</v>
      </c>
      <c r="Y247" s="2">
        <v>532759</v>
      </c>
      <c r="Z247" s="2">
        <v>0</v>
      </c>
      <c r="AA247" s="2">
        <v>0</v>
      </c>
      <c r="AB247" s="2">
        <v>4.7</v>
      </c>
    </row>
    <row r="248" spans="1:28" hidden="1" x14ac:dyDescent="0.3">
      <c r="A248" s="4">
        <v>46175</v>
      </c>
      <c r="B248" s="8" t="s">
        <v>64</v>
      </c>
      <c r="C248" s="8" t="s">
        <v>36</v>
      </c>
      <c r="D248" s="7" t="s">
        <v>52</v>
      </c>
      <c r="E248" s="7" t="s">
        <v>47</v>
      </c>
      <c r="F248" s="13"/>
      <c r="G248" s="59"/>
      <c r="H248" s="6">
        <v>3000</v>
      </c>
      <c r="I248" s="6">
        <f t="shared" si="23"/>
        <v>429.55882352941177</v>
      </c>
      <c r="J248" s="2">
        <v>8.4499999999999993</v>
      </c>
      <c r="K248" s="2">
        <v>6.8</v>
      </c>
      <c r="L248" s="2">
        <v>1.65</v>
      </c>
      <c r="M248" s="2">
        <v>19.53</v>
      </c>
      <c r="N248" s="2">
        <v>1221</v>
      </c>
      <c r="O248" s="56">
        <v>2921</v>
      </c>
      <c r="P248" s="2">
        <v>2.39</v>
      </c>
      <c r="Q248" s="2">
        <v>19.05</v>
      </c>
      <c r="R248" s="2">
        <v>153.31</v>
      </c>
      <c r="S248" s="2">
        <v>7.1</v>
      </c>
      <c r="T248" s="2">
        <v>4.3</v>
      </c>
      <c r="U248" s="2">
        <v>146.21</v>
      </c>
      <c r="V248" s="2">
        <v>21.51</v>
      </c>
      <c r="W248" s="2">
        <v>577.86</v>
      </c>
      <c r="X248" s="2">
        <v>52476</v>
      </c>
      <c r="Y248" s="2">
        <v>105187</v>
      </c>
      <c r="Z248" s="2">
        <v>1.2</v>
      </c>
      <c r="AA248" s="2">
        <v>0</v>
      </c>
      <c r="AB248" s="2">
        <v>45.3</v>
      </c>
    </row>
    <row r="249" spans="1:28" hidden="1" x14ac:dyDescent="0.3">
      <c r="A249" s="14">
        <v>46175</v>
      </c>
      <c r="B249" s="14" t="s">
        <v>64</v>
      </c>
      <c r="C249" s="14" t="s">
        <v>36</v>
      </c>
      <c r="D249" s="42"/>
      <c r="E249" s="42" t="s">
        <v>47</v>
      </c>
      <c r="F249" s="43"/>
      <c r="G249" s="60"/>
      <c r="H249" s="44">
        <v>3000</v>
      </c>
      <c r="I249" s="44"/>
      <c r="J249" s="42"/>
      <c r="K249" s="42"/>
      <c r="L249" s="42"/>
      <c r="M249" s="42"/>
      <c r="N249" s="42"/>
      <c r="O249" s="60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spans="1:28" hidden="1" x14ac:dyDescent="0.3">
      <c r="A250" s="4">
        <v>46176</v>
      </c>
      <c r="B250" s="8" t="s">
        <v>64</v>
      </c>
      <c r="C250" s="8" t="s">
        <v>36</v>
      </c>
      <c r="D250" s="7" t="s">
        <v>39</v>
      </c>
      <c r="E250" s="7" t="s">
        <v>40</v>
      </c>
      <c r="F250" s="13">
        <v>0</v>
      </c>
      <c r="G250" s="59"/>
      <c r="H250" s="6"/>
      <c r="I250" s="6">
        <f t="shared" ref="I250:I256" si="24">IFERROR(O250/K250,)</f>
        <v>160.09852216748769</v>
      </c>
      <c r="J250" s="2">
        <v>6.94</v>
      </c>
      <c r="K250" s="2">
        <v>6.09</v>
      </c>
      <c r="L250" s="2">
        <v>0.85</v>
      </c>
      <c r="M250" s="2">
        <v>12.25</v>
      </c>
      <c r="N250" s="2">
        <v>565</v>
      </c>
      <c r="O250" s="56">
        <v>975</v>
      </c>
      <c r="P250" s="2">
        <v>1.73</v>
      </c>
      <c r="Q250" s="2">
        <v>8.73</v>
      </c>
      <c r="R250" s="2">
        <v>111.67</v>
      </c>
      <c r="S250" s="2">
        <v>3.79</v>
      </c>
      <c r="T250" s="2">
        <v>4.45</v>
      </c>
      <c r="U250" s="2">
        <v>107.88</v>
      </c>
      <c r="V250" s="2">
        <v>17.71</v>
      </c>
      <c r="W250" s="2">
        <v>9017.9599999999991</v>
      </c>
      <c r="X250" s="2">
        <v>68426</v>
      </c>
      <c r="Y250" s="2">
        <v>99454</v>
      </c>
      <c r="Z250" s="2">
        <v>2.4</v>
      </c>
      <c r="AA250" s="2">
        <v>0</v>
      </c>
      <c r="AB250" s="2">
        <v>277.3</v>
      </c>
    </row>
    <row r="251" spans="1:28" s="45" customFormat="1" hidden="1" x14ac:dyDescent="0.3">
      <c r="A251" s="4">
        <v>46176</v>
      </c>
      <c r="B251" s="8" t="s">
        <v>64</v>
      </c>
      <c r="C251" s="8" t="s">
        <v>36</v>
      </c>
      <c r="D251" s="7" t="s">
        <v>43</v>
      </c>
      <c r="E251" s="7" t="s">
        <v>40</v>
      </c>
      <c r="F251" s="13"/>
      <c r="G251" s="59"/>
      <c r="H251" s="6"/>
      <c r="I251" s="6">
        <f t="shared" si="24"/>
        <v>0</v>
      </c>
      <c r="J251" s="2">
        <v>3.07</v>
      </c>
      <c r="K251" s="2">
        <v>2.12</v>
      </c>
      <c r="L251" s="2">
        <v>0.95</v>
      </c>
      <c r="M251" s="2">
        <v>30.94</v>
      </c>
      <c r="N251" s="2" t="s">
        <v>45</v>
      </c>
      <c r="O251" s="56" t="s">
        <v>45</v>
      </c>
      <c r="P251" s="2" t="s">
        <v>45</v>
      </c>
      <c r="Q251" s="2" t="s">
        <v>45</v>
      </c>
      <c r="R251" s="2">
        <v>42.11</v>
      </c>
      <c r="S251" s="2">
        <v>4.7300000000000004</v>
      </c>
      <c r="T251" s="2">
        <v>4.9800000000000004</v>
      </c>
      <c r="U251" s="2">
        <v>37.380000000000003</v>
      </c>
      <c r="V251" s="2">
        <v>17.63</v>
      </c>
      <c r="W251" s="2">
        <v>8584.31</v>
      </c>
      <c r="X251" s="2" t="s">
        <v>45</v>
      </c>
      <c r="Y251" s="2" t="s">
        <v>45</v>
      </c>
      <c r="Z251" s="2">
        <v>0.1</v>
      </c>
      <c r="AA251" s="2" t="s">
        <v>45</v>
      </c>
      <c r="AB251" s="2">
        <v>222.3</v>
      </c>
    </row>
    <row r="252" spans="1:28" hidden="1" x14ac:dyDescent="0.3">
      <c r="A252" s="4">
        <v>46176</v>
      </c>
      <c r="B252" s="8" t="s">
        <v>64</v>
      </c>
      <c r="C252" s="8" t="s">
        <v>36</v>
      </c>
      <c r="D252" s="7" t="s">
        <v>46</v>
      </c>
      <c r="E252" s="7" t="s">
        <v>47</v>
      </c>
      <c r="F252" s="13"/>
      <c r="G252" s="59"/>
      <c r="H252" s="6">
        <v>3000</v>
      </c>
      <c r="I252" s="6">
        <f t="shared" si="24"/>
        <v>284.44444444444446</v>
      </c>
      <c r="J252" s="2">
        <v>6.1</v>
      </c>
      <c r="K252" s="2">
        <v>3.15</v>
      </c>
      <c r="L252" s="2">
        <v>2.95</v>
      </c>
      <c r="M252" s="2">
        <v>48.33</v>
      </c>
      <c r="N252" s="2">
        <v>387</v>
      </c>
      <c r="O252" s="56">
        <v>896</v>
      </c>
      <c r="P252" s="2">
        <v>2.3199999999999998</v>
      </c>
      <c r="Q252" s="2">
        <v>8.09</v>
      </c>
      <c r="R252" s="2">
        <v>110.72</v>
      </c>
      <c r="S252" s="2">
        <v>14.67</v>
      </c>
      <c r="T252" s="2">
        <v>4.97</v>
      </c>
      <c r="U252" s="2">
        <v>96.05</v>
      </c>
      <c r="V252" s="2">
        <v>30.46</v>
      </c>
      <c r="W252" s="2">
        <v>7593.8</v>
      </c>
      <c r="X252" s="2">
        <v>97819</v>
      </c>
      <c r="Y252" s="2">
        <v>280836</v>
      </c>
      <c r="Z252" s="2">
        <v>0</v>
      </c>
      <c r="AA252" s="2">
        <v>0</v>
      </c>
      <c r="AB252" s="2">
        <v>235.2</v>
      </c>
    </row>
    <row r="253" spans="1:28" x14ac:dyDescent="0.3">
      <c r="A253" s="4">
        <v>46176</v>
      </c>
      <c r="B253" s="8" t="s">
        <v>64</v>
      </c>
      <c r="C253" s="8" t="s">
        <v>36</v>
      </c>
      <c r="D253" s="7" t="s">
        <v>48</v>
      </c>
      <c r="E253" s="7" t="s">
        <v>38</v>
      </c>
      <c r="F253" s="13">
        <v>1244</v>
      </c>
      <c r="G253" s="59"/>
      <c r="H253" s="6">
        <f>24000/7</f>
        <v>3428.5714285714284</v>
      </c>
      <c r="I253" s="6">
        <f t="shared" si="24"/>
        <v>361.29753914988817</v>
      </c>
      <c r="J253" s="2">
        <v>5.12</v>
      </c>
      <c r="K253" s="2">
        <v>4.47</v>
      </c>
      <c r="L253" s="2">
        <v>0.65</v>
      </c>
      <c r="M253" s="2">
        <v>12.68</v>
      </c>
      <c r="N253" s="2">
        <v>360</v>
      </c>
      <c r="O253" s="77">
        <v>1615</v>
      </c>
      <c r="P253" s="2">
        <v>4.49</v>
      </c>
      <c r="Q253" s="2">
        <v>9.56</v>
      </c>
      <c r="R253" s="2">
        <v>168.92</v>
      </c>
      <c r="S253" s="2">
        <v>4.7300000000000004</v>
      </c>
      <c r="T253" s="2">
        <v>7.28</v>
      </c>
      <c r="U253" s="2">
        <v>164.19</v>
      </c>
      <c r="V253" s="2">
        <v>36.69</v>
      </c>
      <c r="W253" s="2">
        <v>6314.72</v>
      </c>
      <c r="X253" s="2">
        <v>393889</v>
      </c>
      <c r="Y253" s="2">
        <v>1387035</v>
      </c>
      <c r="Z253" s="2">
        <v>0</v>
      </c>
      <c r="AA253" s="2">
        <v>0</v>
      </c>
      <c r="AB253" s="2">
        <v>45.2</v>
      </c>
    </row>
    <row r="254" spans="1:28" hidden="1" x14ac:dyDescent="0.3">
      <c r="A254" s="4">
        <v>46176</v>
      </c>
      <c r="B254" s="8" t="s">
        <v>64</v>
      </c>
      <c r="C254" s="8" t="s">
        <v>36</v>
      </c>
      <c r="D254" s="7" t="s">
        <v>50</v>
      </c>
      <c r="E254" s="7" t="s">
        <v>47</v>
      </c>
      <c r="F254" s="13"/>
      <c r="G254" s="59"/>
      <c r="H254" s="6">
        <v>3000</v>
      </c>
      <c r="I254" s="6">
        <f t="shared" si="24"/>
        <v>153.08641975308643</v>
      </c>
      <c r="J254" s="2">
        <v>5.55</v>
      </c>
      <c r="K254" s="2">
        <v>4.05</v>
      </c>
      <c r="L254" s="2">
        <v>1.5</v>
      </c>
      <c r="M254" s="2">
        <v>27.04</v>
      </c>
      <c r="N254" s="2">
        <v>313</v>
      </c>
      <c r="O254" s="56">
        <v>620</v>
      </c>
      <c r="P254" s="2">
        <v>1.98</v>
      </c>
      <c r="Q254" s="2">
        <v>6.86</v>
      </c>
      <c r="R254" s="2">
        <v>90.38</v>
      </c>
      <c r="S254" s="2">
        <v>6.15</v>
      </c>
      <c r="T254" s="2">
        <v>4.0999999999999996</v>
      </c>
      <c r="U254" s="2">
        <v>84.23</v>
      </c>
      <c r="V254" s="2">
        <v>20.81</v>
      </c>
      <c r="W254" s="2">
        <v>2126.58</v>
      </c>
      <c r="X254" s="2">
        <v>127475</v>
      </c>
      <c r="Y254" s="2">
        <v>238684</v>
      </c>
      <c r="Z254" s="2">
        <v>3.1</v>
      </c>
      <c r="AA254" s="2">
        <v>0.01</v>
      </c>
      <c r="AB254" s="2">
        <v>294.39999999999998</v>
      </c>
    </row>
    <row r="255" spans="1:28" hidden="1" x14ac:dyDescent="0.3">
      <c r="A255" s="4">
        <v>46176</v>
      </c>
      <c r="B255" s="8" t="s">
        <v>64</v>
      </c>
      <c r="C255" s="8" t="s">
        <v>36</v>
      </c>
      <c r="D255" s="7" t="s">
        <v>49</v>
      </c>
      <c r="E255" s="7" t="s">
        <v>47</v>
      </c>
      <c r="F255" s="13"/>
      <c r="G255" s="59"/>
      <c r="H255" s="6">
        <v>3000</v>
      </c>
      <c r="I255" s="6">
        <f t="shared" si="24"/>
        <v>497.97421731123393</v>
      </c>
      <c r="J255" s="2">
        <v>7.48</v>
      </c>
      <c r="K255" s="2">
        <v>5.43</v>
      </c>
      <c r="L255" s="2">
        <v>2.0499999999999998</v>
      </c>
      <c r="M255" s="2">
        <v>27.42</v>
      </c>
      <c r="N255" s="2">
        <v>744</v>
      </c>
      <c r="O255" s="56">
        <v>2704</v>
      </c>
      <c r="P255" s="2">
        <v>3.63</v>
      </c>
      <c r="Q255" s="2">
        <v>12.06</v>
      </c>
      <c r="R255" s="2">
        <v>224.29</v>
      </c>
      <c r="S255" s="2">
        <v>8.99</v>
      </c>
      <c r="T255" s="2">
        <v>4.3899999999999997</v>
      </c>
      <c r="U255" s="2">
        <v>215.3</v>
      </c>
      <c r="V255" s="2">
        <v>39.68</v>
      </c>
      <c r="W255" s="2">
        <v>1648.01</v>
      </c>
      <c r="X255" s="2">
        <v>156817</v>
      </c>
      <c r="Y255" s="2">
        <v>535463</v>
      </c>
      <c r="Z255" s="2">
        <v>0</v>
      </c>
      <c r="AA255" s="2">
        <v>0</v>
      </c>
      <c r="AB255" s="2">
        <v>4.7</v>
      </c>
    </row>
    <row r="256" spans="1:28" hidden="1" x14ac:dyDescent="0.3">
      <c r="A256" s="4">
        <v>46176</v>
      </c>
      <c r="B256" s="8" t="s">
        <v>64</v>
      </c>
      <c r="C256" s="8" t="s">
        <v>36</v>
      </c>
      <c r="D256" s="7" t="s">
        <v>52</v>
      </c>
      <c r="E256" s="7" t="s">
        <v>47</v>
      </c>
      <c r="F256" s="13"/>
      <c r="G256" s="59"/>
      <c r="H256" s="6">
        <v>3000</v>
      </c>
      <c r="I256" s="6">
        <f t="shared" si="24"/>
        <v>403.58255451713399</v>
      </c>
      <c r="J256" s="2">
        <v>8.3699999999999992</v>
      </c>
      <c r="K256" s="2">
        <v>6.42</v>
      </c>
      <c r="L256" s="2">
        <v>1.95</v>
      </c>
      <c r="M256" s="2">
        <v>23.29</v>
      </c>
      <c r="N256" s="2">
        <v>1123</v>
      </c>
      <c r="O256" s="56">
        <v>2591</v>
      </c>
      <c r="P256" s="2">
        <v>2.31</v>
      </c>
      <c r="Q256" s="2">
        <v>17.329999999999998</v>
      </c>
      <c r="R256" s="2">
        <v>149.52000000000001</v>
      </c>
      <c r="S256" s="2">
        <v>8.0399999999999991</v>
      </c>
      <c r="T256" s="2">
        <v>4.13</v>
      </c>
      <c r="U256" s="2">
        <v>141.47999999999999</v>
      </c>
      <c r="V256" s="2">
        <v>22.03</v>
      </c>
      <c r="W256" s="2">
        <v>586.23</v>
      </c>
      <c r="X256" s="2">
        <v>53599</v>
      </c>
      <c r="Y256" s="2">
        <v>107778</v>
      </c>
      <c r="Z256" s="2">
        <v>1.4</v>
      </c>
      <c r="AA256" s="2">
        <v>0</v>
      </c>
      <c r="AB256" s="2">
        <v>46.7</v>
      </c>
    </row>
    <row r="257" spans="1:28" s="45" customFormat="1" hidden="1" x14ac:dyDescent="0.3">
      <c r="A257" s="14">
        <v>46176</v>
      </c>
      <c r="B257" s="14" t="s">
        <v>64</v>
      </c>
      <c r="C257" s="14" t="s">
        <v>36</v>
      </c>
      <c r="D257" s="42"/>
      <c r="E257" s="42" t="s">
        <v>47</v>
      </c>
      <c r="F257" s="43"/>
      <c r="G257" s="60"/>
      <c r="H257" s="44">
        <v>3000</v>
      </c>
      <c r="I257" s="44"/>
      <c r="J257" s="42"/>
      <c r="K257" s="42"/>
      <c r="L257" s="42"/>
      <c r="M257" s="42"/>
      <c r="N257" s="42"/>
      <c r="O257" s="60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spans="1:28" hidden="1" x14ac:dyDescent="0.3">
      <c r="A258" s="4">
        <v>46177</v>
      </c>
      <c r="B258" s="8" t="s">
        <v>64</v>
      </c>
      <c r="C258" s="8" t="s">
        <v>36</v>
      </c>
      <c r="D258" s="7" t="s">
        <v>39</v>
      </c>
      <c r="E258" s="7" t="s">
        <v>47</v>
      </c>
      <c r="F258" s="13">
        <v>0</v>
      </c>
      <c r="G258" s="59"/>
      <c r="H258" s="6">
        <v>3000</v>
      </c>
      <c r="I258" s="6">
        <f t="shared" ref="I258:I264" si="25">IFERROR(O258/K258,)</f>
        <v>315.64537157757496</v>
      </c>
      <c r="J258" s="2">
        <v>8.82</v>
      </c>
      <c r="K258" s="2">
        <v>7.67</v>
      </c>
      <c r="L258" s="2">
        <v>1.1499999999999999</v>
      </c>
      <c r="M258" s="2">
        <v>13.04</v>
      </c>
      <c r="N258" s="2">
        <v>1241</v>
      </c>
      <c r="O258" s="56">
        <v>2421</v>
      </c>
      <c r="P258" s="2">
        <v>1.95</v>
      </c>
      <c r="Q258" s="2">
        <v>14.21</v>
      </c>
      <c r="R258" s="2">
        <v>170.34</v>
      </c>
      <c r="S258" s="2">
        <v>4.7300000000000004</v>
      </c>
      <c r="T258" s="2">
        <v>4.1100000000000003</v>
      </c>
      <c r="U258" s="2">
        <v>165.61</v>
      </c>
      <c r="V258" s="2">
        <v>21.59</v>
      </c>
      <c r="W258" s="2">
        <v>9026.7800000000007</v>
      </c>
      <c r="X258" s="2">
        <v>69667</v>
      </c>
      <c r="Y258" s="2">
        <v>101875</v>
      </c>
      <c r="Z258" s="2">
        <v>2.2000000000000002</v>
      </c>
      <c r="AA258" s="2">
        <v>0</v>
      </c>
      <c r="AB258" s="2">
        <v>279.5</v>
      </c>
    </row>
    <row r="259" spans="1:28" hidden="1" x14ac:dyDescent="0.3">
      <c r="A259" s="4">
        <v>46177</v>
      </c>
      <c r="B259" s="8" t="s">
        <v>64</v>
      </c>
      <c r="C259" s="8" t="s">
        <v>36</v>
      </c>
      <c r="D259" s="7" t="s">
        <v>43</v>
      </c>
      <c r="E259" s="7" t="s">
        <v>40</v>
      </c>
      <c r="F259" s="13"/>
      <c r="G259" s="59"/>
      <c r="H259" s="6"/>
      <c r="I259" s="6">
        <f t="shared" si="25"/>
        <v>0</v>
      </c>
      <c r="J259" s="2">
        <v>4.5999999999999996</v>
      </c>
      <c r="K259" s="2">
        <v>3.55</v>
      </c>
      <c r="L259" s="2">
        <v>1.05</v>
      </c>
      <c r="M259" s="2">
        <v>22.81</v>
      </c>
      <c r="N259" s="2" t="s">
        <v>45</v>
      </c>
      <c r="O259" s="56" t="s">
        <v>45</v>
      </c>
      <c r="P259" s="2" t="s">
        <v>45</v>
      </c>
      <c r="Q259" s="2" t="s">
        <v>45</v>
      </c>
      <c r="R259" s="2">
        <v>69.56</v>
      </c>
      <c r="S259" s="2">
        <v>4.26</v>
      </c>
      <c r="T259" s="2">
        <v>4.0599999999999996</v>
      </c>
      <c r="U259" s="2">
        <v>65.3</v>
      </c>
      <c r="V259" s="2">
        <v>18.38</v>
      </c>
      <c r="W259" s="2">
        <v>8588.91</v>
      </c>
      <c r="X259" s="2" t="s">
        <v>45</v>
      </c>
      <c r="Y259" s="2" t="s">
        <v>45</v>
      </c>
      <c r="Z259" s="2">
        <v>1.8</v>
      </c>
      <c r="AA259" s="2" t="s">
        <v>45</v>
      </c>
      <c r="AB259" s="2">
        <v>224.1</v>
      </c>
    </row>
    <row r="260" spans="1:28" hidden="1" x14ac:dyDescent="0.3">
      <c r="A260" s="4">
        <v>46177</v>
      </c>
      <c r="B260" s="8" t="s">
        <v>64</v>
      </c>
      <c r="C260" s="8" t="s">
        <v>36</v>
      </c>
      <c r="D260" s="7" t="s">
        <v>46</v>
      </c>
      <c r="E260" s="7" t="s">
        <v>38</v>
      </c>
      <c r="F260" s="13">
        <v>2867</v>
      </c>
      <c r="G260" s="59"/>
      <c r="H260" s="6">
        <f>24000/7</f>
        <v>3428.5714285714284</v>
      </c>
      <c r="I260" s="6">
        <f t="shared" si="25"/>
        <v>428.86363636363632</v>
      </c>
      <c r="J260" s="2">
        <v>10.35</v>
      </c>
      <c r="K260" s="2">
        <v>8.8000000000000007</v>
      </c>
      <c r="L260" s="2">
        <v>1.55</v>
      </c>
      <c r="M260" s="2">
        <v>14.98</v>
      </c>
      <c r="N260" s="2">
        <v>987</v>
      </c>
      <c r="O260" s="77">
        <v>3774</v>
      </c>
      <c r="P260" s="2">
        <v>3.82</v>
      </c>
      <c r="Q260" s="2">
        <v>14.17</v>
      </c>
      <c r="R260" s="2">
        <v>266.39999999999998</v>
      </c>
      <c r="S260" s="2">
        <v>9.4600000000000009</v>
      </c>
      <c r="T260" s="2">
        <v>6.11</v>
      </c>
      <c r="U260" s="2">
        <v>256.93</v>
      </c>
      <c r="V260" s="2">
        <v>29.2</v>
      </c>
      <c r="W260" s="2">
        <v>7604.14</v>
      </c>
      <c r="X260" s="2">
        <v>98806</v>
      </c>
      <c r="Y260" s="2">
        <v>284610</v>
      </c>
      <c r="Z260" s="2">
        <v>0.2</v>
      </c>
      <c r="AA260" s="2">
        <v>0</v>
      </c>
      <c r="AB260" s="2">
        <v>235.4</v>
      </c>
    </row>
    <row r="261" spans="1:28" x14ac:dyDescent="0.3">
      <c r="A261" s="4">
        <v>46177</v>
      </c>
      <c r="B261" s="8" t="s">
        <v>55</v>
      </c>
      <c r="C261" s="8" t="s">
        <v>56</v>
      </c>
      <c r="D261" s="7" t="s">
        <v>48</v>
      </c>
      <c r="E261" s="7" t="s">
        <v>38</v>
      </c>
      <c r="F261" s="13" t="s">
        <v>65</v>
      </c>
      <c r="G261" s="59"/>
      <c r="H261" s="6"/>
      <c r="I261" s="6">
        <f t="shared" si="25"/>
        <v>15.384615384615383</v>
      </c>
      <c r="J261" s="2">
        <v>0.85</v>
      </c>
      <c r="K261" s="2">
        <v>0.65</v>
      </c>
      <c r="L261" s="2">
        <v>0.2</v>
      </c>
      <c r="M261" s="2">
        <v>23.66</v>
      </c>
      <c r="N261" s="2">
        <v>7</v>
      </c>
      <c r="O261" s="77">
        <v>10</v>
      </c>
      <c r="P261" s="2">
        <v>1.43</v>
      </c>
      <c r="Q261" s="2">
        <v>0.56000000000000005</v>
      </c>
      <c r="R261" s="2">
        <v>17.98</v>
      </c>
      <c r="S261" s="2">
        <v>1.42</v>
      </c>
      <c r="T261" s="2">
        <v>7.1</v>
      </c>
      <c r="U261" s="2">
        <v>16.559999999999999</v>
      </c>
      <c r="V261" s="2">
        <v>25.66</v>
      </c>
      <c r="W261" s="2">
        <v>6315.56</v>
      </c>
      <c r="X261" s="2">
        <v>393896</v>
      </c>
      <c r="Y261" s="2">
        <v>1387045</v>
      </c>
      <c r="Z261" s="2">
        <v>0.1</v>
      </c>
      <c r="AA261" s="2">
        <v>0.01</v>
      </c>
      <c r="AB261" s="2">
        <v>45.3</v>
      </c>
    </row>
    <row r="262" spans="1:28" hidden="1" x14ac:dyDescent="0.3">
      <c r="A262" s="4">
        <v>46177</v>
      </c>
      <c r="B262" s="8" t="s">
        <v>64</v>
      </c>
      <c r="C262" s="8" t="s">
        <v>36</v>
      </c>
      <c r="D262" s="7" t="s">
        <v>50</v>
      </c>
      <c r="E262" s="7" t="s">
        <v>61</v>
      </c>
      <c r="F262" s="13"/>
      <c r="G262" s="59"/>
      <c r="H262" s="6"/>
      <c r="I262" s="6">
        <f t="shared" si="25"/>
        <v>2.7065527065527069</v>
      </c>
      <c r="J262" s="2">
        <v>8.02</v>
      </c>
      <c r="K262" s="2">
        <v>7.02</v>
      </c>
      <c r="L262" s="2">
        <v>1</v>
      </c>
      <c r="M262" s="2">
        <v>12.47</v>
      </c>
      <c r="N262" s="2">
        <v>34</v>
      </c>
      <c r="O262" s="56">
        <v>19</v>
      </c>
      <c r="P262" s="2">
        <v>0.56000000000000005</v>
      </c>
      <c r="Q262" s="2">
        <v>0.12</v>
      </c>
      <c r="R262" s="2">
        <v>153.31</v>
      </c>
      <c r="S262" s="2">
        <v>3.31</v>
      </c>
      <c r="T262" s="2">
        <v>3.31</v>
      </c>
      <c r="U262" s="2">
        <v>150</v>
      </c>
      <c r="V262" s="2">
        <v>21.36</v>
      </c>
      <c r="W262" s="2">
        <v>2134.6</v>
      </c>
      <c r="X262" s="2">
        <v>127509</v>
      </c>
      <c r="Y262" s="2">
        <v>238703</v>
      </c>
      <c r="Z262" s="2">
        <v>0.9</v>
      </c>
      <c r="AA262" s="2">
        <v>0.03</v>
      </c>
      <c r="AB262" s="2">
        <v>295.3</v>
      </c>
    </row>
    <row r="263" spans="1:28" hidden="1" x14ac:dyDescent="0.3">
      <c r="A263" s="4">
        <v>46177</v>
      </c>
      <c r="B263" s="8" t="s">
        <v>64</v>
      </c>
      <c r="C263" s="8" t="s">
        <v>36</v>
      </c>
      <c r="D263" s="7" t="s">
        <v>49</v>
      </c>
      <c r="E263" s="7" t="s">
        <v>47</v>
      </c>
      <c r="F263" s="13"/>
      <c r="G263" s="59"/>
      <c r="H263" s="6">
        <v>3000</v>
      </c>
      <c r="I263" s="6">
        <f t="shared" si="25"/>
        <v>482.6309067688378</v>
      </c>
      <c r="J263" s="2">
        <v>9.2799999999999994</v>
      </c>
      <c r="K263" s="2">
        <v>7.83</v>
      </c>
      <c r="L263" s="2">
        <v>1.45</v>
      </c>
      <c r="M263" s="2">
        <v>15.63</v>
      </c>
      <c r="N263" s="2">
        <v>895</v>
      </c>
      <c r="O263" s="56">
        <v>3779</v>
      </c>
      <c r="P263" s="2">
        <v>4.22</v>
      </c>
      <c r="Q263" s="2">
        <v>11.74</v>
      </c>
      <c r="R263" s="2">
        <v>321.76</v>
      </c>
      <c r="S263" s="2">
        <v>6.15</v>
      </c>
      <c r="T263" s="2">
        <v>4.24</v>
      </c>
      <c r="U263" s="2">
        <v>315.61</v>
      </c>
      <c r="V263" s="2">
        <v>40.32</v>
      </c>
      <c r="W263" s="2">
        <v>1657.29</v>
      </c>
      <c r="X263" s="2">
        <v>157712</v>
      </c>
      <c r="Y263" s="2">
        <v>539242</v>
      </c>
      <c r="Z263" s="2">
        <v>0</v>
      </c>
      <c r="AA263" s="2">
        <v>0</v>
      </c>
      <c r="AB263" s="2">
        <v>4.7</v>
      </c>
    </row>
    <row r="264" spans="1:28" hidden="1" x14ac:dyDescent="0.3">
      <c r="A264" s="4">
        <v>46177</v>
      </c>
      <c r="B264" s="8" t="s">
        <v>64</v>
      </c>
      <c r="C264" s="8" t="s">
        <v>36</v>
      </c>
      <c r="D264" s="7" t="s">
        <v>52</v>
      </c>
      <c r="E264" s="7" t="s">
        <v>47</v>
      </c>
      <c r="F264" s="13"/>
      <c r="G264" s="59"/>
      <c r="H264" s="6">
        <v>3000</v>
      </c>
      <c r="I264" s="6">
        <f t="shared" si="25"/>
        <v>379.91513437057989</v>
      </c>
      <c r="J264" s="2">
        <v>8.52</v>
      </c>
      <c r="K264" s="2">
        <v>7.07</v>
      </c>
      <c r="L264" s="2">
        <v>1.45</v>
      </c>
      <c r="M264" s="2">
        <v>17.010000000000002</v>
      </c>
      <c r="N264" s="2">
        <v>1100</v>
      </c>
      <c r="O264" s="56">
        <v>2686</v>
      </c>
      <c r="P264" s="2">
        <v>2.44</v>
      </c>
      <c r="Q264" s="2">
        <v>16.940000000000001</v>
      </c>
      <c r="R264" s="2">
        <v>158.51</v>
      </c>
      <c r="S264" s="2">
        <v>5.68</v>
      </c>
      <c r="T264" s="2">
        <v>3.92</v>
      </c>
      <c r="U264" s="2">
        <v>152.84</v>
      </c>
      <c r="V264" s="2">
        <v>21.61</v>
      </c>
      <c r="W264" s="2">
        <v>594.75</v>
      </c>
      <c r="X264" s="2">
        <v>54699</v>
      </c>
      <c r="Y264" s="2">
        <v>110464</v>
      </c>
      <c r="Z264" s="2">
        <v>2.4</v>
      </c>
      <c r="AA264" s="2">
        <v>0</v>
      </c>
      <c r="AB264" s="2">
        <v>49.1</v>
      </c>
    </row>
    <row r="265" spans="1:28" s="45" customFormat="1" hidden="1" x14ac:dyDescent="0.3">
      <c r="A265" s="14">
        <v>46177</v>
      </c>
      <c r="B265" s="14" t="s">
        <v>64</v>
      </c>
      <c r="C265" s="14" t="s">
        <v>36</v>
      </c>
      <c r="D265" s="42"/>
      <c r="E265" s="42" t="s">
        <v>47</v>
      </c>
      <c r="F265" s="43"/>
      <c r="G265" s="60"/>
      <c r="H265" s="44">
        <v>6000</v>
      </c>
      <c r="I265" s="44"/>
      <c r="J265" s="42"/>
      <c r="K265" s="42"/>
      <c r="L265" s="42"/>
      <c r="M265" s="42"/>
      <c r="N265" s="42"/>
      <c r="O265" s="60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spans="1:28" hidden="1" x14ac:dyDescent="0.3">
      <c r="A266" s="4">
        <v>46178</v>
      </c>
      <c r="B266" s="8" t="s">
        <v>64</v>
      </c>
      <c r="C266" s="8" t="s">
        <v>36</v>
      </c>
      <c r="D266" s="7" t="s">
        <v>39</v>
      </c>
      <c r="E266" s="7" t="s">
        <v>47</v>
      </c>
      <c r="F266" s="13">
        <v>0</v>
      </c>
      <c r="G266" s="59"/>
      <c r="H266" s="6">
        <v>3000</v>
      </c>
      <c r="I266" s="6">
        <f t="shared" ref="I266:I272" si="26">IFERROR(O266/K266,)</f>
        <v>300.84507042253523</v>
      </c>
      <c r="J266" s="2">
        <v>8.3000000000000007</v>
      </c>
      <c r="K266" s="2">
        <v>7.1</v>
      </c>
      <c r="L266" s="2">
        <v>1.2</v>
      </c>
      <c r="M266" s="2">
        <v>14.46</v>
      </c>
      <c r="N266" s="2">
        <v>1155</v>
      </c>
      <c r="O266" s="56">
        <v>2136</v>
      </c>
      <c r="P266" s="2">
        <v>1.85</v>
      </c>
      <c r="Q266" s="2">
        <v>13.68</v>
      </c>
      <c r="R266" s="2">
        <v>156.15</v>
      </c>
      <c r="S266" s="2">
        <v>5.2</v>
      </c>
      <c r="T266" s="2">
        <v>4.34</v>
      </c>
      <c r="U266" s="2">
        <v>150.94</v>
      </c>
      <c r="V266" s="2">
        <v>21.26</v>
      </c>
      <c r="W266" s="2">
        <v>9035.08</v>
      </c>
      <c r="X266" s="2">
        <v>70822</v>
      </c>
      <c r="Y266" s="2">
        <v>104011</v>
      </c>
      <c r="Z266" s="2">
        <v>1.4</v>
      </c>
      <c r="AA266" s="2">
        <v>0</v>
      </c>
      <c r="AB266" s="2">
        <v>280.89999999999998</v>
      </c>
    </row>
    <row r="267" spans="1:28" hidden="1" x14ac:dyDescent="0.3">
      <c r="A267" s="4">
        <v>46178</v>
      </c>
      <c r="B267" s="8" t="s">
        <v>64</v>
      </c>
      <c r="C267" s="8" t="s">
        <v>36</v>
      </c>
      <c r="D267" s="7" t="s">
        <v>43</v>
      </c>
      <c r="E267" s="7" t="s">
        <v>40</v>
      </c>
      <c r="F267" s="13"/>
      <c r="G267" s="59"/>
      <c r="H267" s="6"/>
      <c r="I267" s="6">
        <f t="shared" si="26"/>
        <v>0</v>
      </c>
      <c r="J267" s="2">
        <v>3.62</v>
      </c>
      <c r="K267" s="2">
        <v>2.92</v>
      </c>
      <c r="L267" s="2">
        <v>0.7</v>
      </c>
      <c r="M267" s="2">
        <v>19.309999999999999</v>
      </c>
      <c r="N267" s="2" t="s">
        <v>45</v>
      </c>
      <c r="O267" s="56" t="s">
        <v>45</v>
      </c>
      <c r="P267" s="2" t="s">
        <v>45</v>
      </c>
      <c r="Q267" s="2" t="s">
        <v>45</v>
      </c>
      <c r="R267" s="2">
        <v>57.25</v>
      </c>
      <c r="S267" s="2">
        <v>3.79</v>
      </c>
      <c r="T267" s="2">
        <v>5.41</v>
      </c>
      <c r="U267" s="2">
        <v>53.47</v>
      </c>
      <c r="V267" s="2">
        <v>18.28</v>
      </c>
      <c r="W267" s="2">
        <v>8592.5300000000007</v>
      </c>
      <c r="X267" s="2" t="s">
        <v>45</v>
      </c>
      <c r="Y267" s="2" t="s">
        <v>45</v>
      </c>
      <c r="Z267" s="2">
        <v>0.5</v>
      </c>
      <c r="AA267" s="2" t="s">
        <v>45</v>
      </c>
      <c r="AB267" s="2">
        <v>224.6</v>
      </c>
    </row>
    <row r="268" spans="1:28" hidden="1" x14ac:dyDescent="0.3">
      <c r="A268" s="4">
        <v>46178</v>
      </c>
      <c r="B268" s="8" t="s">
        <v>64</v>
      </c>
      <c r="C268" s="8" t="s">
        <v>36</v>
      </c>
      <c r="D268" s="7" t="s">
        <v>46</v>
      </c>
      <c r="E268" s="7" t="s">
        <v>38</v>
      </c>
      <c r="F268" s="13">
        <v>2807</v>
      </c>
      <c r="G268" s="59"/>
      <c r="H268" s="6">
        <f>24000/7</f>
        <v>3428.5714285714284</v>
      </c>
      <c r="I268" s="6">
        <f t="shared" si="26"/>
        <v>336.83148335015136</v>
      </c>
      <c r="J268" s="2">
        <v>10.86</v>
      </c>
      <c r="K268" s="2">
        <v>9.91</v>
      </c>
      <c r="L268" s="2">
        <v>0.95</v>
      </c>
      <c r="M268" s="2">
        <v>8.75</v>
      </c>
      <c r="N268" s="2">
        <v>1062</v>
      </c>
      <c r="O268" s="77">
        <v>3338</v>
      </c>
      <c r="P268" s="2">
        <v>3.14</v>
      </c>
      <c r="Q268" s="2">
        <v>11.53</v>
      </c>
      <c r="R268" s="2">
        <v>289.58</v>
      </c>
      <c r="S268" s="2">
        <v>6.15</v>
      </c>
      <c r="T268" s="2">
        <v>6.48</v>
      </c>
      <c r="U268" s="2">
        <v>283.43</v>
      </c>
      <c r="V268" s="2">
        <v>28.61</v>
      </c>
      <c r="W268" s="2">
        <v>7615</v>
      </c>
      <c r="X268" s="2">
        <v>99868</v>
      </c>
      <c r="Y268" s="2">
        <v>287948</v>
      </c>
      <c r="Z268" s="2">
        <v>0.3</v>
      </c>
      <c r="AA268" s="2">
        <v>0</v>
      </c>
      <c r="AB268" s="2">
        <v>235.7</v>
      </c>
    </row>
    <row r="269" spans="1:28" x14ac:dyDescent="0.3">
      <c r="A269" s="4">
        <v>46178</v>
      </c>
      <c r="B269" s="8" t="s">
        <v>55</v>
      </c>
      <c r="C269" s="8" t="s">
        <v>56</v>
      </c>
      <c r="D269" s="7" t="s">
        <v>48</v>
      </c>
      <c r="E269" s="7" t="s">
        <v>38</v>
      </c>
      <c r="F269" s="13" t="s">
        <v>65</v>
      </c>
      <c r="G269" s="59"/>
      <c r="H269" s="6"/>
      <c r="I269" s="6">
        <f t="shared" si="26"/>
        <v>0</v>
      </c>
      <c r="J269" s="2">
        <v>1.79</v>
      </c>
      <c r="K269" s="2">
        <v>0.69</v>
      </c>
      <c r="L269" s="2">
        <v>1.1000000000000001</v>
      </c>
      <c r="M269" s="2">
        <v>61.59</v>
      </c>
      <c r="N269" s="2">
        <v>5</v>
      </c>
      <c r="O269" s="77">
        <v>0</v>
      </c>
      <c r="P269" s="2">
        <v>0</v>
      </c>
      <c r="Q269" s="2">
        <v>0</v>
      </c>
      <c r="R269" s="2">
        <v>18.45</v>
      </c>
      <c r="S269" s="2">
        <v>5.2</v>
      </c>
      <c r="T269" s="2">
        <v>4.7300000000000004</v>
      </c>
      <c r="U269" s="2">
        <v>13.25</v>
      </c>
      <c r="V269" s="2">
        <v>19.309999999999999</v>
      </c>
      <c r="W269" s="2">
        <v>6317.35</v>
      </c>
      <c r="X269" s="2">
        <v>393901</v>
      </c>
      <c r="Y269" s="2">
        <v>1387045</v>
      </c>
      <c r="Z269" s="2">
        <v>0</v>
      </c>
      <c r="AA269" s="2">
        <v>0</v>
      </c>
      <c r="AB269" s="2">
        <v>45.3</v>
      </c>
    </row>
    <row r="270" spans="1:28" hidden="1" x14ac:dyDescent="0.3">
      <c r="A270" s="4">
        <v>46178</v>
      </c>
      <c r="B270" s="8" t="s">
        <v>64</v>
      </c>
      <c r="C270" s="8" t="s">
        <v>36</v>
      </c>
      <c r="D270" s="7" t="s">
        <v>50</v>
      </c>
      <c r="E270" s="7" t="s">
        <v>61</v>
      </c>
      <c r="F270" s="13"/>
      <c r="G270" s="59"/>
      <c r="H270" s="6"/>
      <c r="I270" s="6">
        <f t="shared" si="26"/>
        <v>27.311522048364154</v>
      </c>
      <c r="J270" s="2">
        <v>7.48</v>
      </c>
      <c r="K270" s="2">
        <v>7.03</v>
      </c>
      <c r="L270" s="2">
        <v>0.45</v>
      </c>
      <c r="M270" s="2">
        <v>6.02</v>
      </c>
      <c r="N270" s="2">
        <v>109</v>
      </c>
      <c r="O270" s="56">
        <v>192</v>
      </c>
      <c r="P270" s="2">
        <v>1.76</v>
      </c>
      <c r="Q270" s="2">
        <v>3.79</v>
      </c>
      <c r="R270" s="2">
        <v>50.63</v>
      </c>
      <c r="S270" s="2">
        <v>2.84</v>
      </c>
      <c r="T270" s="2">
        <v>6.31</v>
      </c>
      <c r="U270" s="2">
        <v>47.79</v>
      </c>
      <c r="V270" s="2">
        <v>6.8</v>
      </c>
      <c r="W270" s="2">
        <v>2142.08</v>
      </c>
      <c r="X270" s="2">
        <v>127618</v>
      </c>
      <c r="Y270" s="2">
        <v>238895</v>
      </c>
      <c r="Z270" s="2">
        <v>2.1</v>
      </c>
      <c r="AA270" s="2">
        <v>0.02</v>
      </c>
      <c r="AB270" s="2">
        <v>297.39999999999998</v>
      </c>
    </row>
    <row r="271" spans="1:28" hidden="1" x14ac:dyDescent="0.3">
      <c r="A271" s="4">
        <v>46178</v>
      </c>
      <c r="B271" s="8" t="s">
        <v>64</v>
      </c>
      <c r="C271" s="8" t="s">
        <v>36</v>
      </c>
      <c r="D271" s="7" t="s">
        <v>49</v>
      </c>
      <c r="E271" s="7" t="s">
        <v>47</v>
      </c>
      <c r="F271" s="13"/>
      <c r="G271" s="59"/>
      <c r="H271" s="6">
        <v>3000</v>
      </c>
      <c r="I271" s="6">
        <f t="shared" si="26"/>
        <v>562.63345195729539</v>
      </c>
      <c r="J271" s="2">
        <v>10.029999999999999</v>
      </c>
      <c r="K271" s="2">
        <v>8.43</v>
      </c>
      <c r="L271" s="2">
        <v>1.6</v>
      </c>
      <c r="M271" s="2">
        <v>15.95</v>
      </c>
      <c r="N271" s="2">
        <v>1068</v>
      </c>
      <c r="O271" s="56">
        <v>4743</v>
      </c>
      <c r="P271" s="2">
        <v>4.4400000000000004</v>
      </c>
      <c r="Q271" s="2">
        <v>13.84</v>
      </c>
      <c r="R271" s="2">
        <v>342.58</v>
      </c>
      <c r="S271" s="2">
        <v>8.0399999999999991</v>
      </c>
      <c r="T271" s="2">
        <v>5.03</v>
      </c>
      <c r="U271" s="2">
        <v>334.54</v>
      </c>
      <c r="V271" s="2">
        <v>39.69</v>
      </c>
      <c r="W271" s="2">
        <v>1667.32</v>
      </c>
      <c r="X271" s="2">
        <v>158780</v>
      </c>
      <c r="Y271" s="2">
        <v>543985</v>
      </c>
      <c r="Z271" s="2">
        <v>0</v>
      </c>
      <c r="AA271" s="2">
        <v>0</v>
      </c>
      <c r="AB271" s="2">
        <v>4.7</v>
      </c>
    </row>
    <row r="272" spans="1:28" hidden="1" x14ac:dyDescent="0.3">
      <c r="A272" s="4">
        <v>46178</v>
      </c>
      <c r="B272" s="8" t="s">
        <v>64</v>
      </c>
      <c r="C272" s="8" t="s">
        <v>36</v>
      </c>
      <c r="D272" s="7" t="s">
        <v>52</v>
      </c>
      <c r="E272" s="7" t="s">
        <v>47</v>
      </c>
      <c r="F272" s="13"/>
      <c r="G272" s="59"/>
      <c r="H272" s="6">
        <v>3000</v>
      </c>
      <c r="I272" s="6">
        <f t="shared" si="26"/>
        <v>411.74825174825173</v>
      </c>
      <c r="J272" s="2">
        <v>8.4499999999999993</v>
      </c>
      <c r="K272" s="2">
        <v>7.15</v>
      </c>
      <c r="L272" s="2">
        <v>1.3</v>
      </c>
      <c r="M272" s="2">
        <v>15.39</v>
      </c>
      <c r="N272" s="2">
        <v>1227</v>
      </c>
      <c r="O272" s="56">
        <v>2944</v>
      </c>
      <c r="P272" s="2">
        <v>2.4</v>
      </c>
      <c r="Q272" s="2">
        <v>17.98</v>
      </c>
      <c r="R272" s="2">
        <v>163.72</v>
      </c>
      <c r="S272" s="2">
        <v>5.2</v>
      </c>
      <c r="T272" s="2">
        <v>4</v>
      </c>
      <c r="U272" s="2">
        <v>158.51</v>
      </c>
      <c r="V272" s="2">
        <v>22.18</v>
      </c>
      <c r="W272" s="2">
        <v>603.20000000000005</v>
      </c>
      <c r="X272" s="2">
        <v>55926</v>
      </c>
      <c r="Y272" s="2">
        <v>113408</v>
      </c>
      <c r="Z272" s="2">
        <v>1.5</v>
      </c>
      <c r="AA272" s="2">
        <v>0</v>
      </c>
      <c r="AB272" s="2">
        <v>50.6</v>
      </c>
    </row>
    <row r="273" spans="1:28" s="45" customFormat="1" hidden="1" x14ac:dyDescent="0.3">
      <c r="A273" s="14">
        <v>46178</v>
      </c>
      <c r="B273" s="14" t="s">
        <v>64</v>
      </c>
      <c r="C273" s="14" t="s">
        <v>36</v>
      </c>
      <c r="D273" s="42"/>
      <c r="E273" s="42" t="s">
        <v>47</v>
      </c>
      <c r="F273" s="43"/>
      <c r="G273" s="60"/>
      <c r="H273" s="44">
        <v>6000</v>
      </c>
      <c r="I273" s="44"/>
      <c r="J273" s="42"/>
      <c r="K273" s="42"/>
      <c r="L273" s="42"/>
      <c r="M273" s="42"/>
      <c r="N273" s="42"/>
      <c r="O273" s="60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spans="1:28" hidden="1" x14ac:dyDescent="0.3">
      <c r="A274" s="4">
        <v>46179</v>
      </c>
      <c r="B274" s="8" t="s">
        <v>64</v>
      </c>
      <c r="C274" s="8" t="s">
        <v>36</v>
      </c>
      <c r="D274" s="7" t="s">
        <v>39</v>
      </c>
      <c r="E274" s="7" t="s">
        <v>47</v>
      </c>
      <c r="F274" s="13">
        <v>0</v>
      </c>
      <c r="G274" s="59"/>
      <c r="H274" s="6">
        <v>3000</v>
      </c>
      <c r="I274" s="6">
        <f t="shared" ref="I274:I280" si="27">IFERROR(O274/K274,)</f>
        <v>318.63117870722436</v>
      </c>
      <c r="J274" s="2">
        <v>5.71</v>
      </c>
      <c r="K274" s="2">
        <v>5.26</v>
      </c>
      <c r="L274" s="2">
        <v>0.45</v>
      </c>
      <c r="M274" s="2">
        <v>7.88</v>
      </c>
      <c r="N274" s="2">
        <v>875</v>
      </c>
      <c r="O274" s="56">
        <v>1676</v>
      </c>
      <c r="P274" s="2">
        <v>1.92</v>
      </c>
      <c r="Q274" s="2">
        <v>14.46</v>
      </c>
      <c r="R274" s="2">
        <v>115.93</v>
      </c>
      <c r="S274" s="2">
        <v>1.89</v>
      </c>
      <c r="T274" s="2">
        <v>4.21</v>
      </c>
      <c r="U274" s="2">
        <v>114.04</v>
      </c>
      <c r="V274" s="2">
        <v>21.68</v>
      </c>
      <c r="W274" s="2">
        <v>9040.7900000000009</v>
      </c>
      <c r="X274" s="2">
        <v>71697</v>
      </c>
      <c r="Y274" s="2">
        <v>105687</v>
      </c>
      <c r="Z274" s="2">
        <v>0.2</v>
      </c>
      <c r="AA274" s="2">
        <v>0</v>
      </c>
      <c r="AB274" s="2">
        <v>281.10000000000002</v>
      </c>
    </row>
    <row r="275" spans="1:28" hidden="1" x14ac:dyDescent="0.3">
      <c r="A275" s="4">
        <v>46179</v>
      </c>
      <c r="B275" s="8" t="s">
        <v>64</v>
      </c>
      <c r="C275" s="8" t="s">
        <v>36</v>
      </c>
      <c r="D275" s="7" t="s">
        <v>43</v>
      </c>
      <c r="E275" s="7" t="s">
        <v>40</v>
      </c>
      <c r="F275" s="13"/>
      <c r="G275" s="59"/>
      <c r="H275" s="6"/>
      <c r="I275" s="6">
        <f t="shared" si="27"/>
        <v>0</v>
      </c>
      <c r="J275" s="2">
        <v>6.19</v>
      </c>
      <c r="K275" s="2">
        <v>5.04</v>
      </c>
      <c r="L275" s="2">
        <v>1.1499999999999999</v>
      </c>
      <c r="M275" s="2">
        <v>18.57</v>
      </c>
      <c r="N275" s="2" t="s">
        <v>45</v>
      </c>
      <c r="O275" s="56" t="s">
        <v>45</v>
      </c>
      <c r="P275" s="2" t="s">
        <v>45</v>
      </c>
      <c r="Q275" s="2" t="s">
        <v>45</v>
      </c>
      <c r="R275" s="2">
        <v>102.68</v>
      </c>
      <c r="S275" s="2">
        <v>5.2</v>
      </c>
      <c r="T275" s="2">
        <v>4.53</v>
      </c>
      <c r="U275" s="2">
        <v>97.47</v>
      </c>
      <c r="V275" s="2">
        <v>19.32</v>
      </c>
      <c r="W275" s="2">
        <v>8598.73</v>
      </c>
      <c r="X275" s="2" t="s">
        <v>45</v>
      </c>
      <c r="Y275" s="2" t="s">
        <v>45</v>
      </c>
      <c r="Z275" s="2">
        <v>0.3</v>
      </c>
      <c r="AA275" s="2" t="s">
        <v>45</v>
      </c>
      <c r="AB275" s="2">
        <v>224.9</v>
      </c>
    </row>
    <row r="276" spans="1:28" hidden="1" x14ac:dyDescent="0.3">
      <c r="A276" s="4">
        <v>46179</v>
      </c>
      <c r="B276" s="8" t="s">
        <v>55</v>
      </c>
      <c r="C276" s="8" t="s">
        <v>56</v>
      </c>
      <c r="D276" s="7" t="s">
        <v>46</v>
      </c>
      <c r="E276" s="7" t="s">
        <v>47</v>
      </c>
      <c r="F276" s="13" t="s">
        <v>65</v>
      </c>
      <c r="G276" s="59"/>
      <c r="H276" s="6"/>
      <c r="I276" s="6">
        <f t="shared" si="27"/>
        <v>0</v>
      </c>
      <c r="J276" s="2">
        <v>0.76</v>
      </c>
      <c r="K276" s="2">
        <v>0.46</v>
      </c>
      <c r="L276" s="2">
        <v>0.3</v>
      </c>
      <c r="M276" s="2">
        <v>39.49</v>
      </c>
      <c r="N276" s="2">
        <v>1</v>
      </c>
      <c r="O276" s="56">
        <v>0</v>
      </c>
      <c r="P276" s="2">
        <v>0</v>
      </c>
      <c r="Q276" s="2">
        <v>0</v>
      </c>
      <c r="R276" s="2">
        <v>13.72</v>
      </c>
      <c r="S276" s="2">
        <v>1.89</v>
      </c>
      <c r="T276" s="2">
        <v>6.31</v>
      </c>
      <c r="U276" s="2">
        <v>11.83</v>
      </c>
      <c r="V276" s="2">
        <v>25.73</v>
      </c>
      <c r="W276" s="2">
        <v>7615.76</v>
      </c>
      <c r="X276" s="2">
        <v>99869</v>
      </c>
      <c r="Y276" s="2">
        <v>287948</v>
      </c>
      <c r="Z276" s="2">
        <v>0.2</v>
      </c>
      <c r="AA276" s="2">
        <v>0.2</v>
      </c>
      <c r="AB276" s="2">
        <v>235.9</v>
      </c>
    </row>
    <row r="277" spans="1:28" x14ac:dyDescent="0.3">
      <c r="A277" s="4">
        <v>46179</v>
      </c>
      <c r="B277" s="8" t="s">
        <v>64</v>
      </c>
      <c r="C277" s="8" t="s">
        <v>36</v>
      </c>
      <c r="D277" s="7" t="s">
        <v>48</v>
      </c>
      <c r="E277" s="7" t="s">
        <v>38</v>
      </c>
      <c r="F277" s="13">
        <v>1294</v>
      </c>
      <c r="G277" s="59"/>
      <c r="H277" s="6">
        <f>24000/7</f>
        <v>3428.5714285714284</v>
      </c>
      <c r="I277" s="6">
        <f t="shared" si="27"/>
        <v>479.0322580645161</v>
      </c>
      <c r="J277" s="2">
        <v>3.6</v>
      </c>
      <c r="K277" s="2">
        <v>3.1</v>
      </c>
      <c r="L277" s="2">
        <v>0.5</v>
      </c>
      <c r="M277" s="2">
        <v>13.88</v>
      </c>
      <c r="N277" s="2">
        <v>327</v>
      </c>
      <c r="O277" s="77">
        <v>1485</v>
      </c>
      <c r="P277" s="2">
        <v>4.54</v>
      </c>
      <c r="Q277" s="2">
        <v>12.36</v>
      </c>
      <c r="R277" s="2">
        <v>120.19</v>
      </c>
      <c r="S277" s="2">
        <v>2.84</v>
      </c>
      <c r="T277" s="2">
        <v>5.68</v>
      </c>
      <c r="U277" s="2">
        <v>117.35</v>
      </c>
      <c r="V277" s="2">
        <v>37.83</v>
      </c>
      <c r="W277" s="2">
        <v>6320.95</v>
      </c>
      <c r="X277" s="2">
        <v>394228</v>
      </c>
      <c r="Y277" s="2">
        <v>1388530</v>
      </c>
      <c r="Z277" s="2">
        <v>0.1</v>
      </c>
      <c r="AA277" s="2">
        <v>0</v>
      </c>
      <c r="AB277" s="2">
        <v>45.4</v>
      </c>
    </row>
    <row r="278" spans="1:28" hidden="1" x14ac:dyDescent="0.3">
      <c r="A278" s="4">
        <v>46179</v>
      </c>
      <c r="B278" s="8" t="s">
        <v>64</v>
      </c>
      <c r="C278" s="8" t="s">
        <v>36</v>
      </c>
      <c r="D278" s="7" t="s">
        <v>50</v>
      </c>
      <c r="E278" s="7" t="s">
        <v>47</v>
      </c>
      <c r="F278" s="13"/>
      <c r="G278" s="59"/>
      <c r="H278" s="6">
        <v>3000</v>
      </c>
      <c r="I278" s="6">
        <f t="shared" si="27"/>
        <v>329.38144329896903</v>
      </c>
      <c r="J278" s="2">
        <v>5.82</v>
      </c>
      <c r="K278" s="2">
        <v>5.82</v>
      </c>
      <c r="L278" s="2">
        <v>0</v>
      </c>
      <c r="M278" s="2">
        <v>0</v>
      </c>
      <c r="N278" s="2">
        <v>0</v>
      </c>
      <c r="O278" s="56">
        <v>1917</v>
      </c>
      <c r="P278" s="2" t="s">
        <v>45</v>
      </c>
      <c r="Q278" s="2" t="s">
        <v>45</v>
      </c>
      <c r="R278" s="2">
        <v>0</v>
      </c>
      <c r="S278" s="2">
        <v>0</v>
      </c>
      <c r="T278" s="2" t="s">
        <v>45</v>
      </c>
      <c r="U278" s="2">
        <v>0</v>
      </c>
      <c r="V278" s="2">
        <v>0</v>
      </c>
      <c r="W278" s="2">
        <v>2147.91</v>
      </c>
      <c r="X278" s="2">
        <v>127618</v>
      </c>
      <c r="Y278" s="2">
        <v>238895</v>
      </c>
      <c r="Z278" s="2">
        <v>1.2</v>
      </c>
      <c r="AA278" s="2" t="s">
        <v>45</v>
      </c>
      <c r="AB278" s="2">
        <v>298.60000000000002</v>
      </c>
    </row>
    <row r="279" spans="1:28" hidden="1" x14ac:dyDescent="0.3">
      <c r="A279" s="4">
        <v>46179</v>
      </c>
      <c r="B279" s="8" t="s">
        <v>64</v>
      </c>
      <c r="C279" s="8" t="s">
        <v>36</v>
      </c>
      <c r="D279" s="7" t="s">
        <v>49</v>
      </c>
      <c r="E279" s="7" t="s">
        <v>47</v>
      </c>
      <c r="F279" s="13"/>
      <c r="G279" s="59"/>
      <c r="H279" s="6">
        <v>3000</v>
      </c>
      <c r="I279" s="6">
        <f t="shared" si="27"/>
        <v>520.12987012987014</v>
      </c>
      <c r="J279" s="2">
        <v>7.21</v>
      </c>
      <c r="K279" s="2">
        <v>6.16</v>
      </c>
      <c r="L279" s="2">
        <v>1.05</v>
      </c>
      <c r="M279" s="2">
        <v>14.55</v>
      </c>
      <c r="N279" s="2">
        <v>741</v>
      </c>
      <c r="O279" s="56">
        <v>3204</v>
      </c>
      <c r="P279" s="2">
        <v>4.32</v>
      </c>
      <c r="Q279" s="2">
        <v>13.02</v>
      </c>
      <c r="R279" s="2">
        <v>246.05</v>
      </c>
      <c r="S279" s="2">
        <v>5.68</v>
      </c>
      <c r="T279" s="2">
        <v>5.41</v>
      </c>
      <c r="U279" s="2">
        <v>240.37</v>
      </c>
      <c r="V279" s="2">
        <v>39</v>
      </c>
      <c r="W279" s="2">
        <v>1674.53</v>
      </c>
      <c r="X279" s="2">
        <v>159521</v>
      </c>
      <c r="Y279" s="2">
        <v>547189</v>
      </c>
      <c r="Z279" s="2">
        <v>0</v>
      </c>
      <c r="AA279" s="2">
        <v>0</v>
      </c>
      <c r="AB279" s="2">
        <v>4.7</v>
      </c>
    </row>
    <row r="280" spans="1:28" hidden="1" x14ac:dyDescent="0.3">
      <c r="A280" s="4">
        <v>46179</v>
      </c>
      <c r="B280" s="8" t="s">
        <v>64</v>
      </c>
      <c r="C280" s="8" t="s">
        <v>36</v>
      </c>
      <c r="D280" s="7" t="s">
        <v>52</v>
      </c>
      <c r="E280" s="7" t="s">
        <v>47</v>
      </c>
      <c r="F280" s="13"/>
      <c r="G280" s="59"/>
      <c r="H280" s="6">
        <v>3000</v>
      </c>
      <c r="I280" s="6">
        <f t="shared" si="27"/>
        <v>388.00738007380073</v>
      </c>
      <c r="J280" s="2">
        <v>6.22</v>
      </c>
      <c r="K280" s="2">
        <v>5.42</v>
      </c>
      <c r="L280" s="2">
        <v>0.8</v>
      </c>
      <c r="M280" s="2">
        <v>12.85</v>
      </c>
      <c r="N280" s="2">
        <v>945</v>
      </c>
      <c r="O280" s="56">
        <v>2103</v>
      </c>
      <c r="P280" s="2">
        <v>2.23</v>
      </c>
      <c r="Q280" s="2">
        <v>17.16</v>
      </c>
      <c r="R280" s="2">
        <v>122.55</v>
      </c>
      <c r="S280" s="2">
        <v>3.79</v>
      </c>
      <c r="T280" s="2">
        <v>4.7300000000000004</v>
      </c>
      <c r="U280" s="2">
        <v>118.77</v>
      </c>
      <c r="V280" s="2">
        <v>21.9</v>
      </c>
      <c r="W280" s="2">
        <v>609.42999999999995</v>
      </c>
      <c r="X280" s="2">
        <v>56871</v>
      </c>
      <c r="Y280" s="2">
        <v>115511</v>
      </c>
      <c r="Z280" s="2">
        <v>1.7</v>
      </c>
      <c r="AA280" s="2">
        <v>0</v>
      </c>
      <c r="AB280" s="2">
        <v>52.3</v>
      </c>
    </row>
    <row r="281" spans="1:28" s="45" customFormat="1" hidden="1" x14ac:dyDescent="0.3">
      <c r="A281" s="14">
        <v>46179</v>
      </c>
      <c r="B281" s="14" t="s">
        <v>64</v>
      </c>
      <c r="C281" s="14" t="s">
        <v>36</v>
      </c>
      <c r="D281" s="42"/>
      <c r="E281" s="42" t="s">
        <v>47</v>
      </c>
      <c r="F281" s="43"/>
      <c r="G281" s="60"/>
      <c r="H281" s="44">
        <v>3000</v>
      </c>
      <c r="I281" s="44"/>
      <c r="J281" s="42"/>
      <c r="K281" s="42"/>
      <c r="L281" s="42"/>
      <c r="M281" s="42"/>
      <c r="N281" s="42"/>
      <c r="O281" s="60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spans="1:28" hidden="1" x14ac:dyDescent="0.3">
      <c r="A282" s="4">
        <v>46180</v>
      </c>
      <c r="B282" s="8" t="s">
        <v>55</v>
      </c>
      <c r="C282" s="8" t="s">
        <v>56</v>
      </c>
      <c r="D282" s="7" t="s">
        <v>39</v>
      </c>
      <c r="E282" s="7" t="s">
        <v>47</v>
      </c>
      <c r="F282" s="13">
        <v>0</v>
      </c>
      <c r="G282" s="59"/>
      <c r="H282" s="6"/>
      <c r="I282" s="6"/>
      <c r="J282" s="2"/>
      <c r="K282" s="2"/>
      <c r="L282" s="2"/>
      <c r="M282" s="2"/>
      <c r="N282" s="2"/>
      <c r="O282" s="56"/>
      <c r="P282" s="2"/>
      <c r="Q282" s="2"/>
      <c r="R282" s="2"/>
      <c r="S282" s="2"/>
      <c r="T282" s="2"/>
      <c r="U282" s="2"/>
      <c r="V282" s="2"/>
      <c r="W282" s="2">
        <v>9042.49</v>
      </c>
      <c r="X282" s="2">
        <v>71719</v>
      </c>
      <c r="Y282" s="2">
        <v>105692</v>
      </c>
      <c r="Z282" s="2">
        <v>1.2</v>
      </c>
      <c r="AA282" s="2">
        <v>0.05</v>
      </c>
      <c r="AB282" s="2">
        <v>282.3</v>
      </c>
    </row>
    <row r="283" spans="1:28" hidden="1" x14ac:dyDescent="0.3">
      <c r="A283" s="4">
        <v>46180</v>
      </c>
      <c r="B283" s="8" t="s">
        <v>55</v>
      </c>
      <c r="C283" s="8" t="s">
        <v>56</v>
      </c>
      <c r="D283" s="7" t="s">
        <v>43</v>
      </c>
      <c r="E283" s="7" t="s">
        <v>40</v>
      </c>
      <c r="F283" s="13"/>
      <c r="G283" s="59"/>
      <c r="H283" s="6"/>
      <c r="I283" s="6">
        <f t="shared" ref="I283:I295" si="28">IFERROR(O283/K283,)</f>
        <v>0</v>
      </c>
      <c r="J283" s="2" t="s">
        <v>45</v>
      </c>
      <c r="K283" s="2" t="s">
        <v>45</v>
      </c>
      <c r="L283" s="2" t="s">
        <v>45</v>
      </c>
      <c r="M283" s="2" t="s">
        <v>45</v>
      </c>
      <c r="N283" s="2" t="s">
        <v>45</v>
      </c>
      <c r="O283" s="56" t="s">
        <v>45</v>
      </c>
      <c r="P283" s="2" t="s">
        <v>45</v>
      </c>
      <c r="Q283" s="2" t="s">
        <v>45</v>
      </c>
      <c r="R283" s="2" t="s">
        <v>45</v>
      </c>
      <c r="S283" s="2" t="s">
        <v>45</v>
      </c>
      <c r="T283" s="2" t="s">
        <v>45</v>
      </c>
      <c r="U283" s="2" t="s">
        <v>45</v>
      </c>
      <c r="V283" s="2" t="s">
        <v>45</v>
      </c>
      <c r="W283" s="2" t="s">
        <v>45</v>
      </c>
      <c r="X283" s="2" t="s">
        <v>45</v>
      </c>
      <c r="Y283" s="2" t="s">
        <v>45</v>
      </c>
      <c r="Z283" s="2" t="s">
        <v>45</v>
      </c>
      <c r="AA283" s="2" t="s">
        <v>45</v>
      </c>
      <c r="AB283" s="2" t="s">
        <v>45</v>
      </c>
    </row>
    <row r="284" spans="1:28" hidden="1" x14ac:dyDescent="0.3">
      <c r="A284" s="4">
        <v>46180</v>
      </c>
      <c r="B284" s="8" t="s">
        <v>55</v>
      </c>
      <c r="C284" s="8" t="s">
        <v>56</v>
      </c>
      <c r="D284" s="7" t="s">
        <v>46</v>
      </c>
      <c r="E284" s="7" t="s">
        <v>47</v>
      </c>
      <c r="F284" s="13"/>
      <c r="G284" s="59"/>
      <c r="H284" s="6"/>
      <c r="I284" s="6">
        <f t="shared" si="28"/>
        <v>0</v>
      </c>
      <c r="J284" s="2">
        <v>0</v>
      </c>
      <c r="K284" s="2">
        <v>0</v>
      </c>
      <c r="L284" s="2">
        <v>0</v>
      </c>
      <c r="M284" s="2" t="s">
        <v>45</v>
      </c>
      <c r="N284" s="2">
        <v>0</v>
      </c>
      <c r="O284" s="56">
        <v>0</v>
      </c>
      <c r="P284" s="2" t="s">
        <v>45</v>
      </c>
      <c r="Q284" s="2" t="s">
        <v>45</v>
      </c>
      <c r="R284" s="2">
        <v>0</v>
      </c>
      <c r="S284" s="2">
        <v>0</v>
      </c>
      <c r="T284" s="2" t="s">
        <v>45</v>
      </c>
      <c r="U284" s="2">
        <v>0</v>
      </c>
      <c r="V284" s="2" t="s">
        <v>45</v>
      </c>
      <c r="W284" s="2">
        <v>7615.76</v>
      </c>
      <c r="X284" s="2">
        <v>99869</v>
      </c>
      <c r="Y284" s="2">
        <v>287948</v>
      </c>
      <c r="Z284" s="2">
        <v>0</v>
      </c>
      <c r="AA284" s="2" t="s">
        <v>45</v>
      </c>
      <c r="AB284" s="2">
        <v>235.9</v>
      </c>
    </row>
    <row r="285" spans="1:28" x14ac:dyDescent="0.3">
      <c r="A285" s="4">
        <v>46180</v>
      </c>
      <c r="B285" s="8" t="s">
        <v>64</v>
      </c>
      <c r="C285" s="8" t="s">
        <v>36</v>
      </c>
      <c r="D285" s="7" t="s">
        <v>48</v>
      </c>
      <c r="E285" s="7" t="s">
        <v>38</v>
      </c>
      <c r="F285" s="13">
        <v>1152</v>
      </c>
      <c r="G285" s="59"/>
      <c r="H285" s="6">
        <f>24000/7</f>
        <v>3428.5714285714284</v>
      </c>
      <c r="I285" s="6">
        <f t="shared" si="28"/>
        <v>309.7713097713098</v>
      </c>
      <c r="J285" s="2">
        <v>5.96</v>
      </c>
      <c r="K285" s="2">
        <v>4.8099999999999996</v>
      </c>
      <c r="L285" s="2">
        <v>1.1499999999999999</v>
      </c>
      <c r="M285" s="2">
        <v>19.29</v>
      </c>
      <c r="N285" s="2">
        <v>381</v>
      </c>
      <c r="O285" s="77">
        <v>1490</v>
      </c>
      <c r="P285" s="2">
        <v>3.91</v>
      </c>
      <c r="Q285" s="2">
        <v>8.16</v>
      </c>
      <c r="R285" s="2">
        <v>182.65</v>
      </c>
      <c r="S285" s="2">
        <v>6.62</v>
      </c>
      <c r="T285" s="2">
        <v>5.76</v>
      </c>
      <c r="U285" s="2">
        <v>176.02</v>
      </c>
      <c r="V285" s="2">
        <v>36.58</v>
      </c>
      <c r="W285" s="2">
        <v>6326.91</v>
      </c>
      <c r="X285" s="2">
        <v>394609</v>
      </c>
      <c r="Y285" s="2">
        <v>1390020</v>
      </c>
      <c r="Z285" s="2">
        <v>0.1</v>
      </c>
      <c r="AA285" s="2">
        <v>0</v>
      </c>
      <c r="AB285" s="2">
        <v>45.5</v>
      </c>
    </row>
    <row r="286" spans="1:28" hidden="1" x14ac:dyDescent="0.3">
      <c r="A286" s="4">
        <v>46180</v>
      </c>
      <c r="B286" s="8" t="s">
        <v>55</v>
      </c>
      <c r="C286" s="8" t="s">
        <v>56</v>
      </c>
      <c r="D286" s="7" t="s">
        <v>50</v>
      </c>
      <c r="E286" s="7" t="s">
        <v>47</v>
      </c>
      <c r="F286" s="13"/>
      <c r="G286" s="59"/>
      <c r="H286" s="6"/>
      <c r="I286" s="6">
        <f t="shared" si="28"/>
        <v>0</v>
      </c>
      <c r="J286" s="2" t="s">
        <v>45</v>
      </c>
      <c r="K286" s="2" t="s">
        <v>45</v>
      </c>
      <c r="L286" s="2" t="s">
        <v>45</v>
      </c>
      <c r="M286" s="2" t="s">
        <v>45</v>
      </c>
      <c r="N286" s="2" t="s">
        <v>45</v>
      </c>
      <c r="O286" s="56" t="s">
        <v>45</v>
      </c>
      <c r="P286" s="2" t="s">
        <v>45</v>
      </c>
      <c r="Q286" s="2" t="s">
        <v>45</v>
      </c>
      <c r="R286" s="2" t="s">
        <v>45</v>
      </c>
      <c r="S286" s="2" t="s">
        <v>45</v>
      </c>
      <c r="T286" s="2" t="s">
        <v>45</v>
      </c>
      <c r="U286" s="2" t="s">
        <v>45</v>
      </c>
      <c r="V286" s="2" t="s">
        <v>45</v>
      </c>
      <c r="W286" s="2" t="s">
        <v>45</v>
      </c>
      <c r="X286" s="2" t="s">
        <v>45</v>
      </c>
      <c r="Y286" s="2" t="s">
        <v>45</v>
      </c>
      <c r="Z286" s="2" t="s">
        <v>45</v>
      </c>
      <c r="AA286" s="2" t="s">
        <v>45</v>
      </c>
      <c r="AB286" s="2" t="s">
        <v>45</v>
      </c>
    </row>
    <row r="287" spans="1:28" hidden="1" x14ac:dyDescent="0.3">
      <c r="A287" s="4">
        <v>46180</v>
      </c>
      <c r="B287" s="8" t="s">
        <v>55</v>
      </c>
      <c r="C287" s="8" t="s">
        <v>56</v>
      </c>
      <c r="D287" s="7" t="s">
        <v>49</v>
      </c>
      <c r="E287" s="7" t="s">
        <v>47</v>
      </c>
      <c r="F287" s="13"/>
      <c r="G287" s="59"/>
      <c r="H287" s="6"/>
      <c r="I287" s="6">
        <f t="shared" si="28"/>
        <v>0</v>
      </c>
      <c r="J287" s="2" t="s">
        <v>45</v>
      </c>
      <c r="K287" s="2" t="s">
        <v>45</v>
      </c>
      <c r="L287" s="2" t="s">
        <v>45</v>
      </c>
      <c r="M287" s="2" t="s">
        <v>45</v>
      </c>
      <c r="N287" s="2" t="s">
        <v>45</v>
      </c>
      <c r="O287" s="56" t="s">
        <v>45</v>
      </c>
      <c r="P287" s="2" t="s">
        <v>45</v>
      </c>
      <c r="Q287" s="2" t="s">
        <v>45</v>
      </c>
      <c r="R287" s="2" t="s">
        <v>45</v>
      </c>
      <c r="S287" s="2" t="s">
        <v>45</v>
      </c>
      <c r="T287" s="2" t="s">
        <v>45</v>
      </c>
      <c r="U287" s="2" t="s">
        <v>45</v>
      </c>
      <c r="V287" s="2" t="s">
        <v>45</v>
      </c>
      <c r="W287" s="2" t="s">
        <v>45</v>
      </c>
      <c r="X287" s="2" t="s">
        <v>45</v>
      </c>
      <c r="Y287" s="2" t="s">
        <v>45</v>
      </c>
      <c r="Z287" s="2" t="s">
        <v>45</v>
      </c>
      <c r="AA287" s="2" t="s">
        <v>45</v>
      </c>
      <c r="AB287" s="2" t="s">
        <v>45</v>
      </c>
    </row>
    <row r="288" spans="1:28" hidden="1" x14ac:dyDescent="0.3">
      <c r="A288" s="4">
        <v>46180</v>
      </c>
      <c r="B288" s="8" t="s">
        <v>55</v>
      </c>
      <c r="C288" s="8" t="s">
        <v>56</v>
      </c>
      <c r="D288" s="7" t="s">
        <v>52</v>
      </c>
      <c r="E288" s="7" t="s">
        <v>47</v>
      </c>
      <c r="F288" s="13"/>
      <c r="G288" s="59"/>
      <c r="H288" s="6"/>
      <c r="I288" s="6">
        <f t="shared" si="28"/>
        <v>0</v>
      </c>
      <c r="J288" s="2">
        <v>0</v>
      </c>
      <c r="K288" s="2">
        <v>0</v>
      </c>
      <c r="L288" s="2">
        <v>0</v>
      </c>
      <c r="M288" s="2" t="s">
        <v>45</v>
      </c>
      <c r="N288" s="2">
        <v>0</v>
      </c>
      <c r="O288" s="56">
        <v>0</v>
      </c>
      <c r="P288" s="2" t="s">
        <v>45</v>
      </c>
      <c r="Q288" s="2" t="s">
        <v>45</v>
      </c>
      <c r="R288" s="2">
        <v>0</v>
      </c>
      <c r="S288" s="2">
        <v>0</v>
      </c>
      <c r="T288" s="2" t="s">
        <v>45</v>
      </c>
      <c r="U288" s="2">
        <v>0</v>
      </c>
      <c r="V288" s="2" t="s">
        <v>45</v>
      </c>
      <c r="W288" s="2">
        <v>609.42999999999995</v>
      </c>
      <c r="X288" s="2">
        <v>56871</v>
      </c>
      <c r="Y288" s="2">
        <v>115511</v>
      </c>
      <c r="Z288" s="2">
        <v>0</v>
      </c>
      <c r="AA288" s="2" t="s">
        <v>45</v>
      </c>
      <c r="AB288" s="2">
        <v>52.3</v>
      </c>
    </row>
    <row r="289" spans="1:28" hidden="1" x14ac:dyDescent="0.3">
      <c r="A289" s="4">
        <v>46181</v>
      </c>
      <c r="B289" s="8" t="s">
        <v>55</v>
      </c>
      <c r="C289" s="8" t="s">
        <v>56</v>
      </c>
      <c r="D289" s="7" t="s">
        <v>43</v>
      </c>
      <c r="E289" s="7" t="s">
        <v>47</v>
      </c>
      <c r="F289" s="13"/>
      <c r="G289" s="59" t="s">
        <v>53</v>
      </c>
      <c r="H289" s="6"/>
      <c r="I289" s="6">
        <f t="shared" si="28"/>
        <v>0</v>
      </c>
      <c r="J289" s="2">
        <v>7.16</v>
      </c>
      <c r="K289" s="2">
        <v>5.66</v>
      </c>
      <c r="L289" s="2">
        <v>1.5</v>
      </c>
      <c r="M289" s="2">
        <v>20.96</v>
      </c>
      <c r="N289" s="2" t="s">
        <v>45</v>
      </c>
      <c r="O289" s="56" t="s">
        <v>42</v>
      </c>
      <c r="P289" s="2" t="s">
        <v>45</v>
      </c>
      <c r="Q289" s="2" t="s">
        <v>45</v>
      </c>
      <c r="R289" s="2">
        <v>115.93</v>
      </c>
      <c r="S289" s="2">
        <v>6.62</v>
      </c>
      <c r="T289" s="2">
        <v>4.42</v>
      </c>
      <c r="U289" s="2">
        <v>109.3</v>
      </c>
      <c r="V289" s="2">
        <v>19.32</v>
      </c>
      <c r="W289" s="2">
        <v>8605.89</v>
      </c>
      <c r="X289" s="2" t="s">
        <v>45</v>
      </c>
      <c r="Y289" s="2" t="s">
        <v>45</v>
      </c>
      <c r="Z289" s="2">
        <v>0.6</v>
      </c>
      <c r="AA289" s="2" t="s">
        <v>45</v>
      </c>
      <c r="AB289" s="2">
        <v>225.5</v>
      </c>
    </row>
    <row r="290" spans="1:28" hidden="1" x14ac:dyDescent="0.3">
      <c r="A290" s="4">
        <v>46181</v>
      </c>
      <c r="B290" s="8" t="s">
        <v>66</v>
      </c>
      <c r="C290" s="8" t="s">
        <v>36</v>
      </c>
      <c r="D290" s="7" t="s">
        <v>39</v>
      </c>
      <c r="E290" s="7" t="s">
        <v>40</v>
      </c>
      <c r="F290" s="13"/>
      <c r="G290" s="59"/>
      <c r="H290" s="6"/>
      <c r="I290" s="6">
        <f t="shared" si="28"/>
        <v>87.914230019493175</v>
      </c>
      <c r="J290" s="2">
        <v>6.03</v>
      </c>
      <c r="K290" s="2">
        <v>5.13</v>
      </c>
      <c r="L290" s="2">
        <v>0.9</v>
      </c>
      <c r="M290" s="2">
        <v>14.93</v>
      </c>
      <c r="N290" s="2">
        <v>242</v>
      </c>
      <c r="O290" s="56">
        <v>451</v>
      </c>
      <c r="P290" s="2">
        <v>1.86</v>
      </c>
      <c r="Q290" s="2">
        <v>4.84</v>
      </c>
      <c r="R290" s="2">
        <v>93.22</v>
      </c>
      <c r="S290" s="2">
        <v>3.79</v>
      </c>
      <c r="T290" s="2">
        <v>4.21</v>
      </c>
      <c r="U290" s="2">
        <v>89.43</v>
      </c>
      <c r="V290" s="2">
        <v>17.440000000000001</v>
      </c>
      <c r="W290" s="2">
        <v>9048.52</v>
      </c>
      <c r="X290" s="2">
        <v>71961</v>
      </c>
      <c r="Y290" s="2">
        <v>106143</v>
      </c>
      <c r="Z290" s="2">
        <v>1</v>
      </c>
      <c r="AA290" s="2">
        <v>0</v>
      </c>
      <c r="AB290" s="2">
        <v>283.3</v>
      </c>
    </row>
    <row r="291" spans="1:28" hidden="1" x14ac:dyDescent="0.3">
      <c r="A291" s="4">
        <v>46181</v>
      </c>
      <c r="B291" s="8" t="s">
        <v>66</v>
      </c>
      <c r="C291" s="8" t="s">
        <v>36</v>
      </c>
      <c r="D291" s="7" t="s">
        <v>50</v>
      </c>
      <c r="E291" s="7" t="s">
        <v>47</v>
      </c>
      <c r="F291" s="13"/>
      <c r="G291" s="59"/>
      <c r="H291" s="6">
        <v>3000</v>
      </c>
      <c r="I291" s="6">
        <f t="shared" si="28"/>
        <v>170.82728592162556</v>
      </c>
      <c r="J291" s="2">
        <v>8.64</v>
      </c>
      <c r="K291" s="2">
        <v>6.89</v>
      </c>
      <c r="L291" s="2">
        <v>1.75</v>
      </c>
      <c r="M291" s="2">
        <v>20.260000000000002</v>
      </c>
      <c r="N291" s="2">
        <v>697</v>
      </c>
      <c r="O291" s="56">
        <v>1177</v>
      </c>
      <c r="P291" s="2">
        <v>1.69</v>
      </c>
      <c r="Q291" s="2">
        <v>8</v>
      </c>
      <c r="R291" s="2">
        <v>147.16</v>
      </c>
      <c r="S291" s="2">
        <v>6.62</v>
      </c>
      <c r="T291" s="2">
        <v>3.79</v>
      </c>
      <c r="U291" s="2">
        <v>140.53</v>
      </c>
      <c r="V291" s="2">
        <v>20.41</v>
      </c>
      <c r="W291" s="2">
        <v>2156.54</v>
      </c>
      <c r="X291" s="2">
        <v>129624</v>
      </c>
      <c r="Y291" s="2">
        <v>243036</v>
      </c>
      <c r="Z291" s="2">
        <v>0.2</v>
      </c>
      <c r="AA291" s="2">
        <v>0</v>
      </c>
      <c r="AB291" s="2">
        <v>298.89999999999998</v>
      </c>
    </row>
    <row r="292" spans="1:28" hidden="1" x14ac:dyDescent="0.3">
      <c r="A292" s="4">
        <v>46181</v>
      </c>
      <c r="B292" s="8" t="s">
        <v>66</v>
      </c>
      <c r="C292" s="8" t="s">
        <v>36</v>
      </c>
      <c r="D292" s="7" t="s">
        <v>52</v>
      </c>
      <c r="E292" s="7" t="s">
        <v>47</v>
      </c>
      <c r="F292" s="13"/>
      <c r="G292" s="59"/>
      <c r="H292" s="6">
        <v>3000</v>
      </c>
      <c r="I292" s="6">
        <f t="shared" si="28"/>
        <v>419.9728260869565</v>
      </c>
      <c r="J292" s="2">
        <v>8.41</v>
      </c>
      <c r="K292" s="2">
        <v>7.36</v>
      </c>
      <c r="L292" s="2">
        <v>1.05</v>
      </c>
      <c r="M292" s="2">
        <v>12.48</v>
      </c>
      <c r="N292" s="2">
        <v>1259</v>
      </c>
      <c r="O292" s="56">
        <v>3091</v>
      </c>
      <c r="P292" s="2">
        <v>2.46</v>
      </c>
      <c r="Q292" s="2">
        <v>18.350000000000001</v>
      </c>
      <c r="R292" s="2">
        <v>168.45</v>
      </c>
      <c r="S292" s="2">
        <v>4.7300000000000004</v>
      </c>
      <c r="T292" s="2">
        <v>4.51</v>
      </c>
      <c r="U292" s="2">
        <v>163.72</v>
      </c>
      <c r="V292" s="2">
        <v>22.24</v>
      </c>
      <c r="W292" s="2">
        <v>617.84</v>
      </c>
      <c r="X292" s="2">
        <v>58130</v>
      </c>
      <c r="Y292" s="2">
        <v>118602</v>
      </c>
      <c r="Z292" s="2">
        <v>2</v>
      </c>
      <c r="AA292" s="2">
        <v>0</v>
      </c>
      <c r="AB292" s="2">
        <v>54.3</v>
      </c>
    </row>
    <row r="293" spans="1:28" hidden="1" x14ac:dyDescent="0.3">
      <c r="A293" s="4">
        <v>46181</v>
      </c>
      <c r="B293" s="8" t="s">
        <v>66</v>
      </c>
      <c r="C293" s="8" t="s">
        <v>36</v>
      </c>
      <c r="D293" s="7" t="s">
        <v>46</v>
      </c>
      <c r="E293" s="7" t="s">
        <v>47</v>
      </c>
      <c r="F293" s="13"/>
      <c r="G293" s="59"/>
      <c r="H293" s="6">
        <v>3000</v>
      </c>
      <c r="I293" s="6">
        <f t="shared" si="28"/>
        <v>0</v>
      </c>
      <c r="J293" s="2">
        <v>0.24</v>
      </c>
      <c r="K293" s="2">
        <v>0.19</v>
      </c>
      <c r="L293" s="2">
        <v>0.05</v>
      </c>
      <c r="M293" s="2">
        <v>20.43</v>
      </c>
      <c r="N293" s="2">
        <v>2</v>
      </c>
      <c r="O293" s="56">
        <v>0</v>
      </c>
      <c r="P293" s="2">
        <v>0</v>
      </c>
      <c r="Q293" s="2">
        <v>0</v>
      </c>
      <c r="R293" s="2">
        <v>3.31</v>
      </c>
      <c r="S293" s="2">
        <v>0.95</v>
      </c>
      <c r="T293" s="2">
        <v>18.93</v>
      </c>
      <c r="U293" s="2">
        <v>2.37</v>
      </c>
      <c r="V293" s="2">
        <v>12.15</v>
      </c>
      <c r="W293" s="2">
        <v>7616.01</v>
      </c>
      <c r="X293" s="2">
        <v>99871</v>
      </c>
      <c r="Y293" s="2">
        <v>287948</v>
      </c>
      <c r="Z293" s="2">
        <v>0</v>
      </c>
      <c r="AA293" s="2">
        <v>0</v>
      </c>
      <c r="AB293" s="2">
        <v>235.9</v>
      </c>
    </row>
    <row r="294" spans="1:28" x14ac:dyDescent="0.3">
      <c r="A294" s="4">
        <v>46181</v>
      </c>
      <c r="B294" s="8" t="s">
        <v>66</v>
      </c>
      <c r="C294" s="8" t="s">
        <v>36</v>
      </c>
      <c r="D294" s="7" t="s">
        <v>48</v>
      </c>
      <c r="E294" s="7" t="s">
        <v>38</v>
      </c>
      <c r="F294" s="13">
        <v>1875</v>
      </c>
      <c r="G294" s="59"/>
      <c r="H294" s="6">
        <f>24000/6</f>
        <v>4000</v>
      </c>
      <c r="I294" s="6">
        <f t="shared" si="28"/>
        <v>320.59496567505721</v>
      </c>
      <c r="J294" s="2">
        <v>10.54</v>
      </c>
      <c r="K294" s="2">
        <v>8.74</v>
      </c>
      <c r="L294" s="2">
        <v>1.8</v>
      </c>
      <c r="M294" s="2">
        <v>17.079999999999998</v>
      </c>
      <c r="N294" s="2">
        <v>744</v>
      </c>
      <c r="O294" s="77">
        <v>2802</v>
      </c>
      <c r="P294" s="2">
        <v>3.77</v>
      </c>
      <c r="Q294" s="2">
        <v>8.57</v>
      </c>
      <c r="R294" s="2">
        <v>326.95999999999998</v>
      </c>
      <c r="S294" s="2">
        <v>9.4600000000000009</v>
      </c>
      <c r="T294" s="2">
        <v>5.26</v>
      </c>
      <c r="U294" s="2">
        <v>317.5</v>
      </c>
      <c r="V294" s="2">
        <v>36.33</v>
      </c>
      <c r="W294" s="2">
        <v>6337.45</v>
      </c>
      <c r="X294" s="2">
        <v>395353</v>
      </c>
      <c r="Y294" s="2">
        <v>1392822</v>
      </c>
      <c r="Z294" s="2">
        <v>0.1</v>
      </c>
      <c r="AA294" s="2">
        <v>0</v>
      </c>
      <c r="AB294" s="2">
        <v>45.6</v>
      </c>
    </row>
    <row r="295" spans="1:28" hidden="1" x14ac:dyDescent="0.3">
      <c r="A295" s="4">
        <v>46181</v>
      </c>
      <c r="B295" s="8" t="s">
        <v>66</v>
      </c>
      <c r="C295" s="8" t="s">
        <v>36</v>
      </c>
      <c r="D295" s="7" t="s">
        <v>49</v>
      </c>
      <c r="E295" s="7" t="s">
        <v>47</v>
      </c>
      <c r="F295" s="13"/>
      <c r="G295" s="59"/>
      <c r="H295" s="6">
        <v>3000</v>
      </c>
      <c r="I295" s="6">
        <f t="shared" si="28"/>
        <v>432.6283987915408</v>
      </c>
      <c r="J295" s="2">
        <v>8.4700000000000006</v>
      </c>
      <c r="K295" s="2">
        <v>6.62</v>
      </c>
      <c r="L295" s="2">
        <v>1.85</v>
      </c>
      <c r="M295" s="2">
        <v>21.84</v>
      </c>
      <c r="N295" s="2">
        <v>882</v>
      </c>
      <c r="O295" s="56">
        <v>2864</v>
      </c>
      <c r="P295" s="2">
        <v>3.25</v>
      </c>
      <c r="Q295" s="2">
        <v>10.53</v>
      </c>
      <c r="R295" s="2">
        <v>272.08</v>
      </c>
      <c r="S295" s="2">
        <v>8.52</v>
      </c>
      <c r="T295" s="2">
        <v>4.5999999999999996</v>
      </c>
      <c r="U295" s="2">
        <v>263.56</v>
      </c>
      <c r="V295" s="2">
        <v>39.81</v>
      </c>
      <c r="W295" s="2">
        <v>1683</v>
      </c>
      <c r="X295" s="2">
        <v>160403</v>
      </c>
      <c r="Y295" s="2">
        <v>550053</v>
      </c>
      <c r="Z295" s="2">
        <v>0.1</v>
      </c>
      <c r="AA295" s="2">
        <v>0</v>
      </c>
      <c r="AB295" s="2">
        <v>4.8</v>
      </c>
    </row>
    <row r="296" spans="1:28" hidden="1" x14ac:dyDescent="0.3">
      <c r="A296" s="14">
        <v>46181</v>
      </c>
      <c r="B296" s="14" t="s">
        <v>66</v>
      </c>
      <c r="C296" s="14" t="s">
        <v>36</v>
      </c>
      <c r="D296" s="42"/>
      <c r="E296" s="42" t="s">
        <v>47</v>
      </c>
      <c r="F296" s="43"/>
      <c r="G296" s="60"/>
      <c r="H296" s="44"/>
      <c r="I296" s="44"/>
      <c r="J296" s="42"/>
      <c r="K296" s="42"/>
      <c r="L296" s="42"/>
      <c r="M296" s="42"/>
      <c r="N296" s="42"/>
      <c r="O296" s="60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spans="1:28" hidden="1" x14ac:dyDescent="0.3">
      <c r="A297" s="4">
        <v>46182</v>
      </c>
      <c r="B297" s="8" t="s">
        <v>66</v>
      </c>
      <c r="C297" s="8" t="s">
        <v>36</v>
      </c>
      <c r="D297" s="7" t="s">
        <v>43</v>
      </c>
      <c r="E297" s="7" t="s">
        <v>47</v>
      </c>
      <c r="F297" s="13"/>
      <c r="G297" s="59"/>
      <c r="H297" s="6">
        <v>3000</v>
      </c>
      <c r="I297" s="6">
        <f t="shared" ref="I297:I310" si="29">IFERROR(O297/K297,)</f>
        <v>189.4736842105263</v>
      </c>
      <c r="J297" s="2">
        <v>6.45</v>
      </c>
      <c r="K297" s="2">
        <v>5.7</v>
      </c>
      <c r="L297" s="2">
        <v>0.75</v>
      </c>
      <c r="M297" s="2">
        <v>11.64</v>
      </c>
      <c r="N297" s="2" t="s">
        <v>45</v>
      </c>
      <c r="O297" s="56">
        <v>1080</v>
      </c>
      <c r="P297" s="2" t="s">
        <v>45</v>
      </c>
      <c r="Q297" s="2" t="s">
        <v>45</v>
      </c>
      <c r="R297" s="2">
        <v>122.08</v>
      </c>
      <c r="S297" s="2">
        <v>3.79</v>
      </c>
      <c r="T297" s="2">
        <v>5.05</v>
      </c>
      <c r="U297" s="2">
        <v>118.29</v>
      </c>
      <c r="V297" s="2">
        <v>20.77</v>
      </c>
      <c r="W297" s="2">
        <v>8612.33</v>
      </c>
      <c r="X297" s="2" t="s">
        <v>45</v>
      </c>
      <c r="Y297" s="2" t="s">
        <v>45</v>
      </c>
      <c r="Z297" s="2">
        <v>1.3</v>
      </c>
      <c r="AA297" s="2" t="s">
        <v>45</v>
      </c>
      <c r="AB297" s="2">
        <v>226.8</v>
      </c>
    </row>
    <row r="298" spans="1:28" hidden="1" x14ac:dyDescent="0.3">
      <c r="A298" s="4">
        <v>46182</v>
      </c>
      <c r="B298" s="8" t="s">
        <v>66</v>
      </c>
      <c r="C298" s="8" t="s">
        <v>36</v>
      </c>
      <c r="D298" s="7" t="s">
        <v>39</v>
      </c>
      <c r="E298" s="7" t="s">
        <v>40</v>
      </c>
      <c r="F298" s="13"/>
      <c r="G298" s="59"/>
      <c r="H298" s="6"/>
      <c r="I298" s="6">
        <f t="shared" si="29"/>
        <v>120.78313253012048</v>
      </c>
      <c r="J298" s="2">
        <v>4.37</v>
      </c>
      <c r="K298" s="2">
        <v>3.32</v>
      </c>
      <c r="L298" s="2">
        <v>1.05</v>
      </c>
      <c r="M298" s="2">
        <v>24.05</v>
      </c>
      <c r="N298" s="2">
        <v>330</v>
      </c>
      <c r="O298" s="56">
        <v>401</v>
      </c>
      <c r="P298" s="2">
        <v>1.22</v>
      </c>
      <c r="Q298" s="2">
        <v>5.84</v>
      </c>
      <c r="R298" s="2">
        <v>68.61</v>
      </c>
      <c r="S298" s="2">
        <v>4.26</v>
      </c>
      <c r="T298" s="2">
        <v>4.0599999999999996</v>
      </c>
      <c r="U298" s="2">
        <v>64.349999999999994</v>
      </c>
      <c r="V298" s="2">
        <v>19.399999999999999</v>
      </c>
      <c r="W298" s="2">
        <v>9052.8799999999992</v>
      </c>
      <c r="X298" s="2">
        <v>72291</v>
      </c>
      <c r="Y298" s="2">
        <v>106544</v>
      </c>
      <c r="Z298" s="2">
        <v>0</v>
      </c>
      <c r="AA298" s="2">
        <v>0</v>
      </c>
      <c r="AB298" s="2">
        <v>283.3</v>
      </c>
    </row>
    <row r="299" spans="1:28" hidden="1" x14ac:dyDescent="0.3">
      <c r="A299" s="4">
        <v>46182</v>
      </c>
      <c r="B299" s="8" t="s">
        <v>66</v>
      </c>
      <c r="C299" s="8" t="s">
        <v>36</v>
      </c>
      <c r="D299" s="7" t="s">
        <v>50</v>
      </c>
      <c r="E299" s="7" t="s">
        <v>47</v>
      </c>
      <c r="F299" s="13"/>
      <c r="G299" s="59"/>
      <c r="H299" s="6">
        <v>3000</v>
      </c>
      <c r="I299" s="6">
        <f t="shared" si="29"/>
        <v>182.75862068965517</v>
      </c>
      <c r="J299" s="2">
        <v>1.1299999999999999</v>
      </c>
      <c r="K299" s="2">
        <v>0.57999999999999996</v>
      </c>
      <c r="L299" s="2">
        <v>0.55000000000000004</v>
      </c>
      <c r="M299" s="2">
        <v>48.79</v>
      </c>
      <c r="N299" s="2">
        <v>60</v>
      </c>
      <c r="O299" s="56">
        <v>106</v>
      </c>
      <c r="P299" s="2">
        <v>1.77</v>
      </c>
      <c r="Q299" s="2">
        <v>7.47</v>
      </c>
      <c r="R299" s="2">
        <v>14.2</v>
      </c>
      <c r="S299" s="2">
        <v>2.37</v>
      </c>
      <c r="T299" s="2">
        <v>4.3</v>
      </c>
      <c r="U299" s="2">
        <v>11.83</v>
      </c>
      <c r="V299" s="2">
        <v>20.49</v>
      </c>
      <c r="W299" s="2">
        <v>2157.67</v>
      </c>
      <c r="X299" s="2">
        <v>129684</v>
      </c>
      <c r="Y299" s="2">
        <v>243142</v>
      </c>
      <c r="Z299" s="2">
        <v>0.2</v>
      </c>
      <c r="AA299" s="2">
        <v>0</v>
      </c>
      <c r="AB299" s="2">
        <v>299.10000000000002</v>
      </c>
    </row>
    <row r="300" spans="1:28" hidden="1" x14ac:dyDescent="0.3">
      <c r="A300" s="4">
        <v>46182</v>
      </c>
      <c r="B300" s="8" t="s">
        <v>66</v>
      </c>
      <c r="C300" s="8" t="s">
        <v>36</v>
      </c>
      <c r="D300" s="7" t="s">
        <v>52</v>
      </c>
      <c r="E300" s="7" t="s">
        <v>47</v>
      </c>
      <c r="F300" s="13"/>
      <c r="G300" s="59"/>
      <c r="H300" s="6">
        <v>3000</v>
      </c>
      <c r="I300" s="6">
        <f t="shared" si="29"/>
        <v>421.94805194805195</v>
      </c>
      <c r="J300" s="2">
        <v>8.8000000000000007</v>
      </c>
      <c r="K300" s="2">
        <v>7.7</v>
      </c>
      <c r="L300" s="2">
        <v>1.1000000000000001</v>
      </c>
      <c r="M300" s="2">
        <v>12.5</v>
      </c>
      <c r="N300" s="2">
        <v>1369</v>
      </c>
      <c r="O300" s="56">
        <v>3249</v>
      </c>
      <c r="P300" s="2">
        <v>2.37</v>
      </c>
      <c r="Q300" s="2">
        <v>18.760000000000002</v>
      </c>
      <c r="R300" s="2">
        <v>173.18</v>
      </c>
      <c r="S300" s="2">
        <v>4.7300000000000004</v>
      </c>
      <c r="T300" s="2">
        <v>4.3</v>
      </c>
      <c r="U300" s="2">
        <v>168.45</v>
      </c>
      <c r="V300" s="2">
        <v>21.88</v>
      </c>
      <c r="W300" s="2">
        <v>626.64</v>
      </c>
      <c r="X300" s="2">
        <v>59499</v>
      </c>
      <c r="Y300" s="2">
        <v>121851</v>
      </c>
      <c r="Z300" s="2">
        <v>0.8</v>
      </c>
      <c r="AA300" s="2">
        <v>0</v>
      </c>
      <c r="AB300" s="2">
        <v>55.1</v>
      </c>
    </row>
    <row r="301" spans="1:28" hidden="1" x14ac:dyDescent="0.3">
      <c r="A301" s="4">
        <v>46182</v>
      </c>
      <c r="B301" s="8" t="s">
        <v>66</v>
      </c>
      <c r="C301" s="8" t="s">
        <v>36</v>
      </c>
      <c r="D301" s="7" t="s">
        <v>46</v>
      </c>
      <c r="E301" s="7" t="s">
        <v>47</v>
      </c>
      <c r="F301" s="13"/>
      <c r="G301" s="59"/>
      <c r="H301" s="6">
        <v>3000</v>
      </c>
      <c r="I301" s="6">
        <f t="shared" si="29"/>
        <v>101.12781954887218</v>
      </c>
      <c r="J301" s="2">
        <v>3.66</v>
      </c>
      <c r="K301" s="2">
        <v>2.66</v>
      </c>
      <c r="L301" s="2">
        <v>1</v>
      </c>
      <c r="M301" s="2">
        <v>27.33</v>
      </c>
      <c r="N301" s="2">
        <v>172</v>
      </c>
      <c r="O301" s="56">
        <v>269</v>
      </c>
      <c r="P301" s="2">
        <v>1.56</v>
      </c>
      <c r="Q301" s="2">
        <v>3.14</v>
      </c>
      <c r="R301" s="2">
        <v>85.64</v>
      </c>
      <c r="S301" s="2">
        <v>4.7300000000000004</v>
      </c>
      <c r="T301" s="2">
        <v>4.7300000000000004</v>
      </c>
      <c r="U301" s="2">
        <v>80.91</v>
      </c>
      <c r="V301" s="2">
        <v>30.43</v>
      </c>
      <c r="W301" s="2">
        <v>7619.67</v>
      </c>
      <c r="X301" s="2">
        <v>100043</v>
      </c>
      <c r="Y301" s="2">
        <v>288217</v>
      </c>
      <c r="Z301" s="2">
        <v>0.1</v>
      </c>
      <c r="AA301" s="2">
        <v>0</v>
      </c>
      <c r="AB301" s="2">
        <v>236</v>
      </c>
    </row>
    <row r="302" spans="1:28" x14ac:dyDescent="0.3">
      <c r="A302" s="4">
        <v>46182</v>
      </c>
      <c r="B302" s="8" t="s">
        <v>66</v>
      </c>
      <c r="C302" s="8" t="s">
        <v>36</v>
      </c>
      <c r="D302" s="7" t="s">
        <v>48</v>
      </c>
      <c r="E302" s="7" t="s">
        <v>38</v>
      </c>
      <c r="F302" s="13">
        <v>2021</v>
      </c>
      <c r="G302" s="59"/>
      <c r="H302" s="6">
        <f>24000/6</f>
        <v>4000</v>
      </c>
      <c r="I302" s="6">
        <f t="shared" si="29"/>
        <v>348.21428571428572</v>
      </c>
      <c r="J302" s="2">
        <v>8.32</v>
      </c>
      <c r="K302" s="2">
        <v>6.72</v>
      </c>
      <c r="L302" s="2">
        <v>1.6</v>
      </c>
      <c r="M302" s="2">
        <v>19.23</v>
      </c>
      <c r="N302" s="2">
        <v>573</v>
      </c>
      <c r="O302" s="77">
        <v>2340</v>
      </c>
      <c r="P302" s="2">
        <v>4.08</v>
      </c>
      <c r="Q302" s="2">
        <v>9.1199999999999992</v>
      </c>
      <c r="R302" s="2">
        <v>256.45999999999998</v>
      </c>
      <c r="S302" s="2">
        <v>8.52</v>
      </c>
      <c r="T302" s="2">
        <v>5.32</v>
      </c>
      <c r="U302" s="2">
        <v>247.94</v>
      </c>
      <c r="V302" s="2">
        <v>36.9</v>
      </c>
      <c r="W302" s="2">
        <v>6345.77</v>
      </c>
      <c r="X302" s="2">
        <v>395926</v>
      </c>
      <c r="Y302" s="2">
        <v>1395162</v>
      </c>
      <c r="Z302" s="2">
        <v>0.2</v>
      </c>
      <c r="AA302" s="2">
        <v>0</v>
      </c>
      <c r="AB302" s="2">
        <v>45.8</v>
      </c>
    </row>
    <row r="303" spans="1:28" hidden="1" x14ac:dyDescent="0.3">
      <c r="A303" s="4">
        <v>46182</v>
      </c>
      <c r="B303" s="8" t="s">
        <v>66</v>
      </c>
      <c r="C303" s="8" t="s">
        <v>36</v>
      </c>
      <c r="D303" s="7" t="s">
        <v>49</v>
      </c>
      <c r="E303" s="7" t="s">
        <v>47</v>
      </c>
      <c r="F303" s="13"/>
      <c r="G303" s="59"/>
      <c r="H303" s="6">
        <v>3000</v>
      </c>
      <c r="I303" s="6">
        <f t="shared" si="29"/>
        <v>485.84905660377359</v>
      </c>
      <c r="J303" s="2">
        <v>6.9</v>
      </c>
      <c r="K303" s="2">
        <v>5.3</v>
      </c>
      <c r="L303" s="2">
        <v>1.6</v>
      </c>
      <c r="M303" s="2">
        <v>23.18</v>
      </c>
      <c r="N303" s="2">
        <v>764</v>
      </c>
      <c r="O303" s="56">
        <v>2575</v>
      </c>
      <c r="P303" s="2">
        <v>3.37</v>
      </c>
      <c r="Q303" s="2">
        <v>11.83</v>
      </c>
      <c r="R303" s="2">
        <v>217.66</v>
      </c>
      <c r="S303" s="2">
        <v>7.57</v>
      </c>
      <c r="T303" s="2">
        <v>4.7300000000000004</v>
      </c>
      <c r="U303" s="2">
        <v>210.09</v>
      </c>
      <c r="V303" s="2">
        <v>39.61</v>
      </c>
      <c r="W303" s="2">
        <v>1689.9</v>
      </c>
      <c r="X303" s="2">
        <v>161167</v>
      </c>
      <c r="Y303" s="2">
        <v>552628</v>
      </c>
      <c r="Z303" s="2">
        <v>0</v>
      </c>
      <c r="AA303" s="2">
        <v>0</v>
      </c>
      <c r="AB303" s="2">
        <v>4.8</v>
      </c>
    </row>
    <row r="304" spans="1:28" hidden="1" x14ac:dyDescent="0.3">
      <c r="A304" s="4">
        <v>46183</v>
      </c>
      <c r="B304" s="8" t="s">
        <v>55</v>
      </c>
      <c r="C304" s="8" t="s">
        <v>56</v>
      </c>
      <c r="D304" s="7" t="s">
        <v>43</v>
      </c>
      <c r="E304" s="7" t="s">
        <v>47</v>
      </c>
      <c r="F304" s="13"/>
      <c r="G304" s="59" t="s">
        <v>53</v>
      </c>
      <c r="H304" s="6"/>
      <c r="I304" s="6">
        <f t="shared" si="29"/>
        <v>0</v>
      </c>
      <c r="J304" s="2">
        <v>0.93</v>
      </c>
      <c r="K304" s="2">
        <v>0.18</v>
      </c>
      <c r="L304" s="2">
        <v>0.75</v>
      </c>
      <c r="M304" s="2">
        <v>80.790000000000006</v>
      </c>
      <c r="N304" s="2" t="s">
        <v>45</v>
      </c>
      <c r="O304" s="56">
        <v>0</v>
      </c>
      <c r="P304" s="2" t="s">
        <v>45</v>
      </c>
      <c r="Q304" s="2" t="s">
        <v>45</v>
      </c>
      <c r="R304" s="2">
        <v>5.68</v>
      </c>
      <c r="S304" s="2">
        <v>3.31</v>
      </c>
      <c r="T304" s="2">
        <v>4.42</v>
      </c>
      <c r="U304" s="2">
        <v>2.37</v>
      </c>
      <c r="V304" s="2">
        <v>13.27</v>
      </c>
      <c r="W304" s="2">
        <v>8613.26</v>
      </c>
      <c r="X304" s="2" t="s">
        <v>45</v>
      </c>
      <c r="Y304" s="2" t="s">
        <v>45</v>
      </c>
      <c r="Z304" s="2">
        <v>0</v>
      </c>
      <c r="AA304" s="2" t="s">
        <v>45</v>
      </c>
      <c r="AB304" s="2">
        <v>226.8</v>
      </c>
    </row>
    <row r="305" spans="1:28" hidden="1" x14ac:dyDescent="0.3">
      <c r="A305" s="4">
        <v>46183</v>
      </c>
      <c r="B305" s="8" t="s">
        <v>55</v>
      </c>
      <c r="C305" s="8" t="s">
        <v>56</v>
      </c>
      <c r="D305" s="7" t="s">
        <v>39</v>
      </c>
      <c r="E305" s="7" t="s">
        <v>40</v>
      </c>
      <c r="F305" s="13"/>
      <c r="G305" s="59" t="s">
        <v>53</v>
      </c>
      <c r="H305" s="6"/>
      <c r="I305" s="6">
        <f t="shared" si="29"/>
        <v>0</v>
      </c>
      <c r="J305" s="2">
        <v>2.68</v>
      </c>
      <c r="K305" s="2">
        <v>0.57999999999999996</v>
      </c>
      <c r="L305" s="2">
        <v>2.1</v>
      </c>
      <c r="M305" s="2">
        <v>78.45</v>
      </c>
      <c r="N305" s="2">
        <v>19</v>
      </c>
      <c r="O305" s="56">
        <v>0</v>
      </c>
      <c r="P305" s="2">
        <v>0</v>
      </c>
      <c r="Q305" s="2">
        <v>0</v>
      </c>
      <c r="R305" s="2">
        <v>14.67</v>
      </c>
      <c r="S305" s="2">
        <v>8.0399999999999991</v>
      </c>
      <c r="T305" s="2">
        <v>3.83</v>
      </c>
      <c r="U305" s="2">
        <v>6.62</v>
      </c>
      <c r="V305" s="2">
        <v>11.49</v>
      </c>
      <c r="W305" s="2">
        <v>9055.56</v>
      </c>
      <c r="X305" s="2">
        <v>72310</v>
      </c>
      <c r="Y305" s="2">
        <v>106544</v>
      </c>
      <c r="Z305" s="2">
        <v>0</v>
      </c>
      <c r="AA305" s="2">
        <v>0</v>
      </c>
      <c r="AB305" s="2">
        <v>283.3</v>
      </c>
    </row>
    <row r="306" spans="1:28" hidden="1" x14ac:dyDescent="0.3">
      <c r="A306" s="4">
        <v>46183</v>
      </c>
      <c r="B306" s="8" t="s">
        <v>66</v>
      </c>
      <c r="C306" s="8" t="s">
        <v>36</v>
      </c>
      <c r="D306" s="7" t="s">
        <v>50</v>
      </c>
      <c r="E306" s="7" t="s">
        <v>47</v>
      </c>
      <c r="F306" s="13"/>
      <c r="G306" s="59"/>
      <c r="H306" s="6">
        <v>3000</v>
      </c>
      <c r="I306" s="6">
        <f t="shared" si="29"/>
        <v>38.84297520661157</v>
      </c>
      <c r="J306" s="2">
        <v>7.6</v>
      </c>
      <c r="K306" s="2">
        <v>6.05</v>
      </c>
      <c r="L306" s="2">
        <v>1.55</v>
      </c>
      <c r="M306" s="2">
        <v>20.399999999999999</v>
      </c>
      <c r="N306" s="2">
        <v>133</v>
      </c>
      <c r="O306" s="56">
        <v>235</v>
      </c>
      <c r="P306" s="2">
        <v>1.77</v>
      </c>
      <c r="Q306" s="2">
        <v>1.77</v>
      </c>
      <c r="R306" s="2">
        <v>132.96</v>
      </c>
      <c r="S306" s="2">
        <v>6.15</v>
      </c>
      <c r="T306" s="2">
        <v>3.97</v>
      </c>
      <c r="U306" s="2">
        <v>126.81</v>
      </c>
      <c r="V306" s="2">
        <v>20.97</v>
      </c>
      <c r="W306" s="2">
        <v>2165.27</v>
      </c>
      <c r="X306" s="2">
        <v>129817</v>
      </c>
      <c r="Y306" s="2">
        <v>243377</v>
      </c>
      <c r="Z306" s="2">
        <v>1.4</v>
      </c>
      <c r="AA306" s="2">
        <v>0.01</v>
      </c>
      <c r="AB306" s="2">
        <v>300.5</v>
      </c>
    </row>
    <row r="307" spans="1:28" hidden="1" x14ac:dyDescent="0.3">
      <c r="A307" s="4">
        <v>46183</v>
      </c>
      <c r="B307" s="8" t="s">
        <v>66</v>
      </c>
      <c r="C307" s="8" t="s">
        <v>36</v>
      </c>
      <c r="D307" s="7" t="s">
        <v>52</v>
      </c>
      <c r="E307" s="7" t="s">
        <v>47</v>
      </c>
      <c r="F307" s="13"/>
      <c r="G307" s="59"/>
      <c r="H307" s="6">
        <v>3000</v>
      </c>
      <c r="I307" s="6">
        <f t="shared" si="29"/>
        <v>375.58139534883719</v>
      </c>
      <c r="J307" s="2">
        <v>7.68</v>
      </c>
      <c r="K307" s="2">
        <v>6.88</v>
      </c>
      <c r="L307" s="2">
        <v>0.8</v>
      </c>
      <c r="M307" s="2">
        <v>10.41</v>
      </c>
      <c r="N307" s="2">
        <v>1054</v>
      </c>
      <c r="O307" s="56">
        <v>2584</v>
      </c>
      <c r="P307" s="2">
        <v>2.4500000000000002</v>
      </c>
      <c r="Q307" s="2">
        <v>16.55</v>
      </c>
      <c r="R307" s="2">
        <v>156.15</v>
      </c>
      <c r="S307" s="2">
        <v>3.79</v>
      </c>
      <c r="T307" s="2">
        <v>4.7300000000000004</v>
      </c>
      <c r="U307" s="2">
        <v>152.36000000000001</v>
      </c>
      <c r="V307" s="2">
        <v>22.14</v>
      </c>
      <c r="W307" s="2">
        <v>634.32000000000005</v>
      </c>
      <c r="X307" s="2">
        <v>60553</v>
      </c>
      <c r="Y307" s="2">
        <v>124435</v>
      </c>
      <c r="Z307" s="2">
        <v>0.5</v>
      </c>
      <c r="AA307" s="2">
        <v>0</v>
      </c>
      <c r="AB307" s="2">
        <v>55.6</v>
      </c>
    </row>
    <row r="308" spans="1:28" hidden="1" x14ac:dyDescent="0.3">
      <c r="A308" s="4">
        <v>46183</v>
      </c>
      <c r="B308" s="8" t="s">
        <v>66</v>
      </c>
      <c r="C308" s="8" t="s">
        <v>36</v>
      </c>
      <c r="D308" s="7" t="s">
        <v>46</v>
      </c>
      <c r="E308" s="7" t="s">
        <v>47</v>
      </c>
      <c r="F308" s="13"/>
      <c r="G308" s="59"/>
      <c r="H308" s="6">
        <v>3000</v>
      </c>
      <c r="I308" s="6">
        <f t="shared" si="29"/>
        <v>277.61732851985556</v>
      </c>
      <c r="J308" s="2">
        <v>9.01</v>
      </c>
      <c r="K308" s="2">
        <v>8.31</v>
      </c>
      <c r="L308" s="2">
        <v>0.7</v>
      </c>
      <c r="M308" s="2">
        <v>7.77</v>
      </c>
      <c r="N308" s="2">
        <v>894</v>
      </c>
      <c r="O308" s="56">
        <v>2307</v>
      </c>
      <c r="P308" s="2">
        <v>2.58</v>
      </c>
      <c r="Q308" s="2">
        <v>8.74</v>
      </c>
      <c r="R308" s="2">
        <v>264.02999999999997</v>
      </c>
      <c r="S308" s="2">
        <v>4.7300000000000004</v>
      </c>
      <c r="T308" s="2">
        <v>6.76</v>
      </c>
      <c r="U308" s="2">
        <v>259.3</v>
      </c>
      <c r="V308" s="2">
        <v>31.19</v>
      </c>
      <c r="W308" s="2">
        <v>7628.68</v>
      </c>
      <c r="X308" s="2">
        <v>100937</v>
      </c>
      <c r="Y308" s="2">
        <v>290524</v>
      </c>
      <c r="Z308" s="2">
        <v>1.9</v>
      </c>
      <c r="AA308" s="2">
        <v>0</v>
      </c>
      <c r="AB308" s="2">
        <v>237.9</v>
      </c>
    </row>
    <row r="309" spans="1:28" x14ac:dyDescent="0.3">
      <c r="A309" s="4">
        <v>46183</v>
      </c>
      <c r="B309" s="8" t="s">
        <v>66</v>
      </c>
      <c r="C309" s="8" t="s">
        <v>36</v>
      </c>
      <c r="D309" s="7" t="s">
        <v>48</v>
      </c>
      <c r="E309" s="7" t="s">
        <v>38</v>
      </c>
      <c r="F309" s="13">
        <v>2400</v>
      </c>
      <c r="G309" s="59"/>
      <c r="H309" s="6">
        <f>24000/6</f>
        <v>4000</v>
      </c>
      <c r="I309" s="6">
        <f t="shared" si="29"/>
        <v>493.5946462715105</v>
      </c>
      <c r="J309" s="2">
        <v>11.56</v>
      </c>
      <c r="K309" s="2">
        <v>10.46</v>
      </c>
      <c r="L309" s="2">
        <v>1.1000000000000001</v>
      </c>
      <c r="M309" s="2">
        <v>9.51</v>
      </c>
      <c r="N309" s="2">
        <v>1339</v>
      </c>
      <c r="O309" s="77">
        <v>5163</v>
      </c>
      <c r="P309" s="2">
        <v>3.86</v>
      </c>
      <c r="Q309" s="2">
        <v>12.34</v>
      </c>
      <c r="R309" s="2">
        <v>418.29</v>
      </c>
      <c r="S309" s="2">
        <v>6.15</v>
      </c>
      <c r="T309" s="2">
        <v>5.59</v>
      </c>
      <c r="U309" s="2">
        <v>412.14</v>
      </c>
      <c r="V309" s="2">
        <v>39.39</v>
      </c>
      <c r="W309" s="2">
        <v>6357.33</v>
      </c>
      <c r="X309" s="2">
        <v>397265</v>
      </c>
      <c r="Y309" s="2">
        <v>1400325</v>
      </c>
      <c r="Z309" s="2">
        <v>0.2</v>
      </c>
      <c r="AA309" s="2">
        <v>0</v>
      </c>
      <c r="AB309" s="2">
        <v>46</v>
      </c>
    </row>
    <row r="310" spans="1:28" hidden="1" x14ac:dyDescent="0.3">
      <c r="A310" s="4">
        <v>46183</v>
      </c>
      <c r="B310" s="8" t="s">
        <v>66</v>
      </c>
      <c r="C310" s="8" t="s">
        <v>36</v>
      </c>
      <c r="D310" s="7" t="s">
        <v>49</v>
      </c>
      <c r="E310" s="7" t="s">
        <v>47</v>
      </c>
      <c r="F310" s="13"/>
      <c r="G310" s="59"/>
      <c r="H310" s="6">
        <v>3000</v>
      </c>
      <c r="I310" s="6">
        <f t="shared" si="29"/>
        <v>555.76208178438662</v>
      </c>
      <c r="J310" s="2">
        <v>9.17</v>
      </c>
      <c r="K310" s="2">
        <v>8.07</v>
      </c>
      <c r="L310" s="2">
        <v>1.1000000000000001</v>
      </c>
      <c r="M310" s="2">
        <v>12</v>
      </c>
      <c r="N310" s="2">
        <v>1406</v>
      </c>
      <c r="O310" s="56">
        <v>4485</v>
      </c>
      <c r="P310" s="2">
        <v>3.19</v>
      </c>
      <c r="Q310" s="2">
        <v>13.28</v>
      </c>
      <c r="R310" s="2">
        <v>337.85</v>
      </c>
      <c r="S310" s="2">
        <v>4.26</v>
      </c>
      <c r="T310" s="2">
        <v>3.87</v>
      </c>
      <c r="U310" s="2">
        <v>333.59</v>
      </c>
      <c r="V310" s="2">
        <v>41.35</v>
      </c>
      <c r="W310" s="2">
        <v>1699.07</v>
      </c>
      <c r="X310" s="2">
        <v>162573</v>
      </c>
      <c r="Y310" s="2">
        <v>557113</v>
      </c>
      <c r="Z310" s="2">
        <v>0</v>
      </c>
      <c r="AA310" s="2">
        <v>0</v>
      </c>
      <c r="AB310" s="2">
        <v>4.8</v>
      </c>
    </row>
    <row r="311" spans="1:28" hidden="1" x14ac:dyDescent="0.3">
      <c r="A311" s="14">
        <v>46183</v>
      </c>
      <c r="B311" s="14" t="s">
        <v>66</v>
      </c>
      <c r="C311" s="14" t="s">
        <v>36</v>
      </c>
      <c r="D311" s="42"/>
      <c r="E311" s="42" t="s">
        <v>47</v>
      </c>
      <c r="F311" s="43"/>
      <c r="G311" s="60"/>
      <c r="H311" s="44">
        <v>3000</v>
      </c>
      <c r="I311" s="44"/>
      <c r="J311" s="42"/>
      <c r="K311" s="42"/>
      <c r="L311" s="42"/>
      <c r="M311" s="42"/>
      <c r="N311" s="42"/>
      <c r="O311" s="60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spans="1:28" hidden="1" x14ac:dyDescent="0.3">
      <c r="A312" s="4">
        <v>46184</v>
      </c>
      <c r="B312" s="8" t="s">
        <v>66</v>
      </c>
      <c r="C312" s="8" t="s">
        <v>36</v>
      </c>
      <c r="D312" s="7" t="s">
        <v>43</v>
      </c>
      <c r="E312" s="7" t="s">
        <v>47</v>
      </c>
      <c r="F312" s="13"/>
      <c r="G312" s="59"/>
      <c r="H312" s="6">
        <v>3000</v>
      </c>
      <c r="I312" s="6">
        <f t="shared" ref="I312:I325" si="30">IFERROR(O312/K312,)</f>
        <v>288.08172531214529</v>
      </c>
      <c r="J312" s="2">
        <v>9.4600000000000009</v>
      </c>
      <c r="K312" s="2">
        <v>8.81</v>
      </c>
      <c r="L312" s="2">
        <v>0.65</v>
      </c>
      <c r="M312" s="2">
        <v>6.87</v>
      </c>
      <c r="N312" s="2" t="s">
        <v>45</v>
      </c>
      <c r="O312" s="56">
        <v>2538</v>
      </c>
      <c r="P312" s="2" t="s">
        <v>45</v>
      </c>
      <c r="Q312" s="2" t="s">
        <v>45</v>
      </c>
      <c r="R312" s="2">
        <v>194</v>
      </c>
      <c r="S312" s="2">
        <v>2.84</v>
      </c>
      <c r="T312" s="2">
        <v>4.37</v>
      </c>
      <c r="U312" s="2">
        <v>191.16</v>
      </c>
      <c r="V312" s="2">
        <v>21.7</v>
      </c>
      <c r="W312" s="2">
        <v>8622.7199999999993</v>
      </c>
      <c r="X312" s="2" t="s">
        <v>45</v>
      </c>
      <c r="Y312" s="2" t="s">
        <v>45</v>
      </c>
      <c r="Z312" s="2">
        <v>0.1</v>
      </c>
      <c r="AA312" s="2" t="s">
        <v>45</v>
      </c>
      <c r="AB312" s="2">
        <v>226.9</v>
      </c>
    </row>
    <row r="313" spans="1:28" hidden="1" x14ac:dyDescent="0.3">
      <c r="A313" s="4">
        <v>46184</v>
      </c>
      <c r="B313" s="8" t="s">
        <v>55</v>
      </c>
      <c r="C313" s="8" t="s">
        <v>56</v>
      </c>
      <c r="D313" s="7" t="s">
        <v>39</v>
      </c>
      <c r="E313" s="7" t="s">
        <v>40</v>
      </c>
      <c r="F313" s="13"/>
      <c r="G313" s="59" t="s">
        <v>53</v>
      </c>
      <c r="H313" s="6"/>
      <c r="I313" s="6">
        <f t="shared" si="30"/>
        <v>0</v>
      </c>
      <c r="J313" s="2">
        <v>0.24</v>
      </c>
      <c r="K313" s="2">
        <v>0.04</v>
      </c>
      <c r="L313" s="2">
        <v>0.2</v>
      </c>
      <c r="M313" s="2">
        <v>84.42</v>
      </c>
      <c r="N313" s="2">
        <v>0</v>
      </c>
      <c r="O313" s="56">
        <v>0</v>
      </c>
      <c r="P313" s="2" t="s">
        <v>45</v>
      </c>
      <c r="Q313" s="2">
        <v>0</v>
      </c>
      <c r="R313" s="2">
        <v>0.95</v>
      </c>
      <c r="S313" s="2">
        <v>0.95</v>
      </c>
      <c r="T313" s="2">
        <v>4.7300000000000004</v>
      </c>
      <c r="U313" s="2">
        <v>0</v>
      </c>
      <c r="V313" s="2">
        <v>0</v>
      </c>
      <c r="W313" s="2">
        <v>9055.7999999999993</v>
      </c>
      <c r="X313" s="2">
        <v>72310</v>
      </c>
      <c r="Y313" s="2">
        <v>106544</v>
      </c>
      <c r="Z313" s="2">
        <v>0</v>
      </c>
      <c r="AA313" s="2" t="s">
        <v>45</v>
      </c>
      <c r="AB313" s="2">
        <v>283.3</v>
      </c>
    </row>
    <row r="314" spans="1:28" hidden="1" x14ac:dyDescent="0.3">
      <c r="A314" s="4">
        <v>46184</v>
      </c>
      <c r="B314" s="8" t="s">
        <v>66</v>
      </c>
      <c r="C314" s="8" t="s">
        <v>36</v>
      </c>
      <c r="D314" s="7" t="s">
        <v>50</v>
      </c>
      <c r="E314" s="7" t="s">
        <v>47</v>
      </c>
      <c r="F314" s="13"/>
      <c r="G314" s="59"/>
      <c r="H314" s="6">
        <v>3000</v>
      </c>
      <c r="I314" s="6">
        <f t="shared" si="30"/>
        <v>380.96723868954757</v>
      </c>
      <c r="J314" s="2">
        <v>7.16</v>
      </c>
      <c r="K314" s="2">
        <v>6.41</v>
      </c>
      <c r="L314" s="2">
        <v>0.75</v>
      </c>
      <c r="M314" s="2">
        <v>10.48</v>
      </c>
      <c r="N314" s="2">
        <v>1527</v>
      </c>
      <c r="O314" s="56">
        <v>2442</v>
      </c>
      <c r="P314" s="2">
        <v>1.6</v>
      </c>
      <c r="Q314" s="2">
        <v>17.8</v>
      </c>
      <c r="R314" s="2">
        <v>137.22</v>
      </c>
      <c r="S314" s="2">
        <v>2.37</v>
      </c>
      <c r="T314" s="2">
        <v>3.15</v>
      </c>
      <c r="U314" s="2">
        <v>134.86000000000001</v>
      </c>
      <c r="V314" s="2">
        <v>21.05</v>
      </c>
      <c r="W314" s="2">
        <v>2172.42</v>
      </c>
      <c r="X314" s="2">
        <v>131344</v>
      </c>
      <c r="Y314" s="2">
        <v>245819</v>
      </c>
      <c r="Z314" s="2">
        <v>0.3</v>
      </c>
      <c r="AA314" s="2">
        <v>0</v>
      </c>
      <c r="AB314" s="2">
        <v>300.8</v>
      </c>
    </row>
    <row r="315" spans="1:28" hidden="1" x14ac:dyDescent="0.3">
      <c r="A315" s="4">
        <v>46184</v>
      </c>
      <c r="B315" s="8" t="s">
        <v>66</v>
      </c>
      <c r="C315" s="8" t="s">
        <v>36</v>
      </c>
      <c r="D315" s="7" t="s">
        <v>52</v>
      </c>
      <c r="E315" s="7" t="s">
        <v>47</v>
      </c>
      <c r="F315" s="13"/>
      <c r="G315" s="59"/>
      <c r="H315" s="6">
        <v>3000</v>
      </c>
      <c r="I315" s="6">
        <f t="shared" si="30"/>
        <v>399.8783454987834</v>
      </c>
      <c r="J315" s="2">
        <v>8.9700000000000006</v>
      </c>
      <c r="K315" s="2">
        <v>8.2200000000000006</v>
      </c>
      <c r="L315" s="2">
        <v>0.75</v>
      </c>
      <c r="M315" s="2">
        <v>8.36</v>
      </c>
      <c r="N315" s="2">
        <v>1307</v>
      </c>
      <c r="O315" s="56">
        <v>3287</v>
      </c>
      <c r="P315" s="2">
        <v>2.5099999999999998</v>
      </c>
      <c r="Q315" s="2">
        <v>18.62</v>
      </c>
      <c r="R315" s="2">
        <v>176.49</v>
      </c>
      <c r="S315" s="2">
        <v>2.37</v>
      </c>
      <c r="T315" s="2">
        <v>3.15</v>
      </c>
      <c r="U315" s="2">
        <v>174.13</v>
      </c>
      <c r="V315" s="2">
        <v>21.19</v>
      </c>
      <c r="W315" s="2">
        <v>643.28</v>
      </c>
      <c r="X315" s="2">
        <v>61860</v>
      </c>
      <c r="Y315" s="2">
        <v>127722</v>
      </c>
      <c r="Z315" s="2">
        <v>0.7</v>
      </c>
      <c r="AA315" s="2">
        <v>0</v>
      </c>
      <c r="AB315" s="2">
        <v>56.3</v>
      </c>
    </row>
    <row r="316" spans="1:28" hidden="1" x14ac:dyDescent="0.3">
      <c r="A316" s="4">
        <v>46184</v>
      </c>
      <c r="B316" s="8" t="s">
        <v>66</v>
      </c>
      <c r="C316" s="8" t="s">
        <v>36</v>
      </c>
      <c r="D316" s="7" t="s">
        <v>46</v>
      </c>
      <c r="E316" s="7" t="s">
        <v>47</v>
      </c>
      <c r="F316" s="13"/>
      <c r="G316" s="59"/>
      <c r="H316" s="6">
        <v>3000</v>
      </c>
      <c r="I316" s="6">
        <f t="shared" si="30"/>
        <v>416.46778042959426</v>
      </c>
      <c r="J316" s="2">
        <v>6.84</v>
      </c>
      <c r="K316" s="2">
        <v>4.1900000000000004</v>
      </c>
      <c r="L316" s="2">
        <v>2.65</v>
      </c>
      <c r="M316" s="2">
        <v>38.74</v>
      </c>
      <c r="N316" s="2">
        <v>516</v>
      </c>
      <c r="O316" s="56">
        <v>1745</v>
      </c>
      <c r="P316" s="2">
        <v>3.38</v>
      </c>
      <c r="Q316" s="2">
        <v>12.63</v>
      </c>
      <c r="R316" s="2">
        <v>138.16999999999999</v>
      </c>
      <c r="S316" s="2">
        <v>13.25</v>
      </c>
      <c r="T316" s="2">
        <v>5</v>
      </c>
      <c r="U316" s="2">
        <v>124.92</v>
      </c>
      <c r="V316" s="2">
        <v>29.81</v>
      </c>
      <c r="W316" s="2">
        <v>7635.52</v>
      </c>
      <c r="X316" s="2">
        <v>101453</v>
      </c>
      <c r="Y316" s="2">
        <v>292269</v>
      </c>
      <c r="Z316" s="2">
        <v>0</v>
      </c>
      <c r="AA316" s="2">
        <v>0</v>
      </c>
      <c r="AB316" s="2">
        <v>237.9</v>
      </c>
    </row>
    <row r="317" spans="1:28" x14ac:dyDescent="0.3">
      <c r="A317" s="4">
        <v>46184</v>
      </c>
      <c r="B317" s="8" t="s">
        <v>66</v>
      </c>
      <c r="C317" s="8" t="s">
        <v>36</v>
      </c>
      <c r="D317" s="7" t="s">
        <v>48</v>
      </c>
      <c r="E317" s="7" t="s">
        <v>38</v>
      </c>
      <c r="F317" s="13">
        <v>2120</v>
      </c>
      <c r="G317" s="59"/>
      <c r="H317" s="6">
        <f>24000/6</f>
        <v>4000</v>
      </c>
      <c r="I317" s="6">
        <f t="shared" si="30"/>
        <v>390.89692101740297</v>
      </c>
      <c r="J317" s="2">
        <v>9.4700000000000006</v>
      </c>
      <c r="K317" s="2">
        <v>7.47</v>
      </c>
      <c r="L317" s="2">
        <v>2</v>
      </c>
      <c r="M317" s="2">
        <v>21.11</v>
      </c>
      <c r="N317" s="2">
        <v>733</v>
      </c>
      <c r="O317" s="77">
        <v>2920</v>
      </c>
      <c r="P317" s="2">
        <v>3.98</v>
      </c>
      <c r="Q317" s="2">
        <v>10.02</v>
      </c>
      <c r="R317" s="2">
        <v>291.48</v>
      </c>
      <c r="S317" s="2">
        <v>10.41</v>
      </c>
      <c r="T317" s="2">
        <v>5.2</v>
      </c>
      <c r="U317" s="2">
        <v>281.07</v>
      </c>
      <c r="V317" s="2">
        <v>37.6</v>
      </c>
      <c r="W317" s="2">
        <v>6366.81</v>
      </c>
      <c r="X317" s="2">
        <v>397998</v>
      </c>
      <c r="Y317" s="2">
        <v>1403245</v>
      </c>
      <c r="Z317" s="2">
        <v>0.2</v>
      </c>
      <c r="AA317" s="2">
        <v>0</v>
      </c>
      <c r="AB317" s="2">
        <v>46.2</v>
      </c>
    </row>
    <row r="318" spans="1:28" hidden="1" x14ac:dyDescent="0.3">
      <c r="A318" s="4">
        <v>46184</v>
      </c>
      <c r="B318" s="8" t="s">
        <v>66</v>
      </c>
      <c r="C318" s="8" t="s">
        <v>36</v>
      </c>
      <c r="D318" s="7" t="s">
        <v>49</v>
      </c>
      <c r="E318" s="7" t="s">
        <v>47</v>
      </c>
      <c r="F318" s="13"/>
      <c r="G318" s="59"/>
      <c r="H318" s="6">
        <v>3000</v>
      </c>
      <c r="I318" s="6">
        <f t="shared" si="30"/>
        <v>601.62337662337666</v>
      </c>
      <c r="J318" s="2">
        <v>10.34</v>
      </c>
      <c r="K318" s="2">
        <v>9.24</v>
      </c>
      <c r="L318" s="2">
        <v>1.1000000000000001</v>
      </c>
      <c r="M318" s="2">
        <v>10.63</v>
      </c>
      <c r="N318" s="2">
        <v>1446</v>
      </c>
      <c r="O318" s="56">
        <v>5559</v>
      </c>
      <c r="P318" s="2">
        <v>3.84</v>
      </c>
      <c r="Q318" s="2">
        <v>14.52</v>
      </c>
      <c r="R318" s="2">
        <v>382.8</v>
      </c>
      <c r="S318" s="2">
        <v>5.68</v>
      </c>
      <c r="T318" s="2">
        <v>5.16</v>
      </c>
      <c r="U318" s="2">
        <v>377.12</v>
      </c>
      <c r="V318" s="2">
        <v>40.799999999999997</v>
      </c>
      <c r="W318" s="2">
        <v>1709.42</v>
      </c>
      <c r="X318" s="2">
        <v>164019</v>
      </c>
      <c r="Y318" s="2">
        <v>562672</v>
      </c>
      <c r="Z318" s="2">
        <v>0</v>
      </c>
      <c r="AA318" s="2">
        <v>0</v>
      </c>
      <c r="AB318" s="2">
        <v>4.8</v>
      </c>
    </row>
    <row r="319" spans="1:28" hidden="1" x14ac:dyDescent="0.3">
      <c r="A319" s="4">
        <v>46185</v>
      </c>
      <c r="B319" s="8" t="s">
        <v>55</v>
      </c>
      <c r="C319" s="8" t="s">
        <v>56</v>
      </c>
      <c r="D319" s="7" t="s">
        <v>43</v>
      </c>
      <c r="E319" s="7" t="s">
        <v>47</v>
      </c>
      <c r="F319" s="13"/>
      <c r="G319" s="59" t="s">
        <v>53</v>
      </c>
      <c r="H319" s="6"/>
      <c r="I319" s="6">
        <f t="shared" si="30"/>
        <v>0</v>
      </c>
      <c r="J319" s="2">
        <v>5.86</v>
      </c>
      <c r="K319" s="2">
        <v>5.01</v>
      </c>
      <c r="L319" s="2">
        <v>0.85</v>
      </c>
      <c r="M319" s="2">
        <v>14.5</v>
      </c>
      <c r="N319" s="2" t="s">
        <v>45</v>
      </c>
      <c r="O319" s="56">
        <v>0</v>
      </c>
      <c r="P319" s="2" t="s">
        <v>45</v>
      </c>
      <c r="Q319" s="2" t="s">
        <v>45</v>
      </c>
      <c r="R319" s="2">
        <v>106.94</v>
      </c>
      <c r="S319" s="2">
        <v>3.31</v>
      </c>
      <c r="T319" s="2">
        <v>3.9</v>
      </c>
      <c r="U319" s="2">
        <v>103.63</v>
      </c>
      <c r="V319" s="2">
        <v>20.67</v>
      </c>
      <c r="W319" s="2">
        <v>8628.58</v>
      </c>
      <c r="X319" s="2" t="s">
        <v>45</v>
      </c>
      <c r="Y319" s="2" t="s">
        <v>45</v>
      </c>
      <c r="Z319" s="2">
        <v>0.4</v>
      </c>
      <c r="AA319" s="2" t="s">
        <v>45</v>
      </c>
      <c r="AB319" s="2">
        <v>227.3</v>
      </c>
    </row>
    <row r="320" spans="1:28" hidden="1" x14ac:dyDescent="0.3">
      <c r="A320" s="4">
        <v>46185</v>
      </c>
      <c r="B320" s="8" t="s">
        <v>55</v>
      </c>
      <c r="C320" s="8" t="s">
        <v>56</v>
      </c>
      <c r="D320" s="7" t="s">
        <v>39</v>
      </c>
      <c r="E320" s="7" t="s">
        <v>40</v>
      </c>
      <c r="F320" s="13"/>
      <c r="G320" s="59" t="s">
        <v>53</v>
      </c>
      <c r="H320" s="6"/>
      <c r="I320" s="6">
        <f t="shared" si="30"/>
        <v>0</v>
      </c>
      <c r="J320" s="2">
        <v>2.6</v>
      </c>
      <c r="K320" s="2">
        <v>1.35</v>
      </c>
      <c r="L320" s="2">
        <v>1.25</v>
      </c>
      <c r="M320" s="2">
        <v>47.99</v>
      </c>
      <c r="N320" s="2">
        <v>4</v>
      </c>
      <c r="O320" s="56">
        <v>0</v>
      </c>
      <c r="P320" s="2">
        <v>0</v>
      </c>
      <c r="Q320" s="2">
        <v>0</v>
      </c>
      <c r="R320" s="2">
        <v>26.02</v>
      </c>
      <c r="S320" s="2">
        <v>4.7300000000000004</v>
      </c>
      <c r="T320" s="2">
        <v>3.79</v>
      </c>
      <c r="U320" s="2">
        <v>21.29</v>
      </c>
      <c r="V320" s="2">
        <v>15.72</v>
      </c>
      <c r="W320" s="2">
        <v>9058.4</v>
      </c>
      <c r="X320" s="2">
        <v>72314</v>
      </c>
      <c r="Y320" s="2">
        <v>106544</v>
      </c>
      <c r="Z320" s="2">
        <v>0.1</v>
      </c>
      <c r="AA320" s="2">
        <v>0.02</v>
      </c>
      <c r="AB320" s="2">
        <v>283.39999999999998</v>
      </c>
    </row>
    <row r="321" spans="1:28" hidden="1" x14ac:dyDescent="0.3">
      <c r="A321" s="4">
        <v>46185</v>
      </c>
      <c r="B321" s="8" t="s">
        <v>66</v>
      </c>
      <c r="C321" s="8" t="s">
        <v>36</v>
      </c>
      <c r="D321" s="7" t="s">
        <v>50</v>
      </c>
      <c r="E321" s="7" t="s">
        <v>47</v>
      </c>
      <c r="F321" s="13"/>
      <c r="G321" s="59"/>
      <c r="H321" s="6">
        <v>3000</v>
      </c>
      <c r="I321" s="6">
        <f t="shared" si="30"/>
        <v>169.02887139107611</v>
      </c>
      <c r="J321" s="2">
        <v>8.77</v>
      </c>
      <c r="K321" s="2">
        <v>7.62</v>
      </c>
      <c r="L321" s="2">
        <v>1.1499999999999999</v>
      </c>
      <c r="M321" s="2">
        <v>13.11</v>
      </c>
      <c r="N321" s="2">
        <v>773</v>
      </c>
      <c r="O321" s="56">
        <v>1288</v>
      </c>
      <c r="P321" s="2">
        <v>1.67</v>
      </c>
      <c r="Q321" s="2">
        <v>7.94</v>
      </c>
      <c r="R321" s="2">
        <v>162.30000000000001</v>
      </c>
      <c r="S321" s="2">
        <v>5.2</v>
      </c>
      <c r="T321" s="2">
        <v>4.53</v>
      </c>
      <c r="U321" s="2">
        <v>157.09</v>
      </c>
      <c r="V321" s="2">
        <v>20.62</v>
      </c>
      <c r="W321" s="2">
        <v>2181.19</v>
      </c>
      <c r="X321" s="2">
        <v>132117</v>
      </c>
      <c r="Y321" s="2">
        <v>247107</v>
      </c>
      <c r="Z321" s="2">
        <v>1.4</v>
      </c>
      <c r="AA321" s="2">
        <v>0</v>
      </c>
      <c r="AB321" s="2">
        <v>302.2</v>
      </c>
    </row>
    <row r="322" spans="1:28" hidden="1" x14ac:dyDescent="0.3">
      <c r="A322" s="4">
        <v>46185</v>
      </c>
      <c r="B322" s="8" t="s">
        <v>66</v>
      </c>
      <c r="C322" s="8" t="s">
        <v>36</v>
      </c>
      <c r="D322" s="7" t="s">
        <v>52</v>
      </c>
      <c r="E322" s="7" t="s">
        <v>47</v>
      </c>
      <c r="F322" s="13"/>
      <c r="G322" s="59"/>
      <c r="H322" s="6">
        <v>3000</v>
      </c>
      <c r="I322" s="6">
        <f t="shared" si="30"/>
        <v>383.29207920792078</v>
      </c>
      <c r="J322" s="2">
        <v>8.73</v>
      </c>
      <c r="K322" s="2">
        <v>8.08</v>
      </c>
      <c r="L322" s="2">
        <v>0.65</v>
      </c>
      <c r="M322" s="2">
        <v>7.45</v>
      </c>
      <c r="N322" s="2">
        <v>1186</v>
      </c>
      <c r="O322" s="56">
        <v>3097</v>
      </c>
      <c r="P322" s="2">
        <v>2.61</v>
      </c>
      <c r="Q322" s="2">
        <v>17.93</v>
      </c>
      <c r="R322" s="2">
        <v>172.71</v>
      </c>
      <c r="S322" s="2">
        <v>2.84</v>
      </c>
      <c r="T322" s="2">
        <v>4.37</v>
      </c>
      <c r="U322" s="2">
        <v>169.87</v>
      </c>
      <c r="V322" s="2">
        <v>21.03</v>
      </c>
      <c r="W322" s="2">
        <v>652.01</v>
      </c>
      <c r="X322" s="2">
        <v>63046</v>
      </c>
      <c r="Y322" s="2">
        <v>130819</v>
      </c>
      <c r="Z322" s="2">
        <v>1.1000000000000001</v>
      </c>
      <c r="AA322" s="2">
        <v>0</v>
      </c>
      <c r="AB322" s="2">
        <v>57.4</v>
      </c>
    </row>
    <row r="323" spans="1:28" hidden="1" x14ac:dyDescent="0.3">
      <c r="A323" s="4">
        <v>46185</v>
      </c>
      <c r="B323" s="8" t="s">
        <v>66</v>
      </c>
      <c r="C323" s="8" t="s">
        <v>36</v>
      </c>
      <c r="D323" s="7" t="s">
        <v>46</v>
      </c>
      <c r="E323" s="7" t="s">
        <v>47</v>
      </c>
      <c r="F323" s="13"/>
      <c r="G323" s="59"/>
      <c r="H323" s="6">
        <v>3000</v>
      </c>
      <c r="I323" s="6">
        <f t="shared" si="30"/>
        <v>360.81081081081084</v>
      </c>
      <c r="J323" s="2">
        <v>8.3699999999999992</v>
      </c>
      <c r="K323" s="2">
        <v>5.92</v>
      </c>
      <c r="L323" s="2">
        <v>2.4500000000000002</v>
      </c>
      <c r="M323" s="2">
        <v>29.28</v>
      </c>
      <c r="N323" s="2">
        <v>729</v>
      </c>
      <c r="O323" s="56">
        <v>2136</v>
      </c>
      <c r="P323" s="2">
        <v>2.93</v>
      </c>
      <c r="Q323" s="2">
        <v>11.26</v>
      </c>
      <c r="R323" s="2">
        <v>189.74</v>
      </c>
      <c r="S323" s="2">
        <v>11.36</v>
      </c>
      <c r="T323" s="2">
        <v>4.6399999999999997</v>
      </c>
      <c r="U323" s="2">
        <v>178.39</v>
      </c>
      <c r="V323" s="2">
        <v>30.14</v>
      </c>
      <c r="W323" s="2">
        <v>7643.89</v>
      </c>
      <c r="X323" s="2">
        <v>102182</v>
      </c>
      <c r="Y323" s="2">
        <v>294405</v>
      </c>
      <c r="Z323" s="2">
        <v>0.5</v>
      </c>
      <c r="AA323" s="2">
        <v>0</v>
      </c>
      <c r="AB323" s="2">
        <v>238.4</v>
      </c>
    </row>
    <row r="324" spans="1:28" x14ac:dyDescent="0.3">
      <c r="A324" s="4">
        <v>46185</v>
      </c>
      <c r="B324" s="8" t="s">
        <v>66</v>
      </c>
      <c r="C324" s="8" t="s">
        <v>36</v>
      </c>
      <c r="D324" s="7" t="s">
        <v>48</v>
      </c>
      <c r="E324" s="7" t="s">
        <v>38</v>
      </c>
      <c r="F324" s="13">
        <v>2164</v>
      </c>
      <c r="G324" s="59"/>
      <c r="H324" s="6">
        <f>24000/6</f>
        <v>4000</v>
      </c>
      <c r="I324" s="6">
        <f t="shared" si="30"/>
        <v>360.1685985247629</v>
      </c>
      <c r="J324" s="2">
        <v>10.84</v>
      </c>
      <c r="K324" s="2">
        <v>9.49</v>
      </c>
      <c r="L324" s="2">
        <v>1.35</v>
      </c>
      <c r="M324" s="2">
        <v>12.45</v>
      </c>
      <c r="N324" s="2">
        <v>824</v>
      </c>
      <c r="O324" s="77">
        <v>3418</v>
      </c>
      <c r="P324" s="2">
        <v>4.1500000000000004</v>
      </c>
      <c r="Q324" s="2">
        <v>9.2100000000000009</v>
      </c>
      <c r="R324" s="2">
        <v>370.97</v>
      </c>
      <c r="S324" s="2">
        <v>7.57</v>
      </c>
      <c r="T324" s="2">
        <v>5.61</v>
      </c>
      <c r="U324" s="2">
        <v>363.4</v>
      </c>
      <c r="V324" s="2">
        <v>38.28</v>
      </c>
      <c r="W324" s="2">
        <v>6377.65</v>
      </c>
      <c r="X324" s="2">
        <v>398822</v>
      </c>
      <c r="Y324" s="2">
        <v>1406663</v>
      </c>
      <c r="Z324" s="2">
        <v>0.1</v>
      </c>
      <c r="AA324" s="2">
        <v>0</v>
      </c>
      <c r="AB324" s="2">
        <v>46.3</v>
      </c>
    </row>
    <row r="325" spans="1:28" hidden="1" x14ac:dyDescent="0.3">
      <c r="A325" s="4">
        <v>46185</v>
      </c>
      <c r="B325" s="8" t="s">
        <v>66</v>
      </c>
      <c r="C325" s="8" t="s">
        <v>36</v>
      </c>
      <c r="D325" s="7" t="s">
        <v>49</v>
      </c>
      <c r="E325" s="7" t="s">
        <v>47</v>
      </c>
      <c r="F325" s="13"/>
      <c r="G325" s="59"/>
      <c r="H325" s="6">
        <v>3000</v>
      </c>
      <c r="I325" s="6">
        <f t="shared" si="30"/>
        <v>459.07046476761622</v>
      </c>
      <c r="J325" s="2">
        <v>7.92</v>
      </c>
      <c r="K325" s="2">
        <v>6.67</v>
      </c>
      <c r="L325" s="2">
        <v>1.25</v>
      </c>
      <c r="M325" s="2">
        <v>15.78</v>
      </c>
      <c r="N325" s="2">
        <v>946</v>
      </c>
      <c r="O325" s="56">
        <v>3062</v>
      </c>
      <c r="P325" s="2">
        <v>3.24</v>
      </c>
      <c r="Q325" s="2">
        <v>10.91</v>
      </c>
      <c r="R325" s="2">
        <v>280.58999999999997</v>
      </c>
      <c r="S325" s="2">
        <v>4.7300000000000004</v>
      </c>
      <c r="T325" s="2">
        <v>3.79</v>
      </c>
      <c r="U325" s="2">
        <v>275.86</v>
      </c>
      <c r="V325" s="2">
        <v>41.35</v>
      </c>
      <c r="W325" s="2">
        <v>1717.34</v>
      </c>
      <c r="X325" s="2">
        <v>164965</v>
      </c>
      <c r="Y325" s="2">
        <v>565734</v>
      </c>
      <c r="Z325" s="2">
        <v>0</v>
      </c>
      <c r="AA325" s="2">
        <v>0</v>
      </c>
      <c r="AB325" s="2">
        <v>4.8</v>
      </c>
    </row>
    <row r="326" spans="1:28" hidden="1" x14ac:dyDescent="0.3">
      <c r="A326" s="14">
        <v>46185</v>
      </c>
      <c r="B326" s="14" t="s">
        <v>66</v>
      </c>
      <c r="C326" s="14" t="s">
        <v>36</v>
      </c>
      <c r="D326" s="42"/>
      <c r="E326" s="42" t="s">
        <v>47</v>
      </c>
      <c r="F326" s="43"/>
      <c r="G326" s="60"/>
      <c r="H326" s="44">
        <v>3000</v>
      </c>
      <c r="I326" s="44"/>
      <c r="J326" s="42"/>
      <c r="K326" s="42"/>
      <c r="L326" s="42"/>
      <c r="M326" s="42"/>
      <c r="N326" s="42"/>
      <c r="O326" s="60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spans="1:28" hidden="1" x14ac:dyDescent="0.3">
      <c r="A327" s="14">
        <v>46185</v>
      </c>
      <c r="B327" s="8" t="s">
        <v>66</v>
      </c>
      <c r="C327" s="14" t="s">
        <v>36</v>
      </c>
      <c r="D327" s="42"/>
      <c r="E327" s="42" t="s">
        <v>47</v>
      </c>
      <c r="F327" s="43"/>
      <c r="G327" s="60"/>
      <c r="H327" s="44">
        <v>3000</v>
      </c>
      <c r="I327" s="44"/>
      <c r="J327" s="42"/>
      <c r="K327" s="42"/>
      <c r="L327" s="42"/>
      <c r="M327" s="42"/>
      <c r="N327" s="42"/>
      <c r="O327" s="60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spans="1:28" hidden="1" x14ac:dyDescent="0.3">
      <c r="A328" s="4">
        <v>46186</v>
      </c>
      <c r="B328" s="8" t="s">
        <v>55</v>
      </c>
      <c r="C328" s="8" t="s">
        <v>56</v>
      </c>
      <c r="D328" s="7" t="s">
        <v>39</v>
      </c>
      <c r="E328" s="7" t="s">
        <v>40</v>
      </c>
      <c r="F328" s="13"/>
      <c r="G328" s="59" t="s">
        <v>53</v>
      </c>
      <c r="H328" s="6"/>
      <c r="I328" s="6">
        <f t="shared" ref="I328:I349" si="31">IFERROR(O328/K328,)</f>
        <v>0</v>
      </c>
      <c r="J328" s="2">
        <v>0.44</v>
      </c>
      <c r="K328" s="2">
        <v>0.28999999999999998</v>
      </c>
      <c r="L328" s="2">
        <v>0.15</v>
      </c>
      <c r="M328" s="2">
        <v>33.729999999999997</v>
      </c>
      <c r="N328" s="2">
        <v>0</v>
      </c>
      <c r="O328" s="56">
        <v>0</v>
      </c>
      <c r="P328" s="2" t="s">
        <v>45</v>
      </c>
      <c r="Q328" s="2">
        <v>0</v>
      </c>
      <c r="R328" s="2">
        <v>3.31</v>
      </c>
      <c r="S328" s="2">
        <v>0.95</v>
      </c>
      <c r="T328" s="2">
        <v>6.31</v>
      </c>
      <c r="U328" s="2">
        <v>2.37</v>
      </c>
      <c r="V328" s="2">
        <v>8.0299999999999994</v>
      </c>
      <c r="W328" s="2">
        <v>9058.85</v>
      </c>
      <c r="X328" s="2">
        <v>72314</v>
      </c>
      <c r="Y328" s="2">
        <v>106544</v>
      </c>
      <c r="Z328" s="2">
        <v>0</v>
      </c>
      <c r="AA328" s="2" t="s">
        <v>45</v>
      </c>
      <c r="AB328" s="2">
        <v>283.39999999999998</v>
      </c>
    </row>
    <row r="329" spans="1:28" hidden="1" x14ac:dyDescent="0.3">
      <c r="A329" s="4">
        <v>46186</v>
      </c>
      <c r="B329" s="8" t="s">
        <v>66</v>
      </c>
      <c r="C329" s="8" t="s">
        <v>36</v>
      </c>
      <c r="D329" s="7" t="s">
        <v>43</v>
      </c>
      <c r="E329" s="7" t="s">
        <v>47</v>
      </c>
      <c r="F329" s="13"/>
      <c r="G329" s="59"/>
      <c r="H329" s="6">
        <v>3000</v>
      </c>
      <c r="I329" s="6">
        <f t="shared" si="31"/>
        <v>467.70601336302894</v>
      </c>
      <c r="J329" s="2">
        <v>5.34</v>
      </c>
      <c r="K329" s="2">
        <v>4.49</v>
      </c>
      <c r="L329" s="2">
        <v>0.85</v>
      </c>
      <c r="M329" s="2">
        <v>15.91</v>
      </c>
      <c r="N329" s="2" t="s">
        <v>45</v>
      </c>
      <c r="O329" s="56">
        <v>2100</v>
      </c>
      <c r="P329" s="2" t="s">
        <v>45</v>
      </c>
      <c r="Q329" s="2" t="s">
        <v>45</v>
      </c>
      <c r="R329" s="2">
        <v>96.53</v>
      </c>
      <c r="S329" s="2">
        <v>4.26</v>
      </c>
      <c r="T329" s="2">
        <v>5.01</v>
      </c>
      <c r="U329" s="2">
        <v>92.27</v>
      </c>
      <c r="V329" s="2">
        <v>20.54</v>
      </c>
      <c r="W329" s="2">
        <v>8633.92</v>
      </c>
      <c r="X329" s="2" t="s">
        <v>45</v>
      </c>
      <c r="Y329" s="2" t="s">
        <v>45</v>
      </c>
      <c r="Z329" s="2">
        <v>0.2</v>
      </c>
      <c r="AA329" s="2" t="s">
        <v>45</v>
      </c>
      <c r="AB329" s="2">
        <v>227.5</v>
      </c>
    </row>
    <row r="330" spans="1:28" hidden="1" x14ac:dyDescent="0.3">
      <c r="A330" s="4">
        <v>46186</v>
      </c>
      <c r="B330" s="8" t="s">
        <v>66</v>
      </c>
      <c r="C330" s="8" t="s">
        <v>36</v>
      </c>
      <c r="D330" s="7" t="s">
        <v>50</v>
      </c>
      <c r="E330" s="7" t="s">
        <v>47</v>
      </c>
      <c r="F330" s="13"/>
      <c r="G330" s="59"/>
      <c r="H330" s="6">
        <v>3000</v>
      </c>
      <c r="I330" s="6">
        <f t="shared" si="31"/>
        <v>208.38709677419354</v>
      </c>
      <c r="J330" s="2">
        <v>5.85</v>
      </c>
      <c r="K330" s="2">
        <v>4.6500000000000004</v>
      </c>
      <c r="L330" s="2">
        <v>1.2</v>
      </c>
      <c r="M330" s="2">
        <v>20.5</v>
      </c>
      <c r="N330" s="2">
        <v>590</v>
      </c>
      <c r="O330" s="56">
        <v>969</v>
      </c>
      <c r="P330" s="2">
        <v>1.64</v>
      </c>
      <c r="Q330" s="2">
        <v>9.66</v>
      </c>
      <c r="R330" s="2">
        <v>100.31</v>
      </c>
      <c r="S330" s="2">
        <v>4.7300000000000004</v>
      </c>
      <c r="T330" s="2">
        <v>3.94</v>
      </c>
      <c r="U330" s="2">
        <v>95.58</v>
      </c>
      <c r="V330" s="2">
        <v>20.54</v>
      </c>
      <c r="W330" s="2">
        <v>2187.0500000000002</v>
      </c>
      <c r="X330" s="2">
        <v>132707</v>
      </c>
      <c r="Y330" s="2">
        <v>248076</v>
      </c>
      <c r="Z330" s="2">
        <v>0.1</v>
      </c>
      <c r="AA330" s="2">
        <v>0</v>
      </c>
      <c r="AB330" s="2">
        <v>302.3</v>
      </c>
    </row>
    <row r="331" spans="1:28" hidden="1" x14ac:dyDescent="0.3">
      <c r="A331" s="4">
        <v>46186</v>
      </c>
      <c r="B331" s="8" t="s">
        <v>66</v>
      </c>
      <c r="C331" s="8" t="s">
        <v>36</v>
      </c>
      <c r="D331" s="7" t="s">
        <v>52</v>
      </c>
      <c r="E331" s="7" t="s">
        <v>47</v>
      </c>
      <c r="F331" s="13"/>
      <c r="G331" s="59"/>
      <c r="H331" s="6">
        <v>3000</v>
      </c>
      <c r="I331" s="6">
        <f t="shared" si="31"/>
        <v>334.50184501845018</v>
      </c>
      <c r="J331" s="2">
        <v>5.82</v>
      </c>
      <c r="K331" s="2">
        <v>5.42</v>
      </c>
      <c r="L331" s="2">
        <v>0.4</v>
      </c>
      <c r="M331" s="2">
        <v>6.87</v>
      </c>
      <c r="N331" s="2">
        <v>807</v>
      </c>
      <c r="O331" s="56">
        <v>1813</v>
      </c>
      <c r="P331" s="2">
        <v>2.25</v>
      </c>
      <c r="Q331" s="2">
        <v>15.51</v>
      </c>
      <c r="R331" s="2">
        <v>116.87</v>
      </c>
      <c r="S331" s="2">
        <v>1.89</v>
      </c>
      <c r="T331" s="2">
        <v>4.7300000000000004</v>
      </c>
      <c r="U331" s="2">
        <v>114.98</v>
      </c>
      <c r="V331" s="2">
        <v>21.21</v>
      </c>
      <c r="W331" s="2">
        <v>657.83</v>
      </c>
      <c r="X331" s="2">
        <v>63853</v>
      </c>
      <c r="Y331" s="2">
        <v>132632</v>
      </c>
      <c r="Z331" s="2">
        <v>0.7</v>
      </c>
      <c r="AA331" s="2">
        <v>0</v>
      </c>
      <c r="AB331" s="2">
        <v>58.1</v>
      </c>
    </row>
    <row r="332" spans="1:28" x14ac:dyDescent="0.3">
      <c r="A332" s="4">
        <v>46186</v>
      </c>
      <c r="B332" s="8" t="s">
        <v>66</v>
      </c>
      <c r="C332" s="8" t="s">
        <v>36</v>
      </c>
      <c r="D332" s="7" t="s">
        <v>48</v>
      </c>
      <c r="E332" s="7" t="s">
        <v>38</v>
      </c>
      <c r="F332" s="13">
        <v>1561</v>
      </c>
      <c r="G332" s="59"/>
      <c r="H332" s="6">
        <f>24000/6</f>
        <v>4000</v>
      </c>
      <c r="I332" s="6">
        <f t="shared" si="31"/>
        <v>353.07820299500833</v>
      </c>
      <c r="J332" s="2">
        <v>7.31</v>
      </c>
      <c r="K332" s="2">
        <v>6.01</v>
      </c>
      <c r="L332" s="2">
        <v>1.3</v>
      </c>
      <c r="M332" s="2">
        <v>17.79</v>
      </c>
      <c r="N332" s="2">
        <v>514</v>
      </c>
      <c r="O332" s="77">
        <v>2122</v>
      </c>
      <c r="P332" s="2">
        <v>4.13</v>
      </c>
      <c r="Q332" s="2">
        <v>9.15</v>
      </c>
      <c r="R332" s="2">
        <v>231.86</v>
      </c>
      <c r="S332" s="2">
        <v>7.1</v>
      </c>
      <c r="T332" s="2">
        <v>5.46</v>
      </c>
      <c r="U332" s="2">
        <v>224.76</v>
      </c>
      <c r="V332" s="2">
        <v>37.42</v>
      </c>
      <c r="W332" s="2">
        <v>6384.96</v>
      </c>
      <c r="X332" s="2">
        <v>399336</v>
      </c>
      <c r="Y332" s="2">
        <v>1408785</v>
      </c>
      <c r="Z332" s="2">
        <v>0.1</v>
      </c>
      <c r="AA332" s="2">
        <v>0</v>
      </c>
      <c r="AB332" s="2">
        <v>46.4</v>
      </c>
    </row>
    <row r="333" spans="1:28" hidden="1" x14ac:dyDescent="0.3">
      <c r="A333" s="4">
        <v>46186</v>
      </c>
      <c r="B333" s="8" t="s">
        <v>66</v>
      </c>
      <c r="C333" s="8" t="s">
        <v>36</v>
      </c>
      <c r="D333" s="7" t="s">
        <v>46</v>
      </c>
      <c r="E333" s="7" t="s">
        <v>47</v>
      </c>
      <c r="F333" s="13"/>
      <c r="G333" s="59"/>
      <c r="H333" s="6">
        <v>3000</v>
      </c>
      <c r="I333" s="6">
        <f t="shared" si="31"/>
        <v>402.33463035019457</v>
      </c>
      <c r="J333" s="2">
        <v>5.0199999999999996</v>
      </c>
      <c r="K333" s="2">
        <v>2.57</v>
      </c>
      <c r="L333" s="2">
        <v>2.4500000000000002</v>
      </c>
      <c r="M333" s="2">
        <v>48.79</v>
      </c>
      <c r="N333" s="2">
        <v>337</v>
      </c>
      <c r="O333" s="56">
        <v>1034</v>
      </c>
      <c r="P333" s="2">
        <v>3.07</v>
      </c>
      <c r="Q333" s="2">
        <v>12.01</v>
      </c>
      <c r="R333" s="2">
        <v>86.12</v>
      </c>
      <c r="S333" s="2">
        <v>13.25</v>
      </c>
      <c r="T333" s="2">
        <v>5.41</v>
      </c>
      <c r="U333" s="2">
        <v>72.87</v>
      </c>
      <c r="V333" s="2">
        <v>28.34</v>
      </c>
      <c r="W333" s="2">
        <v>7648.91</v>
      </c>
      <c r="X333" s="2">
        <v>102519</v>
      </c>
      <c r="Y333" s="2">
        <v>295439</v>
      </c>
      <c r="Z333" s="2">
        <v>0</v>
      </c>
      <c r="AA333" s="2">
        <v>0</v>
      </c>
      <c r="AB333" s="2">
        <v>238.4</v>
      </c>
    </row>
    <row r="334" spans="1:28" hidden="1" x14ac:dyDescent="0.3">
      <c r="A334" s="4">
        <v>46186</v>
      </c>
      <c r="B334" s="8" t="s">
        <v>66</v>
      </c>
      <c r="C334" s="8" t="s">
        <v>36</v>
      </c>
      <c r="D334" s="7" t="s">
        <v>49</v>
      </c>
      <c r="E334" s="7" t="s">
        <v>47</v>
      </c>
      <c r="F334" s="13"/>
      <c r="G334" s="59"/>
      <c r="H334" s="6">
        <v>3000</v>
      </c>
      <c r="I334" s="6">
        <f t="shared" si="31"/>
        <v>436.32478632478637</v>
      </c>
      <c r="J334" s="2">
        <v>5.73</v>
      </c>
      <c r="K334" s="2">
        <v>4.68</v>
      </c>
      <c r="L334" s="2">
        <v>1.05</v>
      </c>
      <c r="M334" s="2">
        <v>18.32</v>
      </c>
      <c r="N334" s="2">
        <v>584</v>
      </c>
      <c r="O334" s="56">
        <v>2042</v>
      </c>
      <c r="P334" s="2">
        <v>3.5</v>
      </c>
      <c r="Q334" s="2">
        <v>10.55</v>
      </c>
      <c r="R334" s="2">
        <v>193.53</v>
      </c>
      <c r="S334" s="2">
        <v>5.68</v>
      </c>
      <c r="T334" s="2">
        <v>5.41</v>
      </c>
      <c r="U334" s="2">
        <v>187.85</v>
      </c>
      <c r="V334" s="2">
        <v>40.119999999999997</v>
      </c>
      <c r="W334" s="2">
        <v>1723.07</v>
      </c>
      <c r="X334" s="2">
        <v>165549</v>
      </c>
      <c r="Y334" s="2">
        <v>567776</v>
      </c>
      <c r="Z334" s="2">
        <v>0</v>
      </c>
      <c r="AA334" s="2">
        <v>0</v>
      </c>
      <c r="AB334" s="2">
        <v>4.8</v>
      </c>
    </row>
    <row r="335" spans="1:28" hidden="1" x14ac:dyDescent="0.3">
      <c r="A335" s="4">
        <v>46187</v>
      </c>
      <c r="B335" s="8" t="s">
        <v>55</v>
      </c>
      <c r="C335" s="8" t="s">
        <v>56</v>
      </c>
      <c r="D335" s="7" t="s">
        <v>43</v>
      </c>
      <c r="E335" s="7" t="s">
        <v>47</v>
      </c>
      <c r="F335" s="13"/>
      <c r="G335" s="59" t="s">
        <v>53</v>
      </c>
      <c r="H335" s="6"/>
      <c r="I335" s="6">
        <f t="shared" si="31"/>
        <v>0</v>
      </c>
      <c r="J335" s="2">
        <v>0</v>
      </c>
      <c r="K335" s="2">
        <v>0</v>
      </c>
      <c r="L335" s="2">
        <v>0</v>
      </c>
      <c r="M335" s="2" t="s">
        <v>45</v>
      </c>
      <c r="N335" s="2" t="s">
        <v>45</v>
      </c>
      <c r="O335" s="56">
        <v>0</v>
      </c>
      <c r="P335" s="2" t="s">
        <v>45</v>
      </c>
      <c r="Q335" s="2" t="s">
        <v>45</v>
      </c>
      <c r="R335" s="2">
        <v>0</v>
      </c>
      <c r="S335" s="2">
        <v>0</v>
      </c>
      <c r="T335" s="2" t="s">
        <v>45</v>
      </c>
      <c r="U335" s="2">
        <v>0</v>
      </c>
      <c r="V335" s="2" t="s">
        <v>45</v>
      </c>
      <c r="W335" s="2">
        <v>8633.92</v>
      </c>
      <c r="X335" s="2" t="s">
        <v>45</v>
      </c>
      <c r="Y335" s="2" t="s">
        <v>45</v>
      </c>
      <c r="Z335" s="2">
        <v>0</v>
      </c>
      <c r="AA335" s="2" t="s">
        <v>45</v>
      </c>
      <c r="AB335" s="2">
        <v>227.5</v>
      </c>
    </row>
    <row r="336" spans="1:28" hidden="1" x14ac:dyDescent="0.3">
      <c r="A336" s="4">
        <v>46187</v>
      </c>
      <c r="B336" s="8" t="s">
        <v>55</v>
      </c>
      <c r="C336" s="8" t="s">
        <v>56</v>
      </c>
      <c r="D336" s="7" t="s">
        <v>39</v>
      </c>
      <c r="E336" s="7" t="s">
        <v>40</v>
      </c>
      <c r="F336" s="13"/>
      <c r="G336" s="59" t="s">
        <v>53</v>
      </c>
      <c r="H336" s="6"/>
      <c r="I336" s="6">
        <f t="shared" si="31"/>
        <v>0</v>
      </c>
      <c r="J336" s="2">
        <v>0</v>
      </c>
      <c r="K336" s="2">
        <v>0</v>
      </c>
      <c r="L336" s="2">
        <v>0</v>
      </c>
      <c r="M336" s="2" t="s">
        <v>45</v>
      </c>
      <c r="N336" s="2">
        <v>0</v>
      </c>
      <c r="O336" s="56">
        <v>0</v>
      </c>
      <c r="P336" s="2" t="s">
        <v>45</v>
      </c>
      <c r="Q336" s="2" t="s">
        <v>45</v>
      </c>
      <c r="R336" s="2">
        <v>0</v>
      </c>
      <c r="S336" s="2">
        <v>0</v>
      </c>
      <c r="T336" s="2" t="s">
        <v>45</v>
      </c>
      <c r="U336" s="2">
        <v>0</v>
      </c>
      <c r="V336" s="2" t="s">
        <v>45</v>
      </c>
      <c r="W336" s="2">
        <v>9058.85</v>
      </c>
      <c r="X336" s="2">
        <v>72314</v>
      </c>
      <c r="Y336" s="2">
        <v>106544</v>
      </c>
      <c r="Z336" s="2">
        <v>0</v>
      </c>
      <c r="AA336" s="2" t="s">
        <v>45</v>
      </c>
      <c r="AB336" s="2">
        <v>283.39999999999998</v>
      </c>
    </row>
    <row r="337" spans="1:28" hidden="1" x14ac:dyDescent="0.3">
      <c r="A337" s="4">
        <v>46187</v>
      </c>
      <c r="B337" s="8" t="s">
        <v>55</v>
      </c>
      <c r="C337" s="8" t="s">
        <v>56</v>
      </c>
      <c r="D337" s="7" t="s">
        <v>50</v>
      </c>
      <c r="E337" s="7" t="s">
        <v>47</v>
      </c>
      <c r="F337" s="13"/>
      <c r="G337" s="59"/>
      <c r="H337" s="6"/>
      <c r="I337" s="6">
        <f t="shared" si="31"/>
        <v>0</v>
      </c>
      <c r="J337" s="2" t="s">
        <v>45</v>
      </c>
      <c r="K337" s="2" t="s">
        <v>45</v>
      </c>
      <c r="L337" s="2" t="s">
        <v>45</v>
      </c>
      <c r="M337" s="2" t="s">
        <v>45</v>
      </c>
      <c r="N337" s="2" t="s">
        <v>45</v>
      </c>
      <c r="O337" s="56" t="s">
        <v>45</v>
      </c>
      <c r="P337" s="2" t="s">
        <v>45</v>
      </c>
      <c r="Q337" s="2" t="s">
        <v>45</v>
      </c>
      <c r="R337" s="2" t="s">
        <v>45</v>
      </c>
      <c r="S337" s="2" t="s">
        <v>45</v>
      </c>
      <c r="T337" s="2" t="s">
        <v>45</v>
      </c>
      <c r="U337" s="2" t="s">
        <v>45</v>
      </c>
      <c r="V337" s="2" t="s">
        <v>45</v>
      </c>
      <c r="W337" s="2" t="s">
        <v>45</v>
      </c>
      <c r="X337" s="2" t="s">
        <v>45</v>
      </c>
      <c r="Y337" s="2" t="s">
        <v>45</v>
      </c>
      <c r="Z337" s="2" t="s">
        <v>45</v>
      </c>
      <c r="AA337" s="2" t="s">
        <v>45</v>
      </c>
      <c r="AB337" s="2" t="s">
        <v>45</v>
      </c>
    </row>
    <row r="338" spans="1:28" hidden="1" x14ac:dyDescent="0.3">
      <c r="A338" s="4">
        <v>46187</v>
      </c>
      <c r="B338" s="8" t="s">
        <v>55</v>
      </c>
      <c r="C338" s="8" t="s">
        <v>56</v>
      </c>
      <c r="D338" s="7" t="s">
        <v>52</v>
      </c>
      <c r="E338" s="7" t="s">
        <v>47</v>
      </c>
      <c r="F338" s="13"/>
      <c r="G338" s="59"/>
      <c r="H338" s="6"/>
      <c r="I338" s="6">
        <f t="shared" si="31"/>
        <v>0</v>
      </c>
      <c r="J338" s="2" t="s">
        <v>45</v>
      </c>
      <c r="K338" s="2" t="s">
        <v>45</v>
      </c>
      <c r="L338" s="2" t="s">
        <v>45</v>
      </c>
      <c r="M338" s="2" t="s">
        <v>45</v>
      </c>
      <c r="N338" s="2" t="s">
        <v>45</v>
      </c>
      <c r="O338" s="56" t="s">
        <v>45</v>
      </c>
      <c r="P338" s="2" t="s">
        <v>45</v>
      </c>
      <c r="Q338" s="2" t="s">
        <v>45</v>
      </c>
      <c r="R338" s="2" t="s">
        <v>45</v>
      </c>
      <c r="S338" s="2" t="s">
        <v>45</v>
      </c>
      <c r="T338" s="2" t="s">
        <v>45</v>
      </c>
      <c r="U338" s="2" t="s">
        <v>45</v>
      </c>
      <c r="V338" s="2" t="s">
        <v>45</v>
      </c>
      <c r="W338" s="2" t="s">
        <v>45</v>
      </c>
      <c r="X338" s="2" t="s">
        <v>45</v>
      </c>
      <c r="Y338" s="2" t="s">
        <v>45</v>
      </c>
      <c r="Z338" s="2" t="s">
        <v>45</v>
      </c>
      <c r="AA338" s="2" t="s">
        <v>45</v>
      </c>
      <c r="AB338" s="2" t="s">
        <v>45</v>
      </c>
    </row>
    <row r="339" spans="1:28" hidden="1" x14ac:dyDescent="0.3">
      <c r="A339" s="4">
        <v>46187</v>
      </c>
      <c r="B339" s="8" t="s">
        <v>55</v>
      </c>
      <c r="C339" s="8" t="s">
        <v>56</v>
      </c>
      <c r="D339" s="7" t="s">
        <v>46</v>
      </c>
      <c r="E339" s="7" t="s">
        <v>47</v>
      </c>
      <c r="F339" s="13"/>
      <c r="G339" s="59"/>
      <c r="H339" s="6"/>
      <c r="I339" s="6">
        <f t="shared" si="31"/>
        <v>0</v>
      </c>
      <c r="J339" s="2">
        <v>0</v>
      </c>
      <c r="K339" s="2">
        <v>0</v>
      </c>
      <c r="L339" s="2">
        <v>0</v>
      </c>
      <c r="M339" s="2" t="s">
        <v>45</v>
      </c>
      <c r="N339" s="2">
        <v>0</v>
      </c>
      <c r="O339" s="56">
        <v>0</v>
      </c>
      <c r="P339" s="2" t="s">
        <v>45</v>
      </c>
      <c r="Q339" s="2" t="s">
        <v>45</v>
      </c>
      <c r="R339" s="2">
        <v>0</v>
      </c>
      <c r="S339" s="2">
        <v>0</v>
      </c>
      <c r="T339" s="2" t="s">
        <v>45</v>
      </c>
      <c r="U339" s="2">
        <v>0</v>
      </c>
      <c r="V339" s="2" t="s">
        <v>45</v>
      </c>
      <c r="W339" s="2">
        <v>7648.91</v>
      </c>
      <c r="X339" s="2">
        <v>102519</v>
      </c>
      <c r="Y339" s="2">
        <v>295439</v>
      </c>
      <c r="Z339" s="2">
        <v>0</v>
      </c>
      <c r="AA339" s="2" t="s">
        <v>45</v>
      </c>
      <c r="AB339" s="2">
        <v>238.4</v>
      </c>
    </row>
    <row r="340" spans="1:28" x14ac:dyDescent="0.3">
      <c r="A340" s="4">
        <v>46187</v>
      </c>
      <c r="B340" s="8" t="s">
        <v>55</v>
      </c>
      <c r="C340" s="8" t="s">
        <v>56</v>
      </c>
      <c r="D340" s="7" t="s">
        <v>48</v>
      </c>
      <c r="E340" s="7" t="s">
        <v>38</v>
      </c>
      <c r="F340" s="13">
        <v>0</v>
      </c>
      <c r="G340" s="59"/>
      <c r="H340" s="6">
        <v>0</v>
      </c>
      <c r="I340" s="6">
        <f t="shared" si="31"/>
        <v>0</v>
      </c>
      <c r="J340" s="2">
        <v>0</v>
      </c>
      <c r="K340" s="2">
        <v>0</v>
      </c>
      <c r="L340" s="2">
        <v>0</v>
      </c>
      <c r="M340" s="2" t="s">
        <v>45</v>
      </c>
      <c r="N340" s="2">
        <v>0</v>
      </c>
      <c r="O340" s="77">
        <v>0</v>
      </c>
      <c r="P340" s="2" t="s">
        <v>45</v>
      </c>
      <c r="Q340" s="2" t="s">
        <v>45</v>
      </c>
      <c r="R340" s="2">
        <v>0</v>
      </c>
      <c r="S340" s="2">
        <v>0</v>
      </c>
      <c r="T340" s="2" t="s">
        <v>45</v>
      </c>
      <c r="U340" s="2">
        <v>0</v>
      </c>
      <c r="V340" s="2" t="s">
        <v>45</v>
      </c>
      <c r="W340" s="2">
        <v>6384.96</v>
      </c>
      <c r="X340" s="2">
        <v>399336</v>
      </c>
      <c r="Y340" s="2">
        <v>1408785</v>
      </c>
      <c r="Z340" s="2">
        <v>0</v>
      </c>
      <c r="AA340" s="2" t="s">
        <v>45</v>
      </c>
      <c r="AB340" s="2">
        <v>46.4</v>
      </c>
    </row>
    <row r="341" spans="1:28" hidden="1" x14ac:dyDescent="0.3">
      <c r="A341" s="4">
        <v>46187</v>
      </c>
      <c r="B341" s="8" t="s">
        <v>55</v>
      </c>
      <c r="C341" s="8" t="s">
        <v>56</v>
      </c>
      <c r="D341" s="7" t="s">
        <v>49</v>
      </c>
      <c r="E341" s="7" t="s">
        <v>47</v>
      </c>
      <c r="F341" s="13"/>
      <c r="G341" s="59"/>
      <c r="H341" s="6"/>
      <c r="I341" s="6">
        <f t="shared" si="31"/>
        <v>0</v>
      </c>
      <c r="J341" s="2" t="s">
        <v>45</v>
      </c>
      <c r="K341" s="2" t="s">
        <v>45</v>
      </c>
      <c r="L341" s="2" t="s">
        <v>45</v>
      </c>
      <c r="M341" s="2" t="s">
        <v>45</v>
      </c>
      <c r="N341" s="2" t="s">
        <v>45</v>
      </c>
      <c r="O341" s="56" t="s">
        <v>45</v>
      </c>
      <c r="P341" s="2" t="s">
        <v>45</v>
      </c>
      <c r="Q341" s="2" t="s">
        <v>45</v>
      </c>
      <c r="R341" s="2" t="s">
        <v>45</v>
      </c>
      <c r="S341" s="2" t="s">
        <v>45</v>
      </c>
      <c r="T341" s="2" t="s">
        <v>45</v>
      </c>
      <c r="U341" s="2" t="s">
        <v>45</v>
      </c>
      <c r="V341" s="2" t="s">
        <v>45</v>
      </c>
      <c r="W341" s="2" t="s">
        <v>45</v>
      </c>
      <c r="X341" s="2" t="s">
        <v>45</v>
      </c>
      <c r="Y341" s="2" t="s">
        <v>45</v>
      </c>
      <c r="Z341" s="2" t="s">
        <v>45</v>
      </c>
      <c r="AA341" s="2" t="s">
        <v>45</v>
      </c>
      <c r="AB341" s="2" t="s">
        <v>45</v>
      </c>
    </row>
    <row r="342" spans="1:28" hidden="1" x14ac:dyDescent="0.3">
      <c r="A342" s="4">
        <v>46187</v>
      </c>
      <c r="B342" s="8" t="s">
        <v>55</v>
      </c>
      <c r="C342" s="8" t="s">
        <v>56</v>
      </c>
      <c r="D342" s="7" t="s">
        <v>67</v>
      </c>
      <c r="E342" s="7" t="s">
        <v>47</v>
      </c>
      <c r="F342" s="13"/>
      <c r="G342" s="59"/>
      <c r="H342" s="6"/>
      <c r="I342" s="6">
        <f t="shared" si="31"/>
        <v>0</v>
      </c>
      <c r="J342" s="2">
        <v>0</v>
      </c>
      <c r="K342" s="2">
        <v>0</v>
      </c>
      <c r="L342" s="2">
        <v>0</v>
      </c>
      <c r="M342" s="2" t="s">
        <v>45</v>
      </c>
      <c r="N342" s="2">
        <v>0</v>
      </c>
      <c r="O342" s="56">
        <v>0</v>
      </c>
      <c r="P342" s="2" t="s">
        <v>45</v>
      </c>
      <c r="Q342" s="2" t="s">
        <v>45</v>
      </c>
      <c r="R342" s="2">
        <v>0</v>
      </c>
      <c r="S342" s="2">
        <v>0</v>
      </c>
      <c r="T342" s="2" t="s">
        <v>45</v>
      </c>
      <c r="U342" s="2">
        <v>0</v>
      </c>
      <c r="V342" s="2" t="s">
        <v>45</v>
      </c>
      <c r="W342" s="2">
        <v>326.99</v>
      </c>
      <c r="X342" s="2">
        <v>26032</v>
      </c>
      <c r="Y342" s="2">
        <v>51440</v>
      </c>
      <c r="Z342" s="2">
        <v>0</v>
      </c>
      <c r="AA342" s="2" t="s">
        <v>45</v>
      </c>
      <c r="AB342" s="2">
        <v>20.8</v>
      </c>
    </row>
    <row r="343" spans="1:28" hidden="1" x14ac:dyDescent="0.3">
      <c r="A343" s="4">
        <v>46188</v>
      </c>
      <c r="B343" s="8" t="s">
        <v>55</v>
      </c>
      <c r="C343" s="8" t="s">
        <v>56</v>
      </c>
      <c r="D343" s="7" t="s">
        <v>43</v>
      </c>
      <c r="E343" s="7" t="s">
        <v>47</v>
      </c>
      <c r="F343" s="13"/>
      <c r="G343" s="59"/>
      <c r="H343" s="6"/>
      <c r="I343" s="6">
        <f t="shared" si="31"/>
        <v>278.88446215139442</v>
      </c>
      <c r="J343" s="2">
        <v>8.33</v>
      </c>
      <c r="K343" s="2">
        <v>7.53</v>
      </c>
      <c r="L343" s="2">
        <v>0.8</v>
      </c>
      <c r="M343" s="2">
        <v>9.6</v>
      </c>
      <c r="N343" s="2" t="s">
        <v>45</v>
      </c>
      <c r="O343" s="56">
        <v>2100</v>
      </c>
      <c r="P343" s="2" t="s">
        <v>45</v>
      </c>
      <c r="Q343" s="2" t="s">
        <v>45</v>
      </c>
      <c r="R343" s="2">
        <v>161.35</v>
      </c>
      <c r="S343" s="2">
        <v>2.84</v>
      </c>
      <c r="T343" s="2">
        <v>3.55</v>
      </c>
      <c r="U343" s="2">
        <v>158.51</v>
      </c>
      <c r="V343" s="2">
        <v>21.05</v>
      </c>
      <c r="W343" s="2">
        <v>8642.25</v>
      </c>
      <c r="X343" s="2" t="s">
        <v>45</v>
      </c>
      <c r="Y343" s="2" t="s">
        <v>45</v>
      </c>
      <c r="Z343" s="2">
        <v>1.2</v>
      </c>
      <c r="AA343" s="2" t="s">
        <v>45</v>
      </c>
      <c r="AB343" s="2">
        <v>228.7</v>
      </c>
    </row>
    <row r="344" spans="1:28" hidden="1" x14ac:dyDescent="0.3">
      <c r="A344" s="4">
        <v>46188</v>
      </c>
      <c r="B344" s="8" t="s">
        <v>55</v>
      </c>
      <c r="C344" s="8" t="s">
        <v>56</v>
      </c>
      <c r="D344" s="7" t="s">
        <v>39</v>
      </c>
      <c r="E344" s="7" t="s">
        <v>40</v>
      </c>
      <c r="F344" s="13"/>
      <c r="G344" s="59" t="s">
        <v>53</v>
      </c>
      <c r="H344" s="6"/>
      <c r="I344" s="6">
        <f t="shared" si="31"/>
        <v>0</v>
      </c>
      <c r="J344" s="2">
        <v>0</v>
      </c>
      <c r="K344" s="2">
        <v>0</v>
      </c>
      <c r="L344" s="2">
        <v>0</v>
      </c>
      <c r="M344" s="2" t="s">
        <v>45</v>
      </c>
      <c r="N344" s="2">
        <v>0</v>
      </c>
      <c r="O344" s="56">
        <v>0</v>
      </c>
      <c r="P344" s="2" t="s">
        <v>45</v>
      </c>
      <c r="Q344" s="2" t="s">
        <v>45</v>
      </c>
      <c r="R344" s="2">
        <v>0</v>
      </c>
      <c r="S344" s="2">
        <v>0</v>
      </c>
      <c r="T344" s="2" t="s">
        <v>45</v>
      </c>
      <c r="U344" s="2">
        <v>0</v>
      </c>
      <c r="V344" s="2" t="s">
        <v>45</v>
      </c>
      <c r="W344" s="2">
        <v>9058.85</v>
      </c>
      <c r="X344" s="2">
        <v>72314</v>
      </c>
      <c r="Y344" s="2">
        <v>106544</v>
      </c>
      <c r="Z344" s="2">
        <v>0</v>
      </c>
      <c r="AA344" s="2" t="s">
        <v>45</v>
      </c>
      <c r="AB344" s="2">
        <v>283.39999999999998</v>
      </c>
    </row>
    <row r="345" spans="1:28" hidden="1" x14ac:dyDescent="0.3">
      <c r="A345" s="4">
        <v>46188</v>
      </c>
      <c r="B345" s="8" t="s">
        <v>68</v>
      </c>
      <c r="C345" s="8" t="s">
        <v>36</v>
      </c>
      <c r="D345" s="7" t="s">
        <v>50</v>
      </c>
      <c r="E345" s="7" t="s">
        <v>47</v>
      </c>
      <c r="F345" s="13"/>
      <c r="G345" s="59"/>
      <c r="H345" s="6">
        <v>3000</v>
      </c>
      <c r="I345" s="6">
        <f t="shared" si="31"/>
        <v>266.47564469914039</v>
      </c>
      <c r="J345" s="2">
        <v>9.18</v>
      </c>
      <c r="K345" s="2">
        <v>6.98</v>
      </c>
      <c r="L345" s="2">
        <v>2.2000000000000002</v>
      </c>
      <c r="M345" s="2">
        <v>23.97</v>
      </c>
      <c r="N345" s="2">
        <v>898</v>
      </c>
      <c r="O345" s="56">
        <v>1860</v>
      </c>
      <c r="P345" s="2">
        <v>2.0699999999999998</v>
      </c>
      <c r="Q345" s="2">
        <v>11.88</v>
      </c>
      <c r="R345" s="2">
        <v>156.62</v>
      </c>
      <c r="S345" s="2">
        <v>7.57</v>
      </c>
      <c r="T345" s="2">
        <v>3.44</v>
      </c>
      <c r="U345" s="2">
        <v>149.05000000000001</v>
      </c>
      <c r="V345" s="2">
        <v>21.36</v>
      </c>
      <c r="W345" s="2">
        <v>2196.2199999999998</v>
      </c>
      <c r="X345" s="2">
        <v>133605</v>
      </c>
      <c r="Y345" s="2">
        <v>249936</v>
      </c>
      <c r="Z345" s="2">
        <v>0.3</v>
      </c>
      <c r="AA345" s="2">
        <v>0</v>
      </c>
      <c r="AB345" s="2">
        <v>302.60000000000002</v>
      </c>
    </row>
    <row r="346" spans="1:28" hidden="1" x14ac:dyDescent="0.3">
      <c r="A346" s="4">
        <v>46188</v>
      </c>
      <c r="B346" s="8" t="s">
        <v>68</v>
      </c>
      <c r="C346" s="8" t="s">
        <v>36</v>
      </c>
      <c r="D346" s="7" t="s">
        <v>52</v>
      </c>
      <c r="E346" s="7" t="s">
        <v>47</v>
      </c>
      <c r="F346" s="13"/>
      <c r="G346" s="59"/>
      <c r="H346" s="6">
        <v>3000</v>
      </c>
      <c r="I346" s="6">
        <f t="shared" si="31"/>
        <v>308.83116883116884</v>
      </c>
      <c r="J346" s="2">
        <v>8.3000000000000007</v>
      </c>
      <c r="K346" s="2">
        <v>7.7</v>
      </c>
      <c r="L346" s="2">
        <v>0.6</v>
      </c>
      <c r="M346" s="2">
        <v>7.23</v>
      </c>
      <c r="N346" s="2">
        <v>1041</v>
      </c>
      <c r="O346" s="56">
        <v>2378</v>
      </c>
      <c r="P346" s="2">
        <v>2.2799999999999998</v>
      </c>
      <c r="Q346" s="2">
        <v>14.69</v>
      </c>
      <c r="R346" s="2">
        <v>161.83000000000001</v>
      </c>
      <c r="S346" s="2">
        <v>2.37</v>
      </c>
      <c r="T346" s="2">
        <v>3.94</v>
      </c>
      <c r="U346" s="2">
        <v>159.46</v>
      </c>
      <c r="V346" s="2">
        <v>20.7</v>
      </c>
      <c r="W346" s="2">
        <v>666.13</v>
      </c>
      <c r="X346" s="2">
        <v>64894</v>
      </c>
      <c r="Y346" s="2">
        <v>135010</v>
      </c>
      <c r="Z346" s="2">
        <v>1.1000000000000001</v>
      </c>
      <c r="AA346" s="2">
        <v>0</v>
      </c>
      <c r="AB346" s="2">
        <v>59.2</v>
      </c>
    </row>
    <row r="347" spans="1:28" x14ac:dyDescent="0.3">
      <c r="A347" s="4">
        <v>46188</v>
      </c>
      <c r="B347" s="8" t="s">
        <v>68</v>
      </c>
      <c r="C347" s="8" t="s">
        <v>36</v>
      </c>
      <c r="D347" s="7" t="s">
        <v>48</v>
      </c>
      <c r="E347" s="7" t="s">
        <v>38</v>
      </c>
      <c r="F347" s="13">
        <v>1447</v>
      </c>
      <c r="G347" s="59"/>
      <c r="H347" s="6">
        <f>24000/5</f>
        <v>4800</v>
      </c>
      <c r="I347" s="6">
        <f t="shared" si="31"/>
        <v>395.94742606790794</v>
      </c>
      <c r="J347" s="2">
        <v>10.58</v>
      </c>
      <c r="K347" s="2">
        <v>9.1300000000000008</v>
      </c>
      <c r="L347" s="2">
        <v>1.45</v>
      </c>
      <c r="M347" s="2">
        <v>13.7</v>
      </c>
      <c r="N347" s="2">
        <v>1103</v>
      </c>
      <c r="O347" s="77">
        <v>3615</v>
      </c>
      <c r="P347" s="2">
        <v>3.28</v>
      </c>
      <c r="Q347" s="2">
        <v>9.91</v>
      </c>
      <c r="R347" s="2">
        <v>364.82</v>
      </c>
      <c r="S347" s="2">
        <v>8.0399999999999991</v>
      </c>
      <c r="T347" s="2">
        <v>5.55</v>
      </c>
      <c r="U347" s="2">
        <v>356.77</v>
      </c>
      <c r="V347" s="2">
        <v>39.07</v>
      </c>
      <c r="W347" s="2">
        <v>6395.54</v>
      </c>
      <c r="X347" s="2">
        <v>400439</v>
      </c>
      <c r="Y347" s="2">
        <v>1412400</v>
      </c>
      <c r="Z347" s="2">
        <v>0.1</v>
      </c>
      <c r="AA347" s="2">
        <v>0</v>
      </c>
      <c r="AB347" s="2">
        <v>46.5</v>
      </c>
    </row>
    <row r="348" spans="1:28" hidden="1" x14ac:dyDescent="0.3">
      <c r="A348" s="4">
        <v>46188</v>
      </c>
      <c r="B348" s="8" t="s">
        <v>68</v>
      </c>
      <c r="C348" s="8" t="s">
        <v>36</v>
      </c>
      <c r="D348" s="7" t="s">
        <v>46</v>
      </c>
      <c r="E348" s="7" t="s">
        <v>47</v>
      </c>
      <c r="F348" s="13"/>
      <c r="G348" s="59"/>
      <c r="H348" s="6">
        <v>3000</v>
      </c>
      <c r="I348" s="6">
        <f t="shared" si="31"/>
        <v>219.41544885177453</v>
      </c>
      <c r="J348" s="2">
        <v>8.49</v>
      </c>
      <c r="K348" s="2">
        <v>4.79</v>
      </c>
      <c r="L348" s="2">
        <v>3.7</v>
      </c>
      <c r="M348" s="2">
        <v>43.58</v>
      </c>
      <c r="N348" s="2">
        <v>480</v>
      </c>
      <c r="O348" s="56">
        <v>1051</v>
      </c>
      <c r="P348" s="2">
        <v>2.19</v>
      </c>
      <c r="Q348" s="2">
        <v>6.65</v>
      </c>
      <c r="R348" s="2">
        <v>158.04</v>
      </c>
      <c r="S348" s="2">
        <v>17.98</v>
      </c>
      <c r="T348" s="2">
        <v>4.8600000000000003</v>
      </c>
      <c r="U348" s="2">
        <v>140.06</v>
      </c>
      <c r="V348" s="2">
        <v>29.24</v>
      </c>
      <c r="W348" s="2">
        <v>7657.4</v>
      </c>
      <c r="X348" s="2">
        <v>102999</v>
      </c>
      <c r="Y348" s="2">
        <v>296490</v>
      </c>
      <c r="Z348" s="2">
        <v>0.3</v>
      </c>
      <c r="AA348" s="2">
        <v>0</v>
      </c>
      <c r="AB348" s="2">
        <v>238.7</v>
      </c>
    </row>
    <row r="349" spans="1:28" hidden="1" x14ac:dyDescent="0.3">
      <c r="A349" s="4">
        <v>46188</v>
      </c>
      <c r="B349" s="8" t="s">
        <v>68</v>
      </c>
      <c r="C349" s="8" t="s">
        <v>36</v>
      </c>
      <c r="D349" s="7" t="s">
        <v>49</v>
      </c>
      <c r="E349" s="7" t="s">
        <v>47</v>
      </c>
      <c r="F349" s="13"/>
      <c r="G349" s="59"/>
      <c r="H349" s="6">
        <v>3000</v>
      </c>
      <c r="I349" s="6">
        <f t="shared" si="31"/>
        <v>434.24369747899163</v>
      </c>
      <c r="J349" s="2">
        <v>6.46</v>
      </c>
      <c r="K349" s="2">
        <v>4.76</v>
      </c>
      <c r="L349" s="2">
        <v>1.7</v>
      </c>
      <c r="M349" s="2">
        <v>26.33</v>
      </c>
      <c r="N349" s="2">
        <v>579</v>
      </c>
      <c r="O349" s="56">
        <v>2067</v>
      </c>
      <c r="P349" s="2">
        <v>3.57</v>
      </c>
      <c r="Q349" s="2">
        <v>10.5</v>
      </c>
      <c r="R349" s="2">
        <v>196.84</v>
      </c>
      <c r="S349" s="2">
        <v>7.57</v>
      </c>
      <c r="T349" s="2">
        <v>4.45</v>
      </c>
      <c r="U349" s="2">
        <v>189.27</v>
      </c>
      <c r="V349" s="2">
        <v>39.79</v>
      </c>
      <c r="W349" s="2">
        <v>1729.53</v>
      </c>
      <c r="X349" s="2">
        <v>166128</v>
      </c>
      <c r="Y349" s="2">
        <v>569843</v>
      </c>
      <c r="Z349" s="2">
        <v>0</v>
      </c>
      <c r="AA349" s="2">
        <v>0</v>
      </c>
      <c r="AB349" s="2">
        <v>4.8</v>
      </c>
    </row>
    <row r="350" spans="1:28" hidden="1" x14ac:dyDescent="0.3">
      <c r="A350" s="14">
        <v>46188</v>
      </c>
      <c r="B350" s="14" t="s">
        <v>68</v>
      </c>
      <c r="C350" s="14" t="s">
        <v>36</v>
      </c>
      <c r="D350" s="42"/>
      <c r="E350" s="42" t="s">
        <v>47</v>
      </c>
      <c r="F350" s="43"/>
      <c r="G350" s="60"/>
      <c r="H350" s="44">
        <v>3000</v>
      </c>
      <c r="I350" s="44"/>
      <c r="J350" s="42"/>
      <c r="K350" s="42"/>
      <c r="L350" s="42"/>
      <c r="M350" s="42"/>
      <c r="N350" s="42"/>
      <c r="O350" s="60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spans="1:28" hidden="1" x14ac:dyDescent="0.3">
      <c r="A351" s="4">
        <v>46189</v>
      </c>
      <c r="B351" s="8" t="s">
        <v>68</v>
      </c>
      <c r="C351" s="8" t="s">
        <v>36</v>
      </c>
      <c r="D351" s="7" t="s">
        <v>43</v>
      </c>
      <c r="E351" s="7" t="s">
        <v>47</v>
      </c>
      <c r="F351" s="13"/>
      <c r="G351" s="59"/>
      <c r="H351" s="6">
        <v>3000</v>
      </c>
      <c r="I351" s="6">
        <f t="shared" ref="I351:I364" si="32">IFERROR(O351/K351,)</f>
        <v>294.81132075471697</v>
      </c>
      <c r="J351" s="2">
        <v>5.04</v>
      </c>
      <c r="K351" s="2">
        <v>4.24</v>
      </c>
      <c r="L351" s="2">
        <v>0.8</v>
      </c>
      <c r="M351" s="2">
        <v>15.86</v>
      </c>
      <c r="N351" s="2" t="s">
        <v>45</v>
      </c>
      <c r="O351" s="56">
        <v>1250</v>
      </c>
      <c r="P351" s="2" t="s">
        <v>45</v>
      </c>
      <c r="Q351" s="2" t="s">
        <v>45</v>
      </c>
      <c r="R351" s="2">
        <v>93.69</v>
      </c>
      <c r="S351" s="2">
        <v>3.79</v>
      </c>
      <c r="T351" s="2">
        <v>4.7300000000000004</v>
      </c>
      <c r="U351" s="2">
        <v>89.9</v>
      </c>
      <c r="V351" s="2">
        <v>21.19</v>
      </c>
      <c r="W351" s="2">
        <v>8647.2999999999993</v>
      </c>
      <c r="X351" s="2" t="s">
        <v>45</v>
      </c>
      <c r="Y351" s="2" t="s">
        <v>45</v>
      </c>
      <c r="Z351" s="2">
        <v>0.7</v>
      </c>
      <c r="AA351" s="2" t="s">
        <v>45</v>
      </c>
      <c r="AB351" s="2">
        <v>229.4</v>
      </c>
    </row>
    <row r="352" spans="1:28" hidden="1" x14ac:dyDescent="0.3">
      <c r="A352" s="4">
        <v>46189</v>
      </c>
      <c r="B352" s="8" t="s">
        <v>55</v>
      </c>
      <c r="C352" s="8" t="s">
        <v>56</v>
      </c>
      <c r="D352" s="7" t="s">
        <v>39</v>
      </c>
      <c r="E352" s="7" t="s">
        <v>40</v>
      </c>
      <c r="F352" s="13"/>
      <c r="G352" s="59" t="s">
        <v>53</v>
      </c>
      <c r="H352" s="6"/>
      <c r="I352" s="6">
        <f t="shared" si="32"/>
        <v>0</v>
      </c>
      <c r="J352" s="2">
        <v>0</v>
      </c>
      <c r="K352" s="2">
        <v>0</v>
      </c>
      <c r="L352" s="2">
        <v>0</v>
      </c>
      <c r="M352" s="2" t="s">
        <v>45</v>
      </c>
      <c r="N352" s="2">
        <v>0</v>
      </c>
      <c r="O352" s="56">
        <v>0</v>
      </c>
      <c r="P352" s="2" t="s">
        <v>45</v>
      </c>
      <c r="Q352" s="2" t="s">
        <v>45</v>
      </c>
      <c r="R352" s="2">
        <v>0</v>
      </c>
      <c r="S352" s="2">
        <v>0</v>
      </c>
      <c r="T352" s="2" t="s">
        <v>45</v>
      </c>
      <c r="U352" s="2">
        <v>0</v>
      </c>
      <c r="V352" s="2" t="s">
        <v>45</v>
      </c>
      <c r="W352" s="2">
        <v>9058.85</v>
      </c>
      <c r="X352" s="2">
        <v>72314</v>
      </c>
      <c r="Y352" s="2">
        <v>106544</v>
      </c>
      <c r="Z352" s="2">
        <v>0</v>
      </c>
      <c r="AA352" s="2" t="s">
        <v>45</v>
      </c>
      <c r="AB352" s="2">
        <v>283.39999999999998</v>
      </c>
    </row>
    <row r="353" spans="1:28" hidden="1" x14ac:dyDescent="0.3">
      <c r="A353" s="4">
        <v>46189</v>
      </c>
      <c r="B353" s="8" t="s">
        <v>68</v>
      </c>
      <c r="C353" s="8" t="s">
        <v>36</v>
      </c>
      <c r="D353" s="7" t="s">
        <v>50</v>
      </c>
      <c r="E353" s="7" t="s">
        <v>47</v>
      </c>
      <c r="F353" s="13"/>
      <c r="G353" s="59"/>
      <c r="H353" s="6">
        <v>3000</v>
      </c>
      <c r="I353" s="6">
        <f t="shared" si="32"/>
        <v>283.38108882521487</v>
      </c>
      <c r="J353" s="2">
        <v>9.08</v>
      </c>
      <c r="K353" s="2">
        <v>6.98</v>
      </c>
      <c r="L353" s="2">
        <v>2.1</v>
      </c>
      <c r="M353" s="2">
        <v>23.13</v>
      </c>
      <c r="N353" s="2">
        <v>910</v>
      </c>
      <c r="O353" s="56">
        <v>1978</v>
      </c>
      <c r="P353" s="2">
        <v>2.17</v>
      </c>
      <c r="Q353" s="2">
        <v>13.19</v>
      </c>
      <c r="R353" s="2">
        <v>150</v>
      </c>
      <c r="S353" s="2">
        <v>8.0399999999999991</v>
      </c>
      <c r="T353" s="2">
        <v>3.83</v>
      </c>
      <c r="U353" s="2">
        <v>141.94999999999999</v>
      </c>
      <c r="V353" s="2">
        <v>20.34</v>
      </c>
      <c r="W353" s="2">
        <v>2205.3000000000002</v>
      </c>
      <c r="X353" s="2">
        <v>134515</v>
      </c>
      <c r="Y353" s="2">
        <v>251914</v>
      </c>
      <c r="Z353" s="2">
        <v>0.5</v>
      </c>
      <c r="AA353" s="2">
        <v>0</v>
      </c>
      <c r="AB353" s="2">
        <v>303.10000000000002</v>
      </c>
    </row>
    <row r="354" spans="1:28" hidden="1" x14ac:dyDescent="0.3">
      <c r="A354" s="4">
        <v>46189</v>
      </c>
      <c r="B354" s="8" t="s">
        <v>68</v>
      </c>
      <c r="C354" s="8" t="s">
        <v>36</v>
      </c>
      <c r="D354" s="7" t="s">
        <v>52</v>
      </c>
      <c r="E354" s="7" t="s">
        <v>47</v>
      </c>
      <c r="F354" s="13"/>
      <c r="G354" s="59"/>
      <c r="H354" s="6">
        <v>3000</v>
      </c>
      <c r="I354" s="6">
        <f t="shared" si="32"/>
        <v>372.43195785776993</v>
      </c>
      <c r="J354" s="2">
        <v>12.94</v>
      </c>
      <c r="K354" s="2">
        <v>11.39</v>
      </c>
      <c r="L354" s="2">
        <v>1.55</v>
      </c>
      <c r="M354" s="2">
        <v>11.98</v>
      </c>
      <c r="N354" s="2">
        <v>1675</v>
      </c>
      <c r="O354" s="56">
        <v>4242</v>
      </c>
      <c r="P354" s="2">
        <v>2.5299999999999998</v>
      </c>
      <c r="Q354" s="2">
        <v>17.440000000000001</v>
      </c>
      <c r="R354" s="2">
        <v>243.21</v>
      </c>
      <c r="S354" s="2">
        <v>6.15</v>
      </c>
      <c r="T354" s="2">
        <v>3.97</v>
      </c>
      <c r="U354" s="2">
        <v>237.06</v>
      </c>
      <c r="V354" s="2">
        <v>20.82</v>
      </c>
      <c r="W354" s="2">
        <v>679.07</v>
      </c>
      <c r="X354" s="2">
        <v>66569</v>
      </c>
      <c r="Y354" s="2">
        <v>139252</v>
      </c>
      <c r="Z354" s="2">
        <v>1</v>
      </c>
      <c r="AA354" s="2">
        <v>0</v>
      </c>
      <c r="AB354" s="2">
        <v>60.2</v>
      </c>
    </row>
    <row r="355" spans="1:28" hidden="1" x14ac:dyDescent="0.3">
      <c r="A355" s="4">
        <v>46189</v>
      </c>
      <c r="B355" s="8" t="s">
        <v>68</v>
      </c>
      <c r="C355" s="8" t="s">
        <v>36</v>
      </c>
      <c r="D355" s="7" t="s">
        <v>46</v>
      </c>
      <c r="E355" s="7" t="s">
        <v>47</v>
      </c>
      <c r="F355" s="13"/>
      <c r="G355" s="59"/>
      <c r="H355" s="6">
        <v>3000</v>
      </c>
      <c r="I355" s="6">
        <f t="shared" si="32"/>
        <v>408.57142857142861</v>
      </c>
      <c r="J355" s="2">
        <v>7.45</v>
      </c>
      <c r="K355" s="2">
        <v>5.6</v>
      </c>
      <c r="L355" s="2">
        <v>1.85</v>
      </c>
      <c r="M355" s="2">
        <v>24.83</v>
      </c>
      <c r="N355" s="2">
        <v>658</v>
      </c>
      <c r="O355" s="56">
        <v>2288</v>
      </c>
      <c r="P355" s="2">
        <v>3.48</v>
      </c>
      <c r="Q355" s="2">
        <v>12.24</v>
      </c>
      <c r="R355" s="2">
        <v>186.9</v>
      </c>
      <c r="S355" s="2">
        <v>10.41</v>
      </c>
      <c r="T355" s="2">
        <v>5.63</v>
      </c>
      <c r="U355" s="2">
        <v>176.49</v>
      </c>
      <c r="V355" s="2">
        <v>31.51</v>
      </c>
      <c r="W355" s="2">
        <v>7664.85</v>
      </c>
      <c r="X355" s="2">
        <v>103657</v>
      </c>
      <c r="Y355" s="2">
        <v>298778</v>
      </c>
      <c r="Z355" s="2">
        <v>0</v>
      </c>
      <c r="AA355" s="2">
        <v>0</v>
      </c>
      <c r="AB355" s="2">
        <v>238.7</v>
      </c>
    </row>
    <row r="356" spans="1:28" x14ac:dyDescent="0.3">
      <c r="A356" s="4">
        <v>46189</v>
      </c>
      <c r="B356" s="8" t="s">
        <v>68</v>
      </c>
      <c r="C356" s="8" t="s">
        <v>36</v>
      </c>
      <c r="D356" s="7" t="s">
        <v>48</v>
      </c>
      <c r="E356" s="7" t="s">
        <v>38</v>
      </c>
      <c r="F356" s="13">
        <v>1918</v>
      </c>
      <c r="G356" s="59"/>
      <c r="H356" s="6">
        <f>24000/5</f>
        <v>4800</v>
      </c>
      <c r="I356" s="6">
        <f t="shared" si="32"/>
        <v>539.38618925831202</v>
      </c>
      <c r="J356" s="2">
        <v>4.71</v>
      </c>
      <c r="K356" s="2">
        <v>3.91</v>
      </c>
      <c r="L356" s="2">
        <v>0.8</v>
      </c>
      <c r="M356" s="2">
        <v>16.98</v>
      </c>
      <c r="N356" s="2">
        <v>493</v>
      </c>
      <c r="O356" s="77">
        <v>2109</v>
      </c>
      <c r="P356" s="2">
        <v>4.28</v>
      </c>
      <c r="Q356" s="2">
        <v>13.71</v>
      </c>
      <c r="R356" s="2">
        <v>153.78</v>
      </c>
      <c r="S356" s="2">
        <v>4.7300000000000004</v>
      </c>
      <c r="T356" s="2">
        <v>5.91</v>
      </c>
      <c r="U356" s="2">
        <v>149.05000000000001</v>
      </c>
      <c r="V356" s="2">
        <v>38.11</v>
      </c>
      <c r="W356" s="2">
        <v>6400.25</v>
      </c>
      <c r="X356" s="2">
        <v>400932</v>
      </c>
      <c r="Y356" s="2">
        <v>1414509</v>
      </c>
      <c r="Z356" s="2">
        <v>0.1</v>
      </c>
      <c r="AA356" s="2">
        <v>0</v>
      </c>
      <c r="AB356" s="2">
        <v>46.6</v>
      </c>
    </row>
    <row r="357" spans="1:28" hidden="1" x14ac:dyDescent="0.3">
      <c r="A357" s="4">
        <v>46189</v>
      </c>
      <c r="B357" s="8" t="s">
        <v>68</v>
      </c>
      <c r="C357" s="8" t="s">
        <v>36</v>
      </c>
      <c r="D357" s="7" t="s">
        <v>49</v>
      </c>
      <c r="E357" s="7" t="s">
        <v>47</v>
      </c>
      <c r="F357" s="13"/>
      <c r="G357" s="59"/>
      <c r="H357" s="6">
        <v>3000</v>
      </c>
      <c r="I357" s="6">
        <f t="shared" si="32"/>
        <v>463.32767402376913</v>
      </c>
      <c r="J357" s="2">
        <v>7.64</v>
      </c>
      <c r="K357" s="2">
        <v>5.89</v>
      </c>
      <c r="L357" s="2">
        <v>1.75</v>
      </c>
      <c r="M357" s="2">
        <v>22.9</v>
      </c>
      <c r="N357" s="2">
        <v>753</v>
      </c>
      <c r="O357" s="56">
        <v>2729</v>
      </c>
      <c r="P357" s="2">
        <v>3.62</v>
      </c>
      <c r="Q357" s="2">
        <v>11.4</v>
      </c>
      <c r="R357" s="2">
        <v>239.43</v>
      </c>
      <c r="S357" s="2">
        <v>7.57</v>
      </c>
      <c r="T357" s="2">
        <v>4.33</v>
      </c>
      <c r="U357" s="2">
        <v>231.86</v>
      </c>
      <c r="V357" s="2">
        <v>39.340000000000003</v>
      </c>
      <c r="W357" s="2">
        <v>1737.17</v>
      </c>
      <c r="X357" s="2">
        <v>166881</v>
      </c>
      <c r="Y357" s="2">
        <v>572572</v>
      </c>
      <c r="Z357" s="2">
        <v>0</v>
      </c>
      <c r="AA357" s="2">
        <v>0</v>
      </c>
      <c r="AB357" s="2">
        <v>4.8</v>
      </c>
    </row>
    <row r="358" spans="1:28" hidden="1" x14ac:dyDescent="0.3">
      <c r="A358" s="4">
        <v>46190</v>
      </c>
      <c r="B358" s="8" t="s">
        <v>55</v>
      </c>
      <c r="C358" s="8" t="s">
        <v>56</v>
      </c>
      <c r="D358" s="7" t="s">
        <v>43</v>
      </c>
      <c r="E358" s="7" t="s">
        <v>47</v>
      </c>
      <c r="F358" s="13"/>
      <c r="G358" s="13" t="s">
        <v>69</v>
      </c>
      <c r="H358" s="6"/>
      <c r="I358" s="6">
        <f t="shared" si="32"/>
        <v>0</v>
      </c>
      <c r="J358" s="2">
        <v>0</v>
      </c>
      <c r="K358" s="2">
        <v>0</v>
      </c>
      <c r="L358" s="2">
        <v>0</v>
      </c>
      <c r="M358" s="2" t="s">
        <v>45</v>
      </c>
      <c r="N358" s="2" t="s">
        <v>45</v>
      </c>
      <c r="O358" s="56">
        <v>0</v>
      </c>
      <c r="P358" s="2" t="s">
        <v>45</v>
      </c>
      <c r="Q358" s="2" t="s">
        <v>45</v>
      </c>
      <c r="R358" s="2">
        <v>0</v>
      </c>
      <c r="S358" s="2">
        <v>0</v>
      </c>
      <c r="T358" s="2" t="s">
        <v>45</v>
      </c>
      <c r="U358" s="2">
        <v>0</v>
      </c>
      <c r="V358" s="2" t="s">
        <v>45</v>
      </c>
      <c r="W358" s="2">
        <v>8647.2999999999993</v>
      </c>
      <c r="X358" s="2" t="s">
        <v>45</v>
      </c>
      <c r="Y358" s="2" t="s">
        <v>45</v>
      </c>
      <c r="Z358" s="2">
        <v>0</v>
      </c>
      <c r="AA358" s="2" t="s">
        <v>45</v>
      </c>
      <c r="AB358" s="2">
        <v>229.4</v>
      </c>
    </row>
    <row r="359" spans="1:28" hidden="1" x14ac:dyDescent="0.3">
      <c r="A359" s="4">
        <v>46190</v>
      </c>
      <c r="B359" s="8" t="s">
        <v>55</v>
      </c>
      <c r="C359" s="8" t="s">
        <v>56</v>
      </c>
      <c r="D359" s="7" t="s">
        <v>39</v>
      </c>
      <c r="E359" s="7" t="s">
        <v>40</v>
      </c>
      <c r="F359" s="13"/>
      <c r="G359" s="59" t="s">
        <v>53</v>
      </c>
      <c r="H359" s="6"/>
      <c r="I359" s="6">
        <f t="shared" si="32"/>
        <v>0</v>
      </c>
      <c r="J359" s="2">
        <v>0</v>
      </c>
      <c r="K359" s="2">
        <v>0</v>
      </c>
      <c r="L359" s="2">
        <v>0</v>
      </c>
      <c r="M359" s="2" t="s">
        <v>45</v>
      </c>
      <c r="N359" s="2">
        <v>0</v>
      </c>
      <c r="O359" s="56">
        <v>0</v>
      </c>
      <c r="P359" s="2" t="s">
        <v>45</v>
      </c>
      <c r="Q359" s="2" t="s">
        <v>45</v>
      </c>
      <c r="R359" s="2">
        <v>0</v>
      </c>
      <c r="S359" s="2">
        <v>0</v>
      </c>
      <c r="T359" s="2" t="s">
        <v>45</v>
      </c>
      <c r="U359" s="2">
        <v>0</v>
      </c>
      <c r="V359" s="2" t="s">
        <v>45</v>
      </c>
      <c r="W359" s="2">
        <v>9058.85</v>
      </c>
      <c r="X359" s="2">
        <v>72314</v>
      </c>
      <c r="Y359" s="2">
        <v>106544</v>
      </c>
      <c r="Z359" s="2">
        <v>0</v>
      </c>
      <c r="AA359" s="2" t="s">
        <v>45</v>
      </c>
      <c r="AB359" s="2">
        <v>283.39999999999998</v>
      </c>
    </row>
    <row r="360" spans="1:28" hidden="1" x14ac:dyDescent="0.3">
      <c r="A360" s="4">
        <v>46190</v>
      </c>
      <c r="B360" s="8" t="s">
        <v>68</v>
      </c>
      <c r="C360" s="8" t="s">
        <v>36</v>
      </c>
      <c r="D360" s="7" t="s">
        <v>50</v>
      </c>
      <c r="E360" s="7" t="s">
        <v>47</v>
      </c>
      <c r="F360" s="13"/>
      <c r="G360" s="59"/>
      <c r="H360" s="6">
        <v>3000</v>
      </c>
      <c r="I360" s="6">
        <f t="shared" si="32"/>
        <v>147.80141843971631</v>
      </c>
      <c r="J360" s="2">
        <v>7.9</v>
      </c>
      <c r="K360" s="2">
        <v>7.05</v>
      </c>
      <c r="L360" s="2">
        <v>0.85</v>
      </c>
      <c r="M360" s="2">
        <v>10.76</v>
      </c>
      <c r="N360" s="2">
        <v>529</v>
      </c>
      <c r="O360" s="56">
        <v>1042</v>
      </c>
      <c r="P360" s="2">
        <v>1.97</v>
      </c>
      <c r="Q360" s="2">
        <v>6.92</v>
      </c>
      <c r="R360" s="2">
        <v>150.47</v>
      </c>
      <c r="S360" s="2">
        <v>4.26</v>
      </c>
      <c r="T360" s="2">
        <v>5.01</v>
      </c>
      <c r="U360" s="2">
        <v>146.21</v>
      </c>
      <c r="V360" s="2">
        <v>20.74</v>
      </c>
      <c r="W360" s="2">
        <v>2213.1999999999998</v>
      </c>
      <c r="X360" s="2">
        <v>135044</v>
      </c>
      <c r="Y360" s="2">
        <v>252956</v>
      </c>
      <c r="Z360" s="2">
        <v>0.1</v>
      </c>
      <c r="AA360" s="2">
        <v>0</v>
      </c>
      <c r="AB360" s="2">
        <v>303.2</v>
      </c>
    </row>
    <row r="361" spans="1:28" hidden="1" x14ac:dyDescent="0.3">
      <c r="A361" s="4">
        <v>46190</v>
      </c>
      <c r="B361" s="8" t="s">
        <v>68</v>
      </c>
      <c r="C361" s="8" t="s">
        <v>36</v>
      </c>
      <c r="D361" s="7" t="s">
        <v>52</v>
      </c>
      <c r="E361" s="7" t="s">
        <v>47</v>
      </c>
      <c r="F361" s="13"/>
      <c r="G361" s="59"/>
      <c r="H361" s="6">
        <v>3000</v>
      </c>
      <c r="I361" s="6">
        <f t="shared" si="32"/>
        <v>375.72953736654802</v>
      </c>
      <c r="J361" s="2">
        <v>15.85</v>
      </c>
      <c r="K361" s="2">
        <v>14.05</v>
      </c>
      <c r="L361" s="2">
        <v>1.8</v>
      </c>
      <c r="M361" s="2">
        <v>11.36</v>
      </c>
      <c r="N361" s="2">
        <v>2047</v>
      </c>
      <c r="O361" s="56">
        <v>5279</v>
      </c>
      <c r="P361" s="2">
        <v>2.58</v>
      </c>
      <c r="Q361" s="2">
        <v>17.16</v>
      </c>
      <c r="R361" s="2">
        <v>307.56</v>
      </c>
      <c r="S361" s="2">
        <v>6.62</v>
      </c>
      <c r="T361" s="2">
        <v>3.68</v>
      </c>
      <c r="U361" s="2">
        <v>300.94</v>
      </c>
      <c r="V361" s="2">
        <v>21.42</v>
      </c>
      <c r="W361" s="2">
        <v>694.92</v>
      </c>
      <c r="X361" s="2">
        <v>68616</v>
      </c>
      <c r="Y361" s="2">
        <v>144531</v>
      </c>
      <c r="Z361" s="2">
        <v>2.7</v>
      </c>
      <c r="AA361" s="2">
        <v>0</v>
      </c>
      <c r="AB361" s="2">
        <v>62.9</v>
      </c>
    </row>
    <row r="362" spans="1:28" hidden="1" x14ac:dyDescent="0.3">
      <c r="A362" s="4">
        <v>46190</v>
      </c>
      <c r="B362" s="8" t="s">
        <v>68</v>
      </c>
      <c r="C362" s="8" t="s">
        <v>36</v>
      </c>
      <c r="D362" s="7" t="s">
        <v>46</v>
      </c>
      <c r="E362" s="7" t="s">
        <v>47</v>
      </c>
      <c r="F362" s="13"/>
      <c r="G362" s="59"/>
      <c r="H362" s="6">
        <v>3000</v>
      </c>
      <c r="I362" s="6">
        <f t="shared" si="32"/>
        <v>321.59763313609466</v>
      </c>
      <c r="J362" s="2">
        <v>7.96</v>
      </c>
      <c r="K362" s="2">
        <v>6.76</v>
      </c>
      <c r="L362" s="2">
        <v>1.2</v>
      </c>
      <c r="M362" s="2">
        <v>15.08</v>
      </c>
      <c r="N362" s="2">
        <v>873</v>
      </c>
      <c r="O362" s="56">
        <v>2174</v>
      </c>
      <c r="P362" s="2">
        <v>2.4900000000000002</v>
      </c>
      <c r="Q362" s="2">
        <v>10.39</v>
      </c>
      <c r="R362" s="2">
        <v>209.14</v>
      </c>
      <c r="S362" s="2">
        <v>6.62</v>
      </c>
      <c r="T362" s="2">
        <v>5.52</v>
      </c>
      <c r="U362" s="2">
        <v>202.52</v>
      </c>
      <c r="V362" s="2">
        <v>29.96</v>
      </c>
      <c r="W362" s="2">
        <v>7672.81</v>
      </c>
      <c r="X362" s="2">
        <v>104530</v>
      </c>
      <c r="Y362" s="2">
        <v>300952</v>
      </c>
      <c r="Z362" s="2">
        <v>0.2</v>
      </c>
      <c r="AA362" s="2">
        <v>0</v>
      </c>
      <c r="AB362" s="2">
        <v>238.9</v>
      </c>
    </row>
    <row r="363" spans="1:28" x14ac:dyDescent="0.3">
      <c r="A363" s="4">
        <v>46190</v>
      </c>
      <c r="B363" s="8" t="s">
        <v>68</v>
      </c>
      <c r="C363" s="8" t="s">
        <v>36</v>
      </c>
      <c r="D363" s="7" t="s">
        <v>48</v>
      </c>
      <c r="E363" s="7" t="s">
        <v>38</v>
      </c>
      <c r="F363" s="13">
        <v>2411</v>
      </c>
      <c r="G363" s="59"/>
      <c r="H363" s="6">
        <f>24000/5</f>
        <v>4800</v>
      </c>
      <c r="I363" s="6">
        <f t="shared" si="32"/>
        <v>380.39215686274508</v>
      </c>
      <c r="J363" s="2">
        <v>10.210000000000001</v>
      </c>
      <c r="K363" s="2">
        <v>8.16</v>
      </c>
      <c r="L363" s="2">
        <v>2.0499999999999998</v>
      </c>
      <c r="M363" s="2">
        <v>20.079999999999998</v>
      </c>
      <c r="N363" s="2">
        <v>803</v>
      </c>
      <c r="O363" s="77">
        <v>3104</v>
      </c>
      <c r="P363" s="2">
        <v>3.87</v>
      </c>
      <c r="Q363" s="2">
        <v>9.56</v>
      </c>
      <c r="R363" s="2">
        <v>324.60000000000002</v>
      </c>
      <c r="S363" s="2">
        <v>10.41</v>
      </c>
      <c r="T363" s="2">
        <v>5.08</v>
      </c>
      <c r="U363" s="2">
        <v>314.19</v>
      </c>
      <c r="V363" s="2">
        <v>38.5</v>
      </c>
      <c r="W363" s="2">
        <v>6410.46</v>
      </c>
      <c r="X363" s="2">
        <v>401735</v>
      </c>
      <c r="Y363" s="2">
        <v>1417613</v>
      </c>
      <c r="Z363" s="2">
        <v>0.2</v>
      </c>
      <c r="AA363" s="2">
        <v>0</v>
      </c>
      <c r="AB363" s="2">
        <v>46.8</v>
      </c>
    </row>
    <row r="364" spans="1:28" hidden="1" x14ac:dyDescent="0.3">
      <c r="A364" s="4">
        <v>46190</v>
      </c>
      <c r="B364" s="8" t="s">
        <v>68</v>
      </c>
      <c r="C364" s="8" t="s">
        <v>36</v>
      </c>
      <c r="D364" s="7" t="s">
        <v>49</v>
      </c>
      <c r="E364" s="7" t="s">
        <v>47</v>
      </c>
      <c r="F364" s="13"/>
      <c r="G364" s="59"/>
      <c r="H364" s="6">
        <v>3000</v>
      </c>
      <c r="I364" s="6">
        <f t="shared" si="32"/>
        <v>463.35403726708068</v>
      </c>
      <c r="J364" s="2">
        <v>8.9499999999999993</v>
      </c>
      <c r="K364" s="2">
        <v>8.0500000000000007</v>
      </c>
      <c r="L364" s="2">
        <v>0.9</v>
      </c>
      <c r="M364" s="2">
        <v>10.06</v>
      </c>
      <c r="N364" s="2">
        <v>1095</v>
      </c>
      <c r="O364" s="56">
        <v>3730</v>
      </c>
      <c r="P364" s="2">
        <v>3.41</v>
      </c>
      <c r="Q364" s="2">
        <v>10.95</v>
      </c>
      <c r="R364" s="2">
        <v>340.69</v>
      </c>
      <c r="S364" s="2">
        <v>4.26</v>
      </c>
      <c r="T364" s="2">
        <v>4.7300000000000004</v>
      </c>
      <c r="U364" s="2">
        <v>336.43</v>
      </c>
      <c r="V364" s="2">
        <v>41.8</v>
      </c>
      <c r="W364" s="2">
        <v>1746.12</v>
      </c>
      <c r="X364" s="2">
        <v>167976</v>
      </c>
      <c r="Y364" s="2">
        <v>576302</v>
      </c>
      <c r="Z364" s="2">
        <v>0</v>
      </c>
      <c r="AA364" s="2">
        <v>0</v>
      </c>
      <c r="AB364" s="2">
        <v>4.8</v>
      </c>
    </row>
    <row r="365" spans="1:28" hidden="1" x14ac:dyDescent="0.3">
      <c r="A365" s="14">
        <v>46190</v>
      </c>
      <c r="B365" s="14" t="s">
        <v>68</v>
      </c>
      <c r="C365" s="14" t="s">
        <v>36</v>
      </c>
      <c r="D365" s="42"/>
      <c r="E365" s="42" t="s">
        <v>47</v>
      </c>
      <c r="F365" s="43"/>
      <c r="G365" s="60"/>
      <c r="H365" s="44">
        <v>3000</v>
      </c>
      <c r="I365" s="44"/>
      <c r="J365" s="42"/>
      <c r="K365" s="42"/>
      <c r="L365" s="42"/>
      <c r="M365" s="42"/>
      <c r="N365" s="42"/>
      <c r="O365" s="60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spans="1:28" hidden="1" x14ac:dyDescent="0.3">
      <c r="A366" s="4">
        <v>46191</v>
      </c>
      <c r="B366" s="8" t="s">
        <v>55</v>
      </c>
      <c r="C366" s="8" t="s">
        <v>56</v>
      </c>
      <c r="D366" s="7" t="s">
        <v>43</v>
      </c>
      <c r="E366" s="7" t="s">
        <v>47</v>
      </c>
      <c r="F366" s="13"/>
      <c r="G366" s="13" t="s">
        <v>69</v>
      </c>
      <c r="H366" s="6"/>
      <c r="I366" s="6">
        <f t="shared" ref="I366:I372" si="33">IFERROR(O366/K366,)</f>
        <v>0</v>
      </c>
      <c r="J366" s="2">
        <v>0.52</v>
      </c>
      <c r="K366" s="2">
        <v>0.46</v>
      </c>
      <c r="L366" s="2">
        <v>0.05</v>
      </c>
      <c r="M366" s="2">
        <v>9.7100000000000009</v>
      </c>
      <c r="N366" s="2" t="s">
        <v>45</v>
      </c>
      <c r="O366" s="56">
        <v>0</v>
      </c>
      <c r="P366" s="2" t="s">
        <v>45</v>
      </c>
      <c r="Q366" s="2" t="s">
        <v>45</v>
      </c>
      <c r="R366" s="2">
        <v>8.0399999999999991</v>
      </c>
      <c r="S366" s="2">
        <v>0</v>
      </c>
      <c r="T366" s="2">
        <v>0</v>
      </c>
      <c r="U366" s="2">
        <v>8.0399999999999991</v>
      </c>
      <c r="V366" s="2">
        <v>17.3</v>
      </c>
      <c r="W366" s="2">
        <v>8647.81</v>
      </c>
      <c r="X366" s="2" t="s">
        <v>45</v>
      </c>
      <c r="Y366" s="2" t="s">
        <v>45</v>
      </c>
      <c r="Z366" s="2">
        <v>0.1</v>
      </c>
      <c r="AA366" s="2" t="s">
        <v>45</v>
      </c>
      <c r="AB366" s="2">
        <v>229.5</v>
      </c>
    </row>
    <row r="367" spans="1:28" hidden="1" x14ac:dyDescent="0.3">
      <c r="A367" s="4">
        <v>46191</v>
      </c>
      <c r="B367" s="8" t="s">
        <v>55</v>
      </c>
      <c r="C367" s="8" t="s">
        <v>56</v>
      </c>
      <c r="D367" s="7" t="s">
        <v>39</v>
      </c>
      <c r="E367" s="7" t="s">
        <v>40</v>
      </c>
      <c r="F367" s="13"/>
      <c r="G367" s="59" t="s">
        <v>53</v>
      </c>
      <c r="H367" s="6"/>
      <c r="I367" s="6">
        <f t="shared" si="33"/>
        <v>0</v>
      </c>
      <c r="J367" s="2">
        <v>7.0000000000000007E-2</v>
      </c>
      <c r="K367" s="2">
        <v>7.0000000000000007E-2</v>
      </c>
      <c r="L367" s="2">
        <v>0</v>
      </c>
      <c r="M367" s="2">
        <v>0</v>
      </c>
      <c r="N367" s="2">
        <v>0</v>
      </c>
      <c r="O367" s="56">
        <v>0</v>
      </c>
      <c r="P367" s="2" t="s">
        <v>45</v>
      </c>
      <c r="Q367" s="2" t="s">
        <v>45</v>
      </c>
      <c r="R367" s="2">
        <v>0</v>
      </c>
      <c r="S367" s="2">
        <v>0</v>
      </c>
      <c r="T367" s="2" t="s">
        <v>45</v>
      </c>
      <c r="U367" s="2">
        <v>0</v>
      </c>
      <c r="V367" s="2">
        <v>0</v>
      </c>
      <c r="W367" s="2">
        <v>9058.92</v>
      </c>
      <c r="X367" s="2">
        <v>72314</v>
      </c>
      <c r="Y367" s="2">
        <v>106544</v>
      </c>
      <c r="Z367" s="2">
        <v>0</v>
      </c>
      <c r="AA367" s="2" t="s">
        <v>45</v>
      </c>
      <c r="AB367" s="2">
        <v>283.39999999999998</v>
      </c>
    </row>
    <row r="368" spans="1:28" hidden="1" x14ac:dyDescent="0.3">
      <c r="A368" s="4">
        <v>46191</v>
      </c>
      <c r="B368" s="8" t="s">
        <v>68</v>
      </c>
      <c r="C368" s="8" t="s">
        <v>36</v>
      </c>
      <c r="D368" s="7" t="s">
        <v>50</v>
      </c>
      <c r="E368" s="7" t="s">
        <v>47</v>
      </c>
      <c r="F368" s="13"/>
      <c r="G368" s="59"/>
      <c r="H368" s="6">
        <v>3000</v>
      </c>
      <c r="I368" s="6">
        <f t="shared" si="33"/>
        <v>221.78770949720669</v>
      </c>
      <c r="J368" s="2">
        <v>8.4600000000000009</v>
      </c>
      <c r="K368" s="2">
        <v>7.16</v>
      </c>
      <c r="L368" s="2">
        <v>1.3</v>
      </c>
      <c r="M368" s="2">
        <v>15.37</v>
      </c>
      <c r="N368" s="2">
        <v>830</v>
      </c>
      <c r="O368" s="56">
        <v>1588</v>
      </c>
      <c r="P368" s="2">
        <v>1.91</v>
      </c>
      <c r="Q368" s="2">
        <v>10.14</v>
      </c>
      <c r="R368" s="2">
        <v>156.62</v>
      </c>
      <c r="S368" s="2">
        <v>4.7300000000000004</v>
      </c>
      <c r="T368" s="2">
        <v>3.64</v>
      </c>
      <c r="U368" s="2">
        <v>151.88999999999999</v>
      </c>
      <c r="V368" s="2">
        <v>21.21</v>
      </c>
      <c r="W368" s="2">
        <v>2221.66</v>
      </c>
      <c r="X368" s="2">
        <v>135874</v>
      </c>
      <c r="Y368" s="2">
        <v>254544</v>
      </c>
      <c r="Z368" s="2">
        <v>0.4</v>
      </c>
      <c r="AA368" s="2">
        <v>0</v>
      </c>
      <c r="AB368" s="2">
        <v>303.60000000000002</v>
      </c>
    </row>
    <row r="369" spans="1:28" hidden="1" x14ac:dyDescent="0.3">
      <c r="A369" s="4">
        <v>46191</v>
      </c>
      <c r="B369" s="8" t="s">
        <v>68</v>
      </c>
      <c r="C369" s="8" t="s">
        <v>36</v>
      </c>
      <c r="D369" s="7" t="s">
        <v>52</v>
      </c>
      <c r="E369" s="7" t="s">
        <v>47</v>
      </c>
      <c r="F369" s="13"/>
      <c r="G369" s="59"/>
      <c r="H369" s="6">
        <v>3000</v>
      </c>
      <c r="I369" s="6">
        <f t="shared" si="33"/>
        <v>330.68261787473608</v>
      </c>
      <c r="J369" s="2">
        <v>15.36</v>
      </c>
      <c r="K369" s="2">
        <v>14.21</v>
      </c>
      <c r="L369" s="2">
        <v>1.1499999999999999</v>
      </c>
      <c r="M369" s="2">
        <v>7.49</v>
      </c>
      <c r="N369" s="2">
        <v>1935</v>
      </c>
      <c r="O369" s="56">
        <v>4699</v>
      </c>
      <c r="P369" s="2">
        <v>2.4300000000000002</v>
      </c>
      <c r="Q369" s="2">
        <v>15.28</v>
      </c>
      <c r="R369" s="2">
        <v>307.56</v>
      </c>
      <c r="S369" s="2">
        <v>4.26</v>
      </c>
      <c r="T369" s="2">
        <v>3.7</v>
      </c>
      <c r="U369" s="2">
        <v>303.31</v>
      </c>
      <c r="V369" s="2">
        <v>21.34</v>
      </c>
      <c r="W369" s="2">
        <v>710.28</v>
      </c>
      <c r="X369" s="2">
        <v>70551</v>
      </c>
      <c r="Y369" s="2">
        <v>149230</v>
      </c>
      <c r="Z369" s="2">
        <v>2.2999999999999998</v>
      </c>
      <c r="AA369" s="2">
        <v>0</v>
      </c>
      <c r="AB369" s="2">
        <v>65.2</v>
      </c>
    </row>
    <row r="370" spans="1:28" hidden="1" x14ac:dyDescent="0.3">
      <c r="A370" s="4">
        <v>46191</v>
      </c>
      <c r="B370" s="8" t="s">
        <v>68</v>
      </c>
      <c r="C370" s="8" t="s">
        <v>36</v>
      </c>
      <c r="D370" s="7" t="s">
        <v>46</v>
      </c>
      <c r="E370" s="7" t="s">
        <v>47</v>
      </c>
      <c r="F370" s="13"/>
      <c r="G370" s="59"/>
      <c r="H370" s="6">
        <v>3000</v>
      </c>
      <c r="I370" s="6">
        <f t="shared" si="33"/>
        <v>191.6030534351145</v>
      </c>
      <c r="J370" s="2">
        <v>8.1</v>
      </c>
      <c r="K370" s="2">
        <v>6.55</v>
      </c>
      <c r="L370" s="2">
        <v>1.55</v>
      </c>
      <c r="M370" s="2">
        <v>19.14</v>
      </c>
      <c r="N370" s="2">
        <v>614</v>
      </c>
      <c r="O370" s="56">
        <v>1255</v>
      </c>
      <c r="P370" s="2">
        <v>2.04</v>
      </c>
      <c r="Q370" s="2">
        <v>5.96</v>
      </c>
      <c r="R370" s="2">
        <v>210.56</v>
      </c>
      <c r="S370" s="2">
        <v>7.57</v>
      </c>
      <c r="T370" s="2">
        <v>4.88</v>
      </c>
      <c r="U370" s="2">
        <v>202.99</v>
      </c>
      <c r="V370" s="2">
        <v>30.99</v>
      </c>
      <c r="W370" s="2">
        <v>7680.91</v>
      </c>
      <c r="X370" s="2">
        <v>105144</v>
      </c>
      <c r="Y370" s="2">
        <v>302207</v>
      </c>
      <c r="Z370" s="2">
        <v>0.1</v>
      </c>
      <c r="AA370" s="2">
        <v>0</v>
      </c>
      <c r="AB370" s="2">
        <v>239</v>
      </c>
    </row>
    <row r="371" spans="1:28" x14ac:dyDescent="0.3">
      <c r="A371" s="4">
        <v>46191</v>
      </c>
      <c r="B371" s="8" t="s">
        <v>68</v>
      </c>
      <c r="C371" s="8" t="s">
        <v>36</v>
      </c>
      <c r="D371" s="7" t="s">
        <v>48</v>
      </c>
      <c r="E371" s="7" t="s">
        <v>38</v>
      </c>
      <c r="F371" s="13">
        <v>818</v>
      </c>
      <c r="G371" s="59"/>
      <c r="H371" s="6">
        <f>24000/5</f>
        <v>4800</v>
      </c>
      <c r="I371" s="6">
        <f t="shared" si="33"/>
        <v>403.25581395348837</v>
      </c>
      <c r="J371" s="2">
        <v>2.6</v>
      </c>
      <c r="K371" s="2">
        <v>2.15</v>
      </c>
      <c r="L371" s="2">
        <v>0.45</v>
      </c>
      <c r="M371" s="2">
        <v>17.32</v>
      </c>
      <c r="N371" s="2">
        <v>208</v>
      </c>
      <c r="O371" s="77">
        <v>867</v>
      </c>
      <c r="P371" s="2">
        <v>4.17</v>
      </c>
      <c r="Q371" s="2">
        <v>10.91</v>
      </c>
      <c r="R371" s="2">
        <v>79.489999999999995</v>
      </c>
      <c r="S371" s="2">
        <v>2.84</v>
      </c>
      <c r="T371" s="2">
        <v>6.31</v>
      </c>
      <c r="U371" s="2">
        <v>76.650000000000006</v>
      </c>
      <c r="V371" s="2">
        <v>35.68</v>
      </c>
      <c r="W371" s="2">
        <v>6413.06</v>
      </c>
      <c r="X371" s="2">
        <v>401943</v>
      </c>
      <c r="Y371" s="2">
        <v>1418480</v>
      </c>
      <c r="Z371" s="2">
        <v>0.1</v>
      </c>
      <c r="AA371" s="2">
        <v>0</v>
      </c>
      <c r="AB371" s="2">
        <v>46.9</v>
      </c>
    </row>
    <row r="372" spans="1:28" hidden="1" x14ac:dyDescent="0.3">
      <c r="A372" s="4">
        <v>46191</v>
      </c>
      <c r="B372" s="8" t="s">
        <v>68</v>
      </c>
      <c r="C372" s="8" t="s">
        <v>36</v>
      </c>
      <c r="D372" s="7" t="s">
        <v>49</v>
      </c>
      <c r="E372" s="7" t="s">
        <v>47</v>
      </c>
      <c r="F372" s="13"/>
      <c r="G372" s="59"/>
      <c r="H372" s="6">
        <v>3000</v>
      </c>
      <c r="I372" s="6">
        <f t="shared" si="33"/>
        <v>424.90066225165566</v>
      </c>
      <c r="J372" s="2">
        <v>8.9</v>
      </c>
      <c r="K372" s="2">
        <v>7.55</v>
      </c>
      <c r="L372" s="2">
        <v>1.35</v>
      </c>
      <c r="M372" s="2">
        <v>15.16</v>
      </c>
      <c r="N372" s="2">
        <v>982</v>
      </c>
      <c r="O372" s="56">
        <v>3208</v>
      </c>
      <c r="P372" s="2">
        <v>3.27</v>
      </c>
      <c r="Q372" s="2">
        <v>10.51</v>
      </c>
      <c r="R372" s="2">
        <v>305.2</v>
      </c>
      <c r="S372" s="2">
        <v>7.1</v>
      </c>
      <c r="T372" s="2">
        <v>5.26</v>
      </c>
      <c r="U372" s="2">
        <v>298.10000000000002</v>
      </c>
      <c r="V372" s="2">
        <v>39.46</v>
      </c>
      <c r="W372" s="2">
        <v>1755.02</v>
      </c>
      <c r="X372" s="2">
        <v>168958</v>
      </c>
      <c r="Y372" s="2">
        <v>579510</v>
      </c>
      <c r="Z372" s="2">
        <v>0</v>
      </c>
      <c r="AA372" s="2">
        <v>0</v>
      </c>
      <c r="AB372" s="2">
        <v>4.8</v>
      </c>
    </row>
    <row r="373" spans="1:28" hidden="1" x14ac:dyDescent="0.3">
      <c r="A373" s="14">
        <v>46191</v>
      </c>
      <c r="B373" s="14" t="s">
        <v>68</v>
      </c>
      <c r="C373" s="14" t="s">
        <v>36</v>
      </c>
      <c r="D373" s="42"/>
      <c r="E373" s="42" t="s">
        <v>47</v>
      </c>
      <c r="F373" s="43"/>
      <c r="G373" s="60"/>
      <c r="H373" s="44">
        <v>3000</v>
      </c>
      <c r="I373" s="44"/>
      <c r="J373" s="42"/>
      <c r="K373" s="42"/>
      <c r="L373" s="42"/>
      <c r="M373" s="42"/>
      <c r="N373" s="42"/>
      <c r="O373" s="60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spans="1:28" hidden="1" x14ac:dyDescent="0.3">
      <c r="A374" s="4">
        <v>46192</v>
      </c>
      <c r="B374" s="8" t="s">
        <v>55</v>
      </c>
      <c r="C374" s="8" t="s">
        <v>56</v>
      </c>
      <c r="D374" s="7" t="s">
        <v>39</v>
      </c>
      <c r="E374" s="7" t="s">
        <v>40</v>
      </c>
      <c r="F374" s="13"/>
      <c r="G374" s="59" t="s">
        <v>53</v>
      </c>
      <c r="H374" s="6"/>
      <c r="I374" s="6">
        <f t="shared" ref="I374:I409" si="34">IFERROR(O374/K374,)</f>
        <v>0</v>
      </c>
      <c r="J374" s="2">
        <v>1.29</v>
      </c>
      <c r="K374" s="2">
        <v>0.34</v>
      </c>
      <c r="L374" s="2">
        <v>0.95</v>
      </c>
      <c r="M374" s="2">
        <v>73.47</v>
      </c>
      <c r="N374" s="2">
        <v>1</v>
      </c>
      <c r="O374" s="56">
        <v>0</v>
      </c>
      <c r="P374" s="2">
        <v>0</v>
      </c>
      <c r="Q374" s="2">
        <v>0</v>
      </c>
      <c r="R374" s="2">
        <v>8.99</v>
      </c>
      <c r="S374" s="2">
        <v>4.26</v>
      </c>
      <c r="T374" s="2">
        <v>4.4800000000000004</v>
      </c>
      <c r="U374" s="2">
        <v>4.7300000000000004</v>
      </c>
      <c r="V374" s="2">
        <v>13.79</v>
      </c>
      <c r="W374" s="2">
        <v>9060.2099999999991</v>
      </c>
      <c r="X374" s="2">
        <v>72315</v>
      </c>
      <c r="Y374" s="2">
        <v>106544</v>
      </c>
      <c r="Z374" s="2">
        <v>0</v>
      </c>
      <c r="AA374" s="2">
        <v>0</v>
      </c>
      <c r="AB374" s="2">
        <v>283.39999999999998</v>
      </c>
    </row>
    <row r="375" spans="1:28" hidden="1" x14ac:dyDescent="0.3">
      <c r="A375" s="4">
        <v>46192</v>
      </c>
      <c r="B375" s="8" t="s">
        <v>68</v>
      </c>
      <c r="C375" s="8" t="s">
        <v>36</v>
      </c>
      <c r="D375" s="7" t="s">
        <v>43</v>
      </c>
      <c r="E375" s="7" t="s">
        <v>47</v>
      </c>
      <c r="F375" s="13"/>
      <c r="G375" s="13"/>
      <c r="H375" s="6">
        <v>3000</v>
      </c>
      <c r="I375" s="6">
        <f t="shared" si="34"/>
        <v>498.26689774696712</v>
      </c>
      <c r="J375" s="2">
        <v>7.47</v>
      </c>
      <c r="K375" s="2">
        <v>5.77</v>
      </c>
      <c r="L375" s="2">
        <v>1.7</v>
      </c>
      <c r="M375" s="2">
        <v>22.75</v>
      </c>
      <c r="N375" s="2" t="s">
        <v>45</v>
      </c>
      <c r="O375" s="56">
        <v>2875</v>
      </c>
      <c r="P375" s="2" t="s">
        <v>45</v>
      </c>
      <c r="Q375" s="2" t="s">
        <v>45</v>
      </c>
      <c r="R375" s="2">
        <v>130.12</v>
      </c>
      <c r="S375" s="2">
        <v>6.62</v>
      </c>
      <c r="T375" s="2">
        <v>3.9</v>
      </c>
      <c r="U375" s="2">
        <v>123.5</v>
      </c>
      <c r="V375" s="2">
        <v>21.39</v>
      </c>
      <c r="W375" s="2">
        <v>8655.2900000000009</v>
      </c>
      <c r="X375" s="2" t="s">
        <v>45</v>
      </c>
      <c r="Y375" s="2" t="s">
        <v>45</v>
      </c>
      <c r="Z375" s="2">
        <v>0</v>
      </c>
      <c r="AA375" s="2" t="s">
        <v>45</v>
      </c>
      <c r="AB375" s="2">
        <v>229.5</v>
      </c>
    </row>
    <row r="376" spans="1:28" hidden="1" x14ac:dyDescent="0.3">
      <c r="A376" s="4">
        <v>46192</v>
      </c>
      <c r="B376" s="8" t="s">
        <v>68</v>
      </c>
      <c r="C376" s="8" t="s">
        <v>36</v>
      </c>
      <c r="D376" s="7" t="s">
        <v>50</v>
      </c>
      <c r="E376" s="7" t="s">
        <v>47</v>
      </c>
      <c r="F376" s="13"/>
      <c r="G376" s="59"/>
      <c r="H376" s="6">
        <v>3000</v>
      </c>
      <c r="I376" s="6">
        <f t="shared" si="34"/>
        <v>275.17241379310343</v>
      </c>
      <c r="J376" s="2">
        <v>8.0500000000000007</v>
      </c>
      <c r="K376" s="2">
        <v>5.8</v>
      </c>
      <c r="L376" s="2">
        <v>2.25</v>
      </c>
      <c r="M376" s="2">
        <v>27.94</v>
      </c>
      <c r="N376" s="2">
        <v>828</v>
      </c>
      <c r="O376" s="56">
        <v>1596</v>
      </c>
      <c r="P376" s="2">
        <v>1.93</v>
      </c>
      <c r="Q376" s="2">
        <v>12.09</v>
      </c>
      <c r="R376" s="2">
        <v>132.02000000000001</v>
      </c>
      <c r="S376" s="2">
        <v>8.52</v>
      </c>
      <c r="T376" s="2">
        <v>3.79</v>
      </c>
      <c r="U376" s="2">
        <v>123.5</v>
      </c>
      <c r="V376" s="2">
        <v>21.28</v>
      </c>
      <c r="W376" s="2">
        <v>2229.71</v>
      </c>
      <c r="X376" s="2">
        <v>136702</v>
      </c>
      <c r="Y376" s="2">
        <v>256140</v>
      </c>
      <c r="Z376" s="2">
        <v>0.4</v>
      </c>
      <c r="AA376" s="2">
        <v>0</v>
      </c>
      <c r="AB376" s="2">
        <v>304</v>
      </c>
    </row>
    <row r="377" spans="1:28" hidden="1" x14ac:dyDescent="0.3">
      <c r="A377" s="4">
        <v>46192</v>
      </c>
      <c r="B377" s="8" t="s">
        <v>68</v>
      </c>
      <c r="C377" s="8" t="s">
        <v>36</v>
      </c>
      <c r="D377" s="7" t="s">
        <v>52</v>
      </c>
      <c r="E377" s="7" t="s">
        <v>47</v>
      </c>
      <c r="F377" s="13"/>
      <c r="G377" s="59"/>
      <c r="H377" s="6">
        <v>3000</v>
      </c>
      <c r="I377" s="6">
        <f t="shared" si="34"/>
        <v>267.27664155005385</v>
      </c>
      <c r="J377" s="2">
        <v>10.24</v>
      </c>
      <c r="K377" s="2">
        <v>9.2899999999999991</v>
      </c>
      <c r="L377" s="2">
        <v>0.95</v>
      </c>
      <c r="M377" s="2">
        <v>9.27</v>
      </c>
      <c r="N377" s="2">
        <v>1084</v>
      </c>
      <c r="O377" s="56">
        <v>2483</v>
      </c>
      <c r="P377" s="2">
        <v>2.29</v>
      </c>
      <c r="Q377" s="2">
        <v>12.26</v>
      </c>
      <c r="R377" s="2">
        <v>202.52</v>
      </c>
      <c r="S377" s="2">
        <v>3.79</v>
      </c>
      <c r="T377" s="2">
        <v>3.98</v>
      </c>
      <c r="U377" s="2">
        <v>198.73</v>
      </c>
      <c r="V377" s="2">
        <v>21.38</v>
      </c>
      <c r="W377" s="2">
        <v>720.52</v>
      </c>
      <c r="X377" s="2">
        <v>71635</v>
      </c>
      <c r="Y377" s="2">
        <v>151713</v>
      </c>
      <c r="Z377" s="2">
        <v>1.5</v>
      </c>
      <c r="AA377" s="2">
        <v>0</v>
      </c>
      <c r="AB377" s="2">
        <v>66.7</v>
      </c>
    </row>
    <row r="378" spans="1:28" x14ac:dyDescent="0.3">
      <c r="A378" s="4">
        <v>46192</v>
      </c>
      <c r="B378" s="8" t="s">
        <v>68</v>
      </c>
      <c r="C378" s="8" t="s">
        <v>36</v>
      </c>
      <c r="D378" s="7" t="s">
        <v>48</v>
      </c>
      <c r="E378" s="7" t="s">
        <v>38</v>
      </c>
      <c r="F378" s="13">
        <v>2398</v>
      </c>
      <c r="G378" s="59"/>
      <c r="H378" s="6">
        <f>24000/5</f>
        <v>4800</v>
      </c>
      <c r="I378" s="6">
        <f t="shared" si="34"/>
        <v>366.8348045397226</v>
      </c>
      <c r="J378" s="2">
        <v>8.68</v>
      </c>
      <c r="K378" s="2">
        <v>7.93</v>
      </c>
      <c r="L378" s="2">
        <v>0.75</v>
      </c>
      <c r="M378" s="2">
        <v>8.64</v>
      </c>
      <c r="N378" s="2">
        <v>723</v>
      </c>
      <c r="O378" s="77">
        <v>2909</v>
      </c>
      <c r="P378" s="2">
        <v>4.0199999999999996</v>
      </c>
      <c r="Q378" s="2">
        <v>9.18</v>
      </c>
      <c r="R378" s="2">
        <v>317.02999999999997</v>
      </c>
      <c r="S378" s="2">
        <v>4.7300000000000004</v>
      </c>
      <c r="T378" s="2">
        <v>6.31</v>
      </c>
      <c r="U378" s="2">
        <v>312.3</v>
      </c>
      <c r="V378" s="2">
        <v>39.4</v>
      </c>
      <c r="W378" s="2">
        <v>6421.74</v>
      </c>
      <c r="X378" s="2">
        <v>402666</v>
      </c>
      <c r="Y378" s="2">
        <v>1421389</v>
      </c>
      <c r="Z378" s="2">
        <v>0.1</v>
      </c>
      <c r="AA378" s="2">
        <v>0</v>
      </c>
      <c r="AB378" s="2">
        <v>47</v>
      </c>
    </row>
    <row r="379" spans="1:28" hidden="1" x14ac:dyDescent="0.3">
      <c r="A379" s="4">
        <v>46192</v>
      </c>
      <c r="B379" s="8" t="s">
        <v>68</v>
      </c>
      <c r="C379" s="8" t="s">
        <v>36</v>
      </c>
      <c r="D379" s="7" t="s">
        <v>46</v>
      </c>
      <c r="E379" s="7" t="s">
        <v>47</v>
      </c>
      <c r="F379" s="13"/>
      <c r="G379" s="59"/>
      <c r="H379" s="6">
        <v>3000</v>
      </c>
      <c r="I379" s="6">
        <f t="shared" si="34"/>
        <v>326.65549036043586</v>
      </c>
      <c r="J379" s="2">
        <v>13.78</v>
      </c>
      <c r="K379" s="2">
        <v>11.93</v>
      </c>
      <c r="L379" s="2">
        <v>1.85</v>
      </c>
      <c r="M379" s="2">
        <v>13.42</v>
      </c>
      <c r="N379" s="2">
        <v>1264</v>
      </c>
      <c r="O379" s="56">
        <v>3897</v>
      </c>
      <c r="P379" s="2">
        <v>3.08</v>
      </c>
      <c r="Q379" s="2">
        <v>10.33</v>
      </c>
      <c r="R379" s="2">
        <v>377.12</v>
      </c>
      <c r="S379" s="2">
        <v>10.41</v>
      </c>
      <c r="T379" s="2">
        <v>5.63</v>
      </c>
      <c r="U379" s="2">
        <v>366.71</v>
      </c>
      <c r="V379" s="2">
        <v>30.74</v>
      </c>
      <c r="W379" s="2">
        <v>7694.69</v>
      </c>
      <c r="X379" s="2">
        <v>106408</v>
      </c>
      <c r="Y379" s="2">
        <v>306104</v>
      </c>
      <c r="Z379" s="2">
        <v>0.2</v>
      </c>
      <c r="AA379" s="2">
        <v>0</v>
      </c>
      <c r="AB379" s="2">
        <v>239.2</v>
      </c>
    </row>
    <row r="380" spans="1:28" hidden="1" x14ac:dyDescent="0.3">
      <c r="A380" s="4">
        <v>46192</v>
      </c>
      <c r="B380" s="8" t="s">
        <v>68</v>
      </c>
      <c r="C380" s="8" t="s">
        <v>36</v>
      </c>
      <c r="D380" s="7" t="s">
        <v>49</v>
      </c>
      <c r="E380" s="7" t="s">
        <v>47</v>
      </c>
      <c r="F380" s="13"/>
      <c r="G380" s="59"/>
      <c r="H380" s="6">
        <v>3000</v>
      </c>
      <c r="I380" s="6">
        <f t="shared" si="34"/>
        <v>356.64819944598338</v>
      </c>
      <c r="J380" s="2">
        <v>8.07</v>
      </c>
      <c r="K380" s="2">
        <v>7.22</v>
      </c>
      <c r="L380" s="2">
        <v>0.85</v>
      </c>
      <c r="M380" s="2">
        <v>10.54</v>
      </c>
      <c r="N380" s="2">
        <v>825</v>
      </c>
      <c r="O380" s="56">
        <v>2575</v>
      </c>
      <c r="P380" s="2">
        <v>3.12</v>
      </c>
      <c r="Q380" s="2">
        <v>10.99</v>
      </c>
      <c r="R380" s="2">
        <v>234.22</v>
      </c>
      <c r="S380" s="2">
        <v>3.79</v>
      </c>
      <c r="T380" s="2">
        <v>4.45</v>
      </c>
      <c r="U380" s="2">
        <v>230.44</v>
      </c>
      <c r="V380" s="2">
        <v>31.92</v>
      </c>
      <c r="W380" s="2">
        <v>1763.09</v>
      </c>
      <c r="X380" s="2">
        <v>169783</v>
      </c>
      <c r="Y380" s="2">
        <v>582085</v>
      </c>
      <c r="Z380" s="2">
        <v>0</v>
      </c>
      <c r="AA380" s="2">
        <v>0</v>
      </c>
      <c r="AB380" s="2">
        <v>4.8</v>
      </c>
    </row>
    <row r="381" spans="1:28" hidden="1" x14ac:dyDescent="0.3">
      <c r="A381" s="4">
        <v>46193</v>
      </c>
      <c r="B381" s="8" t="s">
        <v>55</v>
      </c>
      <c r="C381" s="8" t="s">
        <v>56</v>
      </c>
      <c r="D381" s="7" t="s">
        <v>43</v>
      </c>
      <c r="E381" s="7" t="s">
        <v>47</v>
      </c>
      <c r="F381" s="13"/>
      <c r="G381" s="13" t="s">
        <v>69</v>
      </c>
      <c r="H381" s="6"/>
      <c r="I381" s="6">
        <f t="shared" si="34"/>
        <v>0</v>
      </c>
      <c r="J381" s="2" t="s">
        <v>45</v>
      </c>
      <c r="K381" s="2" t="s">
        <v>45</v>
      </c>
      <c r="L381" s="2" t="s">
        <v>45</v>
      </c>
      <c r="M381" s="2" t="s">
        <v>45</v>
      </c>
      <c r="N381" s="2" t="s">
        <v>45</v>
      </c>
      <c r="O381" s="56">
        <v>0</v>
      </c>
      <c r="P381" s="2" t="s">
        <v>45</v>
      </c>
      <c r="Q381" s="2" t="s">
        <v>45</v>
      </c>
      <c r="R381" s="2" t="s">
        <v>45</v>
      </c>
      <c r="S381" s="2" t="s">
        <v>45</v>
      </c>
      <c r="T381" s="2" t="s">
        <v>45</v>
      </c>
      <c r="U381" s="2" t="s">
        <v>45</v>
      </c>
      <c r="V381" s="2" t="s">
        <v>45</v>
      </c>
      <c r="W381" s="2" t="s">
        <v>45</v>
      </c>
      <c r="X381" s="2" t="s">
        <v>45</v>
      </c>
      <c r="Y381" s="2" t="s">
        <v>45</v>
      </c>
      <c r="Z381" s="2" t="s">
        <v>45</v>
      </c>
      <c r="AA381" s="2" t="s">
        <v>45</v>
      </c>
      <c r="AB381" s="2" t="s">
        <v>45</v>
      </c>
    </row>
    <row r="382" spans="1:28" hidden="1" x14ac:dyDescent="0.3">
      <c r="A382" s="4">
        <v>46193</v>
      </c>
      <c r="B382" s="8" t="s">
        <v>55</v>
      </c>
      <c r="C382" s="8" t="s">
        <v>56</v>
      </c>
      <c r="D382" s="7" t="s">
        <v>39</v>
      </c>
      <c r="E382" s="7" t="s">
        <v>40</v>
      </c>
      <c r="F382" s="13"/>
      <c r="G382" s="59" t="s">
        <v>53</v>
      </c>
      <c r="H382" s="6"/>
      <c r="I382" s="6">
        <f t="shared" si="34"/>
        <v>0</v>
      </c>
      <c r="J382" s="2">
        <v>0.74</v>
      </c>
      <c r="K382" s="2">
        <v>0.04</v>
      </c>
      <c r="L382" s="2">
        <v>0.7</v>
      </c>
      <c r="M382" s="2">
        <v>94.67</v>
      </c>
      <c r="N382" s="2">
        <v>0</v>
      </c>
      <c r="O382" s="56">
        <v>0</v>
      </c>
      <c r="P382" s="2" t="s">
        <v>45</v>
      </c>
      <c r="Q382" s="2">
        <v>0</v>
      </c>
      <c r="R382" s="2">
        <v>2.37</v>
      </c>
      <c r="S382" s="2">
        <v>2.37</v>
      </c>
      <c r="T382" s="2">
        <v>3.38</v>
      </c>
      <c r="U382" s="2" t="s">
        <v>45</v>
      </c>
      <c r="V382" s="2" t="s">
        <v>45</v>
      </c>
      <c r="W382" s="2">
        <v>9060.9500000000007</v>
      </c>
      <c r="X382" s="2">
        <v>72315</v>
      </c>
      <c r="Y382" s="2">
        <v>106544</v>
      </c>
      <c r="Z382" s="2">
        <v>0</v>
      </c>
      <c r="AA382" s="2" t="s">
        <v>45</v>
      </c>
      <c r="AB382" s="2">
        <v>283.39999999999998</v>
      </c>
    </row>
    <row r="383" spans="1:28" hidden="1" x14ac:dyDescent="0.3">
      <c r="A383" s="4">
        <v>46193</v>
      </c>
      <c r="B383" s="8" t="s">
        <v>68</v>
      </c>
      <c r="C383" s="8" t="s">
        <v>36</v>
      </c>
      <c r="D383" s="7" t="s">
        <v>50</v>
      </c>
      <c r="E383" s="7" t="s">
        <v>47</v>
      </c>
      <c r="F383" s="13"/>
      <c r="G383" s="59"/>
      <c r="H383" s="6">
        <v>3000</v>
      </c>
      <c r="I383" s="6">
        <f t="shared" si="34"/>
        <v>79.310344827586206</v>
      </c>
      <c r="J383" s="2">
        <v>6.05</v>
      </c>
      <c r="K383" s="2">
        <v>4.3499999999999996</v>
      </c>
      <c r="L383" s="2">
        <v>1.7</v>
      </c>
      <c r="M383" s="2">
        <v>28.08</v>
      </c>
      <c r="N383" s="2">
        <v>161</v>
      </c>
      <c r="O383" s="56">
        <v>345</v>
      </c>
      <c r="P383" s="2">
        <v>2.14</v>
      </c>
      <c r="Q383" s="2">
        <v>3.78</v>
      </c>
      <c r="R383" s="2">
        <v>91.32</v>
      </c>
      <c r="S383" s="2">
        <v>7.1</v>
      </c>
      <c r="T383" s="2">
        <v>4.18</v>
      </c>
      <c r="U383" s="2">
        <v>84.23</v>
      </c>
      <c r="V383" s="2">
        <v>19.34</v>
      </c>
      <c r="W383" s="2">
        <v>2235.77</v>
      </c>
      <c r="X383" s="2">
        <v>136863</v>
      </c>
      <c r="Y383" s="2">
        <v>256485</v>
      </c>
      <c r="Z383" s="2">
        <v>1.5</v>
      </c>
      <c r="AA383" s="2">
        <v>0.01</v>
      </c>
      <c r="AB383" s="2">
        <v>305.5</v>
      </c>
    </row>
    <row r="384" spans="1:28" hidden="1" x14ac:dyDescent="0.3">
      <c r="A384" s="4">
        <v>46193</v>
      </c>
      <c r="B384" s="8" t="s">
        <v>68</v>
      </c>
      <c r="C384" s="8" t="s">
        <v>36</v>
      </c>
      <c r="D384" s="7" t="s">
        <v>52</v>
      </c>
      <c r="E384" s="7" t="s">
        <v>47</v>
      </c>
      <c r="F384" s="13"/>
      <c r="G384" s="59"/>
      <c r="H384" s="6">
        <v>3000</v>
      </c>
      <c r="I384" s="6">
        <f t="shared" si="34"/>
        <v>109.09090909090908</v>
      </c>
      <c r="J384" s="2">
        <v>6.04</v>
      </c>
      <c r="K384" s="2">
        <v>3.74</v>
      </c>
      <c r="L384" s="2">
        <v>2.2999999999999998</v>
      </c>
      <c r="M384" s="2">
        <v>38.06</v>
      </c>
      <c r="N384" s="2">
        <v>248</v>
      </c>
      <c r="O384" s="56">
        <v>408</v>
      </c>
      <c r="P384" s="2">
        <v>1.65</v>
      </c>
      <c r="Q384" s="2">
        <v>5.29</v>
      </c>
      <c r="R384" s="2">
        <v>77.13</v>
      </c>
      <c r="S384" s="2">
        <v>8.52</v>
      </c>
      <c r="T384" s="2">
        <v>3.7</v>
      </c>
      <c r="U384" s="2">
        <v>68.61</v>
      </c>
      <c r="V384" s="2">
        <v>18.329999999999998</v>
      </c>
      <c r="W384" s="2">
        <v>726.56</v>
      </c>
      <c r="X384" s="2">
        <v>71883</v>
      </c>
      <c r="Y384" s="2">
        <v>152121</v>
      </c>
      <c r="Z384" s="2">
        <v>1.9</v>
      </c>
      <c r="AA384" s="2">
        <v>0.01</v>
      </c>
      <c r="AB384" s="2">
        <v>68.599999999999994</v>
      </c>
    </row>
    <row r="385" spans="1:28" x14ac:dyDescent="0.3">
      <c r="A385" s="4">
        <v>46193</v>
      </c>
      <c r="B385" s="8" t="s">
        <v>55</v>
      </c>
      <c r="C385" s="8" t="s">
        <v>36</v>
      </c>
      <c r="D385" s="7" t="s">
        <v>48</v>
      </c>
      <c r="E385" s="7" t="s">
        <v>38</v>
      </c>
      <c r="F385" s="13">
        <v>0</v>
      </c>
      <c r="G385" s="59"/>
      <c r="H385" s="6"/>
      <c r="I385" s="6">
        <f t="shared" si="34"/>
        <v>0</v>
      </c>
      <c r="J385" s="2">
        <v>0</v>
      </c>
      <c r="K385" s="2">
        <v>0</v>
      </c>
      <c r="L385" s="2">
        <v>0</v>
      </c>
      <c r="M385" s="2" t="s">
        <v>45</v>
      </c>
      <c r="N385" s="2">
        <v>0</v>
      </c>
      <c r="O385" s="77">
        <v>0</v>
      </c>
      <c r="P385" s="2" t="s">
        <v>45</v>
      </c>
      <c r="Q385" s="2" t="s">
        <v>45</v>
      </c>
      <c r="R385" s="2">
        <v>0</v>
      </c>
      <c r="S385" s="2">
        <v>0</v>
      </c>
      <c r="T385" s="2" t="s">
        <v>45</v>
      </c>
      <c r="U385" s="2">
        <v>0</v>
      </c>
      <c r="V385" s="2" t="s">
        <v>45</v>
      </c>
      <c r="W385" s="2">
        <v>6421.74</v>
      </c>
      <c r="X385" s="2">
        <v>402666</v>
      </c>
      <c r="Y385" s="2">
        <v>1421389</v>
      </c>
      <c r="Z385" s="2">
        <v>0</v>
      </c>
      <c r="AA385" s="2" t="s">
        <v>45</v>
      </c>
      <c r="AB385" s="2">
        <v>47</v>
      </c>
    </row>
    <row r="386" spans="1:28" hidden="1" x14ac:dyDescent="0.3">
      <c r="A386" s="4">
        <v>46193</v>
      </c>
      <c r="B386" s="8" t="s">
        <v>68</v>
      </c>
      <c r="C386" s="8" t="s">
        <v>36</v>
      </c>
      <c r="D386" s="7" t="s">
        <v>46</v>
      </c>
      <c r="E386" s="7" t="s">
        <v>47</v>
      </c>
      <c r="F386" s="13"/>
      <c r="G386" s="59"/>
      <c r="H386" s="6">
        <v>3000</v>
      </c>
      <c r="I386" s="6">
        <f t="shared" si="34"/>
        <v>236.86131386861311</v>
      </c>
      <c r="J386" s="2">
        <v>6.83</v>
      </c>
      <c r="K386" s="2">
        <v>5.48</v>
      </c>
      <c r="L386" s="2">
        <v>1.35</v>
      </c>
      <c r="M386" s="2">
        <v>19.77</v>
      </c>
      <c r="N386" s="2">
        <v>478</v>
      </c>
      <c r="O386" s="56">
        <v>1298</v>
      </c>
      <c r="P386" s="2">
        <v>2.72</v>
      </c>
      <c r="Q386" s="2">
        <v>7.22</v>
      </c>
      <c r="R386" s="2">
        <v>179.81</v>
      </c>
      <c r="S386" s="2">
        <v>7.1</v>
      </c>
      <c r="T386" s="2">
        <v>5.26</v>
      </c>
      <c r="U386" s="2">
        <v>172.71</v>
      </c>
      <c r="V386" s="2">
        <v>31.53</v>
      </c>
      <c r="W386" s="2">
        <v>7701.52</v>
      </c>
      <c r="X386" s="2">
        <v>106886</v>
      </c>
      <c r="Y386" s="2">
        <v>307402</v>
      </c>
      <c r="Z386" s="2">
        <v>0.2</v>
      </c>
      <c r="AA386" s="2">
        <v>0</v>
      </c>
      <c r="AB386" s="2">
        <v>239.4</v>
      </c>
    </row>
    <row r="387" spans="1:28" hidden="1" x14ac:dyDescent="0.3">
      <c r="A387" s="4">
        <v>46193</v>
      </c>
      <c r="B387" s="8" t="s">
        <v>55</v>
      </c>
      <c r="C387" s="8" t="s">
        <v>56</v>
      </c>
      <c r="D387" s="7" t="s">
        <v>49</v>
      </c>
      <c r="E387" s="7" t="s">
        <v>47</v>
      </c>
      <c r="F387" s="13"/>
      <c r="G387" s="59" t="s">
        <v>70</v>
      </c>
      <c r="H387" s="6">
        <v>3000</v>
      </c>
      <c r="I387" s="6">
        <f t="shared" si="34"/>
        <v>0</v>
      </c>
      <c r="J387" s="2" t="s">
        <v>45</v>
      </c>
      <c r="K387" s="2" t="s">
        <v>45</v>
      </c>
      <c r="L387" s="2" t="s">
        <v>45</v>
      </c>
      <c r="M387" s="2" t="s">
        <v>45</v>
      </c>
      <c r="N387" s="2" t="s">
        <v>45</v>
      </c>
      <c r="O387" s="56" t="s">
        <v>45</v>
      </c>
      <c r="P387" s="2" t="s">
        <v>45</v>
      </c>
      <c r="Q387" s="2" t="s">
        <v>45</v>
      </c>
      <c r="R387" s="2" t="s">
        <v>45</v>
      </c>
      <c r="S387" s="2" t="s">
        <v>45</v>
      </c>
      <c r="T387" s="2" t="s">
        <v>45</v>
      </c>
      <c r="U387" s="2" t="s">
        <v>45</v>
      </c>
      <c r="V387" s="2" t="s">
        <v>45</v>
      </c>
      <c r="W387" s="2" t="s">
        <v>45</v>
      </c>
      <c r="X387" s="2" t="s">
        <v>45</v>
      </c>
      <c r="Y387" s="2" t="s">
        <v>45</v>
      </c>
      <c r="Z387" s="2" t="s">
        <v>45</v>
      </c>
      <c r="AA387" s="2" t="s">
        <v>45</v>
      </c>
      <c r="AB387" s="2" t="s">
        <v>45</v>
      </c>
    </row>
    <row r="388" spans="1:28" hidden="1" x14ac:dyDescent="0.3">
      <c r="A388" s="14">
        <v>46193</v>
      </c>
      <c r="B388" s="14" t="s">
        <v>68</v>
      </c>
      <c r="C388" s="14" t="s">
        <v>36</v>
      </c>
      <c r="D388" s="42"/>
      <c r="E388" s="42" t="s">
        <v>47</v>
      </c>
      <c r="F388" s="43"/>
      <c r="G388" s="60"/>
      <c r="H388" s="44">
        <v>6000</v>
      </c>
      <c r="I388" s="6">
        <f t="shared" si="34"/>
        <v>0</v>
      </c>
      <c r="J388" s="42"/>
      <c r="K388" s="42"/>
      <c r="L388" s="42"/>
      <c r="M388" s="42"/>
      <c r="N388" s="42"/>
      <c r="O388" s="60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spans="1:28" hidden="1" x14ac:dyDescent="0.3">
      <c r="A389" s="4">
        <v>46194</v>
      </c>
      <c r="B389" s="8" t="s">
        <v>55</v>
      </c>
      <c r="C389" s="8" t="s">
        <v>56</v>
      </c>
      <c r="D389" s="7" t="s">
        <v>43</v>
      </c>
      <c r="E389" s="7" t="s">
        <v>47</v>
      </c>
      <c r="F389" s="13"/>
      <c r="G389" s="13" t="s">
        <v>69</v>
      </c>
      <c r="H389" s="6"/>
      <c r="I389" s="6">
        <f t="shared" si="34"/>
        <v>0</v>
      </c>
      <c r="J389" s="2" t="s">
        <v>45</v>
      </c>
      <c r="K389" s="2" t="s">
        <v>45</v>
      </c>
      <c r="L389" s="2" t="s">
        <v>45</v>
      </c>
      <c r="M389" s="2" t="s">
        <v>45</v>
      </c>
      <c r="N389" s="2" t="s">
        <v>45</v>
      </c>
      <c r="O389" s="56">
        <v>0</v>
      </c>
      <c r="P389" s="2" t="s">
        <v>45</v>
      </c>
      <c r="Q389" s="2" t="s">
        <v>45</v>
      </c>
      <c r="R389" s="2" t="s">
        <v>45</v>
      </c>
      <c r="S389" s="2" t="s">
        <v>45</v>
      </c>
      <c r="T389" s="2" t="s">
        <v>45</v>
      </c>
      <c r="U389" s="2" t="s">
        <v>45</v>
      </c>
      <c r="V389" s="2" t="s">
        <v>45</v>
      </c>
      <c r="W389" s="2" t="s">
        <v>45</v>
      </c>
      <c r="X389" s="2" t="s">
        <v>45</v>
      </c>
      <c r="Y389" s="2" t="s">
        <v>45</v>
      </c>
      <c r="Z389" s="2" t="s">
        <v>45</v>
      </c>
      <c r="AA389" s="2" t="s">
        <v>45</v>
      </c>
      <c r="AB389" s="2" t="s">
        <v>45</v>
      </c>
    </row>
    <row r="390" spans="1:28" hidden="1" x14ac:dyDescent="0.3">
      <c r="A390" s="4">
        <v>46194</v>
      </c>
      <c r="B390" s="8" t="s">
        <v>55</v>
      </c>
      <c r="C390" s="8" t="s">
        <v>56</v>
      </c>
      <c r="D390" s="7" t="s">
        <v>39</v>
      </c>
      <c r="E390" s="7" t="s">
        <v>40</v>
      </c>
      <c r="F390" s="13"/>
      <c r="G390" s="59" t="s">
        <v>53</v>
      </c>
      <c r="H390" s="6"/>
      <c r="I390" s="6">
        <f t="shared" si="34"/>
        <v>0</v>
      </c>
      <c r="J390" s="2">
        <v>0</v>
      </c>
      <c r="K390" s="2">
        <v>0</v>
      </c>
      <c r="L390" s="2">
        <v>0</v>
      </c>
      <c r="M390" s="2" t="s">
        <v>45</v>
      </c>
      <c r="N390" s="2">
        <v>0</v>
      </c>
      <c r="O390" s="56">
        <v>0</v>
      </c>
      <c r="P390" s="2" t="s">
        <v>45</v>
      </c>
      <c r="Q390" s="2" t="s">
        <v>45</v>
      </c>
      <c r="R390" s="2">
        <v>0</v>
      </c>
      <c r="S390" s="2">
        <v>0</v>
      </c>
      <c r="T390" s="2" t="s">
        <v>45</v>
      </c>
      <c r="U390" s="2">
        <v>0</v>
      </c>
      <c r="V390" s="2" t="s">
        <v>45</v>
      </c>
      <c r="W390" s="2">
        <v>9060.9500000000007</v>
      </c>
      <c r="X390" s="2">
        <v>72315</v>
      </c>
      <c r="Y390" s="2">
        <v>106544</v>
      </c>
      <c r="Z390" s="2">
        <v>0</v>
      </c>
      <c r="AA390" s="2" t="s">
        <v>45</v>
      </c>
      <c r="AB390" s="2">
        <v>283.39999999999998</v>
      </c>
    </row>
    <row r="391" spans="1:28" hidden="1" x14ac:dyDescent="0.3">
      <c r="A391" s="4">
        <v>46194</v>
      </c>
      <c r="B391" s="8" t="s">
        <v>55</v>
      </c>
      <c r="C391" s="8" t="s">
        <v>56</v>
      </c>
      <c r="D391" s="7" t="s">
        <v>50</v>
      </c>
      <c r="E391" s="7" t="s">
        <v>47</v>
      </c>
      <c r="F391" s="13"/>
      <c r="G391" s="59"/>
      <c r="H391" s="6"/>
      <c r="I391" s="6">
        <f t="shared" si="34"/>
        <v>0</v>
      </c>
      <c r="J391" s="2" t="s">
        <v>45</v>
      </c>
      <c r="K391" s="2" t="s">
        <v>45</v>
      </c>
      <c r="L391" s="2" t="s">
        <v>45</v>
      </c>
      <c r="M391" s="2" t="s">
        <v>45</v>
      </c>
      <c r="N391" s="2" t="s">
        <v>45</v>
      </c>
      <c r="O391" s="56" t="s">
        <v>45</v>
      </c>
      <c r="P391" s="2" t="s">
        <v>45</v>
      </c>
      <c r="Q391" s="2" t="s">
        <v>45</v>
      </c>
      <c r="R391" s="2" t="s">
        <v>45</v>
      </c>
      <c r="S391" s="2" t="s">
        <v>45</v>
      </c>
      <c r="T391" s="2" t="s">
        <v>45</v>
      </c>
      <c r="U391" s="2" t="s">
        <v>45</v>
      </c>
      <c r="V391" s="2" t="s">
        <v>45</v>
      </c>
      <c r="W391" s="2" t="s">
        <v>45</v>
      </c>
      <c r="X391" s="2" t="s">
        <v>45</v>
      </c>
      <c r="Y391" s="2" t="s">
        <v>45</v>
      </c>
      <c r="Z391" s="2" t="s">
        <v>45</v>
      </c>
      <c r="AA391" s="2" t="s">
        <v>45</v>
      </c>
      <c r="AB391" s="2" t="s">
        <v>45</v>
      </c>
    </row>
    <row r="392" spans="1:28" hidden="1" x14ac:dyDescent="0.3">
      <c r="A392" s="4">
        <v>46194</v>
      </c>
      <c r="B392" s="8" t="s">
        <v>55</v>
      </c>
      <c r="C392" s="8" t="s">
        <v>56</v>
      </c>
      <c r="D392" s="7" t="s">
        <v>52</v>
      </c>
      <c r="E392" s="7" t="s">
        <v>47</v>
      </c>
      <c r="F392" s="13"/>
      <c r="G392" s="59"/>
      <c r="H392" s="6"/>
      <c r="I392" s="6">
        <f t="shared" si="34"/>
        <v>0</v>
      </c>
      <c r="J392" s="2" t="s">
        <v>45</v>
      </c>
      <c r="K392" s="2" t="s">
        <v>45</v>
      </c>
      <c r="L392" s="2" t="s">
        <v>45</v>
      </c>
      <c r="M392" s="2" t="s">
        <v>45</v>
      </c>
      <c r="N392" s="2" t="s">
        <v>45</v>
      </c>
      <c r="O392" s="56" t="s">
        <v>45</v>
      </c>
      <c r="P392" s="2" t="s">
        <v>45</v>
      </c>
      <c r="Q392" s="2" t="s">
        <v>45</v>
      </c>
      <c r="R392" s="2" t="s">
        <v>45</v>
      </c>
      <c r="S392" s="2" t="s">
        <v>45</v>
      </c>
      <c r="T392" s="2" t="s">
        <v>45</v>
      </c>
      <c r="U392" s="2" t="s">
        <v>45</v>
      </c>
      <c r="V392" s="2" t="s">
        <v>45</v>
      </c>
      <c r="W392" s="2" t="s">
        <v>45</v>
      </c>
      <c r="X392" s="2" t="s">
        <v>45</v>
      </c>
      <c r="Y392" s="2" t="s">
        <v>45</v>
      </c>
      <c r="Z392" s="2" t="s">
        <v>45</v>
      </c>
      <c r="AA392" s="2" t="s">
        <v>45</v>
      </c>
      <c r="AB392" s="2" t="s">
        <v>45</v>
      </c>
    </row>
    <row r="393" spans="1:28" hidden="1" x14ac:dyDescent="0.3">
      <c r="A393" s="4">
        <v>46194</v>
      </c>
      <c r="B393" s="8" t="s">
        <v>55</v>
      </c>
      <c r="C393" s="8" t="s">
        <v>56</v>
      </c>
      <c r="D393" s="7" t="s">
        <v>46</v>
      </c>
      <c r="E393" s="7" t="s">
        <v>47</v>
      </c>
      <c r="F393" s="13"/>
      <c r="G393" s="59"/>
      <c r="H393" s="6"/>
      <c r="I393" s="6">
        <f t="shared" si="34"/>
        <v>0</v>
      </c>
      <c r="J393" s="2">
        <v>0</v>
      </c>
      <c r="K393" s="2">
        <v>0</v>
      </c>
      <c r="L393" s="2">
        <v>0</v>
      </c>
      <c r="M393" s="2" t="s">
        <v>45</v>
      </c>
      <c r="N393" s="2">
        <v>0</v>
      </c>
      <c r="O393" s="56">
        <v>0</v>
      </c>
      <c r="P393" s="2" t="s">
        <v>45</v>
      </c>
      <c r="Q393" s="2" t="s">
        <v>45</v>
      </c>
      <c r="R393" s="2">
        <v>0</v>
      </c>
      <c r="S393" s="2">
        <v>0</v>
      </c>
      <c r="T393" s="2" t="s">
        <v>45</v>
      </c>
      <c r="U393" s="2">
        <v>0</v>
      </c>
      <c r="V393" s="2" t="s">
        <v>45</v>
      </c>
      <c r="W393" s="2">
        <v>7701.52</v>
      </c>
      <c r="X393" s="2">
        <v>106886</v>
      </c>
      <c r="Y393" s="2">
        <v>307402</v>
      </c>
      <c r="Z393" s="2">
        <v>0</v>
      </c>
      <c r="AA393" s="2" t="s">
        <v>45</v>
      </c>
      <c r="AB393" s="2">
        <v>239.4</v>
      </c>
    </row>
    <row r="394" spans="1:28" x14ac:dyDescent="0.3">
      <c r="A394" s="4">
        <v>46194</v>
      </c>
      <c r="B394" s="8" t="s">
        <v>55</v>
      </c>
      <c r="C394" s="8" t="s">
        <v>56</v>
      </c>
      <c r="D394" s="7" t="s">
        <v>48</v>
      </c>
      <c r="E394" s="7" t="s">
        <v>38</v>
      </c>
      <c r="F394" s="13">
        <v>0</v>
      </c>
      <c r="G394" s="59"/>
      <c r="H394" s="6"/>
      <c r="I394" s="6">
        <f t="shared" si="34"/>
        <v>0</v>
      </c>
      <c r="J394" s="2">
        <v>0</v>
      </c>
      <c r="K394" s="2">
        <v>0</v>
      </c>
      <c r="L394" s="2">
        <v>0</v>
      </c>
      <c r="M394" s="2" t="s">
        <v>45</v>
      </c>
      <c r="N394" s="2">
        <v>0</v>
      </c>
      <c r="O394" s="77">
        <v>0</v>
      </c>
      <c r="P394" s="2" t="s">
        <v>45</v>
      </c>
      <c r="Q394" s="2" t="s">
        <v>45</v>
      </c>
      <c r="R394" s="2">
        <v>0</v>
      </c>
      <c r="S394" s="2">
        <v>0</v>
      </c>
      <c r="T394" s="2" t="s">
        <v>45</v>
      </c>
      <c r="U394" s="2">
        <v>0</v>
      </c>
      <c r="V394" s="2" t="s">
        <v>45</v>
      </c>
      <c r="W394" s="2">
        <v>6421.74</v>
      </c>
      <c r="X394" s="2">
        <v>402666</v>
      </c>
      <c r="Y394" s="2">
        <v>1421389</v>
      </c>
      <c r="Z394" s="2">
        <v>0</v>
      </c>
      <c r="AA394" s="2" t="s">
        <v>45</v>
      </c>
      <c r="AB394" s="2">
        <v>47</v>
      </c>
    </row>
    <row r="395" spans="1:28" hidden="1" x14ac:dyDescent="0.3">
      <c r="A395" s="4">
        <v>46194</v>
      </c>
      <c r="B395" s="8" t="s">
        <v>55</v>
      </c>
      <c r="C395" s="8" t="s">
        <v>56</v>
      </c>
      <c r="D395" s="7" t="s">
        <v>49</v>
      </c>
      <c r="E395" s="7" t="s">
        <v>47</v>
      </c>
      <c r="F395" s="13"/>
      <c r="G395" s="59"/>
      <c r="H395" s="6"/>
      <c r="I395" s="6">
        <f t="shared" si="34"/>
        <v>0</v>
      </c>
      <c r="J395" s="2" t="s">
        <v>45</v>
      </c>
      <c r="K395" s="2" t="s">
        <v>45</v>
      </c>
      <c r="L395" s="2" t="s">
        <v>45</v>
      </c>
      <c r="M395" s="2" t="s">
        <v>45</v>
      </c>
      <c r="N395" s="2" t="s">
        <v>45</v>
      </c>
      <c r="O395" s="56" t="s">
        <v>45</v>
      </c>
      <c r="P395" s="2" t="s">
        <v>45</v>
      </c>
      <c r="Q395" s="2" t="s">
        <v>45</v>
      </c>
      <c r="R395" s="2" t="s">
        <v>45</v>
      </c>
      <c r="S395" s="2" t="s">
        <v>45</v>
      </c>
      <c r="T395" s="2" t="s">
        <v>45</v>
      </c>
      <c r="U395" s="2" t="s">
        <v>45</v>
      </c>
      <c r="V395" s="2" t="s">
        <v>45</v>
      </c>
      <c r="W395" s="2" t="s">
        <v>45</v>
      </c>
      <c r="X395" s="2" t="s">
        <v>45</v>
      </c>
      <c r="Y395" s="2" t="s">
        <v>45</v>
      </c>
      <c r="Z395" s="2" t="s">
        <v>45</v>
      </c>
      <c r="AA395" s="2" t="s">
        <v>45</v>
      </c>
      <c r="AB395" s="2" t="s">
        <v>45</v>
      </c>
    </row>
    <row r="396" spans="1:28" hidden="1" x14ac:dyDescent="0.3">
      <c r="A396" s="4">
        <v>46195</v>
      </c>
      <c r="B396" s="8" t="s">
        <v>71</v>
      </c>
      <c r="C396" s="8" t="s">
        <v>36</v>
      </c>
      <c r="D396" s="7" t="s">
        <v>43</v>
      </c>
      <c r="E396" s="7" t="s">
        <v>47</v>
      </c>
      <c r="F396" s="13"/>
      <c r="G396" s="59"/>
      <c r="H396" s="6">
        <f>15000/6</f>
        <v>2500</v>
      </c>
      <c r="I396" s="6">
        <f t="shared" si="34"/>
        <v>720.55137844611522</v>
      </c>
      <c r="J396" s="2" t="s">
        <v>72</v>
      </c>
      <c r="K396" s="2" t="s">
        <v>73</v>
      </c>
      <c r="L396" s="2">
        <v>2</v>
      </c>
      <c r="M396" s="2" t="s">
        <v>74</v>
      </c>
      <c r="N396" s="2"/>
      <c r="O396" s="56">
        <v>2875</v>
      </c>
      <c r="P396" s="2"/>
      <c r="Q396" s="2"/>
      <c r="R396" s="2" t="s">
        <v>75</v>
      </c>
      <c r="S396" s="2" t="s">
        <v>76</v>
      </c>
      <c r="T396" s="2" t="s">
        <v>77</v>
      </c>
      <c r="U396" s="2" t="s">
        <v>78</v>
      </c>
      <c r="V396" s="2" t="s">
        <v>79</v>
      </c>
      <c r="W396" s="2" t="s">
        <v>80</v>
      </c>
      <c r="X396" s="2"/>
      <c r="Y396" s="2"/>
      <c r="Z396" s="2">
        <v>0</v>
      </c>
      <c r="AA396" s="2"/>
      <c r="AB396" s="2" t="s">
        <v>81</v>
      </c>
    </row>
    <row r="397" spans="1:28" hidden="1" x14ac:dyDescent="0.3">
      <c r="A397" s="4">
        <v>46195</v>
      </c>
      <c r="B397" s="8" t="s">
        <v>71</v>
      </c>
      <c r="C397" s="8" t="s">
        <v>36</v>
      </c>
      <c r="D397" s="7" t="s">
        <v>46</v>
      </c>
      <c r="E397" s="7" t="s">
        <v>47</v>
      </c>
      <c r="F397" s="13"/>
      <c r="G397" s="59"/>
      <c r="H397" s="6">
        <f>15000/6</f>
        <v>2500</v>
      </c>
      <c r="I397" s="6">
        <f t="shared" si="34"/>
        <v>316.28895184135979</v>
      </c>
      <c r="J397" s="2" t="s">
        <v>82</v>
      </c>
      <c r="K397" s="2" t="s">
        <v>83</v>
      </c>
      <c r="L397" s="2" t="s">
        <v>84</v>
      </c>
      <c r="M397" s="2" t="s">
        <v>85</v>
      </c>
      <c r="N397" s="2">
        <v>791</v>
      </c>
      <c r="O397" s="56">
        <v>2233</v>
      </c>
      <c r="P397" s="2" t="s">
        <v>86</v>
      </c>
      <c r="Q397" s="2" t="s">
        <v>87</v>
      </c>
      <c r="R397" s="2" t="s">
        <v>88</v>
      </c>
      <c r="S397" s="2" t="s">
        <v>89</v>
      </c>
      <c r="T397" s="2" t="s">
        <v>90</v>
      </c>
      <c r="U397" s="2" t="s">
        <v>91</v>
      </c>
      <c r="V397" s="2" t="s">
        <v>92</v>
      </c>
      <c r="W397" s="2" t="s">
        <v>93</v>
      </c>
      <c r="X397" s="2">
        <v>107677</v>
      </c>
      <c r="Y397" s="2">
        <v>309635</v>
      </c>
      <c r="Z397" s="2" t="s">
        <v>94</v>
      </c>
      <c r="AA397" s="2">
        <v>0</v>
      </c>
      <c r="AB397" s="2" t="s">
        <v>95</v>
      </c>
    </row>
    <row r="398" spans="1:28" x14ac:dyDescent="0.3">
      <c r="A398" s="4">
        <v>46195</v>
      </c>
      <c r="B398" s="8" t="s">
        <v>71</v>
      </c>
      <c r="C398" s="8" t="s">
        <v>36</v>
      </c>
      <c r="D398" s="7" t="s">
        <v>48</v>
      </c>
      <c r="E398" s="7" t="s">
        <v>38</v>
      </c>
      <c r="F398" s="13">
        <v>2949</v>
      </c>
      <c r="G398" s="59"/>
      <c r="H398" s="6">
        <f>24000/6</f>
        <v>4000</v>
      </c>
      <c r="I398" s="6">
        <f t="shared" si="34"/>
        <v>428.50182704019483</v>
      </c>
      <c r="J398" s="2" t="s">
        <v>96</v>
      </c>
      <c r="K398" s="2" t="s">
        <v>97</v>
      </c>
      <c r="L398" s="2" t="s">
        <v>98</v>
      </c>
      <c r="M398" s="2" t="s">
        <v>99</v>
      </c>
      <c r="N398" s="2">
        <v>820</v>
      </c>
      <c r="O398" s="77">
        <v>3518</v>
      </c>
      <c r="P398" s="2" t="s">
        <v>100</v>
      </c>
      <c r="Q398" s="2" t="s">
        <v>101</v>
      </c>
      <c r="R398" s="2" t="s">
        <v>102</v>
      </c>
      <c r="S398" s="2" t="s">
        <v>103</v>
      </c>
      <c r="T398" s="2" t="s">
        <v>104</v>
      </c>
      <c r="U398" s="2" t="s">
        <v>105</v>
      </c>
      <c r="V398" s="2" t="s">
        <v>106</v>
      </c>
      <c r="W398" s="2" t="s">
        <v>107</v>
      </c>
      <c r="X398" s="2">
        <v>403486</v>
      </c>
      <c r="Y398" s="2">
        <v>1424907</v>
      </c>
      <c r="Z398" s="2" t="s">
        <v>94</v>
      </c>
      <c r="AA398" s="2">
        <v>0</v>
      </c>
      <c r="AB398" s="2" t="s">
        <v>108</v>
      </c>
    </row>
    <row r="399" spans="1:28" hidden="1" x14ac:dyDescent="0.3">
      <c r="A399" s="4">
        <v>46195</v>
      </c>
      <c r="B399" s="8" t="s">
        <v>71</v>
      </c>
      <c r="C399" s="8" t="s">
        <v>36</v>
      </c>
      <c r="D399" s="7" t="s">
        <v>50</v>
      </c>
      <c r="E399" s="7" t="s">
        <v>47</v>
      </c>
      <c r="F399" s="13"/>
      <c r="G399" s="59"/>
      <c r="H399" s="6">
        <f>15000/6</f>
        <v>2500</v>
      </c>
      <c r="I399" s="6">
        <f t="shared" si="34"/>
        <v>137.40573152337859</v>
      </c>
      <c r="J399" s="2" t="s">
        <v>109</v>
      </c>
      <c r="K399" s="2" t="s">
        <v>110</v>
      </c>
      <c r="L399" s="2" t="s">
        <v>111</v>
      </c>
      <c r="M399" s="2" t="s">
        <v>112</v>
      </c>
      <c r="N399" s="2">
        <v>453</v>
      </c>
      <c r="O399" s="56">
        <v>911</v>
      </c>
      <c r="P399" s="2" t="s">
        <v>113</v>
      </c>
      <c r="Q399" s="2" t="s">
        <v>114</v>
      </c>
      <c r="R399" s="2" t="s">
        <v>115</v>
      </c>
      <c r="S399" s="2" t="s">
        <v>90</v>
      </c>
      <c r="T399" s="2" t="s">
        <v>116</v>
      </c>
      <c r="U399" s="2" t="s">
        <v>117</v>
      </c>
      <c r="V399" s="2" t="s">
        <v>118</v>
      </c>
      <c r="W399" s="2" t="s">
        <v>119</v>
      </c>
      <c r="X399" s="2">
        <v>137316</v>
      </c>
      <c r="Y399" s="2">
        <v>257396</v>
      </c>
      <c r="Z399" s="2" t="s">
        <v>120</v>
      </c>
      <c r="AA399" s="2">
        <v>0</v>
      </c>
      <c r="AB399" s="2" t="s">
        <v>121</v>
      </c>
    </row>
    <row r="400" spans="1:28" hidden="1" x14ac:dyDescent="0.3">
      <c r="A400" s="4">
        <v>46195</v>
      </c>
      <c r="B400" s="8" t="s">
        <v>71</v>
      </c>
      <c r="C400" s="8" t="s">
        <v>36</v>
      </c>
      <c r="D400" s="7" t="s">
        <v>49</v>
      </c>
      <c r="E400" s="7" t="s">
        <v>47</v>
      </c>
      <c r="F400" s="13"/>
      <c r="G400" s="59"/>
      <c r="H400" s="6">
        <f>15000/6</f>
        <v>2500</v>
      </c>
      <c r="I400" s="6">
        <f t="shared" si="34"/>
        <v>347.5609756097561</v>
      </c>
      <c r="J400" s="2" t="s">
        <v>122</v>
      </c>
      <c r="K400" s="2" t="s">
        <v>123</v>
      </c>
      <c r="L400" s="2" t="s">
        <v>124</v>
      </c>
      <c r="M400" s="2" t="s">
        <v>125</v>
      </c>
      <c r="N400" s="2">
        <v>724</v>
      </c>
      <c r="O400" s="56">
        <v>2280</v>
      </c>
      <c r="P400" s="2" t="s">
        <v>126</v>
      </c>
      <c r="Q400" s="2" t="s">
        <v>127</v>
      </c>
      <c r="R400" s="2" t="s">
        <v>128</v>
      </c>
      <c r="S400" s="2" t="s">
        <v>129</v>
      </c>
      <c r="T400" s="2" t="s">
        <v>90</v>
      </c>
      <c r="U400" s="2" t="s">
        <v>130</v>
      </c>
      <c r="V400" s="2" t="s">
        <v>131</v>
      </c>
      <c r="W400" s="2" t="s">
        <v>132</v>
      </c>
      <c r="X400" s="2">
        <v>170677</v>
      </c>
      <c r="Y400" s="2">
        <v>584982</v>
      </c>
      <c r="Z400" s="2">
        <v>0</v>
      </c>
      <c r="AA400" s="2">
        <v>0</v>
      </c>
      <c r="AB400" s="2" t="s">
        <v>133</v>
      </c>
    </row>
    <row r="401" spans="1:28" hidden="1" x14ac:dyDescent="0.3">
      <c r="A401" s="4">
        <v>46195</v>
      </c>
      <c r="B401" s="8" t="s">
        <v>71</v>
      </c>
      <c r="C401" s="8" t="s">
        <v>36</v>
      </c>
      <c r="D401" s="7" t="s">
        <v>52</v>
      </c>
      <c r="E401" s="7" t="s">
        <v>47</v>
      </c>
      <c r="F401" s="13"/>
      <c r="G401" s="59"/>
      <c r="H401" s="6">
        <f>15000/6</f>
        <v>2500</v>
      </c>
      <c r="I401" s="6">
        <f t="shared" si="34"/>
        <v>185.13513513513513</v>
      </c>
      <c r="J401" s="2" t="s">
        <v>134</v>
      </c>
      <c r="K401" s="2" t="s">
        <v>135</v>
      </c>
      <c r="L401" s="2">
        <v>1</v>
      </c>
      <c r="M401" s="2" t="s">
        <v>136</v>
      </c>
      <c r="N401" s="2">
        <v>645</v>
      </c>
      <c r="O401" s="56">
        <v>1233</v>
      </c>
      <c r="P401" s="2" t="s">
        <v>137</v>
      </c>
      <c r="Q401" s="2" t="s">
        <v>138</v>
      </c>
      <c r="R401" s="2" t="s">
        <v>139</v>
      </c>
      <c r="S401" s="2" t="s">
        <v>140</v>
      </c>
      <c r="T401" s="2" t="s">
        <v>140</v>
      </c>
      <c r="U401" s="2" t="s">
        <v>141</v>
      </c>
      <c r="V401" s="2" t="s">
        <v>142</v>
      </c>
      <c r="W401" s="2" t="s">
        <v>143</v>
      </c>
      <c r="X401" s="2">
        <v>72528</v>
      </c>
      <c r="Y401" s="2">
        <v>153354</v>
      </c>
      <c r="Z401" s="2" t="s">
        <v>144</v>
      </c>
      <c r="AA401" s="2">
        <v>0</v>
      </c>
      <c r="AB401" s="2" t="s">
        <v>145</v>
      </c>
    </row>
    <row r="402" spans="1:28" hidden="1" x14ac:dyDescent="0.3">
      <c r="A402" s="4">
        <v>46195</v>
      </c>
      <c r="B402" s="8" t="s">
        <v>55</v>
      </c>
      <c r="C402" s="8" t="s">
        <v>56</v>
      </c>
      <c r="D402" s="7" t="s">
        <v>39</v>
      </c>
      <c r="E402" s="7" t="s">
        <v>47</v>
      </c>
      <c r="F402" s="13"/>
      <c r="G402" s="59" t="s">
        <v>146</v>
      </c>
      <c r="H402" s="6"/>
      <c r="I402" s="6">
        <f t="shared" si="34"/>
        <v>0</v>
      </c>
      <c r="J402" s="2"/>
      <c r="K402" s="2"/>
      <c r="L402" s="2"/>
      <c r="M402" s="2"/>
      <c r="N402" s="2"/>
      <c r="O402" s="56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idden="1" x14ac:dyDescent="0.3">
      <c r="A403" s="4">
        <v>46195</v>
      </c>
      <c r="B403" s="8" t="s">
        <v>71</v>
      </c>
      <c r="C403" s="8" t="s">
        <v>36</v>
      </c>
      <c r="D403" s="7" t="s">
        <v>67</v>
      </c>
      <c r="E403" s="7" t="s">
        <v>47</v>
      </c>
      <c r="F403" s="13"/>
      <c r="G403" s="59"/>
      <c r="H403" s="6">
        <f>15000/6</f>
        <v>2500</v>
      </c>
      <c r="I403" s="6">
        <f t="shared" si="34"/>
        <v>206.53357531760437</v>
      </c>
      <c r="J403" s="2" t="s">
        <v>147</v>
      </c>
      <c r="K403" s="2" t="s">
        <v>148</v>
      </c>
      <c r="L403" s="2" t="s">
        <v>149</v>
      </c>
      <c r="M403" s="2" t="s">
        <v>150</v>
      </c>
      <c r="N403" s="2">
        <v>605</v>
      </c>
      <c r="O403" s="56">
        <v>1138</v>
      </c>
      <c r="P403" s="2" t="s">
        <v>151</v>
      </c>
      <c r="Q403" s="2" t="s">
        <v>152</v>
      </c>
      <c r="R403" s="2" t="s">
        <v>153</v>
      </c>
      <c r="S403" s="2" t="s">
        <v>154</v>
      </c>
      <c r="T403" s="2" t="s">
        <v>155</v>
      </c>
      <c r="U403" s="2" t="s">
        <v>156</v>
      </c>
      <c r="V403" s="2" t="s">
        <v>157</v>
      </c>
      <c r="W403" s="2" t="s">
        <v>158</v>
      </c>
      <c r="X403" s="2">
        <v>26637</v>
      </c>
      <c r="Y403" s="2">
        <v>52578</v>
      </c>
      <c r="Z403" s="2">
        <v>3</v>
      </c>
      <c r="AA403" s="2">
        <v>0</v>
      </c>
      <c r="AB403" s="2" t="s">
        <v>159</v>
      </c>
    </row>
    <row r="404" spans="1:28" hidden="1" x14ac:dyDescent="0.3">
      <c r="A404" s="4">
        <v>46196</v>
      </c>
      <c r="B404" s="8" t="s">
        <v>55</v>
      </c>
      <c r="C404" s="8" t="s">
        <v>56</v>
      </c>
      <c r="D404" s="7" t="s">
        <v>39</v>
      </c>
      <c r="E404" s="7" t="s">
        <v>47</v>
      </c>
      <c r="F404" s="13"/>
      <c r="G404" s="59" t="s">
        <v>146</v>
      </c>
      <c r="H404" s="6"/>
      <c r="I404" s="6">
        <f t="shared" si="34"/>
        <v>0</v>
      </c>
      <c r="J404" s="2"/>
      <c r="K404" s="2"/>
      <c r="L404" s="2"/>
      <c r="M404" s="2"/>
      <c r="N404" s="2"/>
      <c r="O404" s="56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idden="1" x14ac:dyDescent="0.3">
      <c r="A405" s="4">
        <v>46196</v>
      </c>
      <c r="B405" s="8" t="s">
        <v>71</v>
      </c>
      <c r="C405" s="8" t="s">
        <v>36</v>
      </c>
      <c r="D405" s="7" t="s">
        <v>43</v>
      </c>
      <c r="E405" s="7" t="s">
        <v>47</v>
      </c>
      <c r="F405" s="13"/>
      <c r="G405" s="59"/>
      <c r="H405" s="6">
        <f>15000/5</f>
        <v>3000</v>
      </c>
      <c r="I405" s="6">
        <f t="shared" si="34"/>
        <v>335.57046979865771</v>
      </c>
      <c r="J405" s="2" t="s">
        <v>160</v>
      </c>
      <c r="K405" s="2" t="s">
        <v>161</v>
      </c>
      <c r="L405" s="2" t="s">
        <v>162</v>
      </c>
      <c r="M405" s="2" t="s">
        <v>163</v>
      </c>
      <c r="N405" s="2"/>
      <c r="O405" s="56">
        <v>1000</v>
      </c>
      <c r="P405" s="2"/>
      <c r="Q405" s="2"/>
      <c r="R405" s="2" t="s">
        <v>164</v>
      </c>
      <c r="S405" s="2" t="s">
        <v>165</v>
      </c>
      <c r="T405" s="2" t="s">
        <v>166</v>
      </c>
      <c r="U405" s="2" t="s">
        <v>167</v>
      </c>
      <c r="V405" s="2" t="s">
        <v>168</v>
      </c>
      <c r="W405" s="2" t="s">
        <v>169</v>
      </c>
      <c r="X405" s="2"/>
      <c r="Y405" s="2"/>
      <c r="Z405" s="2" t="s">
        <v>94</v>
      </c>
      <c r="AA405" s="2"/>
      <c r="AB405" s="2" t="s">
        <v>170</v>
      </c>
    </row>
    <row r="406" spans="1:28" hidden="1" x14ac:dyDescent="0.3">
      <c r="A406" s="4">
        <v>46196</v>
      </c>
      <c r="B406" s="8" t="s">
        <v>71</v>
      </c>
      <c r="C406" s="8" t="s">
        <v>36</v>
      </c>
      <c r="D406" s="7" t="s">
        <v>46</v>
      </c>
      <c r="E406" s="7" t="s">
        <v>47</v>
      </c>
      <c r="F406" s="13"/>
      <c r="G406" s="59"/>
      <c r="H406" s="6">
        <f>15000/5</f>
        <v>3000</v>
      </c>
      <c r="I406" s="6">
        <f t="shared" si="34"/>
        <v>244.71544715447155</v>
      </c>
      <c r="J406" s="2" t="s">
        <v>171</v>
      </c>
      <c r="K406" s="2" t="s">
        <v>172</v>
      </c>
      <c r="L406" s="2" t="s">
        <v>173</v>
      </c>
      <c r="M406" s="2" t="s">
        <v>174</v>
      </c>
      <c r="N406" s="2">
        <v>339</v>
      </c>
      <c r="O406" s="56">
        <v>903</v>
      </c>
      <c r="P406" s="2" t="s">
        <v>175</v>
      </c>
      <c r="Q406" s="2" t="s">
        <v>109</v>
      </c>
      <c r="R406" s="2" t="s">
        <v>176</v>
      </c>
      <c r="S406" s="2" t="s">
        <v>89</v>
      </c>
      <c r="T406" s="2" t="s">
        <v>177</v>
      </c>
      <c r="U406" s="2" t="s">
        <v>178</v>
      </c>
      <c r="V406" s="2" t="s">
        <v>179</v>
      </c>
      <c r="W406" s="2" t="s">
        <v>180</v>
      </c>
      <c r="X406" s="2">
        <v>108016</v>
      </c>
      <c r="Y406" s="2">
        <v>310538</v>
      </c>
      <c r="Z406" s="2">
        <v>0</v>
      </c>
      <c r="AA406" s="2">
        <v>0</v>
      </c>
      <c r="AB406" s="2" t="s">
        <v>95</v>
      </c>
    </row>
    <row r="407" spans="1:28" x14ac:dyDescent="0.3">
      <c r="A407" s="4">
        <v>46196</v>
      </c>
      <c r="B407" s="8" t="s">
        <v>71</v>
      </c>
      <c r="C407" s="8" t="s">
        <v>36</v>
      </c>
      <c r="D407" s="7" t="s">
        <v>48</v>
      </c>
      <c r="E407" s="7" t="s">
        <v>38</v>
      </c>
      <c r="F407" s="13">
        <v>0</v>
      </c>
      <c r="G407" s="59"/>
      <c r="H407" s="6">
        <f>24000/6</f>
        <v>4000</v>
      </c>
      <c r="I407" s="6">
        <f t="shared" si="34"/>
        <v>131.07142857142858</v>
      </c>
      <c r="J407" s="2" t="s">
        <v>181</v>
      </c>
      <c r="K407" s="2" t="s">
        <v>182</v>
      </c>
      <c r="L407" s="2" t="s">
        <v>84</v>
      </c>
      <c r="M407" s="2" t="s">
        <v>183</v>
      </c>
      <c r="N407" s="2">
        <v>114</v>
      </c>
      <c r="O407" s="77">
        <v>367</v>
      </c>
      <c r="P407" s="2" t="s">
        <v>184</v>
      </c>
      <c r="Q407" s="2" t="s">
        <v>160</v>
      </c>
      <c r="R407" s="2" t="s">
        <v>185</v>
      </c>
      <c r="S407" s="2" t="s">
        <v>103</v>
      </c>
      <c r="T407" s="2" t="s">
        <v>186</v>
      </c>
      <c r="U407" s="2" t="s">
        <v>187</v>
      </c>
      <c r="V407" s="2" t="s">
        <v>188</v>
      </c>
      <c r="W407" s="2" t="s">
        <v>189</v>
      </c>
      <c r="X407" s="2">
        <v>403600</v>
      </c>
      <c r="Y407" s="2">
        <v>1425274</v>
      </c>
      <c r="Z407" s="2" t="s">
        <v>94</v>
      </c>
      <c r="AA407" s="2">
        <v>0</v>
      </c>
      <c r="AB407" s="2" t="s">
        <v>190</v>
      </c>
    </row>
    <row r="408" spans="1:28" hidden="1" x14ac:dyDescent="0.3">
      <c r="A408" s="4">
        <v>46196</v>
      </c>
      <c r="B408" s="8" t="s">
        <v>71</v>
      </c>
      <c r="C408" s="8" t="s">
        <v>36</v>
      </c>
      <c r="D408" s="7" t="s">
        <v>52</v>
      </c>
      <c r="E408" s="7" t="s">
        <v>47</v>
      </c>
      <c r="F408" s="13"/>
      <c r="G408" s="59"/>
      <c r="H408" s="6">
        <f>15000/5</f>
        <v>3000</v>
      </c>
      <c r="I408" s="6">
        <f t="shared" si="34"/>
        <v>316.13756613756613</v>
      </c>
      <c r="J408" s="2" t="s">
        <v>191</v>
      </c>
      <c r="K408" s="2" t="s">
        <v>192</v>
      </c>
      <c r="L408" s="2" t="s">
        <v>124</v>
      </c>
      <c r="M408" s="2" t="s">
        <v>193</v>
      </c>
      <c r="N408" s="2">
        <v>1498</v>
      </c>
      <c r="O408" s="56">
        <v>3585</v>
      </c>
      <c r="P408" s="2" t="s">
        <v>194</v>
      </c>
      <c r="Q408" s="2" t="s">
        <v>195</v>
      </c>
      <c r="R408" s="2" t="s">
        <v>196</v>
      </c>
      <c r="S408" s="2" t="s">
        <v>89</v>
      </c>
      <c r="T408" s="2" t="s">
        <v>197</v>
      </c>
      <c r="U408" s="2" t="s">
        <v>198</v>
      </c>
      <c r="V408" s="2" t="s">
        <v>199</v>
      </c>
      <c r="W408" s="2" t="s">
        <v>200</v>
      </c>
      <c r="X408" s="2">
        <v>74026</v>
      </c>
      <c r="Y408" s="2">
        <v>156939</v>
      </c>
      <c r="Z408" s="2" t="s">
        <v>201</v>
      </c>
      <c r="AA408" s="2">
        <v>0</v>
      </c>
      <c r="AB408" s="2" t="s">
        <v>202</v>
      </c>
    </row>
    <row r="409" spans="1:28" hidden="1" x14ac:dyDescent="0.3">
      <c r="A409" s="4">
        <v>46196</v>
      </c>
      <c r="B409" s="8" t="s">
        <v>71</v>
      </c>
      <c r="C409" s="8" t="s">
        <v>36</v>
      </c>
      <c r="D409" s="7" t="s">
        <v>67</v>
      </c>
      <c r="E409" s="7" t="s">
        <v>47</v>
      </c>
      <c r="F409" s="13"/>
      <c r="G409" s="59"/>
      <c r="H409" s="6">
        <f>15000/5</f>
        <v>3000</v>
      </c>
      <c r="I409" s="6">
        <f t="shared" si="34"/>
        <v>196.54088050314465</v>
      </c>
      <c r="J409" s="2" t="s">
        <v>134</v>
      </c>
      <c r="K409" s="2" t="s">
        <v>203</v>
      </c>
      <c r="L409" s="2" t="s">
        <v>204</v>
      </c>
      <c r="M409" s="2" t="s">
        <v>205</v>
      </c>
      <c r="N409" s="2">
        <v>777</v>
      </c>
      <c r="O409" s="56">
        <v>1250</v>
      </c>
      <c r="P409" s="2" t="s">
        <v>206</v>
      </c>
      <c r="Q409" s="2" t="s">
        <v>207</v>
      </c>
      <c r="R409" s="2" t="s">
        <v>208</v>
      </c>
      <c r="S409" s="2" t="s">
        <v>89</v>
      </c>
      <c r="T409" s="2" t="s">
        <v>209</v>
      </c>
      <c r="U409" s="2" t="s">
        <v>210</v>
      </c>
      <c r="V409" s="2" t="s">
        <v>211</v>
      </c>
      <c r="W409" s="2" t="s">
        <v>212</v>
      </c>
      <c r="X409" s="2">
        <v>27414</v>
      </c>
      <c r="Y409" s="2">
        <v>53828</v>
      </c>
      <c r="Z409" s="2" t="s">
        <v>213</v>
      </c>
      <c r="AA409" s="2">
        <v>0</v>
      </c>
      <c r="AB409" s="2" t="s">
        <v>214</v>
      </c>
    </row>
    <row r="410" spans="1:28" hidden="1" x14ac:dyDescent="0.3">
      <c r="A410" s="14">
        <v>46196</v>
      </c>
      <c r="B410" s="14" t="s">
        <v>71</v>
      </c>
      <c r="C410" s="14"/>
      <c r="D410" s="42"/>
      <c r="E410" s="42" t="s">
        <v>47</v>
      </c>
      <c r="F410" s="43"/>
      <c r="G410" s="60"/>
      <c r="H410" s="44">
        <v>3000</v>
      </c>
      <c r="I410" s="44"/>
      <c r="J410" s="42"/>
      <c r="K410" s="42"/>
      <c r="L410" s="42"/>
      <c r="M410" s="42"/>
      <c r="N410" s="42"/>
      <c r="O410" s="60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spans="1:28" hidden="1" x14ac:dyDescent="0.3">
      <c r="A411" s="4">
        <v>46196</v>
      </c>
      <c r="B411" s="8" t="s">
        <v>55</v>
      </c>
      <c r="C411" s="8" t="s">
        <v>56</v>
      </c>
      <c r="D411" s="7" t="s">
        <v>50</v>
      </c>
      <c r="E411" s="7" t="s">
        <v>47</v>
      </c>
      <c r="F411" s="13"/>
      <c r="G411" s="59"/>
      <c r="H411" s="6"/>
      <c r="I411" s="6">
        <f t="shared" ref="I411:I442" si="35">IFERROR(O411/K411,)</f>
        <v>0</v>
      </c>
      <c r="J411" s="2" t="s">
        <v>215</v>
      </c>
      <c r="K411" s="2" t="s">
        <v>216</v>
      </c>
      <c r="L411" s="2" t="s">
        <v>217</v>
      </c>
      <c r="M411" s="2" t="s">
        <v>218</v>
      </c>
      <c r="N411" s="2">
        <v>1</v>
      </c>
      <c r="O411" s="56">
        <v>0</v>
      </c>
      <c r="P411" s="2">
        <v>0</v>
      </c>
      <c r="Q411" s="2">
        <v>0</v>
      </c>
      <c r="R411" s="2" t="s">
        <v>89</v>
      </c>
      <c r="S411" s="2" t="s">
        <v>219</v>
      </c>
      <c r="T411" s="2" t="s">
        <v>220</v>
      </c>
      <c r="U411" s="2" t="s">
        <v>221</v>
      </c>
      <c r="V411" s="2" t="s">
        <v>222</v>
      </c>
      <c r="W411" s="2" t="s">
        <v>223</v>
      </c>
      <c r="X411" s="2">
        <v>137317</v>
      </c>
      <c r="Y411" s="2">
        <v>257396</v>
      </c>
      <c r="Z411" s="2">
        <v>0</v>
      </c>
      <c r="AA411" s="2">
        <v>0</v>
      </c>
      <c r="AB411" s="2" t="s">
        <v>121</v>
      </c>
    </row>
    <row r="412" spans="1:28" hidden="1" x14ac:dyDescent="0.3">
      <c r="A412" s="4">
        <v>46196</v>
      </c>
      <c r="B412" s="8" t="s">
        <v>55</v>
      </c>
      <c r="C412" s="8" t="s">
        <v>56</v>
      </c>
      <c r="D412" s="7" t="s">
        <v>49</v>
      </c>
      <c r="E412" s="7" t="s">
        <v>47</v>
      </c>
      <c r="F412" s="13"/>
      <c r="G412" s="59"/>
      <c r="H412" s="6"/>
      <c r="I412" s="6">
        <f t="shared" si="35"/>
        <v>0</v>
      </c>
      <c r="J412" s="2"/>
      <c r="K412" s="2"/>
      <c r="L412" s="2"/>
      <c r="M412" s="2"/>
      <c r="N412" s="2"/>
      <c r="O412" s="56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idden="1" x14ac:dyDescent="0.3">
      <c r="A413" s="4">
        <v>46197</v>
      </c>
      <c r="B413" s="8" t="s">
        <v>55</v>
      </c>
      <c r="C413" s="8" t="s">
        <v>56</v>
      </c>
      <c r="D413" s="7" t="s">
        <v>39</v>
      </c>
      <c r="E413" s="7" t="s">
        <v>47</v>
      </c>
      <c r="F413" s="13"/>
      <c r="G413" s="59" t="s">
        <v>146</v>
      </c>
      <c r="H413" s="6"/>
      <c r="I413" s="6">
        <f t="shared" si="35"/>
        <v>0</v>
      </c>
      <c r="J413" s="2"/>
      <c r="K413" s="2"/>
      <c r="L413" s="2"/>
      <c r="M413" s="2"/>
      <c r="N413" s="2"/>
      <c r="O413" s="56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idden="1" x14ac:dyDescent="0.3">
      <c r="A414" s="4">
        <v>46197</v>
      </c>
      <c r="B414" s="8" t="s">
        <v>71</v>
      </c>
      <c r="C414" s="8" t="s">
        <v>36</v>
      </c>
      <c r="D414" s="7" t="s">
        <v>43</v>
      </c>
      <c r="E414" s="7" t="s">
        <v>47</v>
      </c>
      <c r="F414" s="13"/>
      <c r="G414" s="59"/>
      <c r="H414" s="6">
        <v>3000</v>
      </c>
      <c r="I414" s="6">
        <f t="shared" si="35"/>
        <v>209.38023450586266</v>
      </c>
      <c r="J414" s="2" t="s">
        <v>224</v>
      </c>
      <c r="K414" s="2" t="s">
        <v>225</v>
      </c>
      <c r="L414" s="2" t="s">
        <v>111</v>
      </c>
      <c r="M414" s="2" t="s">
        <v>226</v>
      </c>
      <c r="N414" s="2"/>
      <c r="O414" s="56">
        <v>1250</v>
      </c>
      <c r="P414" s="2"/>
      <c r="Q414" s="2"/>
      <c r="R414" s="2" t="s">
        <v>227</v>
      </c>
      <c r="S414" s="2" t="s">
        <v>89</v>
      </c>
      <c r="T414" s="2" t="s">
        <v>228</v>
      </c>
      <c r="U414" s="2" t="s">
        <v>229</v>
      </c>
      <c r="V414" s="2" t="s">
        <v>230</v>
      </c>
      <c r="W414" s="2" t="s">
        <v>231</v>
      </c>
      <c r="X414" s="2"/>
      <c r="Y414" s="2"/>
      <c r="Z414" s="2" t="s">
        <v>232</v>
      </c>
      <c r="AA414" s="2"/>
      <c r="AB414" s="2" t="s">
        <v>233</v>
      </c>
    </row>
    <row r="415" spans="1:28" hidden="1" x14ac:dyDescent="0.3">
      <c r="A415" s="4">
        <v>46197</v>
      </c>
      <c r="B415" s="8" t="s">
        <v>71</v>
      </c>
      <c r="C415" s="8" t="s">
        <v>36</v>
      </c>
      <c r="D415" s="7" t="s">
        <v>46</v>
      </c>
      <c r="E415" s="7" t="s">
        <v>47</v>
      </c>
      <c r="F415" s="13"/>
      <c r="G415" s="59"/>
      <c r="H415" s="6">
        <v>3000</v>
      </c>
      <c r="I415" s="6">
        <f t="shared" si="35"/>
        <v>299.11660777385157</v>
      </c>
      <c r="J415" s="2" t="s">
        <v>234</v>
      </c>
      <c r="K415" s="2" t="s">
        <v>235</v>
      </c>
      <c r="L415" s="2" t="s">
        <v>236</v>
      </c>
      <c r="M415" s="2" t="s">
        <v>237</v>
      </c>
      <c r="N415" s="2">
        <v>453</v>
      </c>
      <c r="O415" s="56">
        <v>1693</v>
      </c>
      <c r="P415" s="2" t="s">
        <v>238</v>
      </c>
      <c r="Q415" s="2" t="s">
        <v>239</v>
      </c>
      <c r="R415" s="2" t="s">
        <v>240</v>
      </c>
      <c r="S415" s="2" t="s">
        <v>241</v>
      </c>
      <c r="T415" s="2" t="s">
        <v>242</v>
      </c>
      <c r="U415" s="2" t="s">
        <v>243</v>
      </c>
      <c r="V415" s="2" t="s">
        <v>244</v>
      </c>
      <c r="W415" s="2" t="s">
        <v>245</v>
      </c>
      <c r="X415" s="2">
        <v>108469</v>
      </c>
      <c r="Y415" s="2">
        <v>312231</v>
      </c>
      <c r="Z415" s="2" t="s">
        <v>94</v>
      </c>
      <c r="AA415" s="2">
        <v>0</v>
      </c>
      <c r="AB415" s="2" t="s">
        <v>246</v>
      </c>
    </row>
    <row r="416" spans="1:28" s="45" customFormat="1" x14ac:dyDescent="0.3">
      <c r="A416" s="4">
        <v>46197</v>
      </c>
      <c r="B416" s="8" t="s">
        <v>71</v>
      </c>
      <c r="C416" s="8" t="s">
        <v>36</v>
      </c>
      <c r="D416" s="7" t="s">
        <v>48</v>
      </c>
      <c r="E416" s="7" t="s">
        <v>38</v>
      </c>
      <c r="F416" s="13">
        <v>2267</v>
      </c>
      <c r="G416" s="59"/>
      <c r="H416" s="6">
        <f>24000/6</f>
        <v>4000</v>
      </c>
      <c r="I416" s="6">
        <f t="shared" si="35"/>
        <v>482.90713324360701</v>
      </c>
      <c r="J416" s="2" t="s">
        <v>247</v>
      </c>
      <c r="K416" s="2" t="s">
        <v>248</v>
      </c>
      <c r="L416" s="2" t="s">
        <v>249</v>
      </c>
      <c r="M416" s="2" t="s">
        <v>250</v>
      </c>
      <c r="N416" s="2">
        <v>717</v>
      </c>
      <c r="O416" s="77">
        <v>3588</v>
      </c>
      <c r="P416" s="2">
        <v>5</v>
      </c>
      <c r="Q416" s="2" t="s">
        <v>251</v>
      </c>
      <c r="R416" s="2" t="s">
        <v>252</v>
      </c>
      <c r="S416" s="2" t="s">
        <v>253</v>
      </c>
      <c r="T416" s="2" t="s">
        <v>254</v>
      </c>
      <c r="U416" s="2" t="s">
        <v>255</v>
      </c>
      <c r="V416" s="2" t="s">
        <v>256</v>
      </c>
      <c r="W416" s="2" t="s">
        <v>257</v>
      </c>
      <c r="X416" s="2">
        <v>404317</v>
      </c>
      <c r="Y416" s="2">
        <v>1428862</v>
      </c>
      <c r="Z416" s="2">
        <v>0</v>
      </c>
      <c r="AA416" s="2">
        <v>0</v>
      </c>
      <c r="AB416" s="2" t="s">
        <v>190</v>
      </c>
    </row>
    <row r="417" spans="1:28" hidden="1" x14ac:dyDescent="0.3">
      <c r="A417" s="4">
        <v>46197</v>
      </c>
      <c r="B417" s="8" t="s">
        <v>71</v>
      </c>
      <c r="C417" s="8" t="s">
        <v>36</v>
      </c>
      <c r="D417" s="7" t="s">
        <v>50</v>
      </c>
      <c r="E417" s="7" t="s">
        <v>47</v>
      </c>
      <c r="F417" s="13"/>
      <c r="G417" s="59"/>
      <c r="H417" s="6">
        <v>3000</v>
      </c>
      <c r="I417" s="6">
        <f t="shared" si="35"/>
        <v>179.22848664688428</v>
      </c>
      <c r="J417" s="2" t="s">
        <v>258</v>
      </c>
      <c r="K417" s="2" t="s">
        <v>259</v>
      </c>
      <c r="L417" s="2" t="s">
        <v>232</v>
      </c>
      <c r="M417" s="2" t="s">
        <v>260</v>
      </c>
      <c r="N417" s="2">
        <v>265</v>
      </c>
      <c r="O417" s="56">
        <v>604</v>
      </c>
      <c r="P417" s="2" t="s">
        <v>261</v>
      </c>
      <c r="Q417" s="2" t="s">
        <v>262</v>
      </c>
      <c r="R417" s="2" t="s">
        <v>263</v>
      </c>
      <c r="S417" s="2" t="s">
        <v>221</v>
      </c>
      <c r="T417" s="2" t="s">
        <v>220</v>
      </c>
      <c r="U417" s="2" t="s">
        <v>264</v>
      </c>
      <c r="V417" s="2" t="s">
        <v>265</v>
      </c>
      <c r="W417" s="2" t="s">
        <v>266</v>
      </c>
      <c r="X417" s="2">
        <v>137582</v>
      </c>
      <c r="Y417" s="2">
        <v>258000</v>
      </c>
      <c r="Z417" s="2" t="s">
        <v>267</v>
      </c>
      <c r="AA417" s="2">
        <v>0</v>
      </c>
      <c r="AB417" s="2" t="s">
        <v>268</v>
      </c>
    </row>
    <row r="418" spans="1:28" hidden="1" x14ac:dyDescent="0.3">
      <c r="A418" s="4">
        <v>46197</v>
      </c>
      <c r="B418" s="8" t="s">
        <v>71</v>
      </c>
      <c r="C418" s="8" t="s">
        <v>36</v>
      </c>
      <c r="D418" s="7" t="s">
        <v>52</v>
      </c>
      <c r="E418" s="7" t="s">
        <v>47</v>
      </c>
      <c r="F418" s="13"/>
      <c r="G418" s="59"/>
      <c r="H418" s="6">
        <v>3000</v>
      </c>
      <c r="I418" s="6">
        <f t="shared" si="35"/>
        <v>320.99202834366696</v>
      </c>
      <c r="J418" s="2" t="s">
        <v>269</v>
      </c>
      <c r="K418" s="2" t="s">
        <v>270</v>
      </c>
      <c r="L418" s="2" t="s">
        <v>271</v>
      </c>
      <c r="M418" s="2" t="s">
        <v>272</v>
      </c>
      <c r="N418" s="2">
        <v>1447</v>
      </c>
      <c r="O418" s="56">
        <v>3624</v>
      </c>
      <c r="P418" s="2" t="s">
        <v>273</v>
      </c>
      <c r="Q418" s="2" t="s">
        <v>274</v>
      </c>
      <c r="R418" s="2" t="s">
        <v>275</v>
      </c>
      <c r="S418" s="2" t="s">
        <v>276</v>
      </c>
      <c r="T418" s="2" t="s">
        <v>277</v>
      </c>
      <c r="U418" s="2" t="s">
        <v>278</v>
      </c>
      <c r="V418" s="2">
        <v>21</v>
      </c>
      <c r="W418" s="2" t="s">
        <v>279</v>
      </c>
      <c r="X418" s="2">
        <v>75473</v>
      </c>
      <c r="Y418" s="2">
        <v>160563</v>
      </c>
      <c r="Z418" s="2" t="s">
        <v>280</v>
      </c>
      <c r="AA418" s="2">
        <v>0</v>
      </c>
      <c r="AB418" s="2">
        <v>75</v>
      </c>
    </row>
    <row r="419" spans="1:28" hidden="1" x14ac:dyDescent="0.3">
      <c r="A419" s="4">
        <v>46197</v>
      </c>
      <c r="B419" s="8" t="s">
        <v>71</v>
      </c>
      <c r="C419" s="8" t="s">
        <v>36</v>
      </c>
      <c r="D419" s="7" t="s">
        <v>67</v>
      </c>
      <c r="E419" s="7" t="s">
        <v>47</v>
      </c>
      <c r="F419" s="13"/>
      <c r="G419" s="59"/>
      <c r="H419" s="6">
        <v>3000</v>
      </c>
      <c r="I419" s="6">
        <f t="shared" si="35"/>
        <v>443.46103038309116</v>
      </c>
      <c r="J419" s="2" t="s">
        <v>262</v>
      </c>
      <c r="K419" s="2" t="s">
        <v>76</v>
      </c>
      <c r="L419" s="2" t="s">
        <v>281</v>
      </c>
      <c r="M419" s="2" t="s">
        <v>282</v>
      </c>
      <c r="N419" s="2">
        <v>1368</v>
      </c>
      <c r="O419" s="56">
        <v>3357</v>
      </c>
      <c r="P419" s="2" t="s">
        <v>283</v>
      </c>
      <c r="Q419" s="2" t="s">
        <v>284</v>
      </c>
      <c r="R419" s="2" t="s">
        <v>285</v>
      </c>
      <c r="S419" s="2" t="s">
        <v>140</v>
      </c>
      <c r="T419" s="2" t="s">
        <v>126</v>
      </c>
      <c r="U419" s="2" t="s">
        <v>286</v>
      </c>
      <c r="V419" s="2" t="s">
        <v>287</v>
      </c>
      <c r="W419" s="2" t="s">
        <v>288</v>
      </c>
      <c r="X419" s="2">
        <v>28782</v>
      </c>
      <c r="Y419" s="2">
        <v>57185</v>
      </c>
      <c r="Z419" s="2" t="s">
        <v>111</v>
      </c>
      <c r="AA419" s="2">
        <v>0</v>
      </c>
      <c r="AB419" s="2" t="s">
        <v>289</v>
      </c>
    </row>
    <row r="420" spans="1:28" hidden="1" x14ac:dyDescent="0.3">
      <c r="A420" s="4">
        <v>46197</v>
      </c>
      <c r="B420" s="8" t="s">
        <v>55</v>
      </c>
      <c r="C420" s="8" t="s">
        <v>56</v>
      </c>
      <c r="D420" s="7" t="s">
        <v>49</v>
      </c>
      <c r="E420" s="7" t="s">
        <v>47</v>
      </c>
      <c r="F420" s="13"/>
      <c r="G420" s="59"/>
      <c r="H420" s="6"/>
      <c r="I420" s="6">
        <f t="shared" si="35"/>
        <v>0</v>
      </c>
      <c r="J420" s="2" t="s">
        <v>267</v>
      </c>
      <c r="K420" s="2">
        <v>0</v>
      </c>
      <c r="L420" s="2" t="s">
        <v>267</v>
      </c>
      <c r="M420" s="2" t="s">
        <v>290</v>
      </c>
      <c r="N420" s="2">
        <v>0</v>
      </c>
      <c r="O420" s="56">
        <v>0</v>
      </c>
      <c r="P420" s="2"/>
      <c r="Q420" s="2">
        <v>0</v>
      </c>
      <c r="R420" s="2" t="s">
        <v>291</v>
      </c>
      <c r="S420" s="2" t="s">
        <v>219</v>
      </c>
      <c r="T420" s="2" t="s">
        <v>90</v>
      </c>
      <c r="U420" s="2" t="s">
        <v>292</v>
      </c>
      <c r="V420" s="2" t="s">
        <v>293</v>
      </c>
      <c r="W420" s="2" t="s">
        <v>294</v>
      </c>
      <c r="X420" s="2">
        <v>170677</v>
      </c>
      <c r="Y420" s="2">
        <v>584982</v>
      </c>
      <c r="Z420" s="2">
        <v>0</v>
      </c>
      <c r="AA420" s="2"/>
      <c r="AB420" s="2" t="s">
        <v>133</v>
      </c>
    </row>
    <row r="421" spans="1:28" hidden="1" x14ac:dyDescent="0.3">
      <c r="A421" s="4">
        <v>46198</v>
      </c>
      <c r="B421" s="8" t="s">
        <v>55</v>
      </c>
      <c r="C421" s="8" t="s">
        <v>56</v>
      </c>
      <c r="D421" s="7" t="s">
        <v>39</v>
      </c>
      <c r="E421" s="7" t="s">
        <v>47</v>
      </c>
      <c r="F421" s="13"/>
      <c r="G421" s="59" t="s">
        <v>146</v>
      </c>
      <c r="H421" s="6"/>
      <c r="I421" s="6">
        <f t="shared" si="35"/>
        <v>0</v>
      </c>
      <c r="J421" s="2"/>
      <c r="K421" s="2"/>
      <c r="L421" s="2"/>
      <c r="M421" s="2"/>
      <c r="N421" s="2"/>
      <c r="O421" s="56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idden="1" x14ac:dyDescent="0.3">
      <c r="A422" s="4">
        <v>46198</v>
      </c>
      <c r="B422" s="8" t="s">
        <v>71</v>
      </c>
      <c r="C422" s="8" t="s">
        <v>36</v>
      </c>
      <c r="D422" s="7" t="s">
        <v>43</v>
      </c>
      <c r="E422" s="7" t="s">
        <v>47</v>
      </c>
      <c r="F422" s="13"/>
      <c r="G422" s="59"/>
      <c r="H422" s="6">
        <v>2500</v>
      </c>
      <c r="I422" s="6">
        <f t="shared" si="35"/>
        <v>228.17460317460316</v>
      </c>
      <c r="J422" s="2" t="s">
        <v>295</v>
      </c>
      <c r="K422" s="2" t="s">
        <v>296</v>
      </c>
      <c r="L422" s="2" t="s">
        <v>297</v>
      </c>
      <c r="M422" s="2" t="s">
        <v>298</v>
      </c>
      <c r="N422" s="2"/>
      <c r="O422" s="56">
        <v>1150</v>
      </c>
      <c r="P422" s="2"/>
      <c r="Q422" s="2"/>
      <c r="R422" s="2" t="s">
        <v>299</v>
      </c>
      <c r="S422" s="2" t="s">
        <v>241</v>
      </c>
      <c r="T422" s="2" t="s">
        <v>300</v>
      </c>
      <c r="U422" s="2" t="s">
        <v>301</v>
      </c>
      <c r="V422" s="2" t="s">
        <v>302</v>
      </c>
      <c r="W422" s="2" t="s">
        <v>303</v>
      </c>
      <c r="X422" s="2"/>
      <c r="Y422" s="2"/>
      <c r="Z422" s="2" t="s">
        <v>304</v>
      </c>
      <c r="AA422" s="2"/>
      <c r="AB422" s="2">
        <v>236</v>
      </c>
    </row>
    <row r="423" spans="1:28" hidden="1" x14ac:dyDescent="0.3">
      <c r="A423" s="4">
        <v>46198</v>
      </c>
      <c r="B423" s="8" t="s">
        <v>71</v>
      </c>
      <c r="C423" s="8" t="s">
        <v>36</v>
      </c>
      <c r="D423" s="7" t="s">
        <v>46</v>
      </c>
      <c r="E423" s="7" t="s">
        <v>47</v>
      </c>
      <c r="F423" s="13"/>
      <c r="G423" s="59"/>
      <c r="H423" s="6">
        <v>2500</v>
      </c>
      <c r="I423" s="6">
        <f t="shared" si="35"/>
        <v>282.82097649186255</v>
      </c>
      <c r="J423" s="2" t="s">
        <v>305</v>
      </c>
      <c r="K423" s="2" t="s">
        <v>306</v>
      </c>
      <c r="L423" s="2" t="s">
        <v>204</v>
      </c>
      <c r="M423" s="2" t="s">
        <v>307</v>
      </c>
      <c r="N423" s="2">
        <v>456</v>
      </c>
      <c r="O423" s="56">
        <v>1564</v>
      </c>
      <c r="P423" s="2" t="s">
        <v>160</v>
      </c>
      <c r="Q423" s="2" t="s">
        <v>308</v>
      </c>
      <c r="R423" s="2" t="s">
        <v>309</v>
      </c>
      <c r="S423" s="2" t="s">
        <v>76</v>
      </c>
      <c r="T423" s="2" t="s">
        <v>310</v>
      </c>
      <c r="U423" s="2">
        <v>150</v>
      </c>
      <c r="V423" s="2" t="s">
        <v>311</v>
      </c>
      <c r="W423" s="2" t="s">
        <v>312</v>
      </c>
      <c r="X423" s="2">
        <v>108925</v>
      </c>
      <c r="Y423" s="2">
        <v>313795</v>
      </c>
      <c r="Z423" s="2">
        <v>0</v>
      </c>
      <c r="AA423" s="2">
        <v>0</v>
      </c>
      <c r="AB423" s="2" t="s">
        <v>246</v>
      </c>
    </row>
    <row r="424" spans="1:28" x14ac:dyDescent="0.3">
      <c r="A424" s="4">
        <v>46198</v>
      </c>
      <c r="B424" s="8" t="s">
        <v>71</v>
      </c>
      <c r="C424" s="8" t="s">
        <v>36</v>
      </c>
      <c r="D424" s="7" t="s">
        <v>48</v>
      </c>
      <c r="E424" s="7" t="s">
        <v>38</v>
      </c>
      <c r="F424" s="13">
        <v>3896</v>
      </c>
      <c r="G424" s="59"/>
      <c r="H424" s="6">
        <f>24000/6</f>
        <v>4000</v>
      </c>
      <c r="I424" s="6">
        <f t="shared" si="35"/>
        <v>481.7551963048499</v>
      </c>
      <c r="J424" s="2" t="s">
        <v>313</v>
      </c>
      <c r="K424" s="2" t="s">
        <v>314</v>
      </c>
      <c r="L424" s="2">
        <v>1</v>
      </c>
      <c r="M424" s="2" t="s">
        <v>315</v>
      </c>
      <c r="N424" s="2">
        <v>843</v>
      </c>
      <c r="O424" s="77">
        <v>4172</v>
      </c>
      <c r="P424" s="2" t="s">
        <v>316</v>
      </c>
      <c r="Q424" s="2" t="s">
        <v>317</v>
      </c>
      <c r="R424" s="2" t="s">
        <v>318</v>
      </c>
      <c r="S424" s="2" t="s">
        <v>319</v>
      </c>
      <c r="T424" s="2" t="s">
        <v>319</v>
      </c>
      <c r="U424" s="2" t="s">
        <v>320</v>
      </c>
      <c r="V424" s="2" t="s">
        <v>321</v>
      </c>
      <c r="W424" s="2" t="s">
        <v>322</v>
      </c>
      <c r="X424" s="2">
        <v>405160</v>
      </c>
      <c r="Y424" s="2">
        <v>1433034</v>
      </c>
      <c r="Z424" s="2" t="s">
        <v>94</v>
      </c>
      <c r="AA424" s="2">
        <v>0</v>
      </c>
      <c r="AB424" s="2" t="s">
        <v>323</v>
      </c>
    </row>
    <row r="425" spans="1:28" hidden="1" x14ac:dyDescent="0.3">
      <c r="A425" s="4">
        <v>46198</v>
      </c>
      <c r="B425" s="8" t="s">
        <v>71</v>
      </c>
      <c r="C425" s="8" t="s">
        <v>36</v>
      </c>
      <c r="D425" s="7" t="s">
        <v>50</v>
      </c>
      <c r="E425" s="7" t="s">
        <v>47</v>
      </c>
      <c r="F425" s="13"/>
      <c r="G425" s="59"/>
      <c r="H425" s="6">
        <v>2500</v>
      </c>
      <c r="I425" s="6">
        <f t="shared" si="35"/>
        <v>148.05414551607444</v>
      </c>
      <c r="J425" s="2" t="s">
        <v>324</v>
      </c>
      <c r="K425" s="2" t="s">
        <v>325</v>
      </c>
      <c r="L425" s="2" t="s">
        <v>326</v>
      </c>
      <c r="M425" s="2" t="s">
        <v>327</v>
      </c>
      <c r="N425" s="2">
        <v>385</v>
      </c>
      <c r="O425" s="56">
        <v>875</v>
      </c>
      <c r="P425" s="2" t="s">
        <v>328</v>
      </c>
      <c r="Q425" s="2" t="s">
        <v>329</v>
      </c>
      <c r="R425" s="2" t="s">
        <v>330</v>
      </c>
      <c r="S425" s="2" t="s">
        <v>221</v>
      </c>
      <c r="T425" s="2" t="s">
        <v>197</v>
      </c>
      <c r="U425" s="2" t="s">
        <v>117</v>
      </c>
      <c r="V425" s="2" t="s">
        <v>331</v>
      </c>
      <c r="W425" s="2" t="s">
        <v>332</v>
      </c>
      <c r="X425" s="2">
        <v>137967</v>
      </c>
      <c r="Y425" s="2">
        <v>258875</v>
      </c>
      <c r="Z425" s="2" t="s">
        <v>120</v>
      </c>
      <c r="AA425" s="2">
        <v>0</v>
      </c>
      <c r="AB425" s="2">
        <v>307</v>
      </c>
    </row>
    <row r="426" spans="1:28" hidden="1" x14ac:dyDescent="0.3">
      <c r="A426" s="4">
        <v>46198</v>
      </c>
      <c r="B426" s="8" t="s">
        <v>71</v>
      </c>
      <c r="C426" s="8" t="s">
        <v>36</v>
      </c>
      <c r="D426" s="7" t="s">
        <v>49</v>
      </c>
      <c r="E426" s="7" t="s">
        <v>47</v>
      </c>
      <c r="F426" s="13"/>
      <c r="G426" s="59"/>
      <c r="H426" s="6">
        <v>2500</v>
      </c>
      <c r="I426" s="6">
        <f t="shared" si="35"/>
        <v>299.18831168831167</v>
      </c>
      <c r="J426" s="2" t="s">
        <v>333</v>
      </c>
      <c r="K426" s="2" t="s">
        <v>334</v>
      </c>
      <c r="L426" s="2" t="s">
        <v>236</v>
      </c>
      <c r="M426" s="2" t="s">
        <v>335</v>
      </c>
      <c r="N426" s="2">
        <v>589</v>
      </c>
      <c r="O426" s="56">
        <v>1843</v>
      </c>
      <c r="P426" s="2" t="s">
        <v>336</v>
      </c>
      <c r="Q426" s="2" t="s">
        <v>337</v>
      </c>
      <c r="R426" s="2" t="s">
        <v>338</v>
      </c>
      <c r="S426" s="2" t="s">
        <v>319</v>
      </c>
      <c r="T426" s="2" t="s">
        <v>339</v>
      </c>
      <c r="U426" s="2" t="s">
        <v>340</v>
      </c>
      <c r="V426" s="2" t="s">
        <v>341</v>
      </c>
      <c r="W426" s="2" t="s">
        <v>342</v>
      </c>
      <c r="X426" s="2">
        <v>171266</v>
      </c>
      <c r="Y426" s="2">
        <v>586825</v>
      </c>
      <c r="Z426" s="2" t="s">
        <v>94</v>
      </c>
      <c r="AA426" s="2">
        <v>0</v>
      </c>
      <c r="AB426" s="2" t="s">
        <v>343</v>
      </c>
    </row>
    <row r="427" spans="1:28" hidden="1" x14ac:dyDescent="0.3">
      <c r="A427" s="4">
        <v>46198</v>
      </c>
      <c r="B427" s="8" t="s">
        <v>71</v>
      </c>
      <c r="C427" s="8" t="s">
        <v>36</v>
      </c>
      <c r="D427" s="7" t="s">
        <v>52</v>
      </c>
      <c r="E427" s="7" t="s">
        <v>47</v>
      </c>
      <c r="F427" s="13"/>
      <c r="G427" s="59"/>
      <c r="H427" s="6">
        <v>2500</v>
      </c>
      <c r="I427" s="6">
        <f t="shared" si="35"/>
        <v>313.3656509695291</v>
      </c>
      <c r="J427" s="2" t="s">
        <v>344</v>
      </c>
      <c r="K427" s="2" t="s">
        <v>345</v>
      </c>
      <c r="L427" s="2" t="s">
        <v>346</v>
      </c>
      <c r="M427" s="2" t="s">
        <v>347</v>
      </c>
      <c r="N427" s="2">
        <v>1991</v>
      </c>
      <c r="O427" s="56">
        <v>4525</v>
      </c>
      <c r="P427" s="2" t="s">
        <v>328</v>
      </c>
      <c r="Q427" s="2" t="s">
        <v>348</v>
      </c>
      <c r="R427" s="2" t="s">
        <v>349</v>
      </c>
      <c r="S427" s="2" t="s">
        <v>319</v>
      </c>
      <c r="T427" s="2" t="s">
        <v>350</v>
      </c>
      <c r="U427" s="2" t="s">
        <v>105</v>
      </c>
      <c r="V427" s="2" t="s">
        <v>351</v>
      </c>
      <c r="W427" s="2" t="s">
        <v>352</v>
      </c>
      <c r="X427" s="2">
        <v>77464</v>
      </c>
      <c r="Y427" s="2">
        <v>165088</v>
      </c>
      <c r="Z427" s="2" t="s">
        <v>353</v>
      </c>
      <c r="AA427" s="2">
        <v>0</v>
      </c>
      <c r="AB427" s="2" t="s">
        <v>354</v>
      </c>
    </row>
    <row r="428" spans="1:28" hidden="1" x14ac:dyDescent="0.3">
      <c r="A428" s="4">
        <v>46198</v>
      </c>
      <c r="B428" s="8" t="s">
        <v>71</v>
      </c>
      <c r="C428" s="8" t="s">
        <v>36</v>
      </c>
      <c r="D428" s="7" t="s">
        <v>67</v>
      </c>
      <c r="E428" s="7" t="s">
        <v>47</v>
      </c>
      <c r="F428" s="13"/>
      <c r="G428" s="59"/>
      <c r="H428" s="6">
        <v>2500</v>
      </c>
      <c r="I428" s="6">
        <f t="shared" si="35"/>
        <v>281.13924050632909</v>
      </c>
      <c r="J428" s="2" t="s">
        <v>355</v>
      </c>
      <c r="K428" s="2" t="s">
        <v>356</v>
      </c>
      <c r="L428" s="2" t="s">
        <v>124</v>
      </c>
      <c r="M428" s="2" t="s">
        <v>357</v>
      </c>
      <c r="N428" s="2">
        <v>1034</v>
      </c>
      <c r="O428" s="56">
        <v>2221</v>
      </c>
      <c r="P428" s="2" t="s">
        <v>358</v>
      </c>
      <c r="Q428" s="2" t="s">
        <v>359</v>
      </c>
      <c r="R428" s="2" t="s">
        <v>360</v>
      </c>
      <c r="S428" s="2" t="s">
        <v>77</v>
      </c>
      <c r="T428" s="2" t="s">
        <v>126</v>
      </c>
      <c r="U428" s="2" t="s">
        <v>361</v>
      </c>
      <c r="V428" s="2" t="s">
        <v>362</v>
      </c>
      <c r="W428" s="2" t="s">
        <v>363</v>
      </c>
      <c r="X428" s="2">
        <v>29816</v>
      </c>
      <c r="Y428" s="2">
        <v>59406</v>
      </c>
      <c r="Z428" s="2" t="s">
        <v>364</v>
      </c>
      <c r="AA428" s="2">
        <v>0</v>
      </c>
      <c r="AB428" s="2" t="s">
        <v>365</v>
      </c>
    </row>
    <row r="429" spans="1:28" hidden="1" x14ac:dyDescent="0.3">
      <c r="A429" s="4">
        <v>46199</v>
      </c>
      <c r="B429" s="8" t="s">
        <v>55</v>
      </c>
      <c r="C429" s="8" t="s">
        <v>56</v>
      </c>
      <c r="D429" s="7" t="s">
        <v>39</v>
      </c>
      <c r="E429" s="7" t="s">
        <v>47</v>
      </c>
      <c r="F429" s="13"/>
      <c r="G429" s="59" t="s">
        <v>146</v>
      </c>
      <c r="H429" s="6"/>
      <c r="I429" s="6">
        <f t="shared" si="35"/>
        <v>0</v>
      </c>
      <c r="J429" s="2"/>
      <c r="K429" s="2"/>
      <c r="L429" s="2"/>
      <c r="M429" s="2"/>
      <c r="N429" s="2"/>
      <c r="O429" s="56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idden="1" x14ac:dyDescent="0.3">
      <c r="A430" s="4">
        <v>46199</v>
      </c>
      <c r="B430" s="8" t="s">
        <v>71</v>
      </c>
      <c r="C430" s="8" t="s">
        <v>36</v>
      </c>
      <c r="D430" s="7" t="s">
        <v>43</v>
      </c>
      <c r="E430" s="7" t="s">
        <v>47</v>
      </c>
      <c r="F430" s="13"/>
      <c r="G430" s="59"/>
      <c r="H430" s="6">
        <v>2500</v>
      </c>
      <c r="I430" s="6">
        <f t="shared" si="35"/>
        <v>307.94165316045382</v>
      </c>
      <c r="J430" s="2" t="s">
        <v>366</v>
      </c>
      <c r="K430" s="2" t="s">
        <v>367</v>
      </c>
      <c r="L430" s="2" t="s">
        <v>368</v>
      </c>
      <c r="M430" s="2" t="s">
        <v>369</v>
      </c>
      <c r="N430" s="2"/>
      <c r="O430" s="56">
        <v>1900</v>
      </c>
      <c r="P430" s="2"/>
      <c r="Q430" s="2"/>
      <c r="R430" s="2" t="s">
        <v>115</v>
      </c>
      <c r="S430" s="2" t="s">
        <v>76</v>
      </c>
      <c r="T430" s="2" t="s">
        <v>90</v>
      </c>
      <c r="U430" s="2" t="s">
        <v>370</v>
      </c>
      <c r="V430" s="2" t="s">
        <v>371</v>
      </c>
      <c r="W430" s="2" t="s">
        <v>372</v>
      </c>
      <c r="X430" s="2"/>
      <c r="Y430" s="2"/>
      <c r="Z430" s="2" t="s">
        <v>94</v>
      </c>
      <c r="AA430" s="2"/>
      <c r="AB430" s="2" t="s">
        <v>373</v>
      </c>
    </row>
    <row r="431" spans="1:28" hidden="1" x14ac:dyDescent="0.3">
      <c r="A431" s="4">
        <v>46199</v>
      </c>
      <c r="B431" s="8" t="s">
        <v>71</v>
      </c>
      <c r="C431" s="8" t="s">
        <v>36</v>
      </c>
      <c r="D431" s="7" t="s">
        <v>46</v>
      </c>
      <c r="E431" s="7" t="s">
        <v>47</v>
      </c>
      <c r="F431" s="13"/>
      <c r="G431" s="59"/>
      <c r="H431" s="6">
        <v>2500</v>
      </c>
      <c r="I431" s="6">
        <f t="shared" si="35"/>
        <v>237.58064516129031</v>
      </c>
      <c r="J431" s="2" t="s">
        <v>374</v>
      </c>
      <c r="K431" s="2" t="s">
        <v>375</v>
      </c>
      <c r="L431" s="2" t="s">
        <v>376</v>
      </c>
      <c r="M431" s="2" t="s">
        <v>377</v>
      </c>
      <c r="N431" s="2">
        <v>533</v>
      </c>
      <c r="O431" s="56">
        <v>1473</v>
      </c>
      <c r="P431" s="2" t="s">
        <v>378</v>
      </c>
      <c r="Q431" s="2" t="s">
        <v>379</v>
      </c>
      <c r="R431" s="2" t="s">
        <v>380</v>
      </c>
      <c r="S431" s="2" t="s">
        <v>276</v>
      </c>
      <c r="T431" s="2" t="s">
        <v>381</v>
      </c>
      <c r="U431" s="2" t="s">
        <v>382</v>
      </c>
      <c r="V431" s="2" t="s">
        <v>383</v>
      </c>
      <c r="W431" s="2" t="s">
        <v>384</v>
      </c>
      <c r="X431" s="2">
        <v>109458</v>
      </c>
      <c r="Y431" s="2">
        <v>315268</v>
      </c>
      <c r="Z431" s="2" t="s">
        <v>94</v>
      </c>
      <c r="AA431" s="2">
        <v>0</v>
      </c>
      <c r="AB431" s="2" t="s">
        <v>385</v>
      </c>
    </row>
    <row r="432" spans="1:28" x14ac:dyDescent="0.3">
      <c r="A432" s="4">
        <v>46199</v>
      </c>
      <c r="B432" s="8" t="s">
        <v>71</v>
      </c>
      <c r="C432" s="8" t="s">
        <v>36</v>
      </c>
      <c r="D432" s="7" t="s">
        <v>48</v>
      </c>
      <c r="E432" s="7" t="s">
        <v>38</v>
      </c>
      <c r="F432" s="13">
        <v>3662</v>
      </c>
      <c r="G432" s="59"/>
      <c r="H432" s="6">
        <f>24000/6</f>
        <v>4000</v>
      </c>
      <c r="I432" s="6">
        <f t="shared" si="35"/>
        <v>507.69230769230774</v>
      </c>
      <c r="J432" s="2" t="s">
        <v>386</v>
      </c>
      <c r="K432" s="2" t="s">
        <v>387</v>
      </c>
      <c r="L432" s="2" t="s">
        <v>124</v>
      </c>
      <c r="M432" s="2" t="s">
        <v>388</v>
      </c>
      <c r="N432" s="2">
        <v>836</v>
      </c>
      <c r="O432" s="77">
        <v>4026</v>
      </c>
      <c r="P432" s="2" t="s">
        <v>389</v>
      </c>
      <c r="Q432" s="2" t="s">
        <v>390</v>
      </c>
      <c r="R432" s="2" t="s">
        <v>391</v>
      </c>
      <c r="S432" s="2" t="s">
        <v>241</v>
      </c>
      <c r="T432" s="2" t="s">
        <v>392</v>
      </c>
      <c r="U432" s="2" t="s">
        <v>393</v>
      </c>
      <c r="V432" s="2" t="s">
        <v>394</v>
      </c>
      <c r="W432" s="2" t="s">
        <v>395</v>
      </c>
      <c r="X432" s="2">
        <v>405996</v>
      </c>
      <c r="Y432" s="2">
        <v>1437060</v>
      </c>
      <c r="Z432" s="2" t="s">
        <v>94</v>
      </c>
      <c r="AA432" s="2">
        <v>0</v>
      </c>
      <c r="AB432" s="2" t="s">
        <v>396</v>
      </c>
    </row>
    <row r="433" spans="1:28" hidden="1" x14ac:dyDescent="0.3">
      <c r="A433" s="4">
        <v>46199</v>
      </c>
      <c r="B433" s="8" t="s">
        <v>71</v>
      </c>
      <c r="C433" s="8" t="s">
        <v>36</v>
      </c>
      <c r="D433" s="7" t="s">
        <v>50</v>
      </c>
      <c r="E433" s="7" t="s">
        <v>47</v>
      </c>
      <c r="F433" s="13"/>
      <c r="G433" s="59"/>
      <c r="H433" s="6">
        <v>2500</v>
      </c>
      <c r="I433" s="6">
        <f t="shared" si="35"/>
        <v>445.67474048442904</v>
      </c>
      <c r="J433" s="2" t="s">
        <v>397</v>
      </c>
      <c r="K433" s="2" t="s">
        <v>186</v>
      </c>
      <c r="L433" s="2" t="s">
        <v>124</v>
      </c>
      <c r="M433" s="2" t="s">
        <v>398</v>
      </c>
      <c r="N433" s="2">
        <v>932</v>
      </c>
      <c r="O433" s="56">
        <v>2576</v>
      </c>
      <c r="P433" s="2" t="s">
        <v>378</v>
      </c>
      <c r="Q433" s="2" t="s">
        <v>399</v>
      </c>
      <c r="R433" s="2" t="s">
        <v>400</v>
      </c>
      <c r="S433" s="2" t="s">
        <v>90</v>
      </c>
      <c r="T433" s="2" t="s">
        <v>401</v>
      </c>
      <c r="U433" s="2" t="s">
        <v>402</v>
      </c>
      <c r="V433" s="2" t="s">
        <v>403</v>
      </c>
      <c r="W433" s="2" t="s">
        <v>404</v>
      </c>
      <c r="X433" s="2">
        <v>138899</v>
      </c>
      <c r="Y433" s="2">
        <v>261451</v>
      </c>
      <c r="Z433" s="2" t="s">
        <v>232</v>
      </c>
      <c r="AA433" s="2">
        <v>0</v>
      </c>
      <c r="AB433" s="2" t="s">
        <v>405</v>
      </c>
    </row>
    <row r="434" spans="1:28" hidden="1" x14ac:dyDescent="0.3">
      <c r="A434" s="4">
        <v>46199</v>
      </c>
      <c r="B434" s="8" t="s">
        <v>71</v>
      </c>
      <c r="C434" s="8" t="s">
        <v>36</v>
      </c>
      <c r="D434" s="7" t="s">
        <v>49</v>
      </c>
      <c r="E434" s="7" t="s">
        <v>47</v>
      </c>
      <c r="F434" s="13"/>
      <c r="G434" s="59"/>
      <c r="H434" s="6">
        <v>2500</v>
      </c>
      <c r="I434" s="6">
        <f t="shared" si="35"/>
        <v>480.10610079575599</v>
      </c>
      <c r="J434" s="2" t="s">
        <v>406</v>
      </c>
      <c r="K434" s="2" t="s">
        <v>407</v>
      </c>
      <c r="L434" s="2" t="s">
        <v>281</v>
      </c>
      <c r="M434" s="2" t="s">
        <v>408</v>
      </c>
      <c r="N434" s="2">
        <v>1060</v>
      </c>
      <c r="O434" s="56">
        <v>3620</v>
      </c>
      <c r="P434" s="2" t="s">
        <v>155</v>
      </c>
      <c r="Q434" s="2" t="s">
        <v>409</v>
      </c>
      <c r="R434" s="2" t="s">
        <v>410</v>
      </c>
      <c r="S434" s="2" t="s">
        <v>90</v>
      </c>
      <c r="T434" s="2" t="s">
        <v>411</v>
      </c>
      <c r="U434" s="2" t="s">
        <v>412</v>
      </c>
      <c r="V434" s="2" t="s">
        <v>413</v>
      </c>
      <c r="W434" s="2" t="s">
        <v>414</v>
      </c>
      <c r="X434" s="2">
        <v>172326</v>
      </c>
      <c r="Y434" s="2">
        <v>590445</v>
      </c>
      <c r="Z434" s="2">
        <v>0</v>
      </c>
      <c r="AA434" s="2">
        <v>0</v>
      </c>
      <c r="AB434" s="2" t="s">
        <v>343</v>
      </c>
    </row>
    <row r="435" spans="1:28" hidden="1" x14ac:dyDescent="0.3">
      <c r="A435" s="4">
        <v>46199</v>
      </c>
      <c r="B435" s="8" t="s">
        <v>71</v>
      </c>
      <c r="C435" s="8" t="s">
        <v>36</v>
      </c>
      <c r="D435" s="7" t="s">
        <v>52</v>
      </c>
      <c r="E435" s="7" t="s">
        <v>47</v>
      </c>
      <c r="F435" s="13"/>
      <c r="G435" s="59"/>
      <c r="H435" s="6">
        <v>2500</v>
      </c>
      <c r="I435" s="6">
        <f t="shared" si="35"/>
        <v>330.44754218635359</v>
      </c>
      <c r="J435" s="2" t="s">
        <v>415</v>
      </c>
      <c r="K435" s="2" t="s">
        <v>416</v>
      </c>
      <c r="L435" s="2" t="s">
        <v>417</v>
      </c>
      <c r="M435" s="2" t="s">
        <v>418</v>
      </c>
      <c r="N435" s="2">
        <v>1870</v>
      </c>
      <c r="O435" s="56">
        <v>4504</v>
      </c>
      <c r="P435" s="2" t="s">
        <v>419</v>
      </c>
      <c r="Q435" s="2" t="s">
        <v>415</v>
      </c>
      <c r="R435" s="2" t="s">
        <v>420</v>
      </c>
      <c r="S435" s="2" t="s">
        <v>129</v>
      </c>
      <c r="T435" s="2" t="s">
        <v>77</v>
      </c>
      <c r="U435" s="2" t="s">
        <v>421</v>
      </c>
      <c r="V435" s="2" t="s">
        <v>422</v>
      </c>
      <c r="W435" s="2" t="s">
        <v>423</v>
      </c>
      <c r="X435" s="2">
        <v>79334</v>
      </c>
      <c r="Y435" s="2">
        <v>169592</v>
      </c>
      <c r="Z435" s="2" t="s">
        <v>424</v>
      </c>
      <c r="AA435" s="2">
        <v>0</v>
      </c>
      <c r="AB435" s="2">
        <v>77</v>
      </c>
    </row>
    <row r="436" spans="1:28" hidden="1" x14ac:dyDescent="0.3">
      <c r="A436" s="4">
        <v>46199</v>
      </c>
      <c r="B436" s="8" t="s">
        <v>71</v>
      </c>
      <c r="C436" s="8" t="s">
        <v>36</v>
      </c>
      <c r="D436" s="7" t="s">
        <v>67</v>
      </c>
      <c r="E436" s="7" t="s">
        <v>47</v>
      </c>
      <c r="F436" s="13"/>
      <c r="G436" s="59"/>
      <c r="H436" s="6">
        <v>2500</v>
      </c>
      <c r="I436" s="6">
        <f t="shared" si="35"/>
        <v>191.30434782608697</v>
      </c>
      <c r="J436" s="2" t="s">
        <v>425</v>
      </c>
      <c r="K436" s="2" t="s">
        <v>426</v>
      </c>
      <c r="L436" s="2" t="s">
        <v>326</v>
      </c>
      <c r="M436" s="2" t="s">
        <v>427</v>
      </c>
      <c r="N436" s="2">
        <v>553</v>
      </c>
      <c r="O436" s="56">
        <v>924</v>
      </c>
      <c r="P436" s="2" t="s">
        <v>428</v>
      </c>
      <c r="Q436" s="2" t="s">
        <v>429</v>
      </c>
      <c r="R436" s="2" t="s">
        <v>430</v>
      </c>
      <c r="S436" s="2" t="s">
        <v>291</v>
      </c>
      <c r="T436" s="2" t="s">
        <v>431</v>
      </c>
      <c r="U436" s="2" t="s">
        <v>432</v>
      </c>
      <c r="V436" s="2" t="s">
        <v>433</v>
      </c>
      <c r="W436" s="2" t="s">
        <v>434</v>
      </c>
      <c r="X436" s="2">
        <v>30369</v>
      </c>
      <c r="Y436" s="2">
        <v>60330</v>
      </c>
      <c r="Z436" s="2" t="s">
        <v>435</v>
      </c>
      <c r="AA436" s="2">
        <v>0</v>
      </c>
      <c r="AB436" s="2" t="s">
        <v>436</v>
      </c>
    </row>
    <row r="437" spans="1:28" hidden="1" x14ac:dyDescent="0.3">
      <c r="A437" s="4">
        <v>46200</v>
      </c>
      <c r="B437" s="8" t="s">
        <v>55</v>
      </c>
      <c r="C437" s="8" t="s">
        <v>56</v>
      </c>
      <c r="D437" s="7" t="s">
        <v>39</v>
      </c>
      <c r="E437" s="7" t="s">
        <v>47</v>
      </c>
      <c r="F437" s="13"/>
      <c r="G437" s="59" t="s">
        <v>146</v>
      </c>
      <c r="H437" s="6"/>
      <c r="I437" s="6">
        <f t="shared" si="35"/>
        <v>0</v>
      </c>
      <c r="J437" s="2"/>
      <c r="K437" s="2"/>
      <c r="L437" s="2"/>
      <c r="M437" s="2"/>
      <c r="N437" s="2"/>
      <c r="O437" s="56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idden="1" x14ac:dyDescent="0.3">
      <c r="A438" s="4">
        <v>46200</v>
      </c>
      <c r="B438" s="8" t="s">
        <v>71</v>
      </c>
      <c r="C438" s="8" t="s">
        <v>36</v>
      </c>
      <c r="D438" s="7" t="s">
        <v>43</v>
      </c>
      <c r="E438" s="7" t="s">
        <v>47</v>
      </c>
      <c r="F438" s="13"/>
      <c r="G438" s="59"/>
      <c r="H438" s="6">
        <v>3000</v>
      </c>
      <c r="I438" s="6">
        <f t="shared" si="35"/>
        <v>278.6144578313253</v>
      </c>
      <c r="J438" s="2" t="s">
        <v>437</v>
      </c>
      <c r="K438" s="2" t="s">
        <v>438</v>
      </c>
      <c r="L438" s="2" t="s">
        <v>376</v>
      </c>
      <c r="M438" s="2" t="s">
        <v>439</v>
      </c>
      <c r="N438" s="2"/>
      <c r="O438" s="56">
        <v>925</v>
      </c>
      <c r="P438" s="2"/>
      <c r="Q438" s="2"/>
      <c r="R438" s="2" t="s">
        <v>440</v>
      </c>
      <c r="S438" s="2" t="s">
        <v>241</v>
      </c>
      <c r="T438" s="2" t="s">
        <v>441</v>
      </c>
      <c r="U438" s="2" t="s">
        <v>164</v>
      </c>
      <c r="V438" s="2" t="s">
        <v>442</v>
      </c>
      <c r="W438" s="2" t="s">
        <v>443</v>
      </c>
      <c r="X438" s="2"/>
      <c r="Y438" s="2"/>
      <c r="Z438" s="2" t="s">
        <v>124</v>
      </c>
      <c r="AA438" s="2"/>
      <c r="AB438" s="2" t="s">
        <v>444</v>
      </c>
    </row>
    <row r="439" spans="1:28" hidden="1" x14ac:dyDescent="0.3">
      <c r="A439" s="4">
        <v>46200</v>
      </c>
      <c r="B439" s="8" t="s">
        <v>71</v>
      </c>
      <c r="C439" s="8" t="s">
        <v>36</v>
      </c>
      <c r="D439" s="7" t="s">
        <v>46</v>
      </c>
      <c r="E439" s="7" t="s">
        <v>40</v>
      </c>
      <c r="F439" s="13"/>
      <c r="G439" s="59"/>
      <c r="H439" s="6"/>
      <c r="I439" s="6">
        <f t="shared" si="35"/>
        <v>167.37588652482268</v>
      </c>
      <c r="J439" s="2" t="s">
        <v>425</v>
      </c>
      <c r="K439" s="2" t="s">
        <v>445</v>
      </c>
      <c r="L439" s="2" t="s">
        <v>201</v>
      </c>
      <c r="M439" s="2" t="s">
        <v>446</v>
      </c>
      <c r="N439" s="2">
        <v>292</v>
      </c>
      <c r="O439" s="56">
        <v>708</v>
      </c>
      <c r="P439" s="2" t="s">
        <v>447</v>
      </c>
      <c r="Q439" s="2" t="s">
        <v>448</v>
      </c>
      <c r="R439" s="2" t="s">
        <v>449</v>
      </c>
      <c r="S439" s="2" t="s">
        <v>276</v>
      </c>
      <c r="T439" s="2" t="s">
        <v>450</v>
      </c>
      <c r="U439" s="2" t="s">
        <v>451</v>
      </c>
      <c r="V439" s="2" t="s">
        <v>452</v>
      </c>
      <c r="W439" s="2" t="s">
        <v>453</v>
      </c>
      <c r="X439" s="2">
        <v>109750</v>
      </c>
      <c r="Y439" s="2">
        <v>315976</v>
      </c>
      <c r="Z439" s="2">
        <v>0</v>
      </c>
      <c r="AA439" s="2">
        <v>0</v>
      </c>
      <c r="AB439" s="2" t="s">
        <v>385</v>
      </c>
    </row>
    <row r="440" spans="1:28" x14ac:dyDescent="0.3">
      <c r="A440" s="4">
        <v>46200</v>
      </c>
      <c r="B440" s="8" t="s">
        <v>71</v>
      </c>
      <c r="C440" s="8" t="s">
        <v>36</v>
      </c>
      <c r="D440" s="7" t="s">
        <v>48</v>
      </c>
      <c r="E440" s="7" t="s">
        <v>38</v>
      </c>
      <c r="F440" s="13">
        <v>1433</v>
      </c>
      <c r="G440" s="59"/>
      <c r="H440" s="6">
        <f>24000/6</f>
        <v>4000</v>
      </c>
      <c r="I440" s="6">
        <f t="shared" si="35"/>
        <v>503.09597523219816</v>
      </c>
      <c r="J440" s="2" t="s">
        <v>445</v>
      </c>
      <c r="K440" s="2" t="s">
        <v>454</v>
      </c>
      <c r="L440" s="2">
        <v>1</v>
      </c>
      <c r="M440" s="2" t="s">
        <v>455</v>
      </c>
      <c r="N440" s="2">
        <v>354</v>
      </c>
      <c r="O440" s="77">
        <v>1625</v>
      </c>
      <c r="P440" s="2" t="s">
        <v>456</v>
      </c>
      <c r="Q440" s="2" t="s">
        <v>457</v>
      </c>
      <c r="R440" s="2" t="s">
        <v>458</v>
      </c>
      <c r="S440" s="2" t="s">
        <v>129</v>
      </c>
      <c r="T440" s="2" t="s">
        <v>129</v>
      </c>
      <c r="U440" s="2" t="s">
        <v>459</v>
      </c>
      <c r="V440" s="2" t="s">
        <v>460</v>
      </c>
      <c r="W440" s="2" t="s">
        <v>461</v>
      </c>
      <c r="X440" s="2">
        <v>406350</v>
      </c>
      <c r="Y440" s="2">
        <v>1438685</v>
      </c>
      <c r="Z440" s="2" t="s">
        <v>94</v>
      </c>
      <c r="AA440" s="2">
        <v>0</v>
      </c>
      <c r="AB440" s="2" t="s">
        <v>462</v>
      </c>
    </row>
    <row r="441" spans="1:28" hidden="1" x14ac:dyDescent="0.3">
      <c r="A441" s="4">
        <v>46200</v>
      </c>
      <c r="B441" s="8" t="s">
        <v>71</v>
      </c>
      <c r="C441" s="8" t="s">
        <v>36</v>
      </c>
      <c r="D441" s="7" t="s">
        <v>50</v>
      </c>
      <c r="E441" s="7" t="s">
        <v>47</v>
      </c>
      <c r="F441" s="13"/>
      <c r="G441" s="59"/>
      <c r="H441" s="6">
        <v>3000</v>
      </c>
      <c r="I441" s="6">
        <f t="shared" si="35"/>
        <v>195.38950715421305</v>
      </c>
      <c r="J441" s="2" t="s">
        <v>463</v>
      </c>
      <c r="K441" s="2" t="s">
        <v>464</v>
      </c>
      <c r="L441" s="2" t="s">
        <v>297</v>
      </c>
      <c r="M441" s="2" t="s">
        <v>465</v>
      </c>
      <c r="N441" s="2">
        <v>683</v>
      </c>
      <c r="O441" s="56">
        <v>1229</v>
      </c>
      <c r="P441" s="2" t="s">
        <v>353</v>
      </c>
      <c r="Q441" s="2" t="s">
        <v>466</v>
      </c>
      <c r="R441" s="2" t="s">
        <v>467</v>
      </c>
      <c r="S441" s="2" t="s">
        <v>241</v>
      </c>
      <c r="T441" s="2" t="s">
        <v>300</v>
      </c>
      <c r="U441" s="2" t="s">
        <v>330</v>
      </c>
      <c r="V441" s="2" t="s">
        <v>468</v>
      </c>
      <c r="W441" s="2" t="s">
        <v>469</v>
      </c>
      <c r="X441" s="2">
        <v>139582</v>
      </c>
      <c r="Y441" s="2">
        <v>262680</v>
      </c>
      <c r="Z441" s="2" t="s">
        <v>120</v>
      </c>
      <c r="AA441" s="2">
        <v>0</v>
      </c>
      <c r="AB441" s="2" t="s">
        <v>470</v>
      </c>
    </row>
    <row r="442" spans="1:28" hidden="1" x14ac:dyDescent="0.3">
      <c r="A442" s="4">
        <v>46200</v>
      </c>
      <c r="B442" s="8" t="s">
        <v>71</v>
      </c>
      <c r="C442" s="8" t="s">
        <v>36</v>
      </c>
      <c r="D442" s="7" t="s">
        <v>49</v>
      </c>
      <c r="E442" s="7" t="s">
        <v>47</v>
      </c>
      <c r="F442" s="13"/>
      <c r="G442" s="59"/>
      <c r="H442" s="6">
        <v>3000</v>
      </c>
      <c r="I442" s="6">
        <f t="shared" si="35"/>
        <v>613.7123745819398</v>
      </c>
      <c r="J442" s="2" t="s">
        <v>110</v>
      </c>
      <c r="K442" s="2" t="s">
        <v>471</v>
      </c>
      <c r="L442" s="2" t="s">
        <v>173</v>
      </c>
      <c r="M442" s="2" t="s">
        <v>472</v>
      </c>
      <c r="N442" s="2">
        <v>1074</v>
      </c>
      <c r="O442" s="56">
        <v>3670</v>
      </c>
      <c r="P442" s="2" t="s">
        <v>155</v>
      </c>
      <c r="Q442" s="2" t="s">
        <v>473</v>
      </c>
      <c r="R442" s="2" t="s">
        <v>474</v>
      </c>
      <c r="S442" s="2" t="s">
        <v>140</v>
      </c>
      <c r="T442" s="2" t="s">
        <v>475</v>
      </c>
      <c r="U442" s="2" t="s">
        <v>476</v>
      </c>
      <c r="V442" s="2" t="s">
        <v>477</v>
      </c>
      <c r="W442" s="2" t="s">
        <v>478</v>
      </c>
      <c r="X442" s="2">
        <v>173400</v>
      </c>
      <c r="Y442" s="2">
        <v>594115</v>
      </c>
      <c r="Z442" s="2">
        <v>0</v>
      </c>
      <c r="AA442" s="2">
        <v>0</v>
      </c>
      <c r="AB442" s="2" t="s">
        <v>343</v>
      </c>
    </row>
    <row r="443" spans="1:28" hidden="1" x14ac:dyDescent="0.3">
      <c r="A443" s="4">
        <v>46200</v>
      </c>
      <c r="B443" s="8" t="s">
        <v>71</v>
      </c>
      <c r="C443" s="8" t="s">
        <v>36</v>
      </c>
      <c r="D443" s="7" t="s">
        <v>52</v>
      </c>
      <c r="E443" s="7" t="s">
        <v>47</v>
      </c>
      <c r="F443" s="13"/>
      <c r="G443" s="59"/>
      <c r="H443" s="6">
        <v>3000</v>
      </c>
      <c r="I443" s="6">
        <f t="shared" ref="I443:I465" si="36">IFERROR(O443/K443,)</f>
        <v>257.24137931034483</v>
      </c>
      <c r="J443" s="2" t="s">
        <v>479</v>
      </c>
      <c r="K443" s="2" t="s">
        <v>136</v>
      </c>
      <c r="L443" s="2" t="s">
        <v>480</v>
      </c>
      <c r="M443" s="2" t="s">
        <v>481</v>
      </c>
      <c r="N443" s="2">
        <v>1422</v>
      </c>
      <c r="O443" s="56">
        <v>3357</v>
      </c>
      <c r="P443" s="2" t="s">
        <v>482</v>
      </c>
      <c r="Q443" s="2" t="s">
        <v>483</v>
      </c>
      <c r="R443" s="2" t="s">
        <v>484</v>
      </c>
      <c r="S443" s="2" t="s">
        <v>76</v>
      </c>
      <c r="T443" s="2" t="s">
        <v>485</v>
      </c>
      <c r="U443" s="2" t="s">
        <v>486</v>
      </c>
      <c r="V443" s="2" t="s">
        <v>487</v>
      </c>
      <c r="W443" s="2" t="s">
        <v>488</v>
      </c>
      <c r="X443" s="2">
        <v>80756</v>
      </c>
      <c r="Y443" s="2">
        <v>172949</v>
      </c>
      <c r="Z443" s="2">
        <v>2</v>
      </c>
      <c r="AA443" s="2">
        <v>0</v>
      </c>
      <c r="AB443" s="2">
        <v>79</v>
      </c>
    </row>
    <row r="444" spans="1:28" hidden="1" x14ac:dyDescent="0.3">
      <c r="A444" s="4">
        <v>46200</v>
      </c>
      <c r="B444" s="8" t="s">
        <v>71</v>
      </c>
      <c r="C444" s="8" t="s">
        <v>36</v>
      </c>
      <c r="D444" s="7" t="s">
        <v>67</v>
      </c>
      <c r="E444" s="7" t="s">
        <v>47</v>
      </c>
      <c r="F444" s="13"/>
      <c r="G444" s="59"/>
      <c r="H444" s="6">
        <v>3000</v>
      </c>
      <c r="I444" s="6">
        <f t="shared" si="36"/>
        <v>185.51236749116606</v>
      </c>
      <c r="J444" s="2" t="s">
        <v>489</v>
      </c>
      <c r="K444" s="2" t="s">
        <v>235</v>
      </c>
      <c r="L444" s="2" t="s">
        <v>368</v>
      </c>
      <c r="M444" s="2" t="s">
        <v>490</v>
      </c>
      <c r="N444" s="2">
        <v>516</v>
      </c>
      <c r="O444" s="56">
        <v>1050</v>
      </c>
      <c r="P444" s="2" t="s">
        <v>491</v>
      </c>
      <c r="Q444" s="2" t="s">
        <v>492</v>
      </c>
      <c r="R444" s="2" t="s">
        <v>493</v>
      </c>
      <c r="S444" s="2" t="s">
        <v>319</v>
      </c>
      <c r="T444" s="2" t="s">
        <v>494</v>
      </c>
      <c r="U444" s="2" t="s">
        <v>495</v>
      </c>
      <c r="V444" s="2" t="s">
        <v>496</v>
      </c>
      <c r="W444" s="2" t="s">
        <v>497</v>
      </c>
      <c r="X444" s="2">
        <v>30885</v>
      </c>
      <c r="Y444" s="2">
        <v>61380</v>
      </c>
      <c r="Z444" s="2">
        <v>0</v>
      </c>
      <c r="AA444" s="2">
        <v>0</v>
      </c>
      <c r="AB444" s="2" t="s">
        <v>436</v>
      </c>
    </row>
    <row r="445" spans="1:28" hidden="1" x14ac:dyDescent="0.3">
      <c r="A445" s="4">
        <v>46201</v>
      </c>
      <c r="B445" s="8" t="s">
        <v>55</v>
      </c>
      <c r="C445" s="8" t="s">
        <v>56</v>
      </c>
      <c r="D445" s="7" t="s">
        <v>43</v>
      </c>
      <c r="E445" s="7" t="s">
        <v>47</v>
      </c>
      <c r="F445" s="13"/>
      <c r="G445" s="59"/>
      <c r="H445" s="6"/>
      <c r="I445" s="6">
        <f t="shared" si="36"/>
        <v>0</v>
      </c>
      <c r="J445" s="2" t="s">
        <v>498</v>
      </c>
      <c r="K445" s="2" t="s">
        <v>499</v>
      </c>
      <c r="L445" s="2" t="s">
        <v>500</v>
      </c>
      <c r="M445" s="2" t="s">
        <v>501</v>
      </c>
      <c r="N445" s="2"/>
      <c r="O445" s="56">
        <v>0</v>
      </c>
      <c r="P445" s="2"/>
      <c r="Q445" s="2"/>
      <c r="R445" s="2" t="s">
        <v>502</v>
      </c>
      <c r="S445" s="2" t="s">
        <v>503</v>
      </c>
      <c r="T445" s="2" t="s">
        <v>504</v>
      </c>
      <c r="U445" s="2" t="s">
        <v>505</v>
      </c>
      <c r="V445" s="2" t="s">
        <v>506</v>
      </c>
      <c r="W445" s="2" t="s">
        <v>507</v>
      </c>
      <c r="X445" s="2"/>
      <c r="Y445" s="2"/>
      <c r="Z445" s="2" t="s">
        <v>94</v>
      </c>
      <c r="AA445" s="2"/>
      <c r="AB445" s="2" t="s">
        <v>508</v>
      </c>
    </row>
    <row r="446" spans="1:28" hidden="1" x14ac:dyDescent="0.3">
      <c r="A446" s="4">
        <v>46201</v>
      </c>
      <c r="B446" s="8" t="s">
        <v>55</v>
      </c>
      <c r="C446" s="8" t="s">
        <v>56</v>
      </c>
      <c r="D446" s="7" t="s">
        <v>39</v>
      </c>
      <c r="E446" s="7" t="s">
        <v>47</v>
      </c>
      <c r="F446" s="13"/>
      <c r="G446" s="59" t="s">
        <v>146</v>
      </c>
      <c r="H446" s="6"/>
      <c r="I446" s="6">
        <f t="shared" si="36"/>
        <v>0</v>
      </c>
      <c r="J446" s="2"/>
      <c r="K446" s="2"/>
      <c r="L446" s="2"/>
      <c r="M446" s="2"/>
      <c r="N446" s="2"/>
      <c r="O446" s="56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3">
      <c r="A447" s="4">
        <v>46201</v>
      </c>
      <c r="B447" s="8" t="s">
        <v>55</v>
      </c>
      <c r="C447" s="8" t="s">
        <v>56</v>
      </c>
      <c r="D447" s="7" t="s">
        <v>48</v>
      </c>
      <c r="E447" s="7" t="s">
        <v>38</v>
      </c>
      <c r="F447" s="13"/>
      <c r="G447" s="59"/>
      <c r="H447" s="6"/>
      <c r="I447" s="6">
        <f t="shared" si="36"/>
        <v>0</v>
      </c>
      <c r="J447" s="2">
        <v>0</v>
      </c>
      <c r="K447" s="2">
        <v>0</v>
      </c>
      <c r="L447" s="2">
        <v>0</v>
      </c>
      <c r="M447" s="2"/>
      <c r="N447" s="2">
        <v>0</v>
      </c>
      <c r="O447" s="77">
        <v>0</v>
      </c>
      <c r="P447" s="2"/>
      <c r="Q447" s="2"/>
      <c r="R447" s="2">
        <v>0</v>
      </c>
      <c r="S447" s="2">
        <v>0</v>
      </c>
      <c r="T447" s="2"/>
      <c r="U447" s="2">
        <v>0</v>
      </c>
      <c r="V447" s="2"/>
      <c r="W447" s="2" t="s">
        <v>461</v>
      </c>
      <c r="X447" s="2">
        <v>406350</v>
      </c>
      <c r="Y447" s="2">
        <v>1438685</v>
      </c>
      <c r="Z447" s="2">
        <v>0</v>
      </c>
      <c r="AA447" s="2"/>
      <c r="AB447" s="2" t="s">
        <v>462</v>
      </c>
    </row>
    <row r="448" spans="1:28" hidden="1" x14ac:dyDescent="0.3">
      <c r="A448" s="4">
        <v>46201</v>
      </c>
      <c r="B448" s="8" t="s">
        <v>55</v>
      </c>
      <c r="C448" s="8" t="s">
        <v>56</v>
      </c>
      <c r="D448" s="7" t="s">
        <v>50</v>
      </c>
      <c r="E448" s="7" t="s">
        <v>47</v>
      </c>
      <c r="F448" s="13"/>
      <c r="G448" s="59"/>
      <c r="H448" s="6"/>
      <c r="I448" s="6">
        <f t="shared" si="36"/>
        <v>79.156908665105391</v>
      </c>
      <c r="J448" s="2" t="s">
        <v>509</v>
      </c>
      <c r="K448" s="2" t="s">
        <v>510</v>
      </c>
      <c r="L448" s="2" t="s">
        <v>273</v>
      </c>
      <c r="M448" s="2" t="s">
        <v>511</v>
      </c>
      <c r="N448" s="2">
        <v>281</v>
      </c>
      <c r="O448" s="56">
        <v>338</v>
      </c>
      <c r="P448" s="2" t="s">
        <v>124</v>
      </c>
      <c r="Q448" s="2" t="s">
        <v>494</v>
      </c>
      <c r="R448" s="2" t="s">
        <v>512</v>
      </c>
      <c r="S448" s="2" t="s">
        <v>253</v>
      </c>
      <c r="T448" s="2" t="s">
        <v>149</v>
      </c>
      <c r="U448" s="2" t="s">
        <v>513</v>
      </c>
      <c r="V448" s="2" t="s">
        <v>514</v>
      </c>
      <c r="W448" s="2" t="s">
        <v>515</v>
      </c>
      <c r="X448" s="2">
        <v>139863</v>
      </c>
      <c r="Y448" s="2">
        <v>263018</v>
      </c>
      <c r="Z448" s="2" t="s">
        <v>435</v>
      </c>
      <c r="AA448" s="2">
        <v>0</v>
      </c>
      <c r="AB448" s="2" t="s">
        <v>516</v>
      </c>
    </row>
    <row r="449" spans="1:28" hidden="1" x14ac:dyDescent="0.3">
      <c r="A449" s="4">
        <v>46201</v>
      </c>
      <c r="B449" s="8" t="s">
        <v>55</v>
      </c>
      <c r="C449" s="8" t="s">
        <v>56</v>
      </c>
      <c r="D449" s="7" t="s">
        <v>49</v>
      </c>
      <c r="E449" s="7" t="s">
        <v>47</v>
      </c>
      <c r="F449" s="13"/>
      <c r="G449" s="59"/>
      <c r="H449" s="6"/>
      <c r="I449" s="6">
        <f t="shared" si="36"/>
        <v>300.88495575221242</v>
      </c>
      <c r="J449" s="2" t="s">
        <v>517</v>
      </c>
      <c r="K449" s="2" t="s">
        <v>518</v>
      </c>
      <c r="L449" s="2" t="s">
        <v>94</v>
      </c>
      <c r="M449" s="2" t="s">
        <v>519</v>
      </c>
      <c r="N449" s="2">
        <v>93</v>
      </c>
      <c r="O449" s="56">
        <v>340</v>
      </c>
      <c r="P449" s="2" t="s">
        <v>520</v>
      </c>
      <c r="Q449" s="2" t="s">
        <v>521</v>
      </c>
      <c r="R449" s="2" t="s">
        <v>522</v>
      </c>
      <c r="S449" s="2" t="s">
        <v>523</v>
      </c>
      <c r="T449" s="2" t="s">
        <v>90</v>
      </c>
      <c r="U449" s="2" t="s">
        <v>524</v>
      </c>
      <c r="V449" s="2" t="s">
        <v>525</v>
      </c>
      <c r="W449" s="2" t="s">
        <v>526</v>
      </c>
      <c r="X449" s="2">
        <v>173493</v>
      </c>
      <c r="Y449" s="2">
        <v>594455</v>
      </c>
      <c r="Z449" s="2">
        <v>0</v>
      </c>
      <c r="AA449" s="2">
        <v>0</v>
      </c>
      <c r="AB449" s="2" t="s">
        <v>343</v>
      </c>
    </row>
    <row r="450" spans="1:28" hidden="1" x14ac:dyDescent="0.3">
      <c r="A450" s="4">
        <v>46201</v>
      </c>
      <c r="B450" s="8" t="s">
        <v>55</v>
      </c>
      <c r="C450" s="8" t="s">
        <v>56</v>
      </c>
      <c r="D450" s="7" t="s">
        <v>52</v>
      </c>
      <c r="E450" s="7" t="s">
        <v>47</v>
      </c>
      <c r="F450" s="13"/>
      <c r="G450" s="59"/>
      <c r="H450" s="6"/>
      <c r="I450" s="6">
        <f t="shared" si="36"/>
        <v>0</v>
      </c>
      <c r="J450" s="2"/>
      <c r="K450" s="2"/>
      <c r="L450" s="2"/>
      <c r="M450" s="2"/>
      <c r="N450" s="2"/>
      <c r="O450" s="56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idden="1" x14ac:dyDescent="0.3">
      <c r="A451" s="4">
        <v>46201</v>
      </c>
      <c r="B451" s="8" t="s">
        <v>55</v>
      </c>
      <c r="C451" s="8" t="s">
        <v>56</v>
      </c>
      <c r="D451" s="7" t="s">
        <v>52</v>
      </c>
      <c r="E451" s="7" t="s">
        <v>47</v>
      </c>
      <c r="F451" s="13"/>
      <c r="G451" s="59"/>
      <c r="H451" s="6"/>
      <c r="I451" s="6">
        <f t="shared" si="36"/>
        <v>119.76744186046511</v>
      </c>
      <c r="J451" s="2" t="s">
        <v>324</v>
      </c>
      <c r="K451" s="2" t="s">
        <v>527</v>
      </c>
      <c r="L451" s="2" t="s">
        <v>528</v>
      </c>
      <c r="M451" s="2" t="s">
        <v>529</v>
      </c>
      <c r="N451" s="2">
        <v>382</v>
      </c>
      <c r="O451" s="56">
        <v>618</v>
      </c>
      <c r="P451" s="2" t="s">
        <v>530</v>
      </c>
      <c r="Q451" s="2" t="s">
        <v>531</v>
      </c>
      <c r="R451" s="2" t="s">
        <v>532</v>
      </c>
      <c r="S451" s="2" t="s">
        <v>103</v>
      </c>
      <c r="T451" s="2" t="s">
        <v>533</v>
      </c>
      <c r="U451" s="2" t="s">
        <v>534</v>
      </c>
      <c r="V451" s="2" t="s">
        <v>535</v>
      </c>
      <c r="W451" s="2" t="s">
        <v>536</v>
      </c>
      <c r="X451" s="2">
        <v>31267</v>
      </c>
      <c r="Y451" s="2">
        <v>61998</v>
      </c>
      <c r="Z451" s="2" t="s">
        <v>304</v>
      </c>
      <c r="AA451" s="2">
        <v>0</v>
      </c>
      <c r="AB451" s="2" t="s">
        <v>537</v>
      </c>
    </row>
    <row r="452" spans="1:28" hidden="1" x14ac:dyDescent="0.3">
      <c r="A452" s="4">
        <v>46201</v>
      </c>
      <c r="B452" s="8" t="s">
        <v>71</v>
      </c>
      <c r="C452" s="8" t="s">
        <v>36</v>
      </c>
      <c r="D452" s="7" t="s">
        <v>46</v>
      </c>
      <c r="E452" s="7" t="s">
        <v>40</v>
      </c>
      <c r="F452" s="13"/>
      <c r="G452" s="59"/>
      <c r="H452" s="6"/>
      <c r="I452" s="6">
        <f t="shared" si="36"/>
        <v>78.384279475982538</v>
      </c>
      <c r="J452" s="2" t="s">
        <v>538</v>
      </c>
      <c r="K452" s="2" t="s">
        <v>539</v>
      </c>
      <c r="L452" s="2" t="s">
        <v>232</v>
      </c>
      <c r="M452" s="2" t="s">
        <v>540</v>
      </c>
      <c r="N452" s="2">
        <v>181</v>
      </c>
      <c r="O452" s="56">
        <v>359</v>
      </c>
      <c r="P452" s="2" t="s">
        <v>541</v>
      </c>
      <c r="Q452" s="2" t="s">
        <v>542</v>
      </c>
      <c r="R452" s="2" t="s">
        <v>543</v>
      </c>
      <c r="S452" s="2" t="s">
        <v>77</v>
      </c>
      <c r="T452" s="2" t="s">
        <v>544</v>
      </c>
      <c r="U452" s="2" t="s">
        <v>467</v>
      </c>
      <c r="V452" s="2" t="s">
        <v>545</v>
      </c>
      <c r="W452" s="2" t="s">
        <v>546</v>
      </c>
      <c r="X452" s="2">
        <v>109931</v>
      </c>
      <c r="Y452" s="2">
        <v>316335</v>
      </c>
      <c r="Z452" s="2" t="s">
        <v>424</v>
      </c>
      <c r="AA452" s="2">
        <v>0</v>
      </c>
      <c r="AB452" s="2" t="s">
        <v>547</v>
      </c>
    </row>
    <row r="453" spans="1:28" hidden="1" x14ac:dyDescent="0.3">
      <c r="A453" s="4">
        <v>46202</v>
      </c>
      <c r="B453" s="8" t="s">
        <v>55</v>
      </c>
      <c r="C453" s="8" t="s">
        <v>56</v>
      </c>
      <c r="D453" s="7" t="s">
        <v>43</v>
      </c>
      <c r="E453" s="7" t="s">
        <v>47</v>
      </c>
      <c r="F453" s="13"/>
      <c r="G453" s="59"/>
      <c r="H453" s="6"/>
      <c r="I453" s="6">
        <f t="shared" si="36"/>
        <v>0</v>
      </c>
      <c r="J453" s="2" t="s">
        <v>548</v>
      </c>
      <c r="K453" s="2" t="s">
        <v>548</v>
      </c>
      <c r="L453" s="2" t="s">
        <v>548</v>
      </c>
      <c r="M453" s="2" t="s">
        <v>45</v>
      </c>
      <c r="N453" s="2" t="s">
        <v>45</v>
      </c>
      <c r="O453" s="56" t="s">
        <v>45</v>
      </c>
      <c r="P453" s="2" t="s">
        <v>45</v>
      </c>
      <c r="Q453" s="2" t="s">
        <v>45</v>
      </c>
      <c r="R453" s="2" t="s">
        <v>548</v>
      </c>
      <c r="S453" s="2" t="s">
        <v>548</v>
      </c>
      <c r="T453" s="2" t="s">
        <v>45</v>
      </c>
      <c r="U453" s="2" t="s">
        <v>548</v>
      </c>
      <c r="V453" s="2" t="s">
        <v>45</v>
      </c>
      <c r="W453" s="2" t="s">
        <v>549</v>
      </c>
      <c r="X453" s="2" t="s">
        <v>45</v>
      </c>
      <c r="Y453" s="2" t="s">
        <v>45</v>
      </c>
      <c r="Z453" s="2" t="s">
        <v>548</v>
      </c>
      <c r="AA453" s="2" t="s">
        <v>45</v>
      </c>
      <c r="AB453" s="2" t="s">
        <v>550</v>
      </c>
    </row>
    <row r="454" spans="1:28" hidden="1" x14ac:dyDescent="0.3">
      <c r="A454" s="4">
        <v>46202</v>
      </c>
      <c r="B454" s="8" t="s">
        <v>55</v>
      </c>
      <c r="C454" s="8" t="s">
        <v>56</v>
      </c>
      <c r="D454" s="7" t="s">
        <v>67</v>
      </c>
      <c r="E454" s="7" t="s">
        <v>47</v>
      </c>
      <c r="F454" s="13"/>
      <c r="G454" s="59"/>
      <c r="H454" s="6"/>
      <c r="I454" s="6">
        <f t="shared" si="36"/>
        <v>0</v>
      </c>
      <c r="J454" s="2" t="s">
        <v>548</v>
      </c>
      <c r="K454" s="2" t="s">
        <v>548</v>
      </c>
      <c r="L454" s="2" t="s">
        <v>548</v>
      </c>
      <c r="M454" s="2" t="s">
        <v>45</v>
      </c>
      <c r="N454" s="2" t="s">
        <v>548</v>
      </c>
      <c r="O454" s="56" t="s">
        <v>548</v>
      </c>
      <c r="P454" s="2" t="s">
        <v>45</v>
      </c>
      <c r="Q454" s="2" t="s">
        <v>45</v>
      </c>
      <c r="R454" s="2" t="s">
        <v>548</v>
      </c>
      <c r="S454" s="2" t="s">
        <v>548</v>
      </c>
      <c r="T454" s="2" t="s">
        <v>45</v>
      </c>
      <c r="U454" s="2" t="s">
        <v>548</v>
      </c>
      <c r="V454" s="2" t="s">
        <v>45</v>
      </c>
      <c r="W454" s="2" t="s">
        <v>551</v>
      </c>
      <c r="X454" s="2" t="s">
        <v>552</v>
      </c>
      <c r="Y454" s="2" t="s">
        <v>553</v>
      </c>
      <c r="Z454" s="2" t="s">
        <v>548</v>
      </c>
      <c r="AA454" s="2" t="s">
        <v>45</v>
      </c>
      <c r="AB454" s="2" t="s">
        <v>554</v>
      </c>
    </row>
    <row r="455" spans="1:28" hidden="1" x14ac:dyDescent="0.3">
      <c r="A455" s="4">
        <v>46202</v>
      </c>
      <c r="B455" s="8" t="s">
        <v>55</v>
      </c>
      <c r="C455" s="8" t="s">
        <v>56</v>
      </c>
      <c r="D455" s="7" t="s">
        <v>50</v>
      </c>
      <c r="E455" s="7" t="s">
        <v>47</v>
      </c>
      <c r="F455" s="13"/>
      <c r="G455" s="59"/>
      <c r="H455" s="6"/>
      <c r="I455" s="6">
        <f t="shared" si="36"/>
        <v>0</v>
      </c>
      <c r="J455" s="2" t="s">
        <v>548</v>
      </c>
      <c r="K455" s="2" t="s">
        <v>548</v>
      </c>
      <c r="L455" s="2" t="s">
        <v>548</v>
      </c>
      <c r="M455" s="2" t="s">
        <v>45</v>
      </c>
      <c r="N455" s="2" t="s">
        <v>548</v>
      </c>
      <c r="O455" s="56" t="s">
        <v>548</v>
      </c>
      <c r="P455" s="2" t="s">
        <v>45</v>
      </c>
      <c r="Q455" s="2" t="s">
        <v>45</v>
      </c>
      <c r="R455" s="2" t="s">
        <v>548</v>
      </c>
      <c r="S455" s="2" t="s">
        <v>548</v>
      </c>
      <c r="T455" s="2" t="s">
        <v>45</v>
      </c>
      <c r="U455" s="2" t="s">
        <v>548</v>
      </c>
      <c r="V455" s="2" t="s">
        <v>45</v>
      </c>
      <c r="W455" s="2" t="s">
        <v>555</v>
      </c>
      <c r="X455" s="2" t="s">
        <v>556</v>
      </c>
      <c r="Y455" s="2" t="s">
        <v>557</v>
      </c>
      <c r="Z455" s="2" t="s">
        <v>548</v>
      </c>
      <c r="AA455" s="2" t="s">
        <v>45</v>
      </c>
      <c r="AB455" s="2" t="s">
        <v>558</v>
      </c>
    </row>
    <row r="456" spans="1:28" hidden="1" x14ac:dyDescent="0.3">
      <c r="A456" s="4">
        <v>46202</v>
      </c>
      <c r="B456" s="8" t="s">
        <v>55</v>
      </c>
      <c r="C456" s="8" t="s">
        <v>56</v>
      </c>
      <c r="D456" s="7" t="s">
        <v>52</v>
      </c>
      <c r="E456" s="7" t="s">
        <v>47</v>
      </c>
      <c r="F456" s="13"/>
      <c r="G456" s="59"/>
      <c r="H456" s="6"/>
      <c r="I456" s="6">
        <f t="shared" si="36"/>
        <v>0</v>
      </c>
      <c r="J456" s="2" t="s">
        <v>45</v>
      </c>
      <c r="K456" s="2" t="s">
        <v>45</v>
      </c>
      <c r="L456" s="2" t="s">
        <v>45</v>
      </c>
      <c r="M456" s="2" t="s">
        <v>45</v>
      </c>
      <c r="N456" s="2" t="s">
        <v>45</v>
      </c>
      <c r="O456" s="56" t="s">
        <v>45</v>
      </c>
      <c r="P456" s="2" t="s">
        <v>45</v>
      </c>
      <c r="Q456" s="2" t="s">
        <v>45</v>
      </c>
      <c r="R456" s="2" t="s">
        <v>45</v>
      </c>
      <c r="S456" s="2" t="s">
        <v>45</v>
      </c>
      <c r="T456" s="2" t="s">
        <v>45</v>
      </c>
      <c r="U456" s="2" t="s">
        <v>45</v>
      </c>
      <c r="V456" s="2" t="s">
        <v>45</v>
      </c>
      <c r="W456" s="2" t="s">
        <v>45</v>
      </c>
      <c r="X456" s="2" t="s">
        <v>45</v>
      </c>
      <c r="Y456" s="2" t="s">
        <v>45</v>
      </c>
      <c r="Z456" s="2" t="s">
        <v>45</v>
      </c>
      <c r="AA456" s="2" t="s">
        <v>45</v>
      </c>
      <c r="AB456" s="2" t="s">
        <v>45</v>
      </c>
    </row>
    <row r="457" spans="1:28" x14ac:dyDescent="0.3">
      <c r="A457" s="4">
        <v>46202</v>
      </c>
      <c r="B457" s="8" t="s">
        <v>559</v>
      </c>
      <c r="C457" s="8" t="s">
        <v>36</v>
      </c>
      <c r="D457" s="7" t="s">
        <v>48</v>
      </c>
      <c r="E457" s="7" t="s">
        <v>38</v>
      </c>
      <c r="F457" s="13"/>
      <c r="G457" s="59"/>
      <c r="H457" s="6">
        <f>24000/5</f>
        <v>4800</v>
      </c>
      <c r="I457" s="6">
        <f t="shared" si="36"/>
        <v>210.94890510948903</v>
      </c>
      <c r="J457" s="68" t="s">
        <v>560</v>
      </c>
      <c r="K457" s="68">
        <v>2.74</v>
      </c>
      <c r="L457" s="68" t="s">
        <v>561</v>
      </c>
      <c r="M457" s="68" t="s">
        <v>562</v>
      </c>
      <c r="N457" s="68" t="s">
        <v>563</v>
      </c>
      <c r="O457" s="77">
        <v>578</v>
      </c>
      <c r="P457" s="68" t="s">
        <v>564</v>
      </c>
      <c r="Q457" s="68" t="s">
        <v>565</v>
      </c>
      <c r="R457" s="68" t="s">
        <v>566</v>
      </c>
      <c r="S457" s="68" t="s">
        <v>567</v>
      </c>
      <c r="T457" s="68" t="s">
        <v>568</v>
      </c>
      <c r="U457" s="68" t="s">
        <v>569</v>
      </c>
      <c r="V457" s="68" t="s">
        <v>570</v>
      </c>
      <c r="W457" s="68" t="s">
        <v>571</v>
      </c>
      <c r="X457" s="68" t="s">
        <v>572</v>
      </c>
      <c r="Y457" s="68" t="s">
        <v>573</v>
      </c>
      <c r="Z457" s="68" t="s">
        <v>548</v>
      </c>
      <c r="AA457" s="68" t="s">
        <v>548</v>
      </c>
      <c r="AB457" s="68" t="s">
        <v>574</v>
      </c>
    </row>
    <row r="458" spans="1:28" hidden="1" x14ac:dyDescent="0.3">
      <c r="A458" s="4">
        <v>46202</v>
      </c>
      <c r="B458" s="8" t="s">
        <v>55</v>
      </c>
      <c r="C458" s="8" t="s">
        <v>56</v>
      </c>
      <c r="D458" s="7" t="s">
        <v>49</v>
      </c>
      <c r="E458" s="7" t="s">
        <v>47</v>
      </c>
      <c r="F458" s="13"/>
      <c r="G458" s="59"/>
      <c r="H458" s="6"/>
      <c r="I458" s="6">
        <f t="shared" si="36"/>
        <v>0</v>
      </c>
      <c r="J458" s="2" t="s">
        <v>45</v>
      </c>
      <c r="K458" s="2" t="s">
        <v>45</v>
      </c>
      <c r="L458" s="2" t="s">
        <v>45</v>
      </c>
      <c r="M458" s="2" t="s">
        <v>45</v>
      </c>
      <c r="N458" s="2" t="s">
        <v>45</v>
      </c>
      <c r="O458" s="56" t="s">
        <v>45</v>
      </c>
      <c r="P458" s="2" t="s">
        <v>45</v>
      </c>
      <c r="Q458" s="2" t="s">
        <v>45</v>
      </c>
      <c r="R458" s="2" t="s">
        <v>45</v>
      </c>
      <c r="S458" s="2" t="s">
        <v>45</v>
      </c>
      <c r="T458" s="2" t="s">
        <v>45</v>
      </c>
      <c r="U458" s="2" t="s">
        <v>45</v>
      </c>
      <c r="V458" s="2" t="s">
        <v>45</v>
      </c>
      <c r="W458" s="2" t="s">
        <v>45</v>
      </c>
      <c r="X458" s="2" t="s">
        <v>45</v>
      </c>
      <c r="Y458" s="2" t="s">
        <v>45</v>
      </c>
      <c r="Z458" s="2" t="s">
        <v>45</v>
      </c>
      <c r="AA458" s="2" t="s">
        <v>45</v>
      </c>
      <c r="AB458" s="2" t="s">
        <v>45</v>
      </c>
    </row>
    <row r="459" spans="1:28" hidden="1" x14ac:dyDescent="0.3">
      <c r="A459" s="4">
        <v>46202</v>
      </c>
      <c r="B459" s="8" t="s">
        <v>55</v>
      </c>
      <c r="C459" s="8" t="s">
        <v>56</v>
      </c>
      <c r="D459" s="7" t="s">
        <v>46</v>
      </c>
      <c r="E459" s="7" t="s">
        <v>61</v>
      </c>
      <c r="F459" s="13"/>
      <c r="G459" s="59"/>
      <c r="H459" s="6"/>
      <c r="I459" s="6">
        <f t="shared" si="36"/>
        <v>0</v>
      </c>
      <c r="J459" s="2" t="s">
        <v>548</v>
      </c>
      <c r="K459" s="2" t="s">
        <v>548</v>
      </c>
      <c r="L459" s="2" t="s">
        <v>548</v>
      </c>
      <c r="M459" s="2" t="s">
        <v>45</v>
      </c>
      <c r="N459" s="2" t="s">
        <v>548</v>
      </c>
      <c r="O459" s="56" t="s">
        <v>548</v>
      </c>
      <c r="P459" s="2" t="s">
        <v>45</v>
      </c>
      <c r="Q459" s="2" t="s">
        <v>45</v>
      </c>
      <c r="R459" s="2" t="s">
        <v>548</v>
      </c>
      <c r="S459" s="2" t="s">
        <v>548</v>
      </c>
      <c r="T459" s="2" t="s">
        <v>45</v>
      </c>
      <c r="U459" s="2" t="s">
        <v>548</v>
      </c>
      <c r="V459" s="2" t="s">
        <v>45</v>
      </c>
      <c r="W459" s="2" t="s">
        <v>575</v>
      </c>
      <c r="X459" s="2" t="s">
        <v>576</v>
      </c>
      <c r="Y459" s="2" t="s">
        <v>577</v>
      </c>
      <c r="Z459" s="2" t="s">
        <v>548</v>
      </c>
      <c r="AA459" s="2" t="s">
        <v>45</v>
      </c>
      <c r="AB459" s="2" t="s">
        <v>578</v>
      </c>
    </row>
    <row r="460" spans="1:28" hidden="1" x14ac:dyDescent="0.3">
      <c r="A460" s="4">
        <v>46203</v>
      </c>
      <c r="B460" s="8" t="s">
        <v>55</v>
      </c>
      <c r="C460" s="8" t="s">
        <v>56</v>
      </c>
      <c r="D460" s="7" t="s">
        <v>43</v>
      </c>
      <c r="E460" s="7" t="s">
        <v>47</v>
      </c>
      <c r="F460" s="13"/>
      <c r="G460" s="59" t="s">
        <v>146</v>
      </c>
      <c r="H460" s="6"/>
      <c r="I460" s="6">
        <f t="shared" si="36"/>
        <v>0</v>
      </c>
      <c r="J460" s="2" t="s">
        <v>579</v>
      </c>
      <c r="K460" s="2">
        <v>0.1</v>
      </c>
      <c r="L460" s="2" t="s">
        <v>580</v>
      </c>
      <c r="M460" s="2" t="s">
        <v>581</v>
      </c>
      <c r="N460" s="2" t="s">
        <v>45</v>
      </c>
      <c r="O460" s="56" t="s">
        <v>45</v>
      </c>
      <c r="P460" s="2" t="s">
        <v>45</v>
      </c>
      <c r="Q460" s="2" t="s">
        <v>45</v>
      </c>
      <c r="R460" s="2" t="s">
        <v>582</v>
      </c>
      <c r="S460" s="2" t="s">
        <v>583</v>
      </c>
      <c r="T460" s="2" t="s">
        <v>584</v>
      </c>
      <c r="U460" s="2" t="s">
        <v>585</v>
      </c>
      <c r="V460" s="2" t="s">
        <v>586</v>
      </c>
      <c r="W460" s="2" t="s">
        <v>587</v>
      </c>
      <c r="X460" s="2" t="s">
        <v>45</v>
      </c>
      <c r="Y460" s="2" t="s">
        <v>45</v>
      </c>
      <c r="Z460" s="2" t="s">
        <v>548</v>
      </c>
      <c r="AA460" s="2" t="s">
        <v>45</v>
      </c>
      <c r="AB460" s="2" t="s">
        <v>550</v>
      </c>
    </row>
    <row r="461" spans="1:28" hidden="1" x14ac:dyDescent="0.3">
      <c r="A461" s="4">
        <v>46203</v>
      </c>
      <c r="B461" s="8" t="s">
        <v>559</v>
      </c>
      <c r="C461" s="8" t="s">
        <v>36</v>
      </c>
      <c r="D461" s="7" t="s">
        <v>67</v>
      </c>
      <c r="E461" s="7" t="s">
        <v>47</v>
      </c>
      <c r="F461" s="13"/>
      <c r="G461" s="59"/>
      <c r="H461" s="6">
        <v>3000</v>
      </c>
      <c r="I461" s="6">
        <f t="shared" si="36"/>
        <v>300.09337068160596</v>
      </c>
      <c r="J461" s="2" t="s">
        <v>588</v>
      </c>
      <c r="K461" s="2">
        <v>10.71</v>
      </c>
      <c r="L461" s="2" t="s">
        <v>589</v>
      </c>
      <c r="M461" s="2" t="s">
        <v>590</v>
      </c>
      <c r="N461" s="2" t="s">
        <v>591</v>
      </c>
      <c r="O461" s="56">
        <v>3214</v>
      </c>
      <c r="P461" s="2" t="s">
        <v>592</v>
      </c>
      <c r="Q461" s="2" t="s">
        <v>593</v>
      </c>
      <c r="R461" s="2" t="s">
        <v>594</v>
      </c>
      <c r="S461" s="2" t="s">
        <v>595</v>
      </c>
      <c r="T461" s="2" t="s">
        <v>596</v>
      </c>
      <c r="U461" s="2" t="s">
        <v>597</v>
      </c>
      <c r="V461" s="2" t="s">
        <v>598</v>
      </c>
      <c r="W461" s="2" t="s">
        <v>599</v>
      </c>
      <c r="X461" s="2" t="s">
        <v>600</v>
      </c>
      <c r="Y461" s="2" t="s">
        <v>601</v>
      </c>
      <c r="Z461" s="2" t="s">
        <v>602</v>
      </c>
      <c r="AA461" s="2" t="s">
        <v>548</v>
      </c>
      <c r="AB461" s="2" t="s">
        <v>603</v>
      </c>
    </row>
    <row r="462" spans="1:28" hidden="1" x14ac:dyDescent="0.3">
      <c r="A462" s="4">
        <v>46203</v>
      </c>
      <c r="B462" s="8" t="s">
        <v>559</v>
      </c>
      <c r="C462" s="8" t="s">
        <v>36</v>
      </c>
      <c r="D462" s="7" t="s">
        <v>50</v>
      </c>
      <c r="E462" s="7" t="s">
        <v>47</v>
      </c>
      <c r="F462" s="13"/>
      <c r="G462" s="59"/>
      <c r="H462" s="6">
        <v>3000</v>
      </c>
      <c r="I462" s="6">
        <f t="shared" si="36"/>
        <v>107.32113144758736</v>
      </c>
      <c r="J462" s="2" t="s">
        <v>604</v>
      </c>
      <c r="K462" s="2">
        <v>6.01</v>
      </c>
      <c r="L462" s="2" t="s">
        <v>605</v>
      </c>
      <c r="M462" s="2" t="s">
        <v>606</v>
      </c>
      <c r="N462" s="2" t="s">
        <v>607</v>
      </c>
      <c r="O462" s="56">
        <v>645</v>
      </c>
      <c r="P462" s="2" t="s">
        <v>608</v>
      </c>
      <c r="Q462" s="2" t="s">
        <v>609</v>
      </c>
      <c r="R462" s="2" t="s">
        <v>610</v>
      </c>
      <c r="S462" s="2" t="s">
        <v>611</v>
      </c>
      <c r="T462" s="2" t="s">
        <v>612</v>
      </c>
      <c r="U462" s="2" t="s">
        <v>613</v>
      </c>
      <c r="V462" s="2" t="s">
        <v>614</v>
      </c>
      <c r="W462" s="2" t="s">
        <v>615</v>
      </c>
      <c r="X462" s="2" t="s">
        <v>616</v>
      </c>
      <c r="Y462" s="2" t="s">
        <v>617</v>
      </c>
      <c r="Z462" s="2" t="s">
        <v>618</v>
      </c>
      <c r="AA462" s="2" t="s">
        <v>548</v>
      </c>
      <c r="AB462" s="2" t="s">
        <v>619</v>
      </c>
    </row>
    <row r="463" spans="1:28" hidden="1" x14ac:dyDescent="0.3">
      <c r="A463" s="4">
        <v>46203</v>
      </c>
      <c r="B463" s="8" t="s">
        <v>559</v>
      </c>
      <c r="C463" s="8" t="s">
        <v>36</v>
      </c>
      <c r="D463" s="7" t="s">
        <v>52</v>
      </c>
      <c r="E463" s="7" t="s">
        <v>47</v>
      </c>
      <c r="F463" s="13"/>
      <c r="G463" s="59"/>
      <c r="H463" s="6">
        <v>3000</v>
      </c>
      <c r="I463" s="6">
        <f t="shared" si="36"/>
        <v>357.58865248226954</v>
      </c>
      <c r="J463" s="2" t="s">
        <v>620</v>
      </c>
      <c r="K463" s="2">
        <v>7.05</v>
      </c>
      <c r="L463" s="2" t="s">
        <v>621</v>
      </c>
      <c r="M463" s="2" t="s">
        <v>622</v>
      </c>
      <c r="N463" s="2" t="s">
        <v>623</v>
      </c>
      <c r="O463" s="56">
        <v>2521</v>
      </c>
      <c r="P463" s="2" t="s">
        <v>624</v>
      </c>
      <c r="Q463" s="2" t="s">
        <v>625</v>
      </c>
      <c r="R463" s="2" t="s">
        <v>626</v>
      </c>
      <c r="S463" s="2" t="s">
        <v>627</v>
      </c>
      <c r="T463" s="2" t="s">
        <v>628</v>
      </c>
      <c r="U463" s="2" t="s">
        <v>629</v>
      </c>
      <c r="V463" s="2" t="s">
        <v>630</v>
      </c>
      <c r="W463" s="2" t="s">
        <v>631</v>
      </c>
      <c r="X463" s="2" t="s">
        <v>632</v>
      </c>
      <c r="Y463" s="2" t="s">
        <v>633</v>
      </c>
      <c r="Z463" s="2" t="s">
        <v>561</v>
      </c>
      <c r="AA463" s="2" t="s">
        <v>548</v>
      </c>
      <c r="AB463" s="2" t="s">
        <v>634</v>
      </c>
    </row>
    <row r="464" spans="1:28" x14ac:dyDescent="0.3">
      <c r="A464" s="4">
        <v>46203</v>
      </c>
      <c r="B464" s="8" t="s">
        <v>559</v>
      </c>
      <c r="C464" s="8" t="s">
        <v>36</v>
      </c>
      <c r="D464" s="7" t="s">
        <v>48</v>
      </c>
      <c r="E464" s="7" t="s">
        <v>38</v>
      </c>
      <c r="F464" s="13">
        <v>3180</v>
      </c>
      <c r="G464" s="59"/>
      <c r="H464" s="6">
        <v>4800</v>
      </c>
      <c r="I464" s="6">
        <f t="shared" si="36"/>
        <v>542.76485788113689</v>
      </c>
      <c r="J464" s="68" t="s">
        <v>635</v>
      </c>
      <c r="K464" s="68">
        <v>7.74</v>
      </c>
      <c r="L464" s="68" t="s">
        <v>636</v>
      </c>
      <c r="M464" s="68" t="s">
        <v>637</v>
      </c>
      <c r="N464" s="68" t="s">
        <v>638</v>
      </c>
      <c r="O464" s="77">
        <v>4201</v>
      </c>
      <c r="P464" s="68" t="s">
        <v>639</v>
      </c>
      <c r="Q464" s="68" t="s">
        <v>640</v>
      </c>
      <c r="R464" s="68" t="s">
        <v>641</v>
      </c>
      <c r="S464" s="68" t="s">
        <v>642</v>
      </c>
      <c r="T464" s="68" t="s">
        <v>643</v>
      </c>
      <c r="U464" s="68" t="s">
        <v>644</v>
      </c>
      <c r="V464" s="68" t="s">
        <v>645</v>
      </c>
      <c r="W464" s="68" t="s">
        <v>646</v>
      </c>
      <c r="X464" s="68" t="s">
        <v>647</v>
      </c>
      <c r="Y464" s="68" t="s">
        <v>648</v>
      </c>
      <c r="Z464" s="68" t="s">
        <v>649</v>
      </c>
      <c r="AA464" s="68" t="s">
        <v>548</v>
      </c>
      <c r="AB464" s="68" t="s">
        <v>650</v>
      </c>
    </row>
    <row r="465" spans="1:28" hidden="1" x14ac:dyDescent="0.3">
      <c r="A465" s="4">
        <v>46203</v>
      </c>
      <c r="B465" s="8" t="s">
        <v>559</v>
      </c>
      <c r="C465" s="8" t="s">
        <v>36</v>
      </c>
      <c r="D465" s="7" t="s">
        <v>49</v>
      </c>
      <c r="E465" s="7" t="s">
        <v>47</v>
      </c>
      <c r="F465" s="13"/>
      <c r="G465" s="59"/>
      <c r="H465" s="6">
        <v>3000</v>
      </c>
      <c r="I465" s="6">
        <f t="shared" si="36"/>
        <v>406.58082975679542</v>
      </c>
      <c r="J465" s="2" t="s">
        <v>651</v>
      </c>
      <c r="K465" s="2">
        <v>6.99</v>
      </c>
      <c r="L465" s="2" t="s">
        <v>652</v>
      </c>
      <c r="M465" s="2" t="s">
        <v>653</v>
      </c>
      <c r="N465" s="2" t="s">
        <v>654</v>
      </c>
      <c r="O465" s="56">
        <v>2842</v>
      </c>
      <c r="P465" s="2" t="s">
        <v>655</v>
      </c>
      <c r="Q465" s="2" t="s">
        <v>656</v>
      </c>
      <c r="R465" s="2" t="s">
        <v>657</v>
      </c>
      <c r="S465" s="2" t="s">
        <v>658</v>
      </c>
      <c r="T465" s="2" t="s">
        <v>659</v>
      </c>
      <c r="U465" s="2" t="s">
        <v>660</v>
      </c>
      <c r="V465" s="2" t="s">
        <v>661</v>
      </c>
      <c r="W465" s="2" t="s">
        <v>662</v>
      </c>
      <c r="X465" s="2" t="s">
        <v>663</v>
      </c>
      <c r="Y465" s="2" t="s">
        <v>664</v>
      </c>
      <c r="Z465" s="2" t="s">
        <v>548</v>
      </c>
      <c r="AA465" s="2" t="s">
        <v>548</v>
      </c>
      <c r="AB465" s="2" t="s">
        <v>665</v>
      </c>
    </row>
    <row r="466" spans="1:28" s="45" customFormat="1" hidden="1" x14ac:dyDescent="0.3">
      <c r="A466" s="14">
        <v>46203</v>
      </c>
      <c r="B466" s="14" t="s">
        <v>559</v>
      </c>
      <c r="C466" s="14" t="s">
        <v>36</v>
      </c>
      <c r="D466" s="42"/>
      <c r="E466" s="42" t="s">
        <v>47</v>
      </c>
      <c r="F466" s="43"/>
      <c r="G466" s="60"/>
      <c r="H466" s="44">
        <v>3000</v>
      </c>
      <c r="I466" s="44"/>
      <c r="J466" s="42"/>
      <c r="K466" s="42"/>
      <c r="L466" s="42"/>
      <c r="M466" s="42"/>
      <c r="N466" s="42"/>
      <c r="O466" s="60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spans="1:28" hidden="1" x14ac:dyDescent="0.3">
      <c r="A467" s="4">
        <v>46203</v>
      </c>
      <c r="B467" s="8" t="s">
        <v>559</v>
      </c>
      <c r="C467" s="8" t="s">
        <v>36</v>
      </c>
      <c r="D467" s="7" t="s">
        <v>46</v>
      </c>
      <c r="E467" s="7" t="s">
        <v>61</v>
      </c>
      <c r="F467" s="13"/>
      <c r="G467" s="59"/>
      <c r="H467" s="6"/>
      <c r="I467" s="6">
        <f t="shared" ref="I467:I474" si="37">IFERROR(O467/K467,)</f>
        <v>356.54362416107381</v>
      </c>
      <c r="J467" s="2" t="s">
        <v>666</v>
      </c>
      <c r="K467" s="2">
        <v>5.96</v>
      </c>
      <c r="L467" s="2" t="s">
        <v>585</v>
      </c>
      <c r="M467" s="2" t="s">
        <v>667</v>
      </c>
      <c r="N467" s="2" t="s">
        <v>668</v>
      </c>
      <c r="O467" s="56">
        <v>2125</v>
      </c>
      <c r="P467" s="2" t="s">
        <v>669</v>
      </c>
      <c r="Q467" s="2" t="s">
        <v>670</v>
      </c>
      <c r="R467" s="2" t="s">
        <v>671</v>
      </c>
      <c r="S467" s="2" t="s">
        <v>567</v>
      </c>
      <c r="T467" s="2" t="s">
        <v>672</v>
      </c>
      <c r="U467" s="2" t="s">
        <v>673</v>
      </c>
      <c r="V467" s="2" t="s">
        <v>674</v>
      </c>
      <c r="W467" s="2" t="s">
        <v>675</v>
      </c>
      <c r="X467" s="2" t="s">
        <v>676</v>
      </c>
      <c r="Y467" s="2" t="s">
        <v>677</v>
      </c>
      <c r="Z467" s="2" t="s">
        <v>678</v>
      </c>
      <c r="AA467" s="2" t="s">
        <v>679</v>
      </c>
      <c r="AB467" s="2" t="s">
        <v>680</v>
      </c>
    </row>
    <row r="468" spans="1:28" hidden="1" x14ac:dyDescent="0.3">
      <c r="A468" s="4">
        <v>46204</v>
      </c>
      <c r="B468" s="8" t="s">
        <v>55</v>
      </c>
      <c r="C468" s="8" t="s">
        <v>56</v>
      </c>
      <c r="D468" s="7" t="s">
        <v>43</v>
      </c>
      <c r="E468" s="7" t="s">
        <v>47</v>
      </c>
      <c r="F468" s="13"/>
      <c r="G468" s="59" t="s">
        <v>146</v>
      </c>
      <c r="H468" s="6"/>
      <c r="I468" s="6">
        <f t="shared" si="37"/>
        <v>0</v>
      </c>
      <c r="J468" s="2" t="s">
        <v>681</v>
      </c>
      <c r="K468" s="2">
        <v>1.37</v>
      </c>
      <c r="L468" s="2" t="s">
        <v>682</v>
      </c>
      <c r="M468" s="2" t="s">
        <v>683</v>
      </c>
      <c r="N468" s="2" t="s">
        <v>45</v>
      </c>
      <c r="O468" s="56" t="s">
        <v>45</v>
      </c>
      <c r="P468" s="2" t="s">
        <v>45</v>
      </c>
      <c r="Q468" s="2" t="s">
        <v>45</v>
      </c>
      <c r="R468" s="2" t="s">
        <v>684</v>
      </c>
      <c r="S468" s="2" t="s">
        <v>585</v>
      </c>
      <c r="T468" s="2" t="s">
        <v>685</v>
      </c>
      <c r="U468" s="2" t="s">
        <v>686</v>
      </c>
      <c r="V468" s="2" t="s">
        <v>687</v>
      </c>
      <c r="W468" s="2" t="s">
        <v>688</v>
      </c>
      <c r="X468" s="2" t="s">
        <v>45</v>
      </c>
      <c r="Y468" s="2" t="s">
        <v>45</v>
      </c>
      <c r="Z468" s="2" t="s">
        <v>548</v>
      </c>
      <c r="AA468" s="2" t="s">
        <v>45</v>
      </c>
      <c r="AB468" s="2" t="s">
        <v>550</v>
      </c>
    </row>
    <row r="469" spans="1:28" hidden="1" x14ac:dyDescent="0.3">
      <c r="A469" s="4">
        <v>46204</v>
      </c>
      <c r="B469" s="8" t="s">
        <v>559</v>
      </c>
      <c r="C469" s="8" t="s">
        <v>36</v>
      </c>
      <c r="D469" s="7" t="s">
        <v>67</v>
      </c>
      <c r="E469" s="7" t="s">
        <v>47</v>
      </c>
      <c r="F469" s="13"/>
      <c r="G469" s="59"/>
      <c r="H469" s="6">
        <v>3000</v>
      </c>
      <c r="I469" s="6">
        <f t="shared" si="37"/>
        <v>149.22752808988764</v>
      </c>
      <c r="J469" s="2" t="s">
        <v>689</v>
      </c>
      <c r="K469" s="2">
        <v>14.24</v>
      </c>
      <c r="L469" s="2" t="s">
        <v>690</v>
      </c>
      <c r="M469" s="2" t="s">
        <v>691</v>
      </c>
      <c r="N469" s="2" t="s">
        <v>692</v>
      </c>
      <c r="O469" s="56">
        <v>2125</v>
      </c>
      <c r="P469" s="2" t="s">
        <v>693</v>
      </c>
      <c r="Q469" s="2" t="s">
        <v>694</v>
      </c>
      <c r="R469" s="2" t="s">
        <v>695</v>
      </c>
      <c r="S469" s="2" t="s">
        <v>567</v>
      </c>
      <c r="T469" s="2" t="s">
        <v>696</v>
      </c>
      <c r="U469" s="2" t="s">
        <v>697</v>
      </c>
      <c r="V469" s="2" t="s">
        <v>698</v>
      </c>
      <c r="W469" s="2" t="s">
        <v>699</v>
      </c>
      <c r="X469" s="2" t="s">
        <v>700</v>
      </c>
      <c r="Y469" s="2" t="s">
        <v>701</v>
      </c>
      <c r="Z469" s="2" t="s">
        <v>702</v>
      </c>
      <c r="AA469" s="2" t="s">
        <v>703</v>
      </c>
      <c r="AB469" s="2" t="s">
        <v>704</v>
      </c>
    </row>
    <row r="470" spans="1:28" hidden="1" x14ac:dyDescent="0.3">
      <c r="A470" s="4">
        <v>46204</v>
      </c>
      <c r="B470" s="8" t="s">
        <v>559</v>
      </c>
      <c r="C470" s="8" t="s">
        <v>36</v>
      </c>
      <c r="D470" s="7" t="s">
        <v>50</v>
      </c>
      <c r="E470" s="7" t="s">
        <v>47</v>
      </c>
      <c r="F470" s="13"/>
      <c r="G470" s="59"/>
      <c r="H470" s="6">
        <v>3000</v>
      </c>
      <c r="I470" s="6">
        <f t="shared" si="37"/>
        <v>144.74123539232053</v>
      </c>
      <c r="J470" s="2" t="s">
        <v>705</v>
      </c>
      <c r="K470" s="2">
        <v>5.99</v>
      </c>
      <c r="L470" s="2" t="s">
        <v>706</v>
      </c>
      <c r="M470" s="2" t="s">
        <v>707</v>
      </c>
      <c r="N470" s="2" t="s">
        <v>708</v>
      </c>
      <c r="O470" s="56">
        <v>867</v>
      </c>
      <c r="P470" s="2" t="s">
        <v>709</v>
      </c>
      <c r="Q470" s="2" t="s">
        <v>710</v>
      </c>
      <c r="R470" s="2" t="s">
        <v>711</v>
      </c>
      <c r="S470" s="2" t="s">
        <v>712</v>
      </c>
      <c r="T470" s="2" t="s">
        <v>713</v>
      </c>
      <c r="U470" s="2" t="s">
        <v>714</v>
      </c>
      <c r="V470" s="2" t="s">
        <v>715</v>
      </c>
      <c r="W470" s="2" t="s">
        <v>716</v>
      </c>
      <c r="X470" s="2" t="s">
        <v>717</v>
      </c>
      <c r="Y470" s="2" t="s">
        <v>718</v>
      </c>
      <c r="Z470" s="2" t="s">
        <v>719</v>
      </c>
      <c r="AA470" s="2" t="s">
        <v>548</v>
      </c>
      <c r="AB470" s="2" t="s">
        <v>720</v>
      </c>
    </row>
    <row r="471" spans="1:28" hidden="1" x14ac:dyDescent="0.3">
      <c r="A471" s="4">
        <v>46204</v>
      </c>
      <c r="B471" s="8" t="s">
        <v>559</v>
      </c>
      <c r="C471" s="8" t="s">
        <v>36</v>
      </c>
      <c r="D471" s="7" t="s">
        <v>52</v>
      </c>
      <c r="E471" s="7" t="s">
        <v>47</v>
      </c>
      <c r="F471" s="13"/>
      <c r="G471" s="59"/>
      <c r="H471" s="6">
        <v>3000</v>
      </c>
      <c r="I471" s="6">
        <f t="shared" si="37"/>
        <v>298.39999999999998</v>
      </c>
      <c r="J471" s="2" t="s">
        <v>721</v>
      </c>
      <c r="K471" s="2">
        <v>7.5</v>
      </c>
      <c r="L471" s="2" t="s">
        <v>561</v>
      </c>
      <c r="M471" s="2" t="s">
        <v>722</v>
      </c>
      <c r="N471" s="2" t="s">
        <v>723</v>
      </c>
      <c r="O471" s="56">
        <v>2238</v>
      </c>
      <c r="P471" s="2" t="s">
        <v>627</v>
      </c>
      <c r="Q471" s="2" t="s">
        <v>724</v>
      </c>
      <c r="R471" s="2" t="s">
        <v>725</v>
      </c>
      <c r="S471" s="2" t="s">
        <v>582</v>
      </c>
      <c r="T471" s="2" t="s">
        <v>726</v>
      </c>
      <c r="U471" s="2" t="s">
        <v>727</v>
      </c>
      <c r="V471" s="2" t="s">
        <v>728</v>
      </c>
      <c r="W471" s="2" t="s">
        <v>729</v>
      </c>
      <c r="X471" s="2" t="s">
        <v>730</v>
      </c>
      <c r="Y471" s="2" t="s">
        <v>731</v>
      </c>
      <c r="Z471" s="2" t="s">
        <v>602</v>
      </c>
      <c r="AA471" s="2" t="s">
        <v>548</v>
      </c>
      <c r="AB471" s="2" t="s">
        <v>732</v>
      </c>
    </row>
    <row r="472" spans="1:28" hidden="1" x14ac:dyDescent="0.3">
      <c r="A472" s="4">
        <v>46204</v>
      </c>
      <c r="B472" s="8" t="s">
        <v>559</v>
      </c>
      <c r="C472" s="8" t="s">
        <v>36</v>
      </c>
      <c r="D472" s="7" t="s">
        <v>46</v>
      </c>
      <c r="E472" s="7" t="s">
        <v>61</v>
      </c>
      <c r="F472" s="13"/>
      <c r="G472" s="59"/>
      <c r="H472" s="6">
        <v>3000</v>
      </c>
      <c r="I472" s="6">
        <f t="shared" si="37"/>
        <v>309.86762936221419</v>
      </c>
      <c r="J472" s="2" t="s">
        <v>733</v>
      </c>
      <c r="K472" s="2">
        <v>8.31</v>
      </c>
      <c r="L472" s="2" t="s">
        <v>734</v>
      </c>
      <c r="M472" s="2" t="s">
        <v>735</v>
      </c>
      <c r="N472" s="2" t="s">
        <v>548</v>
      </c>
      <c r="O472" s="56">
        <v>2575</v>
      </c>
      <c r="P472" s="2" t="s">
        <v>45</v>
      </c>
      <c r="Q472" s="2" t="s">
        <v>548</v>
      </c>
      <c r="R472" s="2" t="s">
        <v>736</v>
      </c>
      <c r="S472" s="2" t="s">
        <v>737</v>
      </c>
      <c r="T472" s="2" t="s">
        <v>738</v>
      </c>
      <c r="U472" s="2" t="s">
        <v>739</v>
      </c>
      <c r="V472" s="2" t="s">
        <v>740</v>
      </c>
      <c r="W472" s="2" t="s">
        <v>741</v>
      </c>
      <c r="X472" s="2" t="s">
        <v>676</v>
      </c>
      <c r="Y472" s="2" t="s">
        <v>677</v>
      </c>
      <c r="Z472" s="2" t="s">
        <v>561</v>
      </c>
      <c r="AA472" s="2" t="s">
        <v>45</v>
      </c>
      <c r="AB472" s="2" t="s">
        <v>742</v>
      </c>
    </row>
    <row r="473" spans="1:28" s="45" customFormat="1" x14ac:dyDescent="0.3">
      <c r="A473" s="4">
        <v>46204</v>
      </c>
      <c r="B473" s="8" t="s">
        <v>559</v>
      </c>
      <c r="C473" s="8" t="s">
        <v>36</v>
      </c>
      <c r="D473" s="7" t="s">
        <v>48</v>
      </c>
      <c r="E473" s="7" t="s">
        <v>38</v>
      </c>
      <c r="F473" s="13">
        <v>60.8</v>
      </c>
      <c r="G473" s="74"/>
      <c r="H473" s="6">
        <v>4800</v>
      </c>
      <c r="I473" s="6">
        <f t="shared" si="37"/>
        <v>403.66492146596858</v>
      </c>
      <c r="J473" s="68" t="s">
        <v>743</v>
      </c>
      <c r="K473" s="68">
        <v>1.91</v>
      </c>
      <c r="L473" s="68" t="s">
        <v>719</v>
      </c>
      <c r="M473" s="68" t="s">
        <v>744</v>
      </c>
      <c r="N473" s="68" t="s">
        <v>745</v>
      </c>
      <c r="O473" s="77">
        <v>771</v>
      </c>
      <c r="P473" s="68" t="s">
        <v>746</v>
      </c>
      <c r="Q473" s="68" t="s">
        <v>747</v>
      </c>
      <c r="R473" s="68" t="s">
        <v>748</v>
      </c>
      <c r="S473" s="68" t="s">
        <v>749</v>
      </c>
      <c r="T473" s="68" t="s">
        <v>712</v>
      </c>
      <c r="U473" s="68" t="s">
        <v>750</v>
      </c>
      <c r="V473" s="68" t="s">
        <v>751</v>
      </c>
      <c r="W473" s="68" t="s">
        <v>752</v>
      </c>
      <c r="X473" s="68" t="s">
        <v>753</v>
      </c>
      <c r="Y473" s="68" t="s">
        <v>754</v>
      </c>
      <c r="Z473" s="68" t="s">
        <v>548</v>
      </c>
      <c r="AA473" s="68" t="s">
        <v>548</v>
      </c>
      <c r="AB473" s="68" t="s">
        <v>650</v>
      </c>
    </row>
    <row r="474" spans="1:28" hidden="1" x14ac:dyDescent="0.3">
      <c r="A474" s="4">
        <v>46204</v>
      </c>
      <c r="B474" s="8" t="s">
        <v>559</v>
      </c>
      <c r="C474" s="8" t="s">
        <v>36</v>
      </c>
      <c r="D474" s="7" t="s">
        <v>49</v>
      </c>
      <c r="E474" s="7" t="s">
        <v>47</v>
      </c>
      <c r="F474" s="13"/>
      <c r="G474" s="59"/>
      <c r="H474" s="6">
        <v>3000</v>
      </c>
      <c r="I474" s="6">
        <f t="shared" si="37"/>
        <v>394.2126514131898</v>
      </c>
      <c r="J474" s="2" t="s">
        <v>755</v>
      </c>
      <c r="K474" s="2">
        <v>7.43</v>
      </c>
      <c r="L474" s="2" t="s">
        <v>756</v>
      </c>
      <c r="M474" s="2" t="s">
        <v>757</v>
      </c>
      <c r="N474" s="2" t="s">
        <v>758</v>
      </c>
      <c r="O474" s="56">
        <v>2929</v>
      </c>
      <c r="P474" s="2" t="s">
        <v>759</v>
      </c>
      <c r="Q474" s="2" t="s">
        <v>760</v>
      </c>
      <c r="R474" s="2" t="s">
        <v>761</v>
      </c>
      <c r="S474" s="2" t="s">
        <v>567</v>
      </c>
      <c r="T474" s="2" t="s">
        <v>762</v>
      </c>
      <c r="U474" s="2" t="s">
        <v>763</v>
      </c>
      <c r="V474" s="2" t="s">
        <v>764</v>
      </c>
      <c r="W474" s="2" t="s">
        <v>765</v>
      </c>
      <c r="X474" s="2" t="s">
        <v>766</v>
      </c>
      <c r="Y474" s="2" t="s">
        <v>767</v>
      </c>
      <c r="Z474" s="2" t="s">
        <v>548</v>
      </c>
      <c r="AA474" s="2" t="s">
        <v>548</v>
      </c>
      <c r="AB474" s="2" t="s">
        <v>665</v>
      </c>
    </row>
    <row r="475" spans="1:28" hidden="1" x14ac:dyDescent="0.3">
      <c r="A475" s="14">
        <v>46204</v>
      </c>
      <c r="B475" s="14" t="s">
        <v>559</v>
      </c>
      <c r="C475" s="14" t="s">
        <v>36</v>
      </c>
      <c r="D475" s="42"/>
      <c r="E475" s="42" t="s">
        <v>47</v>
      </c>
      <c r="F475" s="43"/>
      <c r="G475" s="60"/>
      <c r="H475" s="44">
        <v>3000</v>
      </c>
      <c r="I475" s="44"/>
      <c r="J475" s="42"/>
      <c r="K475" s="42"/>
      <c r="L475" s="42"/>
      <c r="M475" s="42"/>
      <c r="N475" s="42"/>
      <c r="O475" s="60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spans="1:28" hidden="1" x14ac:dyDescent="0.3">
      <c r="A476" s="4">
        <v>46205</v>
      </c>
      <c r="B476" s="8" t="s">
        <v>559</v>
      </c>
      <c r="C476" s="8" t="s">
        <v>36</v>
      </c>
      <c r="D476" s="7" t="s">
        <v>43</v>
      </c>
      <c r="E476" s="7" t="s">
        <v>47</v>
      </c>
      <c r="F476" s="13"/>
      <c r="G476" s="59"/>
      <c r="H476" s="6">
        <v>3000</v>
      </c>
      <c r="I476" s="6">
        <f t="shared" ref="I476:I539" si="38">IFERROR(O476/K476,)</f>
        <v>362.1346886912325</v>
      </c>
      <c r="J476" s="2" t="s">
        <v>768</v>
      </c>
      <c r="K476" s="2">
        <v>7.87</v>
      </c>
      <c r="L476" s="2" t="s">
        <v>690</v>
      </c>
      <c r="M476" s="2" t="s">
        <v>769</v>
      </c>
      <c r="N476" s="2" t="s">
        <v>45</v>
      </c>
      <c r="O476" s="56">
        <v>2850</v>
      </c>
      <c r="P476" s="2" t="s">
        <v>45</v>
      </c>
      <c r="Q476" s="2" t="s">
        <v>45</v>
      </c>
      <c r="R476" s="2" t="s">
        <v>770</v>
      </c>
      <c r="S476" s="2" t="s">
        <v>712</v>
      </c>
      <c r="T476" s="2" t="s">
        <v>771</v>
      </c>
      <c r="U476" s="2" t="s">
        <v>772</v>
      </c>
      <c r="V476" s="2" t="s">
        <v>773</v>
      </c>
      <c r="W476" s="2" t="s">
        <v>774</v>
      </c>
      <c r="X476" s="2" t="s">
        <v>45</v>
      </c>
      <c r="Y476" s="2" t="s">
        <v>45</v>
      </c>
      <c r="Z476" s="2" t="s">
        <v>719</v>
      </c>
      <c r="AA476" s="2" t="s">
        <v>45</v>
      </c>
      <c r="AB476" s="2" t="s">
        <v>775</v>
      </c>
    </row>
    <row r="477" spans="1:28" hidden="1" x14ac:dyDescent="0.3">
      <c r="A477" s="4">
        <v>46205</v>
      </c>
      <c r="B477" s="8" t="s">
        <v>559</v>
      </c>
      <c r="C477" s="8" t="s">
        <v>36</v>
      </c>
      <c r="D477" s="7" t="s">
        <v>67</v>
      </c>
      <c r="E477" s="7" t="s">
        <v>47</v>
      </c>
      <c r="F477" s="13"/>
      <c r="G477" s="59"/>
      <c r="H477" s="6">
        <v>3000</v>
      </c>
      <c r="I477" s="6">
        <f t="shared" si="38"/>
        <v>143.67816091954023</v>
      </c>
      <c r="J477" s="2" t="s">
        <v>776</v>
      </c>
      <c r="K477" s="2">
        <v>10.44</v>
      </c>
      <c r="L477" s="2" t="s">
        <v>777</v>
      </c>
      <c r="M477" s="2" t="s">
        <v>778</v>
      </c>
      <c r="N477" s="2" t="s">
        <v>548</v>
      </c>
      <c r="O477" s="56">
        <v>1500</v>
      </c>
      <c r="P477" s="2" t="s">
        <v>45</v>
      </c>
      <c r="Q477" s="2" t="s">
        <v>548</v>
      </c>
      <c r="R477" s="2" t="s">
        <v>779</v>
      </c>
      <c r="S477" s="2" t="s">
        <v>595</v>
      </c>
      <c r="T477" s="2" t="s">
        <v>780</v>
      </c>
      <c r="U477" s="2" t="s">
        <v>781</v>
      </c>
      <c r="V477" s="2" t="s">
        <v>782</v>
      </c>
      <c r="W477" s="2" t="s">
        <v>783</v>
      </c>
      <c r="X477" s="2" t="s">
        <v>700</v>
      </c>
      <c r="Y477" s="2" t="s">
        <v>701</v>
      </c>
      <c r="Z477" s="2" t="s">
        <v>784</v>
      </c>
      <c r="AA477" s="2" t="s">
        <v>45</v>
      </c>
      <c r="AB477" s="2" t="s">
        <v>785</v>
      </c>
    </row>
    <row r="478" spans="1:28" hidden="1" x14ac:dyDescent="0.3">
      <c r="A478" s="4">
        <v>46205</v>
      </c>
      <c r="B478" s="8" t="s">
        <v>559</v>
      </c>
      <c r="C478" s="8" t="s">
        <v>36</v>
      </c>
      <c r="D478" s="7" t="s">
        <v>50</v>
      </c>
      <c r="E478" s="7" t="s">
        <v>47</v>
      </c>
      <c r="F478" s="13"/>
      <c r="G478" s="59"/>
      <c r="H478" s="6">
        <v>3000</v>
      </c>
      <c r="I478" s="6">
        <f t="shared" si="38"/>
        <v>121.30584192439862</v>
      </c>
      <c r="J478" s="2" t="s">
        <v>786</v>
      </c>
      <c r="K478" s="2">
        <v>2.91</v>
      </c>
      <c r="L478" s="2" t="s">
        <v>787</v>
      </c>
      <c r="M478" s="2" t="s">
        <v>788</v>
      </c>
      <c r="N478" s="2" t="s">
        <v>789</v>
      </c>
      <c r="O478" s="56">
        <v>353</v>
      </c>
      <c r="P478" s="2" t="s">
        <v>790</v>
      </c>
      <c r="Q478" s="2" t="s">
        <v>791</v>
      </c>
      <c r="R478" s="2" t="s">
        <v>792</v>
      </c>
      <c r="S478" s="2" t="s">
        <v>793</v>
      </c>
      <c r="T478" s="2" t="s">
        <v>794</v>
      </c>
      <c r="U478" s="2" t="s">
        <v>795</v>
      </c>
      <c r="V478" s="2" t="s">
        <v>796</v>
      </c>
      <c r="W478" s="2" t="s">
        <v>797</v>
      </c>
      <c r="X478" s="2" t="s">
        <v>798</v>
      </c>
      <c r="Y478" s="2" t="s">
        <v>799</v>
      </c>
      <c r="Z478" s="2" t="s">
        <v>800</v>
      </c>
      <c r="AA478" s="2" t="s">
        <v>548</v>
      </c>
      <c r="AB478" s="2" t="s">
        <v>801</v>
      </c>
    </row>
    <row r="479" spans="1:28" hidden="1" x14ac:dyDescent="0.3">
      <c r="A479" s="4">
        <v>46205</v>
      </c>
      <c r="B479" s="8" t="s">
        <v>559</v>
      </c>
      <c r="C479" s="8" t="s">
        <v>36</v>
      </c>
      <c r="D479" s="7" t="s">
        <v>52</v>
      </c>
      <c r="E479" s="7" t="s">
        <v>47</v>
      </c>
      <c r="F479" s="13"/>
      <c r="G479" s="59"/>
      <c r="H479" s="6">
        <v>3000</v>
      </c>
      <c r="I479" s="6">
        <f t="shared" si="38"/>
        <v>376.27118644067798</v>
      </c>
      <c r="J479" s="2" t="s">
        <v>802</v>
      </c>
      <c r="K479" s="2">
        <v>7.67</v>
      </c>
      <c r="L479" s="2" t="s">
        <v>803</v>
      </c>
      <c r="M479" s="2" t="s">
        <v>804</v>
      </c>
      <c r="N479" s="2" t="s">
        <v>805</v>
      </c>
      <c r="O479" s="56">
        <v>2886</v>
      </c>
      <c r="P479" s="2" t="s">
        <v>806</v>
      </c>
      <c r="Q479" s="2" t="s">
        <v>807</v>
      </c>
      <c r="R479" s="2" t="s">
        <v>808</v>
      </c>
      <c r="S479" s="2" t="s">
        <v>583</v>
      </c>
      <c r="T479" s="2" t="s">
        <v>809</v>
      </c>
      <c r="U479" s="2" t="s">
        <v>810</v>
      </c>
      <c r="V479" s="2" t="s">
        <v>811</v>
      </c>
      <c r="W479" s="2" t="s">
        <v>812</v>
      </c>
      <c r="X479" s="2" t="s">
        <v>813</v>
      </c>
      <c r="Y479" s="2" t="s">
        <v>814</v>
      </c>
      <c r="Z479" s="2" t="s">
        <v>621</v>
      </c>
      <c r="AA479" s="2" t="s">
        <v>548</v>
      </c>
      <c r="AB479" s="2" t="s">
        <v>815</v>
      </c>
    </row>
    <row r="480" spans="1:28" hidden="1" x14ac:dyDescent="0.3">
      <c r="A480" s="4">
        <v>46205</v>
      </c>
      <c r="B480" s="8" t="s">
        <v>559</v>
      </c>
      <c r="C480" s="8" t="s">
        <v>36</v>
      </c>
      <c r="D480" s="7" t="s">
        <v>46</v>
      </c>
      <c r="E480" s="7" t="s">
        <v>61</v>
      </c>
      <c r="F480" s="13"/>
      <c r="G480" s="59"/>
      <c r="H480" s="6"/>
      <c r="I480" s="6">
        <f t="shared" si="38"/>
        <v>444.99105545617175</v>
      </c>
      <c r="J480" s="2" t="s">
        <v>816</v>
      </c>
      <c r="K480" s="2">
        <v>11.18</v>
      </c>
      <c r="L480" s="2" t="s">
        <v>817</v>
      </c>
      <c r="M480" s="2" t="s">
        <v>818</v>
      </c>
      <c r="N480" s="2" t="s">
        <v>548</v>
      </c>
      <c r="O480" s="56">
        <v>4975</v>
      </c>
      <c r="P480" s="2" t="s">
        <v>45</v>
      </c>
      <c r="Q480" s="2" t="s">
        <v>548</v>
      </c>
      <c r="R480" s="2" t="s">
        <v>819</v>
      </c>
      <c r="S480" s="2" t="s">
        <v>820</v>
      </c>
      <c r="T480" s="2" t="s">
        <v>568</v>
      </c>
      <c r="U480" s="2" t="s">
        <v>821</v>
      </c>
      <c r="V480" s="2" t="s">
        <v>822</v>
      </c>
      <c r="W480" s="2" t="s">
        <v>823</v>
      </c>
      <c r="X480" s="2" t="s">
        <v>676</v>
      </c>
      <c r="Y480" s="2" t="s">
        <v>677</v>
      </c>
      <c r="Z480" s="2" t="s">
        <v>580</v>
      </c>
      <c r="AA480" s="2" t="s">
        <v>45</v>
      </c>
      <c r="AB480" s="2" t="s">
        <v>824</v>
      </c>
    </row>
    <row r="481" spans="1:28" x14ac:dyDescent="0.3">
      <c r="A481" s="4">
        <v>46205</v>
      </c>
      <c r="B481" s="8" t="s">
        <v>55</v>
      </c>
      <c r="C481" s="8" t="s">
        <v>56</v>
      </c>
      <c r="D481" s="7" t="s">
        <v>48</v>
      </c>
      <c r="E481" s="7" t="s">
        <v>38</v>
      </c>
      <c r="F481" s="13"/>
      <c r="G481" s="59"/>
      <c r="H481" s="6"/>
      <c r="I481" s="6">
        <f t="shared" si="38"/>
        <v>0</v>
      </c>
      <c r="J481" s="2" t="s">
        <v>548</v>
      </c>
      <c r="K481" s="2" t="s">
        <v>548</v>
      </c>
      <c r="L481" s="2" t="s">
        <v>548</v>
      </c>
      <c r="M481" s="2" t="s">
        <v>45</v>
      </c>
      <c r="N481" s="2" t="s">
        <v>548</v>
      </c>
      <c r="O481" s="77">
        <v>0</v>
      </c>
      <c r="P481" s="2" t="s">
        <v>45</v>
      </c>
      <c r="Q481" s="2" t="s">
        <v>45</v>
      </c>
      <c r="R481" s="2" t="s">
        <v>548</v>
      </c>
      <c r="S481" s="2" t="s">
        <v>548</v>
      </c>
      <c r="T481" s="2" t="s">
        <v>45</v>
      </c>
      <c r="U481" s="2" t="s">
        <v>548</v>
      </c>
      <c r="V481" s="2" t="s">
        <v>45</v>
      </c>
      <c r="W481" s="2" t="s">
        <v>752</v>
      </c>
      <c r="X481" s="2" t="s">
        <v>753</v>
      </c>
      <c r="Y481" s="2" t="s">
        <v>754</v>
      </c>
      <c r="Z481" s="2" t="s">
        <v>548</v>
      </c>
      <c r="AA481" s="2" t="s">
        <v>45</v>
      </c>
      <c r="AB481" s="2" t="s">
        <v>650</v>
      </c>
    </row>
    <row r="482" spans="1:28" hidden="1" x14ac:dyDescent="0.3">
      <c r="A482" s="4">
        <v>46205</v>
      </c>
      <c r="B482" s="8" t="s">
        <v>559</v>
      </c>
      <c r="C482" s="8" t="s">
        <v>36</v>
      </c>
      <c r="D482" s="7" t="s">
        <v>49</v>
      </c>
      <c r="E482" s="7" t="s">
        <v>47</v>
      </c>
      <c r="F482" s="13"/>
      <c r="G482" s="59"/>
      <c r="H482" s="6">
        <v>3000</v>
      </c>
      <c r="I482" s="6">
        <f t="shared" si="38"/>
        <v>412.44131455399065</v>
      </c>
      <c r="J482" s="2" t="s">
        <v>825</v>
      </c>
      <c r="K482" s="2">
        <v>8.52</v>
      </c>
      <c r="L482" s="2" t="s">
        <v>817</v>
      </c>
      <c r="M482" s="2" t="s">
        <v>826</v>
      </c>
      <c r="N482" s="2" t="s">
        <v>827</v>
      </c>
      <c r="O482" s="56">
        <v>3514</v>
      </c>
      <c r="P482" s="2" t="s">
        <v>605</v>
      </c>
      <c r="Q482" s="2" t="s">
        <v>828</v>
      </c>
      <c r="R482" s="2" t="s">
        <v>829</v>
      </c>
      <c r="S482" s="2" t="s">
        <v>737</v>
      </c>
      <c r="T482" s="2" t="s">
        <v>830</v>
      </c>
      <c r="U482" s="2" t="s">
        <v>831</v>
      </c>
      <c r="V482" s="2" t="s">
        <v>832</v>
      </c>
      <c r="W482" s="2" t="s">
        <v>833</v>
      </c>
      <c r="X482" s="2" t="s">
        <v>834</v>
      </c>
      <c r="Y482" s="2" t="s">
        <v>835</v>
      </c>
      <c r="Z482" s="2" t="s">
        <v>548</v>
      </c>
      <c r="AA482" s="2" t="s">
        <v>548</v>
      </c>
      <c r="AB482" s="2" t="s">
        <v>665</v>
      </c>
    </row>
    <row r="483" spans="1:28" hidden="1" x14ac:dyDescent="0.3">
      <c r="A483" s="4">
        <v>46206</v>
      </c>
      <c r="B483" s="8" t="s">
        <v>559</v>
      </c>
      <c r="C483" s="8" t="s">
        <v>36</v>
      </c>
      <c r="D483" s="7" t="s">
        <v>43</v>
      </c>
      <c r="E483" s="7" t="s">
        <v>47</v>
      </c>
      <c r="F483" s="13"/>
      <c r="G483" s="59"/>
      <c r="H483" s="6">
        <v>3000</v>
      </c>
      <c r="I483" s="6">
        <f t="shared" si="38"/>
        <v>216.81415929203538</v>
      </c>
      <c r="J483" s="2" t="s">
        <v>836</v>
      </c>
      <c r="K483" s="2">
        <v>5.65</v>
      </c>
      <c r="L483" s="2" t="s">
        <v>756</v>
      </c>
      <c r="M483" s="2" t="s">
        <v>837</v>
      </c>
      <c r="N483" s="2" t="s">
        <v>45</v>
      </c>
      <c r="O483" s="56">
        <v>1225</v>
      </c>
      <c r="P483" s="2" t="s">
        <v>45</v>
      </c>
      <c r="Q483" s="2" t="s">
        <v>45</v>
      </c>
      <c r="R483" s="2" t="s">
        <v>838</v>
      </c>
      <c r="S483" s="2" t="s">
        <v>839</v>
      </c>
      <c r="T483" s="2" t="s">
        <v>628</v>
      </c>
      <c r="U483" s="2" t="s">
        <v>840</v>
      </c>
      <c r="V483" s="2" t="s">
        <v>841</v>
      </c>
      <c r="W483" s="2" t="s">
        <v>842</v>
      </c>
      <c r="X483" s="2" t="s">
        <v>45</v>
      </c>
      <c r="Y483" s="2" t="s">
        <v>45</v>
      </c>
      <c r="Z483" s="2" t="s">
        <v>548</v>
      </c>
      <c r="AA483" s="2" t="s">
        <v>45</v>
      </c>
      <c r="AB483" s="2" t="s">
        <v>775</v>
      </c>
    </row>
    <row r="484" spans="1:28" hidden="1" x14ac:dyDescent="0.3">
      <c r="A484" s="4">
        <v>46206</v>
      </c>
      <c r="B484" s="8" t="s">
        <v>559</v>
      </c>
      <c r="C484" s="8" t="s">
        <v>36</v>
      </c>
      <c r="D484" s="7" t="s">
        <v>67</v>
      </c>
      <c r="E484" s="7" t="s">
        <v>47</v>
      </c>
      <c r="F484" s="13"/>
      <c r="G484" s="59"/>
      <c r="H484" s="6">
        <v>3000</v>
      </c>
      <c r="I484" s="6">
        <f t="shared" si="38"/>
        <v>137.21552878179384</v>
      </c>
      <c r="J484" s="2" t="s">
        <v>843</v>
      </c>
      <c r="K484" s="2">
        <v>7.47</v>
      </c>
      <c r="L484" s="2" t="s">
        <v>652</v>
      </c>
      <c r="M484" s="2" t="s">
        <v>844</v>
      </c>
      <c r="N484" s="2" t="s">
        <v>548</v>
      </c>
      <c r="O484" s="56">
        <v>1025</v>
      </c>
      <c r="P484" s="2" t="s">
        <v>45</v>
      </c>
      <c r="Q484" s="2" t="s">
        <v>548</v>
      </c>
      <c r="R484" s="2" t="s">
        <v>845</v>
      </c>
      <c r="S484" s="2" t="s">
        <v>839</v>
      </c>
      <c r="T484" s="2" t="s">
        <v>794</v>
      </c>
      <c r="U484" s="2" t="s">
        <v>846</v>
      </c>
      <c r="V484" s="2" t="s">
        <v>847</v>
      </c>
      <c r="W484" s="2" t="s">
        <v>848</v>
      </c>
      <c r="X484" s="2" t="s">
        <v>700</v>
      </c>
      <c r="Y484" s="2" t="s">
        <v>701</v>
      </c>
      <c r="Z484" s="2" t="s">
        <v>817</v>
      </c>
      <c r="AA484" s="2" t="s">
        <v>45</v>
      </c>
      <c r="AB484" s="2" t="s">
        <v>849</v>
      </c>
    </row>
    <row r="485" spans="1:28" hidden="1" x14ac:dyDescent="0.3">
      <c r="A485" s="4">
        <v>46206</v>
      </c>
      <c r="B485" s="8" t="s">
        <v>559</v>
      </c>
      <c r="C485" s="8" t="s">
        <v>36</v>
      </c>
      <c r="D485" s="7" t="s">
        <v>50</v>
      </c>
      <c r="E485" s="7" t="s">
        <v>47</v>
      </c>
      <c r="F485" s="13"/>
      <c r="G485" s="59"/>
      <c r="H485" s="6">
        <v>3000</v>
      </c>
      <c r="I485" s="6">
        <f t="shared" si="38"/>
        <v>239.92869875222814</v>
      </c>
      <c r="J485" s="2" t="s">
        <v>850</v>
      </c>
      <c r="K485" s="2">
        <v>5.61</v>
      </c>
      <c r="L485" s="2" t="s">
        <v>784</v>
      </c>
      <c r="M485" s="2" t="s">
        <v>851</v>
      </c>
      <c r="N485" s="2" t="s">
        <v>852</v>
      </c>
      <c r="O485" s="56">
        <v>1346</v>
      </c>
      <c r="P485" s="2" t="s">
        <v>853</v>
      </c>
      <c r="Q485" s="2" t="s">
        <v>854</v>
      </c>
      <c r="R485" s="2" t="s">
        <v>855</v>
      </c>
      <c r="S485" s="2" t="s">
        <v>737</v>
      </c>
      <c r="T485" s="2" t="s">
        <v>856</v>
      </c>
      <c r="U485" s="2" t="s">
        <v>857</v>
      </c>
      <c r="V485" s="2" t="s">
        <v>858</v>
      </c>
      <c r="W485" s="2" t="s">
        <v>859</v>
      </c>
      <c r="X485" s="2" t="s">
        <v>860</v>
      </c>
      <c r="Y485" s="2" t="s">
        <v>861</v>
      </c>
      <c r="Z485" s="2" t="s">
        <v>580</v>
      </c>
      <c r="AA485" s="2" t="s">
        <v>548</v>
      </c>
      <c r="AB485" s="2" t="s">
        <v>862</v>
      </c>
    </row>
    <row r="486" spans="1:28" hidden="1" x14ac:dyDescent="0.3">
      <c r="A486" s="4">
        <v>46206</v>
      </c>
      <c r="B486" s="8" t="s">
        <v>559</v>
      </c>
      <c r="C486" s="8" t="s">
        <v>36</v>
      </c>
      <c r="D486" s="7" t="s">
        <v>52</v>
      </c>
      <c r="E486" s="7" t="s">
        <v>47</v>
      </c>
      <c r="F486" s="13"/>
      <c r="G486" s="59"/>
      <c r="H486" s="6">
        <v>3000</v>
      </c>
      <c r="I486" s="6">
        <f t="shared" si="38"/>
        <v>242.36842105263159</v>
      </c>
      <c r="J486" s="2" t="s">
        <v>863</v>
      </c>
      <c r="K486" s="2">
        <v>7.6</v>
      </c>
      <c r="L486" s="2" t="s">
        <v>734</v>
      </c>
      <c r="M486" s="2" t="s">
        <v>864</v>
      </c>
      <c r="N486" s="2" t="s">
        <v>865</v>
      </c>
      <c r="O486" s="56">
        <v>1842</v>
      </c>
      <c r="P486" s="2" t="s">
        <v>866</v>
      </c>
      <c r="Q486" s="2" t="s">
        <v>867</v>
      </c>
      <c r="R486" s="2" t="s">
        <v>868</v>
      </c>
      <c r="S486" s="2" t="s">
        <v>595</v>
      </c>
      <c r="T486" s="2" t="s">
        <v>869</v>
      </c>
      <c r="U486" s="2" t="s">
        <v>870</v>
      </c>
      <c r="V486" s="2" t="s">
        <v>871</v>
      </c>
      <c r="W486" s="2" t="s">
        <v>872</v>
      </c>
      <c r="X486" s="2" t="s">
        <v>873</v>
      </c>
      <c r="Y486" s="2" t="s">
        <v>874</v>
      </c>
      <c r="Z486" s="2" t="s">
        <v>621</v>
      </c>
      <c r="AA486" s="2" t="s">
        <v>548</v>
      </c>
      <c r="AB486" s="2" t="s">
        <v>875</v>
      </c>
    </row>
    <row r="487" spans="1:28" hidden="1" x14ac:dyDescent="0.3">
      <c r="A487" s="4">
        <v>46206</v>
      </c>
      <c r="B487" s="8" t="s">
        <v>559</v>
      </c>
      <c r="C487" s="8" t="s">
        <v>36</v>
      </c>
      <c r="D487" s="7" t="s">
        <v>46</v>
      </c>
      <c r="E487" s="7" t="s">
        <v>61</v>
      </c>
      <c r="F487" s="13"/>
      <c r="G487" s="59"/>
      <c r="H487" s="6">
        <v>3000</v>
      </c>
      <c r="I487" s="6">
        <f t="shared" si="38"/>
        <v>397.89789789789791</v>
      </c>
      <c r="J487" s="2" t="s">
        <v>876</v>
      </c>
      <c r="K487" s="2">
        <v>13.32</v>
      </c>
      <c r="L487" s="2" t="s">
        <v>877</v>
      </c>
      <c r="M487" s="2" t="s">
        <v>757</v>
      </c>
      <c r="N487" s="2" t="s">
        <v>548</v>
      </c>
      <c r="O487" s="56">
        <v>5300</v>
      </c>
      <c r="P487" s="2" t="s">
        <v>45</v>
      </c>
      <c r="Q487" s="2" t="s">
        <v>548</v>
      </c>
      <c r="R487" s="2" t="s">
        <v>878</v>
      </c>
      <c r="S487" s="2" t="s">
        <v>816</v>
      </c>
      <c r="T487" s="2" t="s">
        <v>879</v>
      </c>
      <c r="U487" s="2" t="s">
        <v>880</v>
      </c>
      <c r="V487" s="2" t="s">
        <v>881</v>
      </c>
      <c r="W487" s="2" t="s">
        <v>882</v>
      </c>
      <c r="X487" s="2" t="s">
        <v>676</v>
      </c>
      <c r="Y487" s="2" t="s">
        <v>677</v>
      </c>
      <c r="Z487" s="2" t="s">
        <v>756</v>
      </c>
      <c r="AA487" s="2" t="s">
        <v>45</v>
      </c>
      <c r="AB487" s="2" t="s">
        <v>883</v>
      </c>
    </row>
    <row r="488" spans="1:28" x14ac:dyDescent="0.3">
      <c r="A488" s="4">
        <v>46206</v>
      </c>
      <c r="B488" s="8" t="s">
        <v>559</v>
      </c>
      <c r="C488" s="8" t="s">
        <v>36</v>
      </c>
      <c r="D488" s="7" t="s">
        <v>48</v>
      </c>
      <c r="E488" s="7" t="s">
        <v>38</v>
      </c>
      <c r="F488" s="13">
        <v>2454</v>
      </c>
      <c r="G488" s="59"/>
      <c r="H488" s="6">
        <v>4800</v>
      </c>
      <c r="I488" s="6">
        <f t="shared" si="38"/>
        <v>598.07692307692309</v>
      </c>
      <c r="J488" s="68" t="s">
        <v>721</v>
      </c>
      <c r="K488" s="68">
        <v>5.2</v>
      </c>
      <c r="L488" s="68" t="s">
        <v>884</v>
      </c>
      <c r="M488" s="68" t="s">
        <v>885</v>
      </c>
      <c r="N488" s="68" t="s">
        <v>886</v>
      </c>
      <c r="O488" s="77">
        <v>3110</v>
      </c>
      <c r="P488" s="68" t="s">
        <v>887</v>
      </c>
      <c r="Q488" s="68" t="s">
        <v>888</v>
      </c>
      <c r="R488" s="68" t="s">
        <v>889</v>
      </c>
      <c r="S488" s="68" t="s">
        <v>890</v>
      </c>
      <c r="T488" s="68" t="s">
        <v>891</v>
      </c>
      <c r="U488" s="68" t="s">
        <v>892</v>
      </c>
      <c r="V488" s="68" t="s">
        <v>893</v>
      </c>
      <c r="W488" s="68" t="s">
        <v>894</v>
      </c>
      <c r="X488" s="68" t="s">
        <v>895</v>
      </c>
      <c r="Y488" s="68" t="s">
        <v>896</v>
      </c>
      <c r="Z488" s="68" t="s">
        <v>548</v>
      </c>
      <c r="AA488" s="68" t="s">
        <v>548</v>
      </c>
      <c r="AB488" s="68" t="s">
        <v>650</v>
      </c>
    </row>
    <row r="489" spans="1:28" hidden="1" x14ac:dyDescent="0.3">
      <c r="A489" s="4">
        <v>46206</v>
      </c>
      <c r="B489" s="8" t="s">
        <v>559</v>
      </c>
      <c r="C489" s="8" t="s">
        <v>36</v>
      </c>
      <c r="D489" s="7" t="s">
        <v>49</v>
      </c>
      <c r="E489" s="7" t="s">
        <v>47</v>
      </c>
      <c r="F489" s="13"/>
      <c r="G489" s="59"/>
      <c r="H489" s="6">
        <v>3000</v>
      </c>
      <c r="I489" s="6">
        <f t="shared" si="38"/>
        <v>490.76655052264806</v>
      </c>
      <c r="J489" s="2" t="s">
        <v>705</v>
      </c>
      <c r="K489" s="2">
        <v>5.74</v>
      </c>
      <c r="L489" s="2" t="s">
        <v>784</v>
      </c>
      <c r="M489" s="2" t="s">
        <v>897</v>
      </c>
      <c r="N489" s="2" t="s">
        <v>898</v>
      </c>
      <c r="O489" s="56">
        <v>2817</v>
      </c>
      <c r="P489" s="2" t="s">
        <v>899</v>
      </c>
      <c r="Q489" s="2" t="s">
        <v>900</v>
      </c>
      <c r="R489" s="2" t="s">
        <v>901</v>
      </c>
      <c r="S489" s="2" t="s">
        <v>902</v>
      </c>
      <c r="T489" s="2" t="s">
        <v>903</v>
      </c>
      <c r="U489" s="2" t="s">
        <v>904</v>
      </c>
      <c r="V489" s="2" t="s">
        <v>905</v>
      </c>
      <c r="W489" s="2" t="s">
        <v>906</v>
      </c>
      <c r="X489" s="2" t="s">
        <v>907</v>
      </c>
      <c r="Y489" s="2" t="s">
        <v>908</v>
      </c>
      <c r="Z489" s="2" t="s">
        <v>548</v>
      </c>
      <c r="AA489" s="2" t="s">
        <v>548</v>
      </c>
      <c r="AB489" s="2" t="s">
        <v>665</v>
      </c>
    </row>
    <row r="490" spans="1:28" hidden="1" x14ac:dyDescent="0.3">
      <c r="A490" s="4">
        <v>46207</v>
      </c>
      <c r="B490" s="8" t="s">
        <v>559</v>
      </c>
      <c r="C490" s="8" t="s">
        <v>36</v>
      </c>
      <c r="D490" s="7" t="s">
        <v>43</v>
      </c>
      <c r="E490" s="7" t="s">
        <v>47</v>
      </c>
      <c r="F490" s="13"/>
      <c r="G490" s="59"/>
      <c r="H490" s="6">
        <v>3000</v>
      </c>
      <c r="I490" s="6">
        <f t="shared" si="38"/>
        <v>193.60269360269359</v>
      </c>
      <c r="J490" s="2" t="s">
        <v>909</v>
      </c>
      <c r="K490" s="2">
        <v>5.94</v>
      </c>
      <c r="L490" s="2" t="s">
        <v>734</v>
      </c>
      <c r="M490" s="2" t="s">
        <v>910</v>
      </c>
      <c r="N490" s="2" t="s">
        <v>45</v>
      </c>
      <c r="O490" s="56">
        <v>1150</v>
      </c>
      <c r="P490" s="2" t="s">
        <v>45</v>
      </c>
      <c r="Q490" s="2" t="s">
        <v>45</v>
      </c>
      <c r="R490" s="2" t="s">
        <v>911</v>
      </c>
      <c r="S490" s="2" t="s">
        <v>839</v>
      </c>
      <c r="T490" s="2" t="s">
        <v>912</v>
      </c>
      <c r="U490" s="2" t="s">
        <v>913</v>
      </c>
      <c r="V490" s="2" t="s">
        <v>914</v>
      </c>
      <c r="W490" s="2" t="s">
        <v>915</v>
      </c>
      <c r="X490" s="2" t="s">
        <v>45</v>
      </c>
      <c r="Y490" s="2" t="s">
        <v>45</v>
      </c>
      <c r="Z490" s="2" t="s">
        <v>580</v>
      </c>
      <c r="AA490" s="2" t="s">
        <v>45</v>
      </c>
      <c r="AB490" s="2" t="s">
        <v>916</v>
      </c>
    </row>
    <row r="491" spans="1:28" hidden="1" x14ac:dyDescent="0.3">
      <c r="A491" s="4">
        <v>46207</v>
      </c>
      <c r="B491" s="8" t="s">
        <v>559</v>
      </c>
      <c r="C491" s="8" t="s">
        <v>36</v>
      </c>
      <c r="D491" s="7" t="s">
        <v>67</v>
      </c>
      <c r="E491" s="7" t="s">
        <v>47</v>
      </c>
      <c r="F491" s="13"/>
      <c r="G491" s="59"/>
      <c r="H491" s="6">
        <v>3000</v>
      </c>
      <c r="I491" s="6">
        <f t="shared" si="38"/>
        <v>270.38269550748754</v>
      </c>
      <c r="J491" s="2" t="s">
        <v>666</v>
      </c>
      <c r="K491" s="2">
        <v>6.01</v>
      </c>
      <c r="L491" s="2" t="s">
        <v>602</v>
      </c>
      <c r="M491" s="2" t="s">
        <v>917</v>
      </c>
      <c r="N491" s="2" t="s">
        <v>548</v>
      </c>
      <c r="O491" s="56">
        <v>1625</v>
      </c>
      <c r="P491" s="2" t="s">
        <v>45</v>
      </c>
      <c r="Q491" s="2" t="s">
        <v>548</v>
      </c>
      <c r="R491" s="2" t="s">
        <v>918</v>
      </c>
      <c r="S491" s="2" t="s">
        <v>749</v>
      </c>
      <c r="T491" s="2" t="s">
        <v>919</v>
      </c>
      <c r="U491" s="2" t="s">
        <v>920</v>
      </c>
      <c r="V491" s="2" t="s">
        <v>921</v>
      </c>
      <c r="W491" s="2" t="s">
        <v>922</v>
      </c>
      <c r="X491" s="2" t="s">
        <v>700</v>
      </c>
      <c r="Y491" s="2" t="s">
        <v>701</v>
      </c>
      <c r="Z491" s="2" t="s">
        <v>690</v>
      </c>
      <c r="AA491" s="2" t="s">
        <v>45</v>
      </c>
      <c r="AB491" s="2" t="s">
        <v>923</v>
      </c>
    </row>
    <row r="492" spans="1:28" hidden="1" x14ac:dyDescent="0.3">
      <c r="A492" s="4">
        <v>46207</v>
      </c>
      <c r="B492" s="8" t="s">
        <v>559</v>
      </c>
      <c r="C492" s="8" t="s">
        <v>36</v>
      </c>
      <c r="D492" s="7" t="s">
        <v>50</v>
      </c>
      <c r="E492" s="7" t="s">
        <v>47</v>
      </c>
      <c r="F492" s="13"/>
      <c r="G492" s="59"/>
      <c r="H492" s="6">
        <v>3000</v>
      </c>
      <c r="I492" s="6">
        <f t="shared" si="38"/>
        <v>382.83378746594008</v>
      </c>
      <c r="J492" s="2" t="s">
        <v>642</v>
      </c>
      <c r="K492" s="2">
        <v>7.34</v>
      </c>
      <c r="L492" s="2" t="s">
        <v>618</v>
      </c>
      <c r="M492" s="2" t="s">
        <v>924</v>
      </c>
      <c r="N492" s="2" t="s">
        <v>925</v>
      </c>
      <c r="O492" s="56">
        <v>2810</v>
      </c>
      <c r="P492" s="2" t="s">
        <v>926</v>
      </c>
      <c r="Q492" s="2" t="s">
        <v>927</v>
      </c>
      <c r="R492" s="2" t="s">
        <v>928</v>
      </c>
      <c r="S492" s="2" t="s">
        <v>582</v>
      </c>
      <c r="T492" s="2" t="s">
        <v>869</v>
      </c>
      <c r="U492" s="2" t="s">
        <v>929</v>
      </c>
      <c r="V492" s="2" t="s">
        <v>930</v>
      </c>
      <c r="W492" s="2" t="s">
        <v>931</v>
      </c>
      <c r="X492" s="2" t="s">
        <v>932</v>
      </c>
      <c r="Y492" s="2" t="s">
        <v>933</v>
      </c>
      <c r="Z492" s="2" t="s">
        <v>649</v>
      </c>
      <c r="AA492" s="2" t="s">
        <v>548</v>
      </c>
      <c r="AB492" s="2" t="s">
        <v>934</v>
      </c>
    </row>
    <row r="493" spans="1:28" hidden="1" x14ac:dyDescent="0.3">
      <c r="A493" s="4">
        <v>46207</v>
      </c>
      <c r="B493" s="8" t="s">
        <v>559</v>
      </c>
      <c r="C493" s="8" t="s">
        <v>36</v>
      </c>
      <c r="D493" s="7" t="s">
        <v>52</v>
      </c>
      <c r="E493" s="7" t="s">
        <v>47</v>
      </c>
      <c r="F493" s="13"/>
      <c r="G493" s="59"/>
      <c r="H493" s="6">
        <v>3000</v>
      </c>
      <c r="I493" s="6">
        <f t="shared" si="38"/>
        <v>243.43807763401108</v>
      </c>
      <c r="J493" s="2" t="s">
        <v>935</v>
      </c>
      <c r="K493" s="2">
        <v>5.41</v>
      </c>
      <c r="L493" s="2" t="s">
        <v>618</v>
      </c>
      <c r="M493" s="2" t="s">
        <v>936</v>
      </c>
      <c r="N493" s="2" t="s">
        <v>937</v>
      </c>
      <c r="O493" s="56">
        <v>1317</v>
      </c>
      <c r="P493" s="2" t="s">
        <v>655</v>
      </c>
      <c r="Q493" s="2" t="s">
        <v>938</v>
      </c>
      <c r="R493" s="2" t="s">
        <v>714</v>
      </c>
      <c r="S493" s="2" t="s">
        <v>627</v>
      </c>
      <c r="T493" s="2" t="s">
        <v>794</v>
      </c>
      <c r="U493" s="2" t="s">
        <v>939</v>
      </c>
      <c r="V493" s="2" t="s">
        <v>940</v>
      </c>
      <c r="W493" s="2" t="s">
        <v>941</v>
      </c>
      <c r="X493" s="2" t="s">
        <v>942</v>
      </c>
      <c r="Y493" s="2" t="s">
        <v>943</v>
      </c>
      <c r="Z493" s="2" t="s">
        <v>618</v>
      </c>
      <c r="AA493" s="2" t="s">
        <v>548</v>
      </c>
      <c r="AB493" s="2" t="s">
        <v>944</v>
      </c>
    </row>
    <row r="494" spans="1:28" hidden="1" x14ac:dyDescent="0.3">
      <c r="A494" s="4">
        <v>46207</v>
      </c>
      <c r="B494" s="8" t="s">
        <v>559</v>
      </c>
      <c r="C494" s="8" t="s">
        <v>36</v>
      </c>
      <c r="D494" s="7" t="s">
        <v>46</v>
      </c>
      <c r="E494" s="7" t="s">
        <v>61</v>
      </c>
      <c r="F494" s="13"/>
      <c r="G494" s="59"/>
      <c r="H494" s="6"/>
      <c r="I494" s="6">
        <f t="shared" si="38"/>
        <v>294.96402877697841</v>
      </c>
      <c r="J494" s="2" t="s">
        <v>945</v>
      </c>
      <c r="K494" s="2">
        <v>13.9</v>
      </c>
      <c r="L494" s="2" t="s">
        <v>946</v>
      </c>
      <c r="M494" s="2" t="s">
        <v>947</v>
      </c>
      <c r="N494" s="2" t="s">
        <v>548</v>
      </c>
      <c r="O494" s="56">
        <v>4100</v>
      </c>
      <c r="P494" s="2" t="s">
        <v>45</v>
      </c>
      <c r="Q494" s="2" t="s">
        <v>548</v>
      </c>
      <c r="R494" s="2" t="s">
        <v>948</v>
      </c>
      <c r="S494" s="2" t="s">
        <v>949</v>
      </c>
      <c r="T494" s="2" t="s">
        <v>950</v>
      </c>
      <c r="U494" s="2" t="s">
        <v>951</v>
      </c>
      <c r="V494" s="2" t="s">
        <v>822</v>
      </c>
      <c r="W494" s="2" t="s">
        <v>952</v>
      </c>
      <c r="X494" s="2" t="s">
        <v>676</v>
      </c>
      <c r="Y494" s="2" t="s">
        <v>677</v>
      </c>
      <c r="Z494" s="2" t="s">
        <v>621</v>
      </c>
      <c r="AA494" s="2" t="s">
        <v>45</v>
      </c>
      <c r="AB494" s="2" t="s">
        <v>953</v>
      </c>
    </row>
    <row r="495" spans="1:28" x14ac:dyDescent="0.3">
      <c r="A495" s="4">
        <v>46207</v>
      </c>
      <c r="B495" s="8" t="s">
        <v>559</v>
      </c>
      <c r="C495" s="8" t="s">
        <v>36</v>
      </c>
      <c r="D495" s="7" t="s">
        <v>48</v>
      </c>
      <c r="E495" s="7" t="s">
        <v>38</v>
      </c>
      <c r="F495" s="13">
        <v>2788</v>
      </c>
      <c r="G495" s="59"/>
      <c r="H495" s="6">
        <v>4800</v>
      </c>
      <c r="I495" s="6">
        <f t="shared" si="38"/>
        <v>597.51166407465007</v>
      </c>
      <c r="J495" s="68" t="s">
        <v>954</v>
      </c>
      <c r="K495" s="68">
        <v>6.43</v>
      </c>
      <c r="L495" s="68" t="s">
        <v>955</v>
      </c>
      <c r="M495" s="68" t="s">
        <v>956</v>
      </c>
      <c r="N495" s="68" t="s">
        <v>957</v>
      </c>
      <c r="O495" s="77">
        <v>3842</v>
      </c>
      <c r="P495" s="68" t="s">
        <v>958</v>
      </c>
      <c r="Q495" s="68" t="s">
        <v>959</v>
      </c>
      <c r="R495" s="68" t="s">
        <v>960</v>
      </c>
      <c r="S495" s="68" t="s">
        <v>737</v>
      </c>
      <c r="T495" s="68" t="s">
        <v>961</v>
      </c>
      <c r="U495" s="68" t="s">
        <v>962</v>
      </c>
      <c r="V495" s="68" t="s">
        <v>963</v>
      </c>
      <c r="W495" s="68" t="s">
        <v>964</v>
      </c>
      <c r="X495" s="68" t="s">
        <v>965</v>
      </c>
      <c r="Y495" s="68" t="s">
        <v>966</v>
      </c>
      <c r="Z495" s="68" t="s">
        <v>548</v>
      </c>
      <c r="AA495" s="68" t="s">
        <v>548</v>
      </c>
      <c r="AB495" s="68" t="s">
        <v>650</v>
      </c>
    </row>
    <row r="496" spans="1:28" hidden="1" x14ac:dyDescent="0.3">
      <c r="A496" s="4">
        <v>46207</v>
      </c>
      <c r="B496" s="8" t="s">
        <v>559</v>
      </c>
      <c r="C496" s="8" t="s">
        <v>36</v>
      </c>
      <c r="D496" s="7" t="s">
        <v>49</v>
      </c>
      <c r="E496" s="7" t="s">
        <v>47</v>
      </c>
      <c r="F496" s="13"/>
      <c r="G496" s="59"/>
      <c r="H496" s="6">
        <v>3000</v>
      </c>
      <c r="I496" s="6">
        <f t="shared" si="38"/>
        <v>353.98406374501997</v>
      </c>
      <c r="J496" s="2" t="s">
        <v>967</v>
      </c>
      <c r="K496" s="2">
        <v>5.0199999999999996</v>
      </c>
      <c r="L496" s="2" t="s">
        <v>585</v>
      </c>
      <c r="M496" s="2" t="s">
        <v>968</v>
      </c>
      <c r="N496" s="2" t="s">
        <v>969</v>
      </c>
      <c r="O496" s="56" t="s">
        <v>970</v>
      </c>
      <c r="P496" s="2" t="s">
        <v>971</v>
      </c>
      <c r="Q496" s="2" t="s">
        <v>972</v>
      </c>
      <c r="R496" s="2" t="s">
        <v>973</v>
      </c>
      <c r="S496" s="2" t="s">
        <v>595</v>
      </c>
      <c r="T496" s="2" t="s">
        <v>903</v>
      </c>
      <c r="U496" s="2" t="s">
        <v>974</v>
      </c>
      <c r="V496" s="2" t="s">
        <v>975</v>
      </c>
      <c r="W496" s="2" t="s">
        <v>976</v>
      </c>
      <c r="X496" s="2" t="s">
        <v>977</v>
      </c>
      <c r="Y496" s="2" t="s">
        <v>978</v>
      </c>
      <c r="Z496" s="2" t="s">
        <v>649</v>
      </c>
      <c r="AA496" s="2" t="s">
        <v>548</v>
      </c>
      <c r="AB496" s="2" t="s">
        <v>979</v>
      </c>
    </row>
    <row r="497" spans="1:28" hidden="1" x14ac:dyDescent="0.3">
      <c r="A497" s="4">
        <v>46208</v>
      </c>
      <c r="B497" s="8" t="s">
        <v>55</v>
      </c>
      <c r="C497" s="8" t="s">
        <v>56</v>
      </c>
      <c r="D497" s="7" t="s">
        <v>43</v>
      </c>
      <c r="E497" s="7" t="s">
        <v>47</v>
      </c>
      <c r="F497" s="13"/>
      <c r="G497" s="59"/>
      <c r="H497" s="6"/>
      <c r="I497" s="6">
        <f t="shared" si="38"/>
        <v>0</v>
      </c>
      <c r="J497" s="2" t="s">
        <v>980</v>
      </c>
      <c r="K497" s="2">
        <v>0.02</v>
      </c>
      <c r="L497" s="2" t="s">
        <v>548</v>
      </c>
      <c r="M497" s="2" t="s">
        <v>548</v>
      </c>
      <c r="N497" s="2" t="s">
        <v>45</v>
      </c>
      <c r="O497" s="56" t="s">
        <v>45</v>
      </c>
      <c r="P497" s="2" t="s">
        <v>45</v>
      </c>
      <c r="Q497" s="2" t="s">
        <v>45</v>
      </c>
      <c r="R497" s="2" t="s">
        <v>548</v>
      </c>
      <c r="S497" s="2" t="s">
        <v>548</v>
      </c>
      <c r="T497" s="2" t="s">
        <v>45</v>
      </c>
      <c r="U497" s="2" t="s">
        <v>548</v>
      </c>
      <c r="V497" s="2" t="s">
        <v>548</v>
      </c>
      <c r="W497" s="2" t="s">
        <v>981</v>
      </c>
      <c r="X497" s="2" t="s">
        <v>45</v>
      </c>
      <c r="Y497" s="2" t="s">
        <v>45</v>
      </c>
      <c r="Z497" s="2" t="s">
        <v>548</v>
      </c>
      <c r="AA497" s="2" t="s">
        <v>45</v>
      </c>
      <c r="AB497" s="2" t="s">
        <v>916</v>
      </c>
    </row>
    <row r="498" spans="1:28" hidden="1" x14ac:dyDescent="0.3">
      <c r="A498" s="4">
        <v>46208</v>
      </c>
      <c r="B498" s="8" t="s">
        <v>55</v>
      </c>
      <c r="C498" s="8" t="s">
        <v>56</v>
      </c>
      <c r="D498" s="7" t="s">
        <v>67</v>
      </c>
      <c r="E498" s="7" t="s">
        <v>47</v>
      </c>
      <c r="F498" s="13"/>
      <c r="G498" s="59"/>
      <c r="H498" s="6"/>
      <c r="I498" s="6">
        <f t="shared" si="38"/>
        <v>0</v>
      </c>
      <c r="J498" s="2" t="s">
        <v>45</v>
      </c>
      <c r="K498" s="2" t="s">
        <v>45</v>
      </c>
      <c r="L498" s="2" t="s">
        <v>45</v>
      </c>
      <c r="M498" s="2" t="s">
        <v>45</v>
      </c>
      <c r="N498" s="2" t="s">
        <v>45</v>
      </c>
      <c r="O498" s="56" t="s">
        <v>45</v>
      </c>
      <c r="P498" s="2" t="s">
        <v>45</v>
      </c>
      <c r="Q498" s="2" t="s">
        <v>45</v>
      </c>
      <c r="R498" s="2" t="s">
        <v>45</v>
      </c>
      <c r="S498" s="2" t="s">
        <v>45</v>
      </c>
      <c r="T498" s="2" t="s">
        <v>45</v>
      </c>
      <c r="U498" s="2" t="s">
        <v>45</v>
      </c>
      <c r="V498" s="2" t="s">
        <v>45</v>
      </c>
      <c r="W498" s="2" t="s">
        <v>45</v>
      </c>
      <c r="X498" s="2" t="s">
        <v>45</v>
      </c>
      <c r="Y498" s="2" t="s">
        <v>45</v>
      </c>
      <c r="Z498" s="2" t="s">
        <v>45</v>
      </c>
      <c r="AA498" s="2" t="s">
        <v>45</v>
      </c>
      <c r="AB498" s="2" t="s">
        <v>45</v>
      </c>
    </row>
    <row r="499" spans="1:28" hidden="1" x14ac:dyDescent="0.3">
      <c r="A499" s="4">
        <v>46208</v>
      </c>
      <c r="B499" s="8" t="s">
        <v>55</v>
      </c>
      <c r="C499" s="8" t="s">
        <v>56</v>
      </c>
      <c r="D499" s="7" t="s">
        <v>50</v>
      </c>
      <c r="E499" s="7" t="s">
        <v>47</v>
      </c>
      <c r="F499" s="13"/>
      <c r="G499" s="59"/>
      <c r="H499" s="6"/>
      <c r="I499" s="6">
        <f t="shared" si="38"/>
        <v>0</v>
      </c>
      <c r="J499" s="2" t="s">
        <v>548</v>
      </c>
      <c r="K499" s="2" t="s">
        <v>548</v>
      </c>
      <c r="L499" s="2" t="s">
        <v>548</v>
      </c>
      <c r="M499" s="2" t="s">
        <v>45</v>
      </c>
      <c r="N499" s="2" t="s">
        <v>548</v>
      </c>
      <c r="O499" s="56" t="s">
        <v>548</v>
      </c>
      <c r="P499" s="2" t="s">
        <v>45</v>
      </c>
      <c r="Q499" s="2" t="s">
        <v>45</v>
      </c>
      <c r="R499" s="2" t="s">
        <v>548</v>
      </c>
      <c r="S499" s="2" t="s">
        <v>548</v>
      </c>
      <c r="T499" s="2" t="s">
        <v>45</v>
      </c>
      <c r="U499" s="2" t="s">
        <v>548</v>
      </c>
      <c r="V499" s="2" t="s">
        <v>45</v>
      </c>
      <c r="W499" s="2" t="s">
        <v>931</v>
      </c>
      <c r="X499" s="2" t="s">
        <v>932</v>
      </c>
      <c r="Y499" s="2" t="s">
        <v>933</v>
      </c>
      <c r="Z499" s="2" t="s">
        <v>548</v>
      </c>
      <c r="AA499" s="2" t="s">
        <v>45</v>
      </c>
      <c r="AB499" s="2" t="s">
        <v>934</v>
      </c>
    </row>
    <row r="500" spans="1:28" hidden="1" x14ac:dyDescent="0.3">
      <c r="A500" s="4">
        <v>46208</v>
      </c>
      <c r="B500" s="8" t="s">
        <v>55</v>
      </c>
      <c r="C500" s="8" t="s">
        <v>56</v>
      </c>
      <c r="D500" s="7" t="s">
        <v>52</v>
      </c>
      <c r="E500" s="7" t="s">
        <v>47</v>
      </c>
      <c r="F500" s="13"/>
      <c r="G500" s="59"/>
      <c r="H500" s="6"/>
      <c r="I500" s="6">
        <f t="shared" si="38"/>
        <v>0</v>
      </c>
      <c r="J500" s="2" t="s">
        <v>45</v>
      </c>
      <c r="K500" s="2" t="s">
        <v>45</v>
      </c>
      <c r="L500" s="2" t="s">
        <v>45</v>
      </c>
      <c r="M500" s="2" t="s">
        <v>45</v>
      </c>
      <c r="N500" s="2" t="s">
        <v>45</v>
      </c>
      <c r="O500" s="56" t="s">
        <v>45</v>
      </c>
      <c r="P500" s="2" t="s">
        <v>45</v>
      </c>
      <c r="Q500" s="2" t="s">
        <v>45</v>
      </c>
      <c r="R500" s="2" t="s">
        <v>45</v>
      </c>
      <c r="S500" s="2" t="s">
        <v>45</v>
      </c>
      <c r="T500" s="2" t="s">
        <v>45</v>
      </c>
      <c r="U500" s="2" t="s">
        <v>45</v>
      </c>
      <c r="V500" s="2" t="s">
        <v>45</v>
      </c>
      <c r="W500" s="2" t="s">
        <v>45</v>
      </c>
      <c r="X500" s="2" t="s">
        <v>45</v>
      </c>
      <c r="Y500" s="2" t="s">
        <v>45</v>
      </c>
      <c r="Z500" s="2" t="s">
        <v>45</v>
      </c>
      <c r="AA500" s="2" t="s">
        <v>45</v>
      </c>
      <c r="AB500" s="2" t="s">
        <v>45</v>
      </c>
    </row>
    <row r="501" spans="1:28" hidden="1" x14ac:dyDescent="0.3">
      <c r="A501" s="4">
        <v>46208</v>
      </c>
      <c r="B501" s="8" t="s">
        <v>55</v>
      </c>
      <c r="C501" s="8" t="s">
        <v>56</v>
      </c>
      <c r="D501" s="7" t="s">
        <v>46</v>
      </c>
      <c r="E501" s="7" t="s">
        <v>61</v>
      </c>
      <c r="F501" s="13"/>
      <c r="G501" s="59"/>
      <c r="H501" s="6"/>
      <c r="I501" s="6">
        <f t="shared" si="38"/>
        <v>0</v>
      </c>
      <c r="J501" s="2" t="s">
        <v>548</v>
      </c>
      <c r="K501" s="2" t="s">
        <v>548</v>
      </c>
      <c r="L501" s="2" t="s">
        <v>548</v>
      </c>
      <c r="M501" s="2" t="s">
        <v>45</v>
      </c>
      <c r="N501" s="2" t="s">
        <v>548</v>
      </c>
      <c r="O501" s="56" t="s">
        <v>548</v>
      </c>
      <c r="P501" s="2" t="s">
        <v>45</v>
      </c>
      <c r="Q501" s="2" t="s">
        <v>45</v>
      </c>
      <c r="R501" s="2" t="s">
        <v>548</v>
      </c>
      <c r="S501" s="2" t="s">
        <v>548</v>
      </c>
      <c r="T501" s="2" t="s">
        <v>45</v>
      </c>
      <c r="U501" s="2" t="s">
        <v>548</v>
      </c>
      <c r="V501" s="2" t="s">
        <v>45</v>
      </c>
      <c r="W501" s="2" t="s">
        <v>952</v>
      </c>
      <c r="X501" s="2" t="s">
        <v>676</v>
      </c>
      <c r="Y501" s="2" t="s">
        <v>677</v>
      </c>
      <c r="Z501" s="2" t="s">
        <v>548</v>
      </c>
      <c r="AA501" s="2" t="s">
        <v>45</v>
      </c>
      <c r="AB501" s="2" t="s">
        <v>953</v>
      </c>
    </row>
    <row r="502" spans="1:28" x14ac:dyDescent="0.3">
      <c r="A502" s="4">
        <v>46208</v>
      </c>
      <c r="B502" s="8" t="s">
        <v>55</v>
      </c>
      <c r="C502" s="8" t="s">
        <v>56</v>
      </c>
      <c r="D502" s="7" t="s">
        <v>48</v>
      </c>
      <c r="E502" s="7" t="s">
        <v>38</v>
      </c>
      <c r="F502" s="13"/>
      <c r="G502" s="59"/>
      <c r="H502" s="6"/>
      <c r="I502" s="6">
        <f t="shared" si="38"/>
        <v>0</v>
      </c>
      <c r="J502" s="2" t="s">
        <v>548</v>
      </c>
      <c r="K502" s="2" t="s">
        <v>548</v>
      </c>
      <c r="L502" s="2" t="s">
        <v>548</v>
      </c>
      <c r="M502" s="2" t="s">
        <v>45</v>
      </c>
      <c r="N502" s="2" t="s">
        <v>548</v>
      </c>
      <c r="O502" s="77" t="s">
        <v>548</v>
      </c>
      <c r="P502" s="2" t="s">
        <v>45</v>
      </c>
      <c r="Q502" s="2" t="s">
        <v>45</v>
      </c>
      <c r="R502" s="2" t="s">
        <v>548</v>
      </c>
      <c r="S502" s="2" t="s">
        <v>548</v>
      </c>
      <c r="T502" s="2" t="s">
        <v>45</v>
      </c>
      <c r="U502" s="2" t="s">
        <v>548</v>
      </c>
      <c r="V502" s="2" t="s">
        <v>45</v>
      </c>
      <c r="W502" s="2" t="s">
        <v>964</v>
      </c>
      <c r="X502" s="2" t="s">
        <v>965</v>
      </c>
      <c r="Y502" s="2" t="s">
        <v>966</v>
      </c>
      <c r="Z502" s="2" t="s">
        <v>548</v>
      </c>
      <c r="AA502" s="2" t="s">
        <v>45</v>
      </c>
      <c r="AB502" s="2" t="s">
        <v>650</v>
      </c>
    </row>
    <row r="503" spans="1:28" hidden="1" x14ac:dyDescent="0.3">
      <c r="A503" s="4">
        <v>46208</v>
      </c>
      <c r="B503" s="8" t="s">
        <v>55</v>
      </c>
      <c r="C503" s="8" t="s">
        <v>56</v>
      </c>
      <c r="D503" s="7" t="s">
        <v>49</v>
      </c>
      <c r="E503" s="7" t="s">
        <v>47</v>
      </c>
      <c r="F503" s="13"/>
      <c r="G503" s="59"/>
      <c r="H503" s="6"/>
      <c r="I503" s="6">
        <f t="shared" si="38"/>
        <v>0</v>
      </c>
      <c r="J503" s="2" t="s">
        <v>45</v>
      </c>
      <c r="K503" s="2" t="s">
        <v>45</v>
      </c>
      <c r="L503" s="2" t="s">
        <v>45</v>
      </c>
      <c r="M503" s="2" t="s">
        <v>45</v>
      </c>
      <c r="N503" s="2" t="s">
        <v>45</v>
      </c>
      <c r="O503" s="56" t="s">
        <v>45</v>
      </c>
      <c r="P503" s="2" t="s">
        <v>45</v>
      </c>
      <c r="Q503" s="2" t="s">
        <v>45</v>
      </c>
      <c r="R503" s="2" t="s">
        <v>45</v>
      </c>
      <c r="S503" s="2" t="s">
        <v>45</v>
      </c>
      <c r="T503" s="2" t="s">
        <v>45</v>
      </c>
      <c r="U503" s="2" t="s">
        <v>45</v>
      </c>
      <c r="V503" s="2" t="s">
        <v>45</v>
      </c>
      <c r="W503" s="2" t="s">
        <v>45</v>
      </c>
      <c r="X503" s="2" t="s">
        <v>45</v>
      </c>
      <c r="Y503" s="2" t="s">
        <v>45</v>
      </c>
      <c r="Z503" s="2" t="s">
        <v>45</v>
      </c>
      <c r="AA503" s="2" t="s">
        <v>45</v>
      </c>
      <c r="AB503" s="2" t="s">
        <v>45</v>
      </c>
    </row>
    <row r="504" spans="1:28" hidden="1" x14ac:dyDescent="0.3">
      <c r="A504" s="4">
        <v>46209</v>
      </c>
      <c r="B504" s="8" t="s">
        <v>982</v>
      </c>
      <c r="C504" s="8" t="s">
        <v>36</v>
      </c>
      <c r="D504" s="7" t="s">
        <v>43</v>
      </c>
      <c r="E504" s="7" t="s">
        <v>47</v>
      </c>
      <c r="F504" s="13"/>
      <c r="G504" s="59"/>
      <c r="H504" s="6">
        <v>2500</v>
      </c>
      <c r="I504" s="6">
        <f t="shared" si="38"/>
        <v>278.15934065934067</v>
      </c>
      <c r="J504" s="69" t="s">
        <v>983</v>
      </c>
      <c r="K504" s="2">
        <v>7.28</v>
      </c>
      <c r="L504" s="69" t="s">
        <v>636</v>
      </c>
      <c r="M504" s="69" t="s">
        <v>984</v>
      </c>
      <c r="N504" s="69" t="s">
        <v>985</v>
      </c>
      <c r="O504" s="56">
        <v>2025</v>
      </c>
      <c r="P504" s="69" t="s">
        <v>985</v>
      </c>
      <c r="Q504" s="69" t="s">
        <v>985</v>
      </c>
      <c r="R504" s="69" t="s">
        <v>986</v>
      </c>
      <c r="S504" s="69" t="s">
        <v>961</v>
      </c>
      <c r="T504" s="69" t="s">
        <v>685</v>
      </c>
      <c r="U504" s="69" t="s">
        <v>987</v>
      </c>
      <c r="V504" s="69" t="s">
        <v>988</v>
      </c>
      <c r="W504" s="69" t="s">
        <v>989</v>
      </c>
      <c r="X504" s="69" t="s">
        <v>985</v>
      </c>
      <c r="Y504" s="69" t="s">
        <v>985</v>
      </c>
      <c r="Z504" s="69" t="s">
        <v>649</v>
      </c>
      <c r="AA504" s="69" t="s">
        <v>985</v>
      </c>
      <c r="AB504" s="69" t="s">
        <v>990</v>
      </c>
    </row>
    <row r="505" spans="1:28" hidden="1" x14ac:dyDescent="0.3">
      <c r="A505" s="4">
        <v>46209</v>
      </c>
      <c r="B505" s="8" t="s">
        <v>982</v>
      </c>
      <c r="C505" s="8" t="s">
        <v>36</v>
      </c>
      <c r="D505" s="8" t="s">
        <v>67</v>
      </c>
      <c r="E505" s="7" t="s">
        <v>47</v>
      </c>
      <c r="F505" s="8" t="s">
        <v>985</v>
      </c>
      <c r="G505" s="8" t="s">
        <v>985</v>
      </c>
      <c r="H505" s="6">
        <v>2500</v>
      </c>
      <c r="I505" s="6">
        <f t="shared" si="38"/>
        <v>293.52226720647775</v>
      </c>
      <c r="J505" s="70" t="s">
        <v>991</v>
      </c>
      <c r="K505" s="71">
        <v>7.41</v>
      </c>
      <c r="L505" s="70">
        <v>2</v>
      </c>
      <c r="M505" s="70" t="s">
        <v>992</v>
      </c>
      <c r="N505" s="70">
        <v>41</v>
      </c>
      <c r="O505" s="56">
        <v>2175</v>
      </c>
      <c r="P505" s="70" t="s">
        <v>993</v>
      </c>
      <c r="Q505" s="70" t="s">
        <v>994</v>
      </c>
      <c r="R505" s="70" t="s">
        <v>725</v>
      </c>
      <c r="S505" s="70" t="s">
        <v>712</v>
      </c>
      <c r="T505" s="70" t="s">
        <v>749</v>
      </c>
      <c r="U505" s="70" t="s">
        <v>995</v>
      </c>
      <c r="V505" s="70" t="s">
        <v>996</v>
      </c>
      <c r="W505" s="70" t="s">
        <v>997</v>
      </c>
      <c r="X505" s="70">
        <v>32724</v>
      </c>
      <c r="Y505" s="70">
        <v>65424</v>
      </c>
      <c r="Z505" s="70" t="s">
        <v>998</v>
      </c>
      <c r="AA505" s="70" t="s">
        <v>999</v>
      </c>
      <c r="AB505" s="70" t="s">
        <v>1000</v>
      </c>
    </row>
    <row r="506" spans="1:28" hidden="1" x14ac:dyDescent="0.3">
      <c r="A506" s="4">
        <v>46209</v>
      </c>
      <c r="B506" s="8" t="s">
        <v>982</v>
      </c>
      <c r="C506" s="8" t="s">
        <v>36</v>
      </c>
      <c r="D506" s="8" t="s">
        <v>50</v>
      </c>
      <c r="E506" s="7" t="s">
        <v>47</v>
      </c>
      <c r="F506" s="8" t="s">
        <v>985</v>
      </c>
      <c r="G506" s="8" t="s">
        <v>985</v>
      </c>
      <c r="H506" s="6">
        <v>2500</v>
      </c>
      <c r="I506" s="6">
        <f t="shared" si="38"/>
        <v>346.00246002460023</v>
      </c>
      <c r="J506" s="69" t="s">
        <v>1001</v>
      </c>
      <c r="K506" s="71">
        <v>8.1300000000000008</v>
      </c>
      <c r="L506" s="69">
        <v>1</v>
      </c>
      <c r="M506" s="69" t="s">
        <v>1002</v>
      </c>
      <c r="N506" s="69">
        <v>1352</v>
      </c>
      <c r="O506" s="56">
        <v>2813</v>
      </c>
      <c r="P506" s="69" t="s">
        <v>1003</v>
      </c>
      <c r="Q506" s="69" t="s">
        <v>1004</v>
      </c>
      <c r="R506" s="69" t="s">
        <v>1005</v>
      </c>
      <c r="S506" s="69" t="s">
        <v>839</v>
      </c>
      <c r="T506" s="69" t="s">
        <v>839</v>
      </c>
      <c r="U506" s="69" t="s">
        <v>1006</v>
      </c>
      <c r="V506" s="69" t="s">
        <v>1007</v>
      </c>
      <c r="W506" s="69" t="s">
        <v>1008</v>
      </c>
      <c r="X506" s="69">
        <v>144455</v>
      </c>
      <c r="Y506" s="69">
        <v>271852</v>
      </c>
      <c r="Z506" s="69" t="s">
        <v>800</v>
      </c>
      <c r="AA506" s="69">
        <v>0</v>
      </c>
      <c r="AB506" s="69" t="s">
        <v>1009</v>
      </c>
    </row>
    <row r="507" spans="1:28" hidden="1" x14ac:dyDescent="0.3">
      <c r="A507" s="4">
        <v>46209</v>
      </c>
      <c r="B507" s="8" t="s">
        <v>982</v>
      </c>
      <c r="C507" s="8" t="s">
        <v>36</v>
      </c>
      <c r="D507" s="8" t="s">
        <v>52</v>
      </c>
      <c r="E507" s="7" t="s">
        <v>47</v>
      </c>
      <c r="F507" s="8" t="s">
        <v>985</v>
      </c>
      <c r="G507" s="8" t="s">
        <v>985</v>
      </c>
      <c r="H507" s="6">
        <v>2500</v>
      </c>
      <c r="I507" s="6">
        <f t="shared" si="38"/>
        <v>372.95850066934406</v>
      </c>
      <c r="J507" s="70" t="s">
        <v>1010</v>
      </c>
      <c r="K507" s="72">
        <v>7.47</v>
      </c>
      <c r="L507" s="70" t="s">
        <v>585</v>
      </c>
      <c r="M507" s="70" t="s">
        <v>1011</v>
      </c>
      <c r="N507" s="70">
        <v>1279</v>
      </c>
      <c r="O507" s="56">
        <v>2786</v>
      </c>
      <c r="P507" s="70" t="s">
        <v>1012</v>
      </c>
      <c r="Q507" s="70" t="s">
        <v>1013</v>
      </c>
      <c r="R507" s="70" t="s">
        <v>1014</v>
      </c>
      <c r="S507" s="70" t="s">
        <v>685</v>
      </c>
      <c r="T507" s="70" t="s">
        <v>1015</v>
      </c>
      <c r="U507" s="70" t="s">
        <v>1016</v>
      </c>
      <c r="V507" s="70" t="s">
        <v>1017</v>
      </c>
      <c r="W507" s="70" t="s">
        <v>1018</v>
      </c>
      <c r="X507" s="70">
        <v>87035</v>
      </c>
      <c r="Y507" s="70">
        <v>188000</v>
      </c>
      <c r="Z507" s="70" t="s">
        <v>649</v>
      </c>
      <c r="AA507" s="70">
        <v>0</v>
      </c>
      <c r="AB507" s="70" t="s">
        <v>1019</v>
      </c>
    </row>
    <row r="508" spans="1:28" hidden="1" x14ac:dyDescent="0.3">
      <c r="A508" s="4">
        <v>46209</v>
      </c>
      <c r="B508" s="8" t="s">
        <v>55</v>
      </c>
      <c r="C508" s="8" t="s">
        <v>56</v>
      </c>
      <c r="D508" s="7" t="s">
        <v>39</v>
      </c>
      <c r="E508" s="7" t="s">
        <v>47</v>
      </c>
      <c r="F508" s="13"/>
      <c r="G508" s="59" t="s">
        <v>146</v>
      </c>
      <c r="H508" s="6"/>
      <c r="I508" s="6">
        <f t="shared" si="38"/>
        <v>0</v>
      </c>
      <c r="J508" s="72"/>
      <c r="K508" s="72"/>
      <c r="L508" s="72"/>
      <c r="M508" s="72"/>
      <c r="N508" s="72"/>
      <c r="O508" s="56"/>
      <c r="P508" s="72"/>
      <c r="Q508" s="72"/>
      <c r="R508" s="72"/>
      <c r="S508" s="72"/>
      <c r="T508" s="72"/>
      <c r="U508" s="72"/>
      <c r="V508" s="72"/>
      <c r="W508" s="70" t="s">
        <v>985</v>
      </c>
      <c r="X508" s="70" t="s">
        <v>985</v>
      </c>
      <c r="Y508" s="70" t="s">
        <v>985</v>
      </c>
      <c r="Z508" s="70" t="s">
        <v>985</v>
      </c>
      <c r="AA508" s="70" t="s">
        <v>985</v>
      </c>
      <c r="AB508" s="70" t="s">
        <v>985</v>
      </c>
    </row>
    <row r="509" spans="1:28" hidden="1" x14ac:dyDescent="0.3">
      <c r="A509" s="4">
        <v>46209</v>
      </c>
      <c r="B509" s="8" t="s">
        <v>982</v>
      </c>
      <c r="C509" s="8" t="s">
        <v>36</v>
      </c>
      <c r="D509" s="8" t="s">
        <v>46</v>
      </c>
      <c r="E509" s="7" t="s">
        <v>47</v>
      </c>
      <c r="F509" s="8" t="s">
        <v>985</v>
      </c>
      <c r="G509" s="8" t="s">
        <v>985</v>
      </c>
      <c r="H509" s="6">
        <v>2500</v>
      </c>
      <c r="I509" s="6">
        <f t="shared" si="38"/>
        <v>559.77229601518036</v>
      </c>
      <c r="J509" s="73" t="s">
        <v>1020</v>
      </c>
      <c r="K509" s="72">
        <v>10.54</v>
      </c>
      <c r="L509" s="73" t="s">
        <v>1021</v>
      </c>
      <c r="M509" s="73" t="s">
        <v>1022</v>
      </c>
      <c r="N509" s="73">
        <v>0</v>
      </c>
      <c r="O509" s="56">
        <v>5900</v>
      </c>
      <c r="P509" s="73" t="s">
        <v>985</v>
      </c>
      <c r="Q509" s="73">
        <v>0</v>
      </c>
      <c r="R509" s="73" t="s">
        <v>1023</v>
      </c>
      <c r="S509" s="73" t="s">
        <v>816</v>
      </c>
      <c r="T509" s="73" t="s">
        <v>1024</v>
      </c>
      <c r="U509" s="73" t="s">
        <v>1025</v>
      </c>
      <c r="V509" s="73" t="s">
        <v>1026</v>
      </c>
      <c r="W509" s="70" t="s">
        <v>1027</v>
      </c>
      <c r="X509" s="70">
        <v>109978</v>
      </c>
      <c r="Y509" s="70">
        <v>316475</v>
      </c>
      <c r="Z509" s="70" t="s">
        <v>719</v>
      </c>
      <c r="AA509" s="70" t="s">
        <v>985</v>
      </c>
      <c r="AB509" s="70" t="s">
        <v>1028</v>
      </c>
    </row>
    <row r="510" spans="1:28" hidden="1" x14ac:dyDescent="0.3">
      <c r="A510" s="4">
        <v>46209</v>
      </c>
      <c r="B510" s="8" t="s">
        <v>982</v>
      </c>
      <c r="C510" s="8" t="s">
        <v>36</v>
      </c>
      <c r="D510" s="7" t="s">
        <v>49</v>
      </c>
      <c r="E510" s="7" t="s">
        <v>47</v>
      </c>
      <c r="F510" s="8" t="s">
        <v>985</v>
      </c>
      <c r="G510" s="8" t="s">
        <v>985</v>
      </c>
      <c r="H510" s="6">
        <v>2500</v>
      </c>
      <c r="I510" s="6">
        <f t="shared" si="38"/>
        <v>291.68797953964196</v>
      </c>
      <c r="J510" s="73" t="s">
        <v>1029</v>
      </c>
      <c r="K510" s="72">
        <v>7.82</v>
      </c>
      <c r="L510" s="73" t="s">
        <v>585</v>
      </c>
      <c r="M510" s="73" t="s">
        <v>1030</v>
      </c>
      <c r="N510" s="73">
        <v>935</v>
      </c>
      <c r="O510" s="56">
        <v>2281</v>
      </c>
      <c r="P510" s="73" t="s">
        <v>1031</v>
      </c>
      <c r="Q510" s="73" t="s">
        <v>1032</v>
      </c>
      <c r="R510" s="73" t="s">
        <v>1033</v>
      </c>
      <c r="S510" s="73" t="s">
        <v>839</v>
      </c>
      <c r="T510" s="73" t="s">
        <v>1034</v>
      </c>
      <c r="U510" s="73" t="s">
        <v>1035</v>
      </c>
      <c r="V510" s="73" t="s">
        <v>1036</v>
      </c>
      <c r="W510" s="70" t="s">
        <v>1037</v>
      </c>
      <c r="X510" s="70">
        <v>179637</v>
      </c>
      <c r="Y510" s="70">
        <v>610615</v>
      </c>
      <c r="Z510" s="70">
        <v>0</v>
      </c>
      <c r="AA510" s="70">
        <v>0</v>
      </c>
      <c r="AB510" s="70">
        <v>5</v>
      </c>
    </row>
    <row r="511" spans="1:28" x14ac:dyDescent="0.3">
      <c r="A511" s="4">
        <v>46209</v>
      </c>
      <c r="B511" s="8" t="s">
        <v>982</v>
      </c>
      <c r="C511" s="8" t="s">
        <v>36</v>
      </c>
      <c r="D511" s="8" t="s">
        <v>48</v>
      </c>
      <c r="E511" s="7" t="s">
        <v>38</v>
      </c>
      <c r="F511" s="59">
        <v>2768</v>
      </c>
      <c r="G511" s="8" t="s">
        <v>985</v>
      </c>
      <c r="H511" s="6">
        <v>6000</v>
      </c>
      <c r="I511" s="6">
        <f t="shared" si="38"/>
        <v>580.72487644151568</v>
      </c>
      <c r="J511" s="69" t="s">
        <v>1038</v>
      </c>
      <c r="K511" s="72">
        <v>6.07</v>
      </c>
      <c r="L511" s="69" t="s">
        <v>678</v>
      </c>
      <c r="M511" s="69" t="s">
        <v>1039</v>
      </c>
      <c r="N511" s="69">
        <v>773</v>
      </c>
      <c r="O511" s="77">
        <v>3525</v>
      </c>
      <c r="P511" s="69" t="s">
        <v>1040</v>
      </c>
      <c r="Q511" s="69" t="s">
        <v>1041</v>
      </c>
      <c r="R511" s="69" t="s">
        <v>1042</v>
      </c>
      <c r="S511" s="69" t="s">
        <v>747</v>
      </c>
      <c r="T511" s="69" t="s">
        <v>1043</v>
      </c>
      <c r="U511" s="69" t="s">
        <v>1044</v>
      </c>
      <c r="V511" s="69" t="s">
        <v>1045</v>
      </c>
      <c r="W511" s="69" t="s">
        <v>1046</v>
      </c>
      <c r="X511" s="69">
        <v>410134</v>
      </c>
      <c r="Y511" s="69">
        <v>1454712</v>
      </c>
      <c r="Z511" s="69" t="s">
        <v>649</v>
      </c>
      <c r="AA511" s="69">
        <v>0</v>
      </c>
      <c r="AB511" s="69" t="s">
        <v>1047</v>
      </c>
    </row>
    <row r="512" spans="1:28" hidden="1" x14ac:dyDescent="0.3">
      <c r="A512" s="4">
        <v>46210</v>
      </c>
      <c r="B512" s="8" t="s">
        <v>55</v>
      </c>
      <c r="C512" s="8" t="s">
        <v>56</v>
      </c>
      <c r="D512" s="7" t="s">
        <v>39</v>
      </c>
      <c r="E512" s="7" t="s">
        <v>47</v>
      </c>
      <c r="F512" s="13"/>
      <c r="G512" s="59" t="s">
        <v>146</v>
      </c>
      <c r="H512" s="6"/>
      <c r="I512" s="6">
        <f t="shared" si="38"/>
        <v>0</v>
      </c>
      <c r="J512" s="72"/>
      <c r="K512" s="72"/>
      <c r="L512" s="72"/>
      <c r="M512" s="72"/>
      <c r="N512" s="72"/>
      <c r="O512" s="56"/>
      <c r="P512" s="72"/>
      <c r="Q512" s="72"/>
      <c r="R512" s="72"/>
      <c r="S512" s="72"/>
      <c r="T512" s="72"/>
      <c r="U512" s="72"/>
      <c r="V512" s="72"/>
      <c r="W512" s="70" t="s">
        <v>985</v>
      </c>
      <c r="X512" s="70" t="s">
        <v>985</v>
      </c>
      <c r="Y512" s="70" t="s">
        <v>985</v>
      </c>
      <c r="Z512" s="70" t="s">
        <v>985</v>
      </c>
      <c r="AA512" s="70" t="s">
        <v>985</v>
      </c>
      <c r="AB512" s="70" t="s">
        <v>985</v>
      </c>
    </row>
    <row r="513" spans="1:28" hidden="1" x14ac:dyDescent="0.3">
      <c r="A513" s="4">
        <v>46210</v>
      </c>
      <c r="B513" s="8" t="s">
        <v>982</v>
      </c>
      <c r="C513" s="8" t="s">
        <v>36</v>
      </c>
      <c r="D513" s="7" t="s">
        <v>43</v>
      </c>
      <c r="E513" s="7" t="s">
        <v>47</v>
      </c>
      <c r="F513" s="13"/>
      <c r="G513" s="59"/>
      <c r="H513" s="6">
        <v>2500</v>
      </c>
      <c r="I513" s="6">
        <f t="shared" si="38"/>
        <v>348.67503486750348</v>
      </c>
      <c r="J513" s="69" t="s">
        <v>1048</v>
      </c>
      <c r="K513" s="71">
        <v>7.17</v>
      </c>
      <c r="L513" s="69" t="s">
        <v>756</v>
      </c>
      <c r="M513" s="69" t="s">
        <v>1049</v>
      </c>
      <c r="N513" s="69" t="s">
        <v>985</v>
      </c>
      <c r="O513" s="56">
        <v>2500</v>
      </c>
      <c r="P513" s="69" t="s">
        <v>985</v>
      </c>
      <c r="Q513" s="69" t="s">
        <v>985</v>
      </c>
      <c r="R513" s="69">
        <v>150</v>
      </c>
      <c r="S513" s="69" t="s">
        <v>567</v>
      </c>
      <c r="T513" s="69" t="s">
        <v>762</v>
      </c>
      <c r="U513" s="69" t="s">
        <v>1050</v>
      </c>
      <c r="V513" s="69" t="s">
        <v>1051</v>
      </c>
      <c r="W513" s="69" t="s">
        <v>1052</v>
      </c>
      <c r="X513" s="69" t="s">
        <v>985</v>
      </c>
      <c r="Y513" s="69" t="s">
        <v>985</v>
      </c>
      <c r="Z513" s="69" t="s">
        <v>649</v>
      </c>
      <c r="AA513" s="69" t="s">
        <v>985</v>
      </c>
      <c r="AB513" s="69" t="s">
        <v>1053</v>
      </c>
    </row>
    <row r="514" spans="1:28" hidden="1" x14ac:dyDescent="0.3">
      <c r="A514" s="4">
        <v>46210</v>
      </c>
      <c r="B514" s="8" t="s">
        <v>982</v>
      </c>
      <c r="C514" s="8" t="s">
        <v>36</v>
      </c>
      <c r="D514" s="8" t="s">
        <v>67</v>
      </c>
      <c r="E514" s="7" t="s">
        <v>47</v>
      </c>
      <c r="F514" s="8" t="s">
        <v>985</v>
      </c>
      <c r="G514" s="8" t="s">
        <v>985</v>
      </c>
      <c r="H514" s="6">
        <v>2500</v>
      </c>
      <c r="I514" s="6">
        <f t="shared" si="38"/>
        <v>204.75460122699388</v>
      </c>
      <c r="J514" s="70" t="s">
        <v>1054</v>
      </c>
      <c r="K514" s="72">
        <v>6.52</v>
      </c>
      <c r="L514" s="70" t="s">
        <v>678</v>
      </c>
      <c r="M514" s="70" t="s">
        <v>1055</v>
      </c>
      <c r="N514" s="70">
        <v>1225</v>
      </c>
      <c r="O514" s="56">
        <v>1335</v>
      </c>
      <c r="P514" s="70" t="s">
        <v>1056</v>
      </c>
      <c r="Q514" s="70" t="s">
        <v>867</v>
      </c>
      <c r="R514" s="70" t="s">
        <v>1057</v>
      </c>
      <c r="S514" s="70" t="s">
        <v>658</v>
      </c>
      <c r="T514" s="70" t="s">
        <v>1058</v>
      </c>
      <c r="U514" s="70" t="s">
        <v>1059</v>
      </c>
      <c r="V514" s="70" t="s">
        <v>1060</v>
      </c>
      <c r="W514" s="70" t="s">
        <v>1061</v>
      </c>
      <c r="X514" s="70">
        <v>33949</v>
      </c>
      <c r="Y514" s="70">
        <v>67308</v>
      </c>
      <c r="Z514" s="70" t="s">
        <v>800</v>
      </c>
      <c r="AA514" s="70">
        <v>0</v>
      </c>
      <c r="AB514" s="70" t="s">
        <v>1062</v>
      </c>
    </row>
    <row r="515" spans="1:28" hidden="1" x14ac:dyDescent="0.3">
      <c r="A515" s="4">
        <v>46210</v>
      </c>
      <c r="B515" s="8" t="s">
        <v>982</v>
      </c>
      <c r="C515" s="8" t="s">
        <v>36</v>
      </c>
      <c r="D515" s="8" t="s">
        <v>50</v>
      </c>
      <c r="E515" s="7" t="s">
        <v>47</v>
      </c>
      <c r="F515" s="8" t="s">
        <v>985</v>
      </c>
      <c r="G515" s="8" t="s">
        <v>985</v>
      </c>
      <c r="H515" s="6">
        <v>2500</v>
      </c>
      <c r="I515" s="6">
        <f t="shared" si="38"/>
        <v>333.94607843137254</v>
      </c>
      <c r="J515" s="70" t="s">
        <v>1063</v>
      </c>
      <c r="K515" s="72">
        <v>8.16</v>
      </c>
      <c r="L515" s="70" t="s">
        <v>1064</v>
      </c>
      <c r="M515" s="70" t="s">
        <v>1065</v>
      </c>
      <c r="N515" s="70">
        <v>1387</v>
      </c>
      <c r="O515" s="56">
        <v>2725</v>
      </c>
      <c r="P515" s="70" t="s">
        <v>1066</v>
      </c>
      <c r="Q515" s="70" t="s">
        <v>1067</v>
      </c>
      <c r="R515" s="70" t="s">
        <v>1068</v>
      </c>
      <c r="S515" s="70" t="s">
        <v>582</v>
      </c>
      <c r="T515" s="70" t="s">
        <v>1069</v>
      </c>
      <c r="U515" s="70" t="s">
        <v>1070</v>
      </c>
      <c r="V515" s="70" t="s">
        <v>1071</v>
      </c>
      <c r="W515" s="70" t="s">
        <v>1072</v>
      </c>
      <c r="X515" s="70">
        <v>145842</v>
      </c>
      <c r="Y515" s="70">
        <v>274577</v>
      </c>
      <c r="Z515" s="70" t="s">
        <v>800</v>
      </c>
      <c r="AA515" s="70">
        <v>0</v>
      </c>
      <c r="AB515" s="70">
        <v>311</v>
      </c>
    </row>
    <row r="516" spans="1:28" hidden="1" x14ac:dyDescent="0.3">
      <c r="A516" s="4">
        <v>46210</v>
      </c>
      <c r="B516" s="8" t="s">
        <v>982</v>
      </c>
      <c r="C516" s="8" t="s">
        <v>36</v>
      </c>
      <c r="D516" s="8" t="s">
        <v>52</v>
      </c>
      <c r="E516" s="7" t="s">
        <v>47</v>
      </c>
      <c r="F516" s="8" t="s">
        <v>985</v>
      </c>
      <c r="G516" s="8" t="s">
        <v>985</v>
      </c>
      <c r="H516" s="6">
        <v>2500</v>
      </c>
      <c r="I516" s="6">
        <f t="shared" si="38"/>
        <v>303.17829457364343</v>
      </c>
      <c r="J516" s="70" t="s">
        <v>1073</v>
      </c>
      <c r="K516" s="72">
        <v>12.9</v>
      </c>
      <c r="L516" s="70" t="s">
        <v>621</v>
      </c>
      <c r="M516" s="70" t="s">
        <v>830</v>
      </c>
      <c r="N516" s="70">
        <v>1616</v>
      </c>
      <c r="O516" s="56">
        <v>3911</v>
      </c>
      <c r="P516" s="70" t="s">
        <v>1074</v>
      </c>
      <c r="Q516" s="70" t="s">
        <v>1075</v>
      </c>
      <c r="R516" s="70" t="s">
        <v>1076</v>
      </c>
      <c r="S516" s="70" t="s">
        <v>627</v>
      </c>
      <c r="T516" s="70" t="s">
        <v>628</v>
      </c>
      <c r="U516" s="70" t="s">
        <v>1077</v>
      </c>
      <c r="V516" s="70" t="s">
        <v>1078</v>
      </c>
      <c r="W516" s="70" t="s">
        <v>1079</v>
      </c>
      <c r="X516" s="70">
        <v>88651</v>
      </c>
      <c r="Y516" s="70">
        <v>191911</v>
      </c>
      <c r="Z516" s="70">
        <v>4</v>
      </c>
      <c r="AA516" s="70">
        <v>0</v>
      </c>
      <c r="AB516" s="70" t="s">
        <v>1080</v>
      </c>
    </row>
    <row r="517" spans="1:28" hidden="1" x14ac:dyDescent="0.3">
      <c r="A517" s="4">
        <v>46210</v>
      </c>
      <c r="B517" s="8" t="s">
        <v>982</v>
      </c>
      <c r="C517" s="8" t="s">
        <v>36</v>
      </c>
      <c r="D517" s="8" t="s">
        <v>46</v>
      </c>
      <c r="E517" s="7" t="s">
        <v>47</v>
      </c>
      <c r="F517" s="8" t="s">
        <v>985</v>
      </c>
      <c r="G517" s="8" t="s">
        <v>985</v>
      </c>
      <c r="H517" s="6">
        <v>2500</v>
      </c>
      <c r="I517" s="6">
        <f t="shared" si="38"/>
        <v>470.89041095890411</v>
      </c>
      <c r="J517" s="70" t="s">
        <v>1081</v>
      </c>
      <c r="K517" s="72">
        <v>8.76</v>
      </c>
      <c r="L517" s="70" t="s">
        <v>702</v>
      </c>
      <c r="M517" s="70" t="s">
        <v>1082</v>
      </c>
      <c r="N517" s="70">
        <v>421</v>
      </c>
      <c r="O517" s="56">
        <v>4125</v>
      </c>
      <c r="P517" s="70" t="s">
        <v>1083</v>
      </c>
      <c r="Q517" s="70" t="s">
        <v>1084</v>
      </c>
      <c r="R517" s="70" t="s">
        <v>1085</v>
      </c>
      <c r="S517" s="70" t="s">
        <v>988</v>
      </c>
      <c r="T517" s="70" t="s">
        <v>1086</v>
      </c>
      <c r="U517" s="70" t="s">
        <v>1087</v>
      </c>
      <c r="V517" s="70" t="s">
        <v>1088</v>
      </c>
      <c r="W517" s="70" t="s">
        <v>1089</v>
      </c>
      <c r="X517" s="70">
        <v>110399</v>
      </c>
      <c r="Y517" s="70">
        <v>318000</v>
      </c>
      <c r="Z517" s="70">
        <v>1</v>
      </c>
      <c r="AA517" s="70">
        <v>0</v>
      </c>
      <c r="AB517" s="70" t="s">
        <v>1090</v>
      </c>
    </row>
    <row r="518" spans="1:28" hidden="1" x14ac:dyDescent="0.3">
      <c r="A518" s="4">
        <v>46210</v>
      </c>
      <c r="B518" s="8" t="s">
        <v>982</v>
      </c>
      <c r="C518" s="8" t="s">
        <v>36</v>
      </c>
      <c r="D518" s="7" t="s">
        <v>49</v>
      </c>
      <c r="E518" s="7" t="s">
        <v>47</v>
      </c>
      <c r="F518" s="8" t="s">
        <v>985</v>
      </c>
      <c r="G518" s="8" t="s">
        <v>985</v>
      </c>
      <c r="H518" s="6">
        <v>2500</v>
      </c>
      <c r="I518" s="6">
        <f t="shared" si="38"/>
        <v>220.7177814029364</v>
      </c>
      <c r="J518" s="69" t="s">
        <v>1091</v>
      </c>
      <c r="K518" s="72">
        <v>6.13</v>
      </c>
      <c r="L518" s="69" t="s">
        <v>1092</v>
      </c>
      <c r="M518" s="69" t="s">
        <v>1093</v>
      </c>
      <c r="N518" s="69">
        <v>517</v>
      </c>
      <c r="O518" s="56">
        <v>1353</v>
      </c>
      <c r="P518" s="69" t="s">
        <v>1094</v>
      </c>
      <c r="Q518" s="69" t="s">
        <v>1095</v>
      </c>
      <c r="R518" s="69" t="s">
        <v>1096</v>
      </c>
      <c r="S518" s="69" t="s">
        <v>685</v>
      </c>
      <c r="T518" s="69" t="s">
        <v>1097</v>
      </c>
      <c r="U518" s="69" t="s">
        <v>1098</v>
      </c>
      <c r="V518" s="69" t="s">
        <v>1099</v>
      </c>
      <c r="W518" s="69" t="s">
        <v>1100</v>
      </c>
      <c r="X518" s="69">
        <v>180154</v>
      </c>
      <c r="Y518" s="69">
        <v>611968</v>
      </c>
      <c r="Z518" s="69">
        <v>0</v>
      </c>
      <c r="AA518" s="69">
        <v>0</v>
      </c>
      <c r="AB518" s="69">
        <v>5</v>
      </c>
    </row>
    <row r="519" spans="1:28" x14ac:dyDescent="0.3">
      <c r="A519" s="4">
        <v>46210</v>
      </c>
      <c r="B519" s="8" t="s">
        <v>982</v>
      </c>
      <c r="C519" s="8" t="s">
        <v>36</v>
      </c>
      <c r="D519" s="8" t="s">
        <v>48</v>
      </c>
      <c r="E519" s="7" t="s">
        <v>38</v>
      </c>
      <c r="F519" s="59">
        <v>2467</v>
      </c>
      <c r="G519" s="8" t="s">
        <v>985</v>
      </c>
      <c r="H519" s="6">
        <v>6000</v>
      </c>
      <c r="I519" s="6">
        <f t="shared" si="38"/>
        <v>691.82004089979557</v>
      </c>
      <c r="J519" s="70" t="s">
        <v>1101</v>
      </c>
      <c r="K519" s="72">
        <v>4.8899999999999997</v>
      </c>
      <c r="L519" s="70" t="s">
        <v>998</v>
      </c>
      <c r="M519" s="70" t="s">
        <v>1102</v>
      </c>
      <c r="N519" s="70">
        <v>723</v>
      </c>
      <c r="O519" s="77">
        <v>3383</v>
      </c>
      <c r="P519" s="70" t="s">
        <v>1103</v>
      </c>
      <c r="Q519" s="70" t="s">
        <v>1104</v>
      </c>
      <c r="R519" s="70" t="s">
        <v>1105</v>
      </c>
      <c r="S519" s="70" t="s">
        <v>658</v>
      </c>
      <c r="T519" s="70" t="s">
        <v>1106</v>
      </c>
      <c r="U519" s="70" t="s">
        <v>671</v>
      </c>
      <c r="V519" s="70" t="s">
        <v>975</v>
      </c>
      <c r="W519" s="70" t="s">
        <v>1107</v>
      </c>
      <c r="X519" s="70">
        <v>410857</v>
      </c>
      <c r="Y519" s="70">
        <v>1458095</v>
      </c>
      <c r="Z519" s="70">
        <v>0</v>
      </c>
      <c r="AA519" s="70">
        <v>0</v>
      </c>
      <c r="AB519" s="70" t="s">
        <v>1047</v>
      </c>
    </row>
    <row r="520" spans="1:28" hidden="1" x14ac:dyDescent="0.3">
      <c r="A520" s="4">
        <v>46211</v>
      </c>
      <c r="B520" s="8" t="s">
        <v>982</v>
      </c>
      <c r="C520" s="8" t="s">
        <v>36</v>
      </c>
      <c r="D520" s="7" t="s">
        <v>39</v>
      </c>
      <c r="E520" s="7" t="s">
        <v>47</v>
      </c>
      <c r="F520" s="13"/>
      <c r="G520" s="59"/>
      <c r="H520" s="6">
        <f t="shared" ref="H520:H526" si="39">15000/7</f>
        <v>2142.8571428571427</v>
      </c>
      <c r="I520" s="6">
        <f t="shared" si="38"/>
        <v>168.13953488372093</v>
      </c>
      <c r="J520" s="69" t="s">
        <v>1108</v>
      </c>
      <c r="K520" s="71">
        <v>4.3</v>
      </c>
      <c r="L520" s="69" t="s">
        <v>726</v>
      </c>
      <c r="M520" s="69" t="s">
        <v>1109</v>
      </c>
      <c r="N520" s="69">
        <v>497</v>
      </c>
      <c r="O520" s="56">
        <v>723</v>
      </c>
      <c r="P520" s="69" t="s">
        <v>777</v>
      </c>
      <c r="Q520" s="69" t="s">
        <v>1110</v>
      </c>
      <c r="R520" s="69" t="s">
        <v>1111</v>
      </c>
      <c r="S520" s="69" t="s">
        <v>793</v>
      </c>
      <c r="T520" s="69">
        <v>4</v>
      </c>
      <c r="U520" s="69" t="s">
        <v>1112</v>
      </c>
      <c r="V520" s="69" t="s">
        <v>1113</v>
      </c>
      <c r="W520" s="69" t="s">
        <v>1114</v>
      </c>
      <c r="X520" s="69">
        <v>72885</v>
      </c>
      <c r="Y520" s="69">
        <v>107406</v>
      </c>
      <c r="Z520" s="69">
        <v>0</v>
      </c>
      <c r="AA520" s="69">
        <v>0</v>
      </c>
      <c r="AB520" s="69" t="s">
        <v>1115</v>
      </c>
    </row>
    <row r="521" spans="1:28" hidden="1" x14ac:dyDescent="0.3">
      <c r="A521" s="4">
        <v>46211</v>
      </c>
      <c r="B521" s="8" t="s">
        <v>982</v>
      </c>
      <c r="C521" s="8" t="s">
        <v>36</v>
      </c>
      <c r="D521" s="7" t="s">
        <v>43</v>
      </c>
      <c r="E521" s="7" t="s">
        <v>47</v>
      </c>
      <c r="F521" s="13"/>
      <c r="G521" s="59"/>
      <c r="H521" s="6">
        <f t="shared" si="39"/>
        <v>2142.8571428571427</v>
      </c>
      <c r="I521" s="6">
        <f t="shared" si="38"/>
        <v>156.9678407350689</v>
      </c>
      <c r="J521" s="70" t="s">
        <v>1116</v>
      </c>
      <c r="K521" s="72">
        <v>6.53</v>
      </c>
      <c r="L521" s="70" t="s">
        <v>1117</v>
      </c>
      <c r="M521" s="70" t="s">
        <v>1118</v>
      </c>
      <c r="N521" s="70" t="s">
        <v>985</v>
      </c>
      <c r="O521" s="56">
        <v>1025</v>
      </c>
      <c r="P521" s="70" t="s">
        <v>985</v>
      </c>
      <c r="Q521" s="70" t="s">
        <v>985</v>
      </c>
      <c r="R521" s="70" t="s">
        <v>1119</v>
      </c>
      <c r="S521" s="70" t="s">
        <v>1120</v>
      </c>
      <c r="T521" s="70" t="s">
        <v>1121</v>
      </c>
      <c r="U521" s="70" t="s">
        <v>1122</v>
      </c>
      <c r="V521" s="70" t="s">
        <v>1123</v>
      </c>
      <c r="W521" s="70" t="s">
        <v>1124</v>
      </c>
      <c r="X521" s="70" t="s">
        <v>985</v>
      </c>
      <c r="Y521" s="70" t="s">
        <v>985</v>
      </c>
      <c r="Z521" s="70">
        <v>1</v>
      </c>
      <c r="AA521" s="70" t="s">
        <v>985</v>
      </c>
      <c r="AB521" s="70" t="s">
        <v>1125</v>
      </c>
    </row>
    <row r="522" spans="1:28" hidden="1" x14ac:dyDescent="0.3">
      <c r="A522" s="4">
        <v>46211</v>
      </c>
      <c r="B522" s="8" t="s">
        <v>982</v>
      </c>
      <c r="C522" s="8" t="s">
        <v>36</v>
      </c>
      <c r="D522" s="8" t="s">
        <v>67</v>
      </c>
      <c r="E522" s="7" t="s">
        <v>47</v>
      </c>
      <c r="F522" s="8" t="s">
        <v>985</v>
      </c>
      <c r="G522" s="8" t="s">
        <v>985</v>
      </c>
      <c r="H522" s="6">
        <f t="shared" si="39"/>
        <v>2142.8571428571427</v>
      </c>
      <c r="I522" s="6">
        <f t="shared" si="38"/>
        <v>155.29411764705884</v>
      </c>
      <c r="J522" s="70" t="s">
        <v>1126</v>
      </c>
      <c r="K522" s="72">
        <v>6.8</v>
      </c>
      <c r="L522" s="70" t="s">
        <v>777</v>
      </c>
      <c r="M522" s="70" t="s">
        <v>1127</v>
      </c>
      <c r="N522" s="70">
        <v>845</v>
      </c>
      <c r="O522" s="56">
        <v>1056</v>
      </c>
      <c r="P522" s="70" t="s">
        <v>1128</v>
      </c>
      <c r="Q522" s="70" t="s">
        <v>1129</v>
      </c>
      <c r="R522" s="70" t="s">
        <v>1130</v>
      </c>
      <c r="S522" s="70" t="s">
        <v>567</v>
      </c>
      <c r="T522" s="70" t="s">
        <v>1131</v>
      </c>
      <c r="U522" s="70" t="s">
        <v>1132</v>
      </c>
      <c r="V522" s="70" t="s">
        <v>1133</v>
      </c>
      <c r="W522" s="70" t="s">
        <v>1134</v>
      </c>
      <c r="X522" s="70">
        <v>34794</v>
      </c>
      <c r="Y522" s="70">
        <v>68685</v>
      </c>
      <c r="Z522" s="70" t="s">
        <v>602</v>
      </c>
      <c r="AA522" s="70">
        <v>0</v>
      </c>
      <c r="AB522" s="70">
        <v>42</v>
      </c>
    </row>
    <row r="523" spans="1:28" hidden="1" x14ac:dyDescent="0.3">
      <c r="A523" s="4">
        <v>46211</v>
      </c>
      <c r="B523" s="8" t="s">
        <v>982</v>
      </c>
      <c r="C523" s="8" t="s">
        <v>36</v>
      </c>
      <c r="D523" s="8" t="s">
        <v>50</v>
      </c>
      <c r="E523" s="7" t="s">
        <v>47</v>
      </c>
      <c r="F523" s="8" t="s">
        <v>985</v>
      </c>
      <c r="G523" s="8" t="s">
        <v>985</v>
      </c>
      <c r="H523" s="6">
        <f t="shared" si="39"/>
        <v>2142.8571428571427</v>
      </c>
      <c r="I523" s="6">
        <f t="shared" si="38"/>
        <v>310.79234972677597</v>
      </c>
      <c r="J523" s="70" t="s">
        <v>1048</v>
      </c>
      <c r="K523" s="72">
        <v>7.32</v>
      </c>
      <c r="L523" s="70" t="s">
        <v>734</v>
      </c>
      <c r="M523" s="70" t="s">
        <v>1135</v>
      </c>
      <c r="N523" s="70">
        <v>1110</v>
      </c>
      <c r="O523" s="56">
        <v>2275</v>
      </c>
      <c r="P523" s="70" t="s">
        <v>946</v>
      </c>
      <c r="Q523" s="70" t="s">
        <v>1136</v>
      </c>
      <c r="R523" s="70" t="s">
        <v>727</v>
      </c>
      <c r="S523" s="70" t="s">
        <v>839</v>
      </c>
      <c r="T523" s="70" t="s">
        <v>912</v>
      </c>
      <c r="U523" s="70" t="s">
        <v>986</v>
      </c>
      <c r="V523" s="70" t="s">
        <v>1137</v>
      </c>
      <c r="W523" s="70" t="s">
        <v>1138</v>
      </c>
      <c r="X523" s="70">
        <v>146952</v>
      </c>
      <c r="Y523" s="70">
        <v>276852</v>
      </c>
      <c r="Z523" s="70" t="s">
        <v>621</v>
      </c>
      <c r="AA523" s="70">
        <v>0</v>
      </c>
      <c r="AB523" s="70" t="s">
        <v>1139</v>
      </c>
    </row>
    <row r="524" spans="1:28" hidden="1" x14ac:dyDescent="0.3">
      <c r="A524" s="4">
        <v>46211</v>
      </c>
      <c r="B524" s="8" t="s">
        <v>982</v>
      </c>
      <c r="C524" s="8" t="s">
        <v>36</v>
      </c>
      <c r="D524" s="8" t="s">
        <v>52</v>
      </c>
      <c r="E524" s="7" t="s">
        <v>47</v>
      </c>
      <c r="F524" s="8" t="s">
        <v>985</v>
      </c>
      <c r="G524" s="8" t="s">
        <v>985</v>
      </c>
      <c r="H524" s="6">
        <f t="shared" si="39"/>
        <v>2142.8571428571427</v>
      </c>
      <c r="I524" s="6">
        <f t="shared" si="38"/>
        <v>311.08126259234382</v>
      </c>
      <c r="J524" s="70" t="s">
        <v>1140</v>
      </c>
      <c r="K524" s="72">
        <v>14.89</v>
      </c>
      <c r="L524" s="70" t="s">
        <v>585</v>
      </c>
      <c r="M524" s="70">
        <v>6</v>
      </c>
      <c r="N524" s="70">
        <v>1922</v>
      </c>
      <c r="O524" s="56">
        <v>4632</v>
      </c>
      <c r="P524" s="70" t="s">
        <v>743</v>
      </c>
      <c r="Q524" s="70" t="s">
        <v>1141</v>
      </c>
      <c r="R524" s="70" t="s">
        <v>1142</v>
      </c>
      <c r="S524" s="70" t="s">
        <v>749</v>
      </c>
      <c r="T524" s="70" t="s">
        <v>1143</v>
      </c>
      <c r="U524" s="70" t="s">
        <v>1144</v>
      </c>
      <c r="V524" s="70" t="s">
        <v>782</v>
      </c>
      <c r="W524" s="70" t="s">
        <v>1145</v>
      </c>
      <c r="X524" s="70">
        <v>90573</v>
      </c>
      <c r="Y524" s="70">
        <v>196543</v>
      </c>
      <c r="Z524" s="70" t="s">
        <v>580</v>
      </c>
      <c r="AA524" s="70">
        <v>0</v>
      </c>
      <c r="AB524" s="70">
        <v>87</v>
      </c>
    </row>
    <row r="525" spans="1:28" hidden="1" x14ac:dyDescent="0.3">
      <c r="A525" s="4">
        <v>46211</v>
      </c>
      <c r="B525" s="8" t="s">
        <v>982</v>
      </c>
      <c r="C525" s="8" t="s">
        <v>36</v>
      </c>
      <c r="D525" s="8" t="s">
        <v>46</v>
      </c>
      <c r="E525" s="7" t="s">
        <v>47</v>
      </c>
      <c r="F525" s="8" t="s">
        <v>985</v>
      </c>
      <c r="G525" s="8" t="s">
        <v>985</v>
      </c>
      <c r="H525" s="6">
        <f t="shared" si="39"/>
        <v>2142.8571428571427</v>
      </c>
      <c r="I525" s="6">
        <f t="shared" si="38"/>
        <v>362.18611521418023</v>
      </c>
      <c r="J525" s="69" t="s">
        <v>902</v>
      </c>
      <c r="K525" s="71">
        <v>6.77</v>
      </c>
      <c r="L525" s="69" t="s">
        <v>1146</v>
      </c>
      <c r="M525" s="69" t="s">
        <v>1147</v>
      </c>
      <c r="N525" s="69">
        <v>815</v>
      </c>
      <c r="O525" s="56">
        <v>2452</v>
      </c>
      <c r="P525" s="69" t="s">
        <v>1148</v>
      </c>
      <c r="Q525" s="69" t="s">
        <v>1149</v>
      </c>
      <c r="R525" s="69" t="s">
        <v>1150</v>
      </c>
      <c r="S525" s="69" t="s">
        <v>1151</v>
      </c>
      <c r="T525" s="69" t="s">
        <v>1152</v>
      </c>
      <c r="U525" s="69" t="s">
        <v>1153</v>
      </c>
      <c r="V525" s="69" t="s">
        <v>1154</v>
      </c>
      <c r="W525" s="69" t="s">
        <v>1155</v>
      </c>
      <c r="X525" s="69">
        <v>111214</v>
      </c>
      <c r="Y525" s="69">
        <v>320452</v>
      </c>
      <c r="Z525" s="69" t="s">
        <v>580</v>
      </c>
      <c r="AA525" s="69">
        <v>0</v>
      </c>
      <c r="AB525" s="69" t="s">
        <v>1156</v>
      </c>
    </row>
    <row r="526" spans="1:28" hidden="1" x14ac:dyDescent="0.3">
      <c r="A526" s="4">
        <v>46211</v>
      </c>
      <c r="B526" s="8" t="s">
        <v>982</v>
      </c>
      <c r="C526" s="8" t="s">
        <v>36</v>
      </c>
      <c r="D526" s="7" t="s">
        <v>49</v>
      </c>
      <c r="E526" s="7" t="s">
        <v>47</v>
      </c>
      <c r="F526" s="8" t="s">
        <v>985</v>
      </c>
      <c r="G526" s="8" t="s">
        <v>985</v>
      </c>
      <c r="H526" s="6">
        <f t="shared" si="39"/>
        <v>2142.8571428571427</v>
      </c>
      <c r="I526" s="6">
        <f t="shared" si="38"/>
        <v>669.78193146417448</v>
      </c>
      <c r="J526" s="70" t="s">
        <v>1157</v>
      </c>
      <c r="K526" s="71">
        <v>6.42</v>
      </c>
      <c r="L526" s="70" t="s">
        <v>955</v>
      </c>
      <c r="M526" s="70" t="s">
        <v>1158</v>
      </c>
      <c r="N526" s="70">
        <v>1042</v>
      </c>
      <c r="O526" s="56">
        <v>4300</v>
      </c>
      <c r="P526" s="70" t="s">
        <v>1159</v>
      </c>
      <c r="Q526" s="70" t="s">
        <v>844</v>
      </c>
      <c r="R526" s="70" t="s">
        <v>1087</v>
      </c>
      <c r="S526" s="70" t="s">
        <v>567</v>
      </c>
      <c r="T526" s="70" t="s">
        <v>1160</v>
      </c>
      <c r="U526" s="70" t="s">
        <v>736</v>
      </c>
      <c r="V526" s="70" t="s">
        <v>1161</v>
      </c>
      <c r="W526" s="70" t="s">
        <v>1162</v>
      </c>
      <c r="X526" s="70">
        <v>181196</v>
      </c>
      <c r="Y526" s="70">
        <v>616268</v>
      </c>
      <c r="Z526" s="70">
        <v>0</v>
      </c>
      <c r="AA526" s="70">
        <v>0</v>
      </c>
      <c r="AB526" s="70">
        <v>5</v>
      </c>
    </row>
    <row r="527" spans="1:28" x14ac:dyDescent="0.3">
      <c r="A527" s="4">
        <v>46211</v>
      </c>
      <c r="B527" s="8" t="s">
        <v>982</v>
      </c>
      <c r="C527" s="8" t="s">
        <v>36</v>
      </c>
      <c r="D527" s="8" t="s">
        <v>48</v>
      </c>
      <c r="E527" s="7" t="s">
        <v>38</v>
      </c>
      <c r="F527" s="59">
        <v>3244</v>
      </c>
      <c r="G527" s="8" t="s">
        <v>985</v>
      </c>
      <c r="H527" s="6">
        <v>6000</v>
      </c>
      <c r="I527" s="6">
        <f t="shared" si="38"/>
        <v>811.86440677966107</v>
      </c>
      <c r="J527" s="69" t="s">
        <v>1163</v>
      </c>
      <c r="K527" s="71">
        <v>4.72</v>
      </c>
      <c r="L527" s="69" t="s">
        <v>585</v>
      </c>
      <c r="M527" s="69" t="s">
        <v>1164</v>
      </c>
      <c r="N527" s="69">
        <v>725</v>
      </c>
      <c r="O527" s="77">
        <v>3832</v>
      </c>
      <c r="P527" s="69" t="s">
        <v>565</v>
      </c>
      <c r="Q527" s="69" t="s">
        <v>1165</v>
      </c>
      <c r="R527" s="69" t="s">
        <v>1166</v>
      </c>
      <c r="S527" s="69" t="s">
        <v>961</v>
      </c>
      <c r="T527" s="69" t="s">
        <v>1167</v>
      </c>
      <c r="U527" s="69" t="s">
        <v>1168</v>
      </c>
      <c r="V527" s="69" t="s">
        <v>975</v>
      </c>
      <c r="W527" s="69" t="s">
        <v>1169</v>
      </c>
      <c r="X527" s="69">
        <v>411582</v>
      </c>
      <c r="Y527" s="69">
        <v>1461927</v>
      </c>
      <c r="Z527" s="69">
        <v>0</v>
      </c>
      <c r="AA527" s="69">
        <v>0</v>
      </c>
      <c r="AB527" s="69" t="s">
        <v>1047</v>
      </c>
    </row>
    <row r="528" spans="1:28" hidden="1" x14ac:dyDescent="0.3">
      <c r="A528" s="4">
        <v>46212</v>
      </c>
      <c r="B528" s="8" t="s">
        <v>982</v>
      </c>
      <c r="C528" s="8" t="s">
        <v>36</v>
      </c>
      <c r="D528" s="7" t="s">
        <v>39</v>
      </c>
      <c r="E528" s="7" t="s">
        <v>47</v>
      </c>
      <c r="F528" s="13"/>
      <c r="G528" s="59"/>
      <c r="H528" s="6">
        <f t="shared" ref="H528:H534" si="40">15000/7</f>
        <v>2142.8571428571427</v>
      </c>
      <c r="I528" s="6">
        <f t="shared" si="38"/>
        <v>94.896551724137936</v>
      </c>
      <c r="J528" s="70" t="s">
        <v>1170</v>
      </c>
      <c r="K528" s="72">
        <v>7.25</v>
      </c>
      <c r="L528" s="70" t="s">
        <v>602</v>
      </c>
      <c r="M528" s="70" t="s">
        <v>1171</v>
      </c>
      <c r="N528" s="70">
        <v>434</v>
      </c>
      <c r="O528" s="56">
        <v>688</v>
      </c>
      <c r="P528" s="70" t="s">
        <v>1172</v>
      </c>
      <c r="Q528" s="70" t="s">
        <v>1173</v>
      </c>
      <c r="R528" s="70" t="s">
        <v>1174</v>
      </c>
      <c r="S528" s="70" t="s">
        <v>685</v>
      </c>
      <c r="T528" s="70" t="s">
        <v>1175</v>
      </c>
      <c r="U528" s="70" t="s">
        <v>1176</v>
      </c>
      <c r="V528" s="70" t="s">
        <v>1177</v>
      </c>
      <c r="W528" s="70" t="s">
        <v>1178</v>
      </c>
      <c r="X528" s="70">
        <v>73319</v>
      </c>
      <c r="Y528" s="70">
        <v>108094</v>
      </c>
      <c r="Z528" s="70">
        <v>1</v>
      </c>
      <c r="AA528" s="70">
        <v>0</v>
      </c>
      <c r="AB528" s="70" t="s">
        <v>1179</v>
      </c>
    </row>
    <row r="529" spans="1:28" hidden="1" x14ac:dyDescent="0.3">
      <c r="A529" s="4">
        <v>46212</v>
      </c>
      <c r="B529" s="8" t="s">
        <v>982</v>
      </c>
      <c r="C529" s="8" t="s">
        <v>36</v>
      </c>
      <c r="D529" s="7" t="s">
        <v>43</v>
      </c>
      <c r="E529" s="7" t="s">
        <v>47</v>
      </c>
      <c r="F529" s="13"/>
      <c r="G529" s="59"/>
      <c r="H529" s="6">
        <f t="shared" si="40"/>
        <v>2142.8571428571427</v>
      </c>
      <c r="I529" s="6">
        <f t="shared" si="38"/>
        <v>191.36807817589579</v>
      </c>
      <c r="J529" s="70" t="s">
        <v>1180</v>
      </c>
      <c r="K529" s="72">
        <v>6.14</v>
      </c>
      <c r="L529" s="70" t="s">
        <v>734</v>
      </c>
      <c r="M529" s="70" t="s">
        <v>1181</v>
      </c>
      <c r="N529" s="70" t="s">
        <v>985</v>
      </c>
      <c r="O529" s="56">
        <v>1175</v>
      </c>
      <c r="P529" s="70" t="s">
        <v>985</v>
      </c>
      <c r="Q529" s="70" t="s">
        <v>985</v>
      </c>
      <c r="R529" s="70" t="s">
        <v>1182</v>
      </c>
      <c r="S529" s="70" t="s">
        <v>749</v>
      </c>
      <c r="T529" s="70" t="s">
        <v>1183</v>
      </c>
      <c r="U529" s="70" t="s">
        <v>939</v>
      </c>
      <c r="V529" s="70" t="s">
        <v>1184</v>
      </c>
      <c r="W529" s="70" t="s">
        <v>1185</v>
      </c>
      <c r="X529" s="70" t="s">
        <v>985</v>
      </c>
      <c r="Y529" s="70" t="s">
        <v>985</v>
      </c>
      <c r="Z529" s="70" t="s">
        <v>719</v>
      </c>
      <c r="AA529" s="70" t="s">
        <v>985</v>
      </c>
      <c r="AB529" s="70" t="s">
        <v>578</v>
      </c>
    </row>
    <row r="530" spans="1:28" hidden="1" x14ac:dyDescent="0.3">
      <c r="A530" s="4">
        <v>46212</v>
      </c>
      <c r="B530" s="8" t="s">
        <v>982</v>
      </c>
      <c r="C530" s="8" t="s">
        <v>36</v>
      </c>
      <c r="D530" s="8" t="s">
        <v>67</v>
      </c>
      <c r="E530" s="7" t="s">
        <v>47</v>
      </c>
      <c r="F530" s="8" t="s">
        <v>985</v>
      </c>
      <c r="G530" s="8" t="s">
        <v>985</v>
      </c>
      <c r="H530" s="6">
        <f t="shared" si="40"/>
        <v>2142.8571428571427</v>
      </c>
      <c r="I530" s="6">
        <f t="shared" si="38"/>
        <v>229.69230769230768</v>
      </c>
      <c r="J530" s="70" t="s">
        <v>1186</v>
      </c>
      <c r="K530" s="72">
        <v>6.5</v>
      </c>
      <c r="L530" s="70" t="s">
        <v>1187</v>
      </c>
      <c r="M530" s="70" t="s">
        <v>1188</v>
      </c>
      <c r="N530" s="70">
        <v>752</v>
      </c>
      <c r="O530" s="56">
        <v>1493</v>
      </c>
      <c r="P530" s="70" t="s">
        <v>1189</v>
      </c>
      <c r="Q530" s="70" t="s">
        <v>900</v>
      </c>
      <c r="R530" s="70" t="s">
        <v>1190</v>
      </c>
      <c r="S530" s="70" t="s">
        <v>658</v>
      </c>
      <c r="T530" s="70" t="s">
        <v>1191</v>
      </c>
      <c r="U530" s="70" t="s">
        <v>1192</v>
      </c>
      <c r="V530" s="70" t="s">
        <v>1193</v>
      </c>
      <c r="W530" s="70" t="s">
        <v>1194</v>
      </c>
      <c r="X530" s="70">
        <v>35546</v>
      </c>
      <c r="Y530" s="70">
        <v>70178</v>
      </c>
      <c r="Z530" s="70" t="s">
        <v>580</v>
      </c>
      <c r="AA530" s="70">
        <v>0</v>
      </c>
      <c r="AB530" s="70" t="s">
        <v>1195</v>
      </c>
    </row>
    <row r="531" spans="1:28" hidden="1" x14ac:dyDescent="0.3">
      <c r="A531" s="4">
        <v>46212</v>
      </c>
      <c r="B531" s="8" t="s">
        <v>982</v>
      </c>
      <c r="C531" s="8" t="s">
        <v>36</v>
      </c>
      <c r="D531" s="8" t="s">
        <v>50</v>
      </c>
      <c r="E531" s="7" t="s">
        <v>47</v>
      </c>
      <c r="F531" s="8" t="s">
        <v>985</v>
      </c>
      <c r="G531" s="8" t="s">
        <v>985</v>
      </c>
      <c r="H531" s="6">
        <f t="shared" si="40"/>
        <v>2142.8571428571427</v>
      </c>
      <c r="I531" s="6">
        <f t="shared" si="38"/>
        <v>349.51185495118551</v>
      </c>
      <c r="J531" s="70" t="s">
        <v>1196</v>
      </c>
      <c r="K531" s="72">
        <v>7.17</v>
      </c>
      <c r="L531" s="70" t="s">
        <v>777</v>
      </c>
      <c r="M531" s="70" t="s">
        <v>1197</v>
      </c>
      <c r="N531" s="70">
        <v>1137</v>
      </c>
      <c r="O531" s="56">
        <v>2506</v>
      </c>
      <c r="P531" s="70" t="s">
        <v>693</v>
      </c>
      <c r="Q531" s="70" t="s">
        <v>1198</v>
      </c>
      <c r="R531" s="70" t="s">
        <v>995</v>
      </c>
      <c r="S531" s="70" t="s">
        <v>839</v>
      </c>
      <c r="T531" s="70" t="s">
        <v>1199</v>
      </c>
      <c r="U531" s="70">
        <v>150</v>
      </c>
      <c r="V531" s="70" t="s">
        <v>1200</v>
      </c>
      <c r="W531" s="70" t="s">
        <v>1201</v>
      </c>
      <c r="X531" s="70">
        <v>148089</v>
      </c>
      <c r="Y531" s="70">
        <v>279358</v>
      </c>
      <c r="Z531" s="70" t="s">
        <v>800</v>
      </c>
      <c r="AA531" s="70">
        <v>0</v>
      </c>
      <c r="AB531" s="70" t="s">
        <v>1202</v>
      </c>
    </row>
    <row r="532" spans="1:28" hidden="1" x14ac:dyDescent="0.3">
      <c r="A532" s="4">
        <v>46212</v>
      </c>
      <c r="B532" s="8" t="s">
        <v>982</v>
      </c>
      <c r="C532" s="8" t="s">
        <v>36</v>
      </c>
      <c r="D532" s="8" t="s">
        <v>52</v>
      </c>
      <c r="E532" s="7" t="s">
        <v>47</v>
      </c>
      <c r="F532" s="8" t="s">
        <v>985</v>
      </c>
      <c r="G532" s="8" t="s">
        <v>985</v>
      </c>
      <c r="H532" s="6">
        <f t="shared" si="40"/>
        <v>2142.8571428571427</v>
      </c>
      <c r="I532" s="6">
        <f t="shared" si="38"/>
        <v>253.39901477832512</v>
      </c>
      <c r="J532" s="69" t="s">
        <v>1203</v>
      </c>
      <c r="K532" s="71">
        <v>10.15</v>
      </c>
      <c r="L532" s="69" t="s">
        <v>719</v>
      </c>
      <c r="M532" s="69" t="s">
        <v>1204</v>
      </c>
      <c r="N532" s="69">
        <v>1456</v>
      </c>
      <c r="O532" s="56">
        <v>2572</v>
      </c>
      <c r="P532" s="69" t="s">
        <v>1205</v>
      </c>
      <c r="Q532" s="69" t="s">
        <v>1206</v>
      </c>
      <c r="R532" s="69" t="s">
        <v>1207</v>
      </c>
      <c r="S532" s="69" t="s">
        <v>1208</v>
      </c>
      <c r="T532" s="69" t="s">
        <v>582</v>
      </c>
      <c r="U532" s="69" t="s">
        <v>1209</v>
      </c>
      <c r="V532" s="69" t="s">
        <v>1210</v>
      </c>
      <c r="W532" s="69" t="s">
        <v>1211</v>
      </c>
      <c r="X532" s="69">
        <v>92029</v>
      </c>
      <c r="Y532" s="69">
        <v>199731</v>
      </c>
      <c r="Z532" s="69" t="s">
        <v>719</v>
      </c>
      <c r="AA532" s="69">
        <v>0</v>
      </c>
      <c r="AB532" s="69" t="s">
        <v>1212</v>
      </c>
    </row>
    <row r="533" spans="1:28" hidden="1" x14ac:dyDescent="0.3">
      <c r="A533" s="4">
        <v>46212</v>
      </c>
      <c r="B533" s="8" t="s">
        <v>982</v>
      </c>
      <c r="C533" s="8" t="s">
        <v>36</v>
      </c>
      <c r="D533" s="8" t="s">
        <v>46</v>
      </c>
      <c r="E533" s="7" t="s">
        <v>47</v>
      </c>
      <c r="F533" s="8" t="s">
        <v>985</v>
      </c>
      <c r="G533" s="8" t="s">
        <v>985</v>
      </c>
      <c r="H533" s="6">
        <f t="shared" si="40"/>
        <v>2142.8571428571427</v>
      </c>
      <c r="I533" s="6">
        <f t="shared" si="38"/>
        <v>363.45966958211858</v>
      </c>
      <c r="J533" s="70" t="s">
        <v>1213</v>
      </c>
      <c r="K533" s="71">
        <v>10.29</v>
      </c>
      <c r="L533" s="70">
        <v>3</v>
      </c>
      <c r="M533" s="70" t="s">
        <v>562</v>
      </c>
      <c r="N533" s="70">
        <v>985</v>
      </c>
      <c r="O533" s="56">
        <v>3740</v>
      </c>
      <c r="P533" s="70" t="s">
        <v>1214</v>
      </c>
      <c r="Q533" s="70" t="s">
        <v>1215</v>
      </c>
      <c r="R533" s="70" t="s">
        <v>1025</v>
      </c>
      <c r="S533" s="70" t="s">
        <v>1216</v>
      </c>
      <c r="T533" s="70" t="s">
        <v>961</v>
      </c>
      <c r="U533" s="70" t="s">
        <v>1217</v>
      </c>
      <c r="V533" s="70" t="s">
        <v>1218</v>
      </c>
      <c r="W533" s="70" t="s">
        <v>1219</v>
      </c>
      <c r="X533" s="70">
        <v>112199</v>
      </c>
      <c r="Y533" s="70">
        <v>324192</v>
      </c>
      <c r="Z533" s="70" t="s">
        <v>800</v>
      </c>
      <c r="AA533" s="70">
        <v>0</v>
      </c>
      <c r="AB533" s="70" t="s">
        <v>1220</v>
      </c>
    </row>
    <row r="534" spans="1:28" hidden="1" x14ac:dyDescent="0.3">
      <c r="A534" s="4">
        <v>46212</v>
      </c>
      <c r="B534" s="8" t="s">
        <v>982</v>
      </c>
      <c r="C534" s="8" t="s">
        <v>36</v>
      </c>
      <c r="D534" s="7" t="s">
        <v>49</v>
      </c>
      <c r="E534" s="7" t="s">
        <v>47</v>
      </c>
      <c r="F534" s="8" t="s">
        <v>985</v>
      </c>
      <c r="G534" s="8" t="s">
        <v>985</v>
      </c>
      <c r="H534" s="6">
        <f t="shared" si="40"/>
        <v>2142.8571428571427</v>
      </c>
      <c r="I534" s="6">
        <f t="shared" si="38"/>
        <v>469.46564885496178</v>
      </c>
      <c r="J534" s="69" t="s">
        <v>1221</v>
      </c>
      <c r="K534" s="71">
        <v>3.93</v>
      </c>
      <c r="L534" s="69" t="s">
        <v>1222</v>
      </c>
      <c r="M534" s="69" t="s">
        <v>1223</v>
      </c>
      <c r="N534" s="69">
        <v>535</v>
      </c>
      <c r="O534" s="56">
        <v>1845</v>
      </c>
      <c r="P534" s="69" t="s">
        <v>1224</v>
      </c>
      <c r="Q534" s="69" t="s">
        <v>1225</v>
      </c>
      <c r="R534" s="69" t="s">
        <v>1226</v>
      </c>
      <c r="S534" s="69" t="s">
        <v>1120</v>
      </c>
      <c r="T534" s="69" t="s">
        <v>1227</v>
      </c>
      <c r="U534" s="69" t="s">
        <v>1228</v>
      </c>
      <c r="V534" s="69" t="s">
        <v>832</v>
      </c>
      <c r="W534" s="69" t="s">
        <v>1229</v>
      </c>
      <c r="X534" s="69">
        <v>181731</v>
      </c>
      <c r="Y534" s="69">
        <v>618113</v>
      </c>
      <c r="Z534" s="69">
        <v>0</v>
      </c>
      <c r="AA534" s="69">
        <v>0</v>
      </c>
      <c r="AB534" s="69">
        <v>5</v>
      </c>
    </row>
    <row r="535" spans="1:28" x14ac:dyDescent="0.3">
      <c r="A535" s="4">
        <v>46212</v>
      </c>
      <c r="B535" s="8" t="s">
        <v>55</v>
      </c>
      <c r="C535" s="8" t="s">
        <v>56</v>
      </c>
      <c r="D535" s="7" t="s">
        <v>48</v>
      </c>
      <c r="E535" s="7" t="s">
        <v>38</v>
      </c>
      <c r="F535" s="13"/>
      <c r="G535" s="59" t="s">
        <v>146</v>
      </c>
      <c r="H535" s="6" t="s">
        <v>985</v>
      </c>
      <c r="I535" s="6">
        <f t="shared" si="38"/>
        <v>0</v>
      </c>
      <c r="J535" s="70" t="s">
        <v>618</v>
      </c>
      <c r="K535" s="72">
        <v>0.5</v>
      </c>
      <c r="L535" s="70" t="s">
        <v>800</v>
      </c>
      <c r="M535" s="70" t="s">
        <v>1230</v>
      </c>
      <c r="N535" s="70">
        <v>28</v>
      </c>
      <c r="O535" s="77">
        <v>0</v>
      </c>
      <c r="P535" s="70" t="s">
        <v>1231</v>
      </c>
      <c r="Q535" s="70" t="s">
        <v>1232</v>
      </c>
      <c r="R535" s="70" t="s">
        <v>1233</v>
      </c>
      <c r="S535" s="70" t="s">
        <v>583</v>
      </c>
      <c r="T535" s="70" t="s">
        <v>1120</v>
      </c>
      <c r="U535" s="70" t="s">
        <v>1234</v>
      </c>
      <c r="V535" s="70" t="s">
        <v>1235</v>
      </c>
      <c r="W535" s="70" t="s">
        <v>1236</v>
      </c>
      <c r="X535" s="70">
        <v>411610</v>
      </c>
      <c r="Y535" s="70">
        <v>1462081</v>
      </c>
      <c r="Z535" s="70">
        <v>0</v>
      </c>
      <c r="AA535" s="70">
        <v>0</v>
      </c>
      <c r="AB535" s="70" t="s">
        <v>1047</v>
      </c>
    </row>
    <row r="536" spans="1:28" hidden="1" x14ac:dyDescent="0.3">
      <c r="A536" s="4">
        <v>46213</v>
      </c>
      <c r="B536" s="8" t="s">
        <v>982</v>
      </c>
      <c r="C536" s="8" t="s">
        <v>36</v>
      </c>
      <c r="D536" s="7" t="s">
        <v>39</v>
      </c>
      <c r="E536" s="7" t="s">
        <v>47</v>
      </c>
      <c r="F536" s="13"/>
      <c r="G536" s="59"/>
      <c r="H536" s="6">
        <f t="shared" ref="H536:H542" si="41">15000/7</f>
        <v>2142.8571428571427</v>
      </c>
      <c r="I536" s="6">
        <f t="shared" si="38"/>
        <v>268.32797427652736</v>
      </c>
      <c r="J536" s="70" t="s">
        <v>1237</v>
      </c>
      <c r="K536" s="72">
        <v>6.22</v>
      </c>
      <c r="L536" s="70" t="s">
        <v>946</v>
      </c>
      <c r="M536" s="70" t="s">
        <v>1238</v>
      </c>
      <c r="N536" s="70">
        <v>1046</v>
      </c>
      <c r="O536" s="56">
        <v>1669</v>
      </c>
      <c r="P536" s="70" t="s">
        <v>817</v>
      </c>
      <c r="Q536" s="70" t="s">
        <v>1239</v>
      </c>
      <c r="R536" s="70" t="s">
        <v>1240</v>
      </c>
      <c r="S536" s="70" t="s">
        <v>611</v>
      </c>
      <c r="T536" s="70" t="s">
        <v>659</v>
      </c>
      <c r="U536" s="70" t="s">
        <v>973</v>
      </c>
      <c r="V536" s="70" t="s">
        <v>1241</v>
      </c>
      <c r="W536" s="70" t="s">
        <v>1242</v>
      </c>
      <c r="X536" s="70">
        <v>74365</v>
      </c>
      <c r="Y536" s="70">
        <v>109763</v>
      </c>
      <c r="Z536" s="70" t="s">
        <v>649</v>
      </c>
      <c r="AA536" s="70">
        <v>0</v>
      </c>
      <c r="AB536" s="70" t="s">
        <v>1243</v>
      </c>
    </row>
    <row r="537" spans="1:28" hidden="1" x14ac:dyDescent="0.3">
      <c r="A537" s="4">
        <v>46213</v>
      </c>
      <c r="B537" s="8" t="s">
        <v>982</v>
      </c>
      <c r="C537" s="8" t="s">
        <v>36</v>
      </c>
      <c r="D537" s="7" t="s">
        <v>43</v>
      </c>
      <c r="E537" s="7" t="s">
        <v>47</v>
      </c>
      <c r="F537" s="13"/>
      <c r="G537" s="59"/>
      <c r="H537" s="6">
        <f t="shared" si="41"/>
        <v>2142.8571428571427</v>
      </c>
      <c r="I537" s="6">
        <f t="shared" si="38"/>
        <v>284.21052631578948</v>
      </c>
      <c r="J537" s="70" t="s">
        <v>1244</v>
      </c>
      <c r="K537" s="72">
        <v>4.75</v>
      </c>
      <c r="L537" s="70" t="s">
        <v>1245</v>
      </c>
      <c r="M537" s="70" t="s">
        <v>1246</v>
      </c>
      <c r="N537" s="70" t="s">
        <v>985</v>
      </c>
      <c r="O537" s="56">
        <v>1350</v>
      </c>
      <c r="P537" s="70" t="s">
        <v>985</v>
      </c>
      <c r="Q537" s="70" t="s">
        <v>985</v>
      </c>
      <c r="R537" s="70" t="s">
        <v>1247</v>
      </c>
      <c r="S537" s="70" t="s">
        <v>1248</v>
      </c>
      <c r="T537" s="70" t="s">
        <v>1249</v>
      </c>
      <c r="U537" s="70" t="s">
        <v>1250</v>
      </c>
      <c r="V537" s="70" t="s">
        <v>1251</v>
      </c>
      <c r="W537" s="70" t="s">
        <v>1252</v>
      </c>
      <c r="X537" s="70" t="s">
        <v>985</v>
      </c>
      <c r="Y537" s="70" t="s">
        <v>985</v>
      </c>
      <c r="Z537" s="70" t="s">
        <v>561</v>
      </c>
      <c r="AA537" s="70" t="s">
        <v>985</v>
      </c>
      <c r="AB537" s="70" t="s">
        <v>1253</v>
      </c>
    </row>
    <row r="538" spans="1:28" hidden="1" x14ac:dyDescent="0.3">
      <c r="A538" s="4">
        <v>46213</v>
      </c>
      <c r="B538" s="8" t="s">
        <v>982</v>
      </c>
      <c r="C538" s="8" t="s">
        <v>36</v>
      </c>
      <c r="D538" s="8" t="s">
        <v>67</v>
      </c>
      <c r="E538" s="7" t="s">
        <v>47</v>
      </c>
      <c r="F538" s="8" t="s">
        <v>985</v>
      </c>
      <c r="G538" s="8" t="s">
        <v>985</v>
      </c>
      <c r="H538" s="6">
        <f t="shared" si="41"/>
        <v>2142.8571428571427</v>
      </c>
      <c r="I538" s="6">
        <f t="shared" si="38"/>
        <v>66.372795969773293</v>
      </c>
      <c r="J538" s="70" t="s">
        <v>1254</v>
      </c>
      <c r="K538" s="72">
        <v>7.94</v>
      </c>
      <c r="L538" s="70" t="s">
        <v>1255</v>
      </c>
      <c r="M538" s="70" t="s">
        <v>1256</v>
      </c>
      <c r="N538" s="70">
        <v>654</v>
      </c>
      <c r="O538" s="56">
        <v>527</v>
      </c>
      <c r="P538" s="70" t="s">
        <v>1257</v>
      </c>
      <c r="Q538" s="70" t="s">
        <v>628</v>
      </c>
      <c r="R538" s="70" t="s">
        <v>1258</v>
      </c>
      <c r="S538" s="70" t="s">
        <v>627</v>
      </c>
      <c r="T538" s="70" t="s">
        <v>1259</v>
      </c>
      <c r="U538" s="70" t="s">
        <v>1260</v>
      </c>
      <c r="V538" s="70" t="s">
        <v>1261</v>
      </c>
      <c r="W538" s="70" t="s">
        <v>1262</v>
      </c>
      <c r="X538" s="70">
        <v>36200</v>
      </c>
      <c r="Y538" s="70">
        <v>70705</v>
      </c>
      <c r="Z538" s="70" t="s">
        <v>719</v>
      </c>
      <c r="AA538" s="70">
        <v>0</v>
      </c>
      <c r="AB538" s="70" t="s">
        <v>1263</v>
      </c>
    </row>
    <row r="539" spans="1:28" hidden="1" x14ac:dyDescent="0.3">
      <c r="A539" s="4">
        <v>46213</v>
      </c>
      <c r="B539" s="8" t="s">
        <v>982</v>
      </c>
      <c r="C539" s="8" t="s">
        <v>36</v>
      </c>
      <c r="D539" s="8" t="s">
        <v>50</v>
      </c>
      <c r="E539" s="7" t="s">
        <v>47</v>
      </c>
      <c r="F539" s="8" t="s">
        <v>985</v>
      </c>
      <c r="G539" s="8" t="s">
        <v>985</v>
      </c>
      <c r="H539" s="6">
        <f t="shared" si="41"/>
        <v>2142.8571428571427</v>
      </c>
      <c r="I539" s="6">
        <f t="shared" si="38"/>
        <v>439.15416098226467</v>
      </c>
      <c r="J539" s="69" t="s">
        <v>983</v>
      </c>
      <c r="K539" s="72">
        <v>7.33</v>
      </c>
      <c r="L539" s="69" t="s">
        <v>777</v>
      </c>
      <c r="M539" s="69" t="s">
        <v>1264</v>
      </c>
      <c r="N539" s="69">
        <v>1333</v>
      </c>
      <c r="O539" s="56">
        <v>3219</v>
      </c>
      <c r="P539" s="69" t="s">
        <v>743</v>
      </c>
      <c r="Q539" s="69" t="s">
        <v>1265</v>
      </c>
      <c r="R539" s="69" t="s">
        <v>1266</v>
      </c>
      <c r="S539" s="69" t="s">
        <v>658</v>
      </c>
      <c r="T539" s="69" t="s">
        <v>1267</v>
      </c>
      <c r="U539" s="69" t="s">
        <v>1268</v>
      </c>
      <c r="V539" s="69" t="s">
        <v>1078</v>
      </c>
      <c r="W539" s="69" t="s">
        <v>1269</v>
      </c>
      <c r="X539" s="69">
        <v>149422</v>
      </c>
      <c r="Y539" s="69">
        <v>282577</v>
      </c>
      <c r="Z539" s="69" t="s">
        <v>649</v>
      </c>
      <c r="AA539" s="69">
        <v>0</v>
      </c>
      <c r="AB539" s="69" t="s">
        <v>1270</v>
      </c>
    </row>
    <row r="540" spans="1:28" hidden="1" x14ac:dyDescent="0.3">
      <c r="A540" s="4">
        <v>46213</v>
      </c>
      <c r="B540" s="8" t="s">
        <v>982</v>
      </c>
      <c r="C540" s="8" t="s">
        <v>36</v>
      </c>
      <c r="D540" s="8" t="s">
        <v>52</v>
      </c>
      <c r="E540" s="7" t="s">
        <v>47</v>
      </c>
      <c r="F540" s="8" t="s">
        <v>985</v>
      </c>
      <c r="G540" s="8" t="s">
        <v>985</v>
      </c>
      <c r="H540" s="6">
        <f t="shared" si="41"/>
        <v>2142.8571428571427</v>
      </c>
      <c r="I540" s="6">
        <f t="shared" ref="I540:I603" si="42">IFERROR(O540/K540,)</f>
        <v>296.55831739961758</v>
      </c>
      <c r="J540" s="70" t="s">
        <v>1271</v>
      </c>
      <c r="K540" s="72">
        <v>10.46</v>
      </c>
      <c r="L540" s="70" t="s">
        <v>1272</v>
      </c>
      <c r="M540" s="70" t="s">
        <v>1273</v>
      </c>
      <c r="N540" s="70">
        <v>1189</v>
      </c>
      <c r="O540" s="56">
        <v>3102</v>
      </c>
      <c r="P540" s="70" t="s">
        <v>1274</v>
      </c>
      <c r="Q540" s="70" t="s">
        <v>1275</v>
      </c>
      <c r="R540" s="70" t="s">
        <v>1276</v>
      </c>
      <c r="S540" s="70" t="s">
        <v>1151</v>
      </c>
      <c r="T540" s="70" t="s">
        <v>1277</v>
      </c>
      <c r="U540" s="70" t="s">
        <v>1278</v>
      </c>
      <c r="V540" s="70" t="s">
        <v>1279</v>
      </c>
      <c r="W540" s="70" t="s">
        <v>1280</v>
      </c>
      <c r="X540" s="70">
        <v>93218</v>
      </c>
      <c r="Y540" s="70">
        <v>202833</v>
      </c>
      <c r="Z540" s="70" t="s">
        <v>602</v>
      </c>
      <c r="AA540" s="70">
        <v>0</v>
      </c>
      <c r="AB540" s="70" t="s">
        <v>1281</v>
      </c>
    </row>
    <row r="541" spans="1:28" hidden="1" x14ac:dyDescent="0.3">
      <c r="A541" s="4">
        <v>46213</v>
      </c>
      <c r="B541" s="8" t="s">
        <v>982</v>
      </c>
      <c r="C541" s="8" t="s">
        <v>36</v>
      </c>
      <c r="D541" s="8" t="s">
        <v>46</v>
      </c>
      <c r="E541" s="7" t="s">
        <v>47</v>
      </c>
      <c r="F541" s="8" t="s">
        <v>985</v>
      </c>
      <c r="G541" s="8" t="s">
        <v>985</v>
      </c>
      <c r="H541" s="6">
        <f t="shared" si="41"/>
        <v>2142.8571428571427</v>
      </c>
      <c r="I541" s="6">
        <f t="shared" si="42"/>
        <v>352.11822660098522</v>
      </c>
      <c r="J541" s="69">
        <v>12</v>
      </c>
      <c r="K541" s="71">
        <v>10.15</v>
      </c>
      <c r="L541" s="69" t="s">
        <v>1187</v>
      </c>
      <c r="M541" s="69" t="s">
        <v>1282</v>
      </c>
      <c r="N541" s="69">
        <v>916</v>
      </c>
      <c r="O541" s="56">
        <v>3574</v>
      </c>
      <c r="P541" s="69" t="s">
        <v>771</v>
      </c>
      <c r="Q541" s="69" t="s">
        <v>1283</v>
      </c>
      <c r="R541" s="69" t="s">
        <v>1284</v>
      </c>
      <c r="S541" s="69" t="s">
        <v>1248</v>
      </c>
      <c r="T541" s="69" t="s">
        <v>1285</v>
      </c>
      <c r="U541" s="69" t="s">
        <v>695</v>
      </c>
      <c r="V541" s="69" t="s">
        <v>1286</v>
      </c>
      <c r="W541" s="69" t="s">
        <v>1287</v>
      </c>
      <c r="X541" s="69">
        <v>113115</v>
      </c>
      <c r="Y541" s="69">
        <v>327766</v>
      </c>
      <c r="Z541" s="69" t="s">
        <v>719</v>
      </c>
      <c r="AA541" s="69">
        <v>0</v>
      </c>
      <c r="AB541" s="69" t="s">
        <v>1288</v>
      </c>
    </row>
    <row r="542" spans="1:28" hidden="1" x14ac:dyDescent="0.3">
      <c r="A542" s="4">
        <v>46213</v>
      </c>
      <c r="B542" s="8" t="s">
        <v>982</v>
      </c>
      <c r="C542" s="8" t="s">
        <v>36</v>
      </c>
      <c r="D542" s="7" t="s">
        <v>49</v>
      </c>
      <c r="E542" s="7" t="s">
        <v>47</v>
      </c>
      <c r="F542" s="8" t="s">
        <v>985</v>
      </c>
      <c r="G542" s="8" t="s">
        <v>985</v>
      </c>
      <c r="H542" s="6">
        <f t="shared" si="41"/>
        <v>2142.8571428571427</v>
      </c>
      <c r="I542" s="6">
        <f t="shared" si="42"/>
        <v>300</v>
      </c>
      <c r="J542" s="70" t="s">
        <v>1289</v>
      </c>
      <c r="K542" s="72">
        <v>5.9</v>
      </c>
      <c r="L542" s="70" t="s">
        <v>652</v>
      </c>
      <c r="M542" s="70" t="s">
        <v>1290</v>
      </c>
      <c r="N542" s="70">
        <v>765</v>
      </c>
      <c r="O542" s="56">
        <v>1770</v>
      </c>
      <c r="P542" s="70" t="s">
        <v>1291</v>
      </c>
      <c r="Q542" s="70" t="s">
        <v>1292</v>
      </c>
      <c r="R542" s="70" t="s">
        <v>1293</v>
      </c>
      <c r="S542" s="70" t="s">
        <v>712</v>
      </c>
      <c r="T542" s="70" t="s">
        <v>839</v>
      </c>
      <c r="U542" s="70" t="s">
        <v>597</v>
      </c>
      <c r="V542" s="70" t="s">
        <v>963</v>
      </c>
      <c r="W542" s="70" t="s">
        <v>1294</v>
      </c>
      <c r="X542" s="70">
        <v>182496</v>
      </c>
      <c r="Y542" s="70">
        <v>620509</v>
      </c>
      <c r="Z542" s="70" t="s">
        <v>649</v>
      </c>
      <c r="AA542" s="70">
        <v>0</v>
      </c>
      <c r="AB542" s="70" t="s">
        <v>1295</v>
      </c>
    </row>
    <row r="543" spans="1:28" x14ac:dyDescent="0.3">
      <c r="A543" s="4">
        <v>46213</v>
      </c>
      <c r="B543" s="8" t="s">
        <v>982</v>
      </c>
      <c r="C543" s="8" t="s">
        <v>36</v>
      </c>
      <c r="D543" s="8" t="s">
        <v>48</v>
      </c>
      <c r="E543" s="7" t="s">
        <v>38</v>
      </c>
      <c r="F543" s="59" t="s">
        <v>42</v>
      </c>
      <c r="G543" s="8" t="s">
        <v>985</v>
      </c>
      <c r="H543" s="6">
        <v>6000</v>
      </c>
      <c r="I543" s="6">
        <f t="shared" si="42"/>
        <v>563.69047619047626</v>
      </c>
      <c r="J543" s="70" t="s">
        <v>1296</v>
      </c>
      <c r="K543" s="72">
        <v>3.36</v>
      </c>
      <c r="L543" s="70" t="s">
        <v>803</v>
      </c>
      <c r="M543" s="70" t="s">
        <v>1297</v>
      </c>
      <c r="N543" s="70">
        <v>423</v>
      </c>
      <c r="O543" s="77">
        <v>1894</v>
      </c>
      <c r="P543" s="70" t="s">
        <v>903</v>
      </c>
      <c r="Q543" s="70" t="s">
        <v>1298</v>
      </c>
      <c r="R543" s="70" t="s">
        <v>1299</v>
      </c>
      <c r="S543" s="70" t="s">
        <v>582</v>
      </c>
      <c r="T543" s="70" t="s">
        <v>1300</v>
      </c>
      <c r="U543" s="70" t="s">
        <v>1301</v>
      </c>
      <c r="V543" s="70" t="s">
        <v>764</v>
      </c>
      <c r="W543" s="70" t="s">
        <v>1302</v>
      </c>
      <c r="X543" s="70">
        <v>412033</v>
      </c>
      <c r="Y543" s="70">
        <v>1463975</v>
      </c>
      <c r="Z543" s="70">
        <v>0</v>
      </c>
      <c r="AA543" s="70">
        <v>0</v>
      </c>
      <c r="AB543" s="70" t="s">
        <v>1047</v>
      </c>
    </row>
    <row r="544" spans="1:28" hidden="1" x14ac:dyDescent="0.3">
      <c r="A544" s="4">
        <v>46214</v>
      </c>
      <c r="B544" s="8" t="s">
        <v>982</v>
      </c>
      <c r="C544" s="8" t="s">
        <v>36</v>
      </c>
      <c r="D544" s="7" t="s">
        <v>39</v>
      </c>
      <c r="E544" s="7" t="s">
        <v>47</v>
      </c>
      <c r="F544" s="7" t="s">
        <v>985</v>
      </c>
      <c r="G544" s="7" t="s">
        <v>985</v>
      </c>
      <c r="H544" s="6">
        <f>15000/7</f>
        <v>2142.8571428571427</v>
      </c>
      <c r="I544" s="6">
        <f t="shared" si="42"/>
        <v>157.53424657534245</v>
      </c>
      <c r="J544" s="70" t="s">
        <v>1303</v>
      </c>
      <c r="K544" s="72">
        <v>5.1100000000000003</v>
      </c>
      <c r="L544" s="70" t="s">
        <v>1092</v>
      </c>
      <c r="M544" s="70" t="s">
        <v>1304</v>
      </c>
      <c r="N544" s="70">
        <v>464</v>
      </c>
      <c r="O544" s="56">
        <v>805</v>
      </c>
      <c r="P544" s="70" t="s">
        <v>993</v>
      </c>
      <c r="Q544" s="70" t="s">
        <v>1305</v>
      </c>
      <c r="R544" s="70" t="s">
        <v>1306</v>
      </c>
      <c r="S544" s="70" t="s">
        <v>582</v>
      </c>
      <c r="T544" s="70" t="s">
        <v>685</v>
      </c>
      <c r="U544" s="70" t="s">
        <v>569</v>
      </c>
      <c r="V544" s="70" t="s">
        <v>1307</v>
      </c>
      <c r="W544" s="70" t="s">
        <v>1308</v>
      </c>
      <c r="X544" s="70">
        <v>74829</v>
      </c>
      <c r="Y544" s="70">
        <v>110568</v>
      </c>
      <c r="Z544" s="70">
        <v>0</v>
      </c>
      <c r="AA544" s="70">
        <v>0</v>
      </c>
      <c r="AB544" s="70" t="s">
        <v>1243</v>
      </c>
    </row>
    <row r="545" spans="1:28" x14ac:dyDescent="0.3">
      <c r="A545" s="4">
        <v>46214</v>
      </c>
      <c r="B545" s="8" t="s">
        <v>55</v>
      </c>
      <c r="C545" s="8" t="s">
        <v>56</v>
      </c>
      <c r="D545" s="7" t="s">
        <v>48</v>
      </c>
      <c r="E545" s="7" t="s">
        <v>38</v>
      </c>
      <c r="F545" s="13"/>
      <c r="G545" s="59" t="s">
        <v>146</v>
      </c>
      <c r="H545" s="6" t="s">
        <v>985</v>
      </c>
      <c r="I545" s="6">
        <f t="shared" si="42"/>
        <v>0</v>
      </c>
      <c r="J545" s="70" t="s">
        <v>1309</v>
      </c>
      <c r="K545" s="72">
        <v>0.27</v>
      </c>
      <c r="L545" s="70" t="s">
        <v>1310</v>
      </c>
      <c r="M545" s="70" t="s">
        <v>1311</v>
      </c>
      <c r="N545" s="70">
        <v>0</v>
      </c>
      <c r="O545" s="77">
        <v>0</v>
      </c>
      <c r="P545" s="70" t="s">
        <v>985</v>
      </c>
      <c r="Q545" s="70">
        <v>0</v>
      </c>
      <c r="R545" s="70" t="s">
        <v>712</v>
      </c>
      <c r="S545" s="70" t="s">
        <v>1312</v>
      </c>
      <c r="T545" s="70" t="s">
        <v>1120</v>
      </c>
      <c r="U545" s="70" t="s">
        <v>658</v>
      </c>
      <c r="V545" s="70" t="s">
        <v>1313</v>
      </c>
      <c r="W545" s="70" t="s">
        <v>1314</v>
      </c>
      <c r="X545" s="70">
        <v>412033</v>
      </c>
      <c r="Y545" s="70">
        <v>1463975</v>
      </c>
      <c r="Z545" s="70">
        <v>0</v>
      </c>
      <c r="AA545" s="70" t="s">
        <v>985</v>
      </c>
      <c r="AB545" s="70" t="s">
        <v>1047</v>
      </c>
    </row>
    <row r="546" spans="1:28" hidden="1" x14ac:dyDescent="0.3">
      <c r="A546" s="4">
        <v>46214</v>
      </c>
      <c r="B546" s="8" t="s">
        <v>982</v>
      </c>
      <c r="C546" s="8" t="s">
        <v>36</v>
      </c>
      <c r="D546" s="7" t="s">
        <v>43</v>
      </c>
      <c r="E546" s="7" t="s">
        <v>47</v>
      </c>
      <c r="F546" s="13" t="s">
        <v>985</v>
      </c>
      <c r="G546" s="13" t="s">
        <v>985</v>
      </c>
      <c r="H546" s="6">
        <f t="shared" ref="H546:H551" si="43">15000/7</f>
        <v>2142.8571428571427</v>
      </c>
      <c r="I546" s="6">
        <f t="shared" si="42"/>
        <v>157.52032520325204</v>
      </c>
      <c r="J546" s="69" t="s">
        <v>1315</v>
      </c>
      <c r="K546" s="72">
        <v>4.92</v>
      </c>
      <c r="L546" s="69" t="s">
        <v>946</v>
      </c>
      <c r="M546" s="69" t="s">
        <v>1316</v>
      </c>
      <c r="N546" s="69" t="s">
        <v>985</v>
      </c>
      <c r="O546" s="56">
        <v>775</v>
      </c>
      <c r="P546" s="69" t="s">
        <v>985</v>
      </c>
      <c r="Q546" s="69" t="s">
        <v>985</v>
      </c>
      <c r="R546" s="69" t="s">
        <v>566</v>
      </c>
      <c r="S546" s="69" t="s">
        <v>642</v>
      </c>
      <c r="T546" s="69" t="s">
        <v>1317</v>
      </c>
      <c r="U546" s="69" t="s">
        <v>1111</v>
      </c>
      <c r="V546" s="69" t="s">
        <v>1318</v>
      </c>
      <c r="W546" s="69" t="s">
        <v>1319</v>
      </c>
      <c r="X546" s="69" t="s">
        <v>985</v>
      </c>
      <c r="Y546" s="69" t="s">
        <v>985</v>
      </c>
      <c r="Z546" s="69">
        <v>0</v>
      </c>
      <c r="AA546" s="69" t="s">
        <v>985</v>
      </c>
      <c r="AB546" s="69" t="s">
        <v>1253</v>
      </c>
    </row>
    <row r="547" spans="1:28" hidden="1" x14ac:dyDescent="0.3">
      <c r="A547" s="4">
        <v>46214</v>
      </c>
      <c r="B547" s="8" t="s">
        <v>982</v>
      </c>
      <c r="C547" s="8" t="s">
        <v>36</v>
      </c>
      <c r="D547" s="8" t="s">
        <v>67</v>
      </c>
      <c r="E547" s="7" t="s">
        <v>47</v>
      </c>
      <c r="F547" s="7" t="s">
        <v>985</v>
      </c>
      <c r="G547" s="7" t="s">
        <v>985</v>
      </c>
      <c r="H547" s="6">
        <f t="shared" si="43"/>
        <v>2142.8571428571427</v>
      </c>
      <c r="I547" s="6">
        <f t="shared" si="42"/>
        <v>110.45918367346938</v>
      </c>
      <c r="J547" s="70" t="s">
        <v>1320</v>
      </c>
      <c r="K547" s="72">
        <v>3.92</v>
      </c>
      <c r="L547" s="70" t="s">
        <v>1321</v>
      </c>
      <c r="M547" s="70" t="s">
        <v>1322</v>
      </c>
      <c r="N547" s="70">
        <v>224</v>
      </c>
      <c r="O547" s="56">
        <v>433</v>
      </c>
      <c r="P547" s="70" t="s">
        <v>1323</v>
      </c>
      <c r="Q547" s="70" t="s">
        <v>1324</v>
      </c>
      <c r="R547" s="70" t="s">
        <v>1325</v>
      </c>
      <c r="S547" s="70" t="s">
        <v>567</v>
      </c>
      <c r="T547" s="70" t="s">
        <v>1326</v>
      </c>
      <c r="U547" s="70" t="s">
        <v>1327</v>
      </c>
      <c r="V547" s="70" t="s">
        <v>1328</v>
      </c>
      <c r="W547" s="70" t="s">
        <v>1329</v>
      </c>
      <c r="X547" s="70">
        <v>36718</v>
      </c>
      <c r="Y547" s="70">
        <v>71552</v>
      </c>
      <c r="Z547" s="70" t="s">
        <v>817</v>
      </c>
      <c r="AA547" s="70" t="s">
        <v>1330</v>
      </c>
      <c r="AB547" s="70" t="s">
        <v>1331</v>
      </c>
    </row>
    <row r="548" spans="1:28" hidden="1" x14ac:dyDescent="0.3">
      <c r="A548" s="4">
        <v>46214</v>
      </c>
      <c r="B548" s="8" t="s">
        <v>982</v>
      </c>
      <c r="C548" s="8" t="s">
        <v>36</v>
      </c>
      <c r="D548" s="8" t="s">
        <v>50</v>
      </c>
      <c r="E548" s="7" t="s">
        <v>47</v>
      </c>
      <c r="F548" s="7" t="s">
        <v>985</v>
      </c>
      <c r="G548" s="7" t="s">
        <v>985</v>
      </c>
      <c r="H548" s="6">
        <f t="shared" si="43"/>
        <v>2142.8571428571427</v>
      </c>
      <c r="I548" s="6">
        <f t="shared" si="42"/>
        <v>353.83275261324042</v>
      </c>
      <c r="J548" s="69" t="s">
        <v>710</v>
      </c>
      <c r="K548" s="72">
        <v>5.74</v>
      </c>
      <c r="L548" s="69" t="s">
        <v>734</v>
      </c>
      <c r="M548" s="69" t="s">
        <v>1332</v>
      </c>
      <c r="N548" s="69">
        <v>920</v>
      </c>
      <c r="O548" s="56">
        <v>2031</v>
      </c>
      <c r="P548" s="69" t="s">
        <v>1333</v>
      </c>
      <c r="Q548" s="69" t="s">
        <v>1334</v>
      </c>
      <c r="R548" s="69" t="s">
        <v>838</v>
      </c>
      <c r="S548" s="69" t="s">
        <v>749</v>
      </c>
      <c r="T548" s="69" t="s">
        <v>1183</v>
      </c>
      <c r="U548" s="69" t="s">
        <v>1335</v>
      </c>
      <c r="V548" s="69" t="s">
        <v>1336</v>
      </c>
      <c r="W548" s="69" t="s">
        <v>1337</v>
      </c>
      <c r="X548" s="69">
        <v>150342</v>
      </c>
      <c r="Y548" s="69">
        <v>284608</v>
      </c>
      <c r="Z548" s="69">
        <v>0</v>
      </c>
      <c r="AA548" s="69">
        <v>0</v>
      </c>
      <c r="AB548" s="69" t="s">
        <v>1270</v>
      </c>
    </row>
    <row r="549" spans="1:28" hidden="1" x14ac:dyDescent="0.3">
      <c r="A549" s="4">
        <v>46214</v>
      </c>
      <c r="B549" s="8" t="s">
        <v>982</v>
      </c>
      <c r="C549" s="8" t="s">
        <v>36</v>
      </c>
      <c r="D549" s="8" t="s">
        <v>52</v>
      </c>
      <c r="E549" s="7" t="s">
        <v>47</v>
      </c>
      <c r="F549" s="7" t="s">
        <v>985</v>
      </c>
      <c r="G549" s="7" t="s">
        <v>985</v>
      </c>
      <c r="H549" s="6">
        <f t="shared" si="43"/>
        <v>2142.8571428571427</v>
      </c>
      <c r="I549" s="6">
        <f t="shared" si="42"/>
        <v>192.35412474849096</v>
      </c>
      <c r="J549" s="70" t="s">
        <v>1338</v>
      </c>
      <c r="K549" s="72">
        <v>4.97</v>
      </c>
      <c r="L549" s="70" t="s">
        <v>602</v>
      </c>
      <c r="M549" s="70" t="s">
        <v>1339</v>
      </c>
      <c r="N549" s="70">
        <v>337</v>
      </c>
      <c r="O549" s="56">
        <v>956</v>
      </c>
      <c r="P549" s="70" t="s">
        <v>582</v>
      </c>
      <c r="Q549" s="70" t="s">
        <v>1340</v>
      </c>
      <c r="R549" s="70" t="s">
        <v>1341</v>
      </c>
      <c r="S549" s="70" t="s">
        <v>749</v>
      </c>
      <c r="T549" s="70" t="s">
        <v>919</v>
      </c>
      <c r="U549" s="70" t="s">
        <v>1342</v>
      </c>
      <c r="V549" s="70" t="s">
        <v>1343</v>
      </c>
      <c r="W549" s="70" t="s">
        <v>1344</v>
      </c>
      <c r="X549" s="70">
        <v>93585</v>
      </c>
      <c r="Y549" s="70">
        <v>203866</v>
      </c>
      <c r="Z549" s="70">
        <v>1</v>
      </c>
      <c r="AA549" s="70">
        <v>0</v>
      </c>
      <c r="AB549" s="70" t="s">
        <v>1345</v>
      </c>
    </row>
    <row r="550" spans="1:28" hidden="1" x14ac:dyDescent="0.3">
      <c r="A550" s="4">
        <v>46214</v>
      </c>
      <c r="B550" s="8" t="s">
        <v>982</v>
      </c>
      <c r="C550" s="8" t="s">
        <v>36</v>
      </c>
      <c r="D550" s="8" t="s">
        <v>46</v>
      </c>
      <c r="E550" s="7" t="s">
        <v>47</v>
      </c>
      <c r="F550" s="7" t="s">
        <v>985</v>
      </c>
      <c r="G550" s="7" t="s">
        <v>985</v>
      </c>
      <c r="H550" s="6">
        <f t="shared" si="43"/>
        <v>2142.8571428571427</v>
      </c>
      <c r="I550" s="6">
        <f t="shared" si="42"/>
        <v>444.04761904761904</v>
      </c>
      <c r="J550" s="70" t="s">
        <v>658</v>
      </c>
      <c r="K550" s="72">
        <v>4.2</v>
      </c>
      <c r="L550" s="70" t="s">
        <v>709</v>
      </c>
      <c r="M550" s="70" t="s">
        <v>1346</v>
      </c>
      <c r="N550" s="70">
        <v>474</v>
      </c>
      <c r="O550" s="56">
        <v>1865</v>
      </c>
      <c r="P550" s="70" t="s">
        <v>1347</v>
      </c>
      <c r="Q550" s="70" t="s">
        <v>1348</v>
      </c>
      <c r="R550" s="70" t="s">
        <v>1349</v>
      </c>
      <c r="S550" s="70" t="s">
        <v>1248</v>
      </c>
      <c r="T550" s="70" t="s">
        <v>1350</v>
      </c>
      <c r="U550" s="70" t="s">
        <v>1351</v>
      </c>
      <c r="V550" s="70" t="s">
        <v>1352</v>
      </c>
      <c r="W550" s="70" t="s">
        <v>1353</v>
      </c>
      <c r="X550" s="70">
        <v>113589</v>
      </c>
      <c r="Y550" s="70">
        <v>329631</v>
      </c>
      <c r="Z550" s="70">
        <v>0</v>
      </c>
      <c r="AA550" s="70">
        <v>0</v>
      </c>
      <c r="AB550" s="70" t="s">
        <v>1288</v>
      </c>
    </row>
    <row r="551" spans="1:28" hidden="1" x14ac:dyDescent="0.3">
      <c r="A551" s="4">
        <v>46214</v>
      </c>
      <c r="B551" s="8" t="s">
        <v>982</v>
      </c>
      <c r="C551" s="8" t="s">
        <v>36</v>
      </c>
      <c r="D551" s="7" t="s">
        <v>49</v>
      </c>
      <c r="E551" s="7" t="s">
        <v>47</v>
      </c>
      <c r="F551" s="8" t="s">
        <v>985</v>
      </c>
      <c r="G551" s="8"/>
      <c r="H551" s="6">
        <f t="shared" si="43"/>
        <v>2142.8571428571427</v>
      </c>
      <c r="I551" s="6">
        <f t="shared" si="42"/>
        <v>252.72727272727272</v>
      </c>
      <c r="J551" s="70" t="s">
        <v>1354</v>
      </c>
      <c r="K551" s="72">
        <v>5.5</v>
      </c>
      <c r="L551" s="70" t="s">
        <v>621</v>
      </c>
      <c r="M551" s="70" t="s">
        <v>1355</v>
      </c>
      <c r="N551" s="70">
        <v>403</v>
      </c>
      <c r="O551" s="56">
        <v>1390</v>
      </c>
      <c r="P551" s="70" t="s">
        <v>1224</v>
      </c>
      <c r="Q551" s="70" t="s">
        <v>1356</v>
      </c>
      <c r="R551" s="70" t="s">
        <v>1357</v>
      </c>
      <c r="S551" s="70" t="s">
        <v>627</v>
      </c>
      <c r="T551" s="70" t="s">
        <v>628</v>
      </c>
      <c r="U551" s="70" t="s">
        <v>1358</v>
      </c>
      <c r="V551" s="70" t="s">
        <v>1359</v>
      </c>
      <c r="W551" s="70" t="s">
        <v>1360</v>
      </c>
      <c r="X551" s="70">
        <v>182899</v>
      </c>
      <c r="Y551" s="70">
        <v>621899</v>
      </c>
      <c r="Z551" s="70">
        <v>0</v>
      </c>
      <c r="AA551" s="70">
        <v>0</v>
      </c>
      <c r="AB551" s="70" t="s">
        <v>1295</v>
      </c>
    </row>
    <row r="552" spans="1:28" hidden="1" x14ac:dyDescent="0.3">
      <c r="A552" s="4">
        <v>46215</v>
      </c>
      <c r="B552" s="8" t="s">
        <v>55</v>
      </c>
      <c r="C552" s="8" t="s">
        <v>56</v>
      </c>
      <c r="D552" s="7" t="s">
        <v>39</v>
      </c>
      <c r="E552" s="7" t="s">
        <v>47</v>
      </c>
      <c r="F552" s="7" t="s">
        <v>985</v>
      </c>
      <c r="G552" s="7" t="s">
        <v>985</v>
      </c>
      <c r="H552" s="6"/>
      <c r="I552" s="6">
        <f t="shared" si="42"/>
        <v>0</v>
      </c>
      <c r="J552" s="70">
        <v>0</v>
      </c>
      <c r="K552" s="72">
        <v>0</v>
      </c>
      <c r="L552" s="70">
        <v>0</v>
      </c>
      <c r="M552" s="70" t="s">
        <v>985</v>
      </c>
      <c r="N552" s="70">
        <v>0</v>
      </c>
      <c r="O552" s="56">
        <v>0</v>
      </c>
      <c r="P552" s="70" t="s">
        <v>985</v>
      </c>
      <c r="Q552" s="70" t="s">
        <v>985</v>
      </c>
      <c r="R552" s="70">
        <v>0</v>
      </c>
      <c r="S552" s="70">
        <v>0</v>
      </c>
      <c r="T552" s="70" t="s">
        <v>985</v>
      </c>
      <c r="U552" s="70">
        <v>0</v>
      </c>
      <c r="V552" s="70" t="s">
        <v>985</v>
      </c>
      <c r="W552" s="70" t="s">
        <v>1308</v>
      </c>
      <c r="X552" s="70">
        <v>74829</v>
      </c>
      <c r="Y552" s="70">
        <v>110568</v>
      </c>
      <c r="Z552" s="70">
        <v>0</v>
      </c>
      <c r="AA552" s="70" t="s">
        <v>985</v>
      </c>
      <c r="AB552" s="70" t="s">
        <v>1243</v>
      </c>
    </row>
    <row r="553" spans="1:28" hidden="1" x14ac:dyDescent="0.3">
      <c r="A553" s="4">
        <v>46215</v>
      </c>
      <c r="B553" s="8" t="s">
        <v>55</v>
      </c>
      <c r="C553" s="8" t="s">
        <v>56</v>
      </c>
      <c r="D553" s="8" t="s">
        <v>43</v>
      </c>
      <c r="E553" s="7" t="s">
        <v>47</v>
      </c>
      <c r="F553" s="13" t="s">
        <v>985</v>
      </c>
      <c r="G553" s="13" t="s">
        <v>985</v>
      </c>
      <c r="H553" s="6" t="s">
        <v>985</v>
      </c>
      <c r="I553" s="6">
        <f t="shared" si="42"/>
        <v>0</v>
      </c>
      <c r="J553" s="69">
        <v>0</v>
      </c>
      <c r="K553" s="72">
        <v>0</v>
      </c>
      <c r="L553" s="69">
        <v>0</v>
      </c>
      <c r="M553" s="69" t="s">
        <v>985</v>
      </c>
      <c r="N553" s="69" t="s">
        <v>985</v>
      </c>
      <c r="O553" s="56" t="s">
        <v>985</v>
      </c>
      <c r="P553" s="69" t="s">
        <v>985</v>
      </c>
      <c r="Q553" s="69" t="s">
        <v>985</v>
      </c>
      <c r="R553" s="69">
        <v>0</v>
      </c>
      <c r="S553" s="69">
        <v>0</v>
      </c>
      <c r="T553" s="69" t="s">
        <v>985</v>
      </c>
      <c r="U553" s="69">
        <v>0</v>
      </c>
      <c r="V553" s="69" t="s">
        <v>985</v>
      </c>
      <c r="W553" s="69" t="s">
        <v>1319</v>
      </c>
      <c r="X553" s="69" t="s">
        <v>985</v>
      </c>
      <c r="Y553" s="69" t="s">
        <v>985</v>
      </c>
      <c r="Z553" s="69">
        <v>0</v>
      </c>
      <c r="AA553" s="69" t="s">
        <v>985</v>
      </c>
      <c r="AB553" s="69" t="s">
        <v>1253</v>
      </c>
    </row>
    <row r="554" spans="1:28" hidden="1" x14ac:dyDescent="0.3">
      <c r="A554" s="4">
        <v>46215</v>
      </c>
      <c r="B554" s="8" t="s">
        <v>55</v>
      </c>
      <c r="C554" s="8" t="s">
        <v>56</v>
      </c>
      <c r="D554" s="8" t="s">
        <v>67</v>
      </c>
      <c r="E554" s="7" t="s">
        <v>47</v>
      </c>
      <c r="F554" s="7" t="s">
        <v>985</v>
      </c>
      <c r="G554" s="7" t="s">
        <v>985</v>
      </c>
      <c r="H554" s="6" t="s">
        <v>985</v>
      </c>
      <c r="I554" s="6">
        <f t="shared" si="42"/>
        <v>0</v>
      </c>
      <c r="J554" s="70" t="s">
        <v>985</v>
      </c>
      <c r="K554" s="72" t="s">
        <v>985</v>
      </c>
      <c r="L554" s="70" t="s">
        <v>985</v>
      </c>
      <c r="M554" s="70" t="s">
        <v>985</v>
      </c>
      <c r="N554" s="70" t="s">
        <v>985</v>
      </c>
      <c r="O554" s="56" t="s">
        <v>985</v>
      </c>
      <c r="P554" s="70" t="s">
        <v>985</v>
      </c>
      <c r="Q554" s="70" t="s">
        <v>985</v>
      </c>
      <c r="R554" s="70" t="s">
        <v>985</v>
      </c>
      <c r="S554" s="70" t="s">
        <v>985</v>
      </c>
      <c r="T554" s="70" t="s">
        <v>985</v>
      </c>
      <c r="U554" s="70" t="s">
        <v>985</v>
      </c>
      <c r="V554" s="70" t="s">
        <v>985</v>
      </c>
      <c r="W554" s="70" t="s">
        <v>985</v>
      </c>
      <c r="X554" s="70" t="s">
        <v>985</v>
      </c>
      <c r="Y554" s="70" t="s">
        <v>985</v>
      </c>
      <c r="Z554" s="70" t="s">
        <v>985</v>
      </c>
      <c r="AA554" s="70" t="s">
        <v>985</v>
      </c>
      <c r="AB554" s="70" t="s">
        <v>985</v>
      </c>
    </row>
    <row r="555" spans="1:28" hidden="1" x14ac:dyDescent="0.3">
      <c r="A555" s="4">
        <v>46215</v>
      </c>
      <c r="B555" s="8" t="s">
        <v>55</v>
      </c>
      <c r="C555" s="8" t="s">
        <v>56</v>
      </c>
      <c r="D555" s="8" t="s">
        <v>50</v>
      </c>
      <c r="E555" s="7" t="s">
        <v>47</v>
      </c>
      <c r="F555" s="7" t="s">
        <v>985</v>
      </c>
      <c r="G555" s="7" t="s">
        <v>985</v>
      </c>
      <c r="H555" s="6" t="s">
        <v>985</v>
      </c>
      <c r="I555" s="6">
        <f t="shared" si="42"/>
        <v>0</v>
      </c>
      <c r="J555" s="70">
        <v>0</v>
      </c>
      <c r="K555" s="72">
        <v>0</v>
      </c>
      <c r="L555" s="70">
        <v>0</v>
      </c>
      <c r="M555" s="70" t="s">
        <v>985</v>
      </c>
      <c r="N555" s="70">
        <v>0</v>
      </c>
      <c r="O555" s="56">
        <v>0</v>
      </c>
      <c r="P555" s="70" t="s">
        <v>985</v>
      </c>
      <c r="Q555" s="70" t="s">
        <v>985</v>
      </c>
      <c r="R555" s="70">
        <v>0</v>
      </c>
      <c r="S555" s="70">
        <v>0</v>
      </c>
      <c r="T555" s="70" t="s">
        <v>985</v>
      </c>
      <c r="U555" s="70">
        <v>0</v>
      </c>
      <c r="V555" s="70" t="s">
        <v>985</v>
      </c>
      <c r="W555" s="70" t="s">
        <v>1337</v>
      </c>
      <c r="X555" s="70">
        <v>150342</v>
      </c>
      <c r="Y555" s="70">
        <v>284608</v>
      </c>
      <c r="Z555" s="70">
        <v>0</v>
      </c>
      <c r="AA555" s="70" t="s">
        <v>985</v>
      </c>
      <c r="AB555" s="70" t="s">
        <v>1270</v>
      </c>
    </row>
    <row r="556" spans="1:28" hidden="1" x14ac:dyDescent="0.3">
      <c r="A556" s="4">
        <v>46215</v>
      </c>
      <c r="B556" s="8" t="s">
        <v>55</v>
      </c>
      <c r="C556" s="8" t="s">
        <v>56</v>
      </c>
      <c r="D556" s="8" t="s">
        <v>52</v>
      </c>
      <c r="E556" s="7" t="s">
        <v>47</v>
      </c>
      <c r="F556" s="7" t="s">
        <v>985</v>
      </c>
      <c r="G556" s="7" t="s">
        <v>985</v>
      </c>
      <c r="H556" s="6" t="s">
        <v>985</v>
      </c>
      <c r="I556" s="6">
        <f t="shared" si="42"/>
        <v>0</v>
      </c>
      <c r="J556" s="70" t="s">
        <v>985</v>
      </c>
      <c r="K556" s="72" t="s">
        <v>985</v>
      </c>
      <c r="L556" s="70" t="s">
        <v>985</v>
      </c>
      <c r="M556" s="70" t="s">
        <v>985</v>
      </c>
      <c r="N556" s="70" t="s">
        <v>985</v>
      </c>
      <c r="O556" s="56" t="s">
        <v>985</v>
      </c>
      <c r="P556" s="70" t="s">
        <v>985</v>
      </c>
      <c r="Q556" s="70" t="s">
        <v>985</v>
      </c>
      <c r="R556" s="70" t="s">
        <v>985</v>
      </c>
      <c r="S556" s="70" t="s">
        <v>985</v>
      </c>
      <c r="T556" s="70" t="s">
        <v>985</v>
      </c>
      <c r="U556" s="70" t="s">
        <v>985</v>
      </c>
      <c r="V556" s="70" t="s">
        <v>985</v>
      </c>
      <c r="W556" s="70" t="s">
        <v>985</v>
      </c>
      <c r="X556" s="70" t="s">
        <v>985</v>
      </c>
      <c r="Y556" s="70" t="s">
        <v>985</v>
      </c>
      <c r="Z556" s="70" t="s">
        <v>985</v>
      </c>
      <c r="AA556" s="70" t="s">
        <v>985</v>
      </c>
      <c r="AB556" s="70" t="s">
        <v>985</v>
      </c>
    </row>
    <row r="557" spans="1:28" hidden="1" x14ac:dyDescent="0.3">
      <c r="A557" s="4">
        <v>46215</v>
      </c>
      <c r="B557" s="8" t="s">
        <v>55</v>
      </c>
      <c r="C557" s="8" t="s">
        <v>56</v>
      </c>
      <c r="D557" s="8" t="s">
        <v>46</v>
      </c>
      <c r="E557" s="7" t="s">
        <v>47</v>
      </c>
      <c r="F557" s="7" t="s">
        <v>985</v>
      </c>
      <c r="G557" s="7" t="s">
        <v>985</v>
      </c>
      <c r="H557" s="6" t="s">
        <v>985</v>
      </c>
      <c r="I557" s="6">
        <f t="shared" si="42"/>
        <v>0</v>
      </c>
      <c r="J557" s="70">
        <v>0</v>
      </c>
      <c r="K557" s="72">
        <v>0</v>
      </c>
      <c r="L557" s="70">
        <v>0</v>
      </c>
      <c r="M557" s="70" t="s">
        <v>985</v>
      </c>
      <c r="N557" s="70">
        <v>0</v>
      </c>
      <c r="O557" s="56">
        <v>0</v>
      </c>
      <c r="P557" s="70" t="s">
        <v>985</v>
      </c>
      <c r="Q557" s="70" t="s">
        <v>985</v>
      </c>
      <c r="R557" s="70">
        <v>0</v>
      </c>
      <c r="S557" s="70">
        <v>0</v>
      </c>
      <c r="T557" s="70" t="s">
        <v>985</v>
      </c>
      <c r="U557" s="70">
        <v>0</v>
      </c>
      <c r="V557" s="70" t="s">
        <v>985</v>
      </c>
      <c r="W557" s="70" t="s">
        <v>1353</v>
      </c>
      <c r="X557" s="70">
        <v>113589</v>
      </c>
      <c r="Y557" s="70">
        <v>329631</v>
      </c>
      <c r="Z557" s="70">
        <v>0</v>
      </c>
      <c r="AA557" s="70" t="s">
        <v>985</v>
      </c>
      <c r="AB557" s="70" t="s">
        <v>1288</v>
      </c>
    </row>
    <row r="558" spans="1:28" x14ac:dyDescent="0.3">
      <c r="A558" s="4">
        <v>46215</v>
      </c>
      <c r="B558" s="8" t="s">
        <v>55</v>
      </c>
      <c r="C558" s="8" t="s">
        <v>56</v>
      </c>
      <c r="D558" s="7" t="s">
        <v>48</v>
      </c>
      <c r="E558" s="7" t="s">
        <v>38</v>
      </c>
      <c r="F558" s="8" t="s">
        <v>985</v>
      </c>
      <c r="G558" s="8" t="s">
        <v>985</v>
      </c>
      <c r="H558" s="6"/>
      <c r="I558" s="6">
        <f t="shared" si="42"/>
        <v>0</v>
      </c>
      <c r="J558" s="70">
        <v>0</v>
      </c>
      <c r="K558" s="72">
        <v>0</v>
      </c>
      <c r="L558" s="70">
        <v>0</v>
      </c>
      <c r="M558" s="70" t="s">
        <v>985</v>
      </c>
      <c r="N558" s="70">
        <v>0</v>
      </c>
      <c r="O558" s="77">
        <v>0</v>
      </c>
      <c r="P558" s="70" t="s">
        <v>985</v>
      </c>
      <c r="Q558" s="70" t="s">
        <v>985</v>
      </c>
      <c r="R558" s="70">
        <v>0</v>
      </c>
      <c r="S558" s="70">
        <v>0</v>
      </c>
      <c r="T558" s="70" t="s">
        <v>985</v>
      </c>
      <c r="U558" s="70">
        <v>0</v>
      </c>
      <c r="V558" s="70" t="s">
        <v>985</v>
      </c>
      <c r="W558" s="70" t="s">
        <v>1314</v>
      </c>
      <c r="X558" s="70">
        <v>412033</v>
      </c>
      <c r="Y558" s="70">
        <v>1463975</v>
      </c>
      <c r="Z558" s="70">
        <v>0</v>
      </c>
      <c r="AA558" s="70" t="s">
        <v>985</v>
      </c>
      <c r="AB558" s="70" t="s">
        <v>1047</v>
      </c>
    </row>
    <row r="559" spans="1:28" hidden="1" x14ac:dyDescent="0.3">
      <c r="A559" s="4">
        <v>46215</v>
      </c>
      <c r="B559" s="8" t="s">
        <v>55</v>
      </c>
      <c r="C559" s="8" t="s">
        <v>56</v>
      </c>
      <c r="D559" s="7" t="s">
        <v>49</v>
      </c>
      <c r="E559" s="7" t="s">
        <v>47</v>
      </c>
      <c r="F559" s="7" t="s">
        <v>985</v>
      </c>
      <c r="G559" s="7" t="s">
        <v>985</v>
      </c>
      <c r="H559" s="6" t="s">
        <v>985</v>
      </c>
      <c r="I559" s="6">
        <f t="shared" si="42"/>
        <v>0</v>
      </c>
      <c r="J559" s="70" t="s">
        <v>985</v>
      </c>
      <c r="K559" s="72" t="s">
        <v>985</v>
      </c>
      <c r="L559" s="70" t="s">
        <v>985</v>
      </c>
      <c r="M559" s="70" t="s">
        <v>985</v>
      </c>
      <c r="N559" s="70" t="s">
        <v>985</v>
      </c>
      <c r="O559" s="56" t="s">
        <v>985</v>
      </c>
      <c r="P559" s="70" t="s">
        <v>985</v>
      </c>
      <c r="Q559" s="70" t="s">
        <v>985</v>
      </c>
      <c r="R559" s="70" t="s">
        <v>985</v>
      </c>
      <c r="S559" s="70" t="s">
        <v>985</v>
      </c>
      <c r="T559" s="70" t="s">
        <v>985</v>
      </c>
      <c r="U559" s="70" t="s">
        <v>985</v>
      </c>
      <c r="V559" s="70" t="s">
        <v>985</v>
      </c>
      <c r="W559" s="70" t="s">
        <v>985</v>
      </c>
      <c r="X559" s="70" t="s">
        <v>985</v>
      </c>
      <c r="Y559" s="70" t="s">
        <v>985</v>
      </c>
      <c r="Z559" s="70" t="s">
        <v>985</v>
      </c>
      <c r="AA559" s="70" t="s">
        <v>985</v>
      </c>
      <c r="AB559" s="70" t="s">
        <v>985</v>
      </c>
    </row>
    <row r="560" spans="1:28" hidden="1" x14ac:dyDescent="0.3">
      <c r="A560" s="4">
        <v>46216</v>
      </c>
      <c r="B560" s="8" t="s">
        <v>1361</v>
      </c>
      <c r="C560" s="8" t="s">
        <v>36</v>
      </c>
      <c r="D560" s="8" t="s">
        <v>39</v>
      </c>
      <c r="E560" s="8" t="s">
        <v>47</v>
      </c>
      <c r="F560" s="8"/>
      <c r="G560" s="8"/>
      <c r="H560" s="6">
        <f t="shared" ref="H560:H565" si="44">15000/6</f>
        <v>2500</v>
      </c>
      <c r="I560" s="6">
        <f t="shared" si="42"/>
        <v>127.48643761301989</v>
      </c>
      <c r="J560" s="2" t="s">
        <v>1362</v>
      </c>
      <c r="K560" s="2">
        <v>5.53</v>
      </c>
      <c r="L560" s="2" t="s">
        <v>734</v>
      </c>
      <c r="M560" s="2" t="s">
        <v>945</v>
      </c>
      <c r="N560" s="73" t="s">
        <v>1363</v>
      </c>
      <c r="O560" s="56">
        <v>705</v>
      </c>
      <c r="P560" s="2" t="s">
        <v>1364</v>
      </c>
      <c r="Q560" s="2" t="s">
        <v>1365</v>
      </c>
      <c r="R560" s="2" t="s">
        <v>913</v>
      </c>
      <c r="S560" s="2" t="s">
        <v>839</v>
      </c>
      <c r="T560" s="2" t="s">
        <v>912</v>
      </c>
      <c r="U560" s="2" t="s">
        <v>939</v>
      </c>
      <c r="V560" s="2" t="s">
        <v>1366</v>
      </c>
      <c r="W560" s="2" t="s">
        <v>1367</v>
      </c>
      <c r="X560" s="73" t="s">
        <v>1368</v>
      </c>
      <c r="Y560" s="73" t="s">
        <v>1369</v>
      </c>
      <c r="Z560" s="2" t="s">
        <v>800</v>
      </c>
      <c r="AA560" s="73" t="s">
        <v>548</v>
      </c>
      <c r="AB560" s="2" t="s">
        <v>1370</v>
      </c>
    </row>
    <row r="561" spans="1:28" hidden="1" x14ac:dyDescent="0.3">
      <c r="A561" s="4">
        <v>46216</v>
      </c>
      <c r="B561" s="8" t="s">
        <v>1361</v>
      </c>
      <c r="C561" s="8" t="s">
        <v>36</v>
      </c>
      <c r="D561" s="8" t="s">
        <v>43</v>
      </c>
      <c r="E561" s="8" t="s">
        <v>47</v>
      </c>
      <c r="F561" s="8"/>
      <c r="G561" s="8"/>
      <c r="H561" s="6">
        <f t="shared" si="44"/>
        <v>2500</v>
      </c>
      <c r="I561" s="6">
        <f t="shared" si="42"/>
        <v>155.39305301645339</v>
      </c>
      <c r="J561" s="2" t="s">
        <v>1371</v>
      </c>
      <c r="K561" s="2">
        <v>5.47</v>
      </c>
      <c r="L561" s="2" t="s">
        <v>817</v>
      </c>
      <c r="M561" s="2" t="s">
        <v>1372</v>
      </c>
      <c r="N561" s="2" t="s">
        <v>45</v>
      </c>
      <c r="O561" s="56">
        <v>850</v>
      </c>
      <c r="P561" s="2" t="s">
        <v>45</v>
      </c>
      <c r="Q561" s="2" t="s">
        <v>45</v>
      </c>
      <c r="R561" s="2" t="s">
        <v>1373</v>
      </c>
      <c r="S561" s="2" t="s">
        <v>658</v>
      </c>
      <c r="T561" s="2" t="s">
        <v>1374</v>
      </c>
      <c r="U561" s="2" t="s">
        <v>1375</v>
      </c>
      <c r="V561" s="2" t="s">
        <v>1376</v>
      </c>
      <c r="W561" s="2" t="s">
        <v>1377</v>
      </c>
      <c r="X561" s="2" t="s">
        <v>45</v>
      </c>
      <c r="Y561" s="2" t="s">
        <v>45</v>
      </c>
      <c r="Z561" s="2" t="s">
        <v>621</v>
      </c>
      <c r="AA561" s="2" t="s">
        <v>45</v>
      </c>
      <c r="AB561" s="2" t="s">
        <v>1378</v>
      </c>
    </row>
    <row r="562" spans="1:28" hidden="1" x14ac:dyDescent="0.3">
      <c r="A562" s="4">
        <v>46216</v>
      </c>
      <c r="B562" s="8" t="s">
        <v>1361</v>
      </c>
      <c r="C562" s="8" t="s">
        <v>36</v>
      </c>
      <c r="D562" s="8" t="s">
        <v>67</v>
      </c>
      <c r="E562" s="8" t="s">
        <v>47</v>
      </c>
      <c r="F562" s="8"/>
      <c r="G562" s="8"/>
      <c r="H562" s="6">
        <f t="shared" si="44"/>
        <v>2500</v>
      </c>
      <c r="I562" s="6">
        <f t="shared" si="42"/>
        <v>280.14773776546627</v>
      </c>
      <c r="J562" s="71" t="s">
        <v>1379</v>
      </c>
      <c r="K562" s="2">
        <v>10.83</v>
      </c>
      <c r="L562" s="71" t="s">
        <v>1380</v>
      </c>
      <c r="M562" s="71" t="s">
        <v>1381</v>
      </c>
      <c r="N562" s="71" t="s">
        <v>1382</v>
      </c>
      <c r="O562" s="56">
        <v>3034</v>
      </c>
      <c r="P562" s="71" t="s">
        <v>877</v>
      </c>
      <c r="Q562" s="71" t="s">
        <v>1383</v>
      </c>
      <c r="R562" s="71" t="s">
        <v>904</v>
      </c>
      <c r="S562" s="71" t="s">
        <v>712</v>
      </c>
      <c r="T562" s="71" t="s">
        <v>749</v>
      </c>
      <c r="U562" s="71" t="s">
        <v>1384</v>
      </c>
      <c r="V562" s="71" t="s">
        <v>1385</v>
      </c>
      <c r="W562" s="71" t="s">
        <v>1386</v>
      </c>
      <c r="X562" s="71" t="s">
        <v>1387</v>
      </c>
      <c r="Y562" s="71" t="s">
        <v>1388</v>
      </c>
      <c r="Z562" s="71" t="s">
        <v>1389</v>
      </c>
      <c r="AA562" s="71" t="s">
        <v>548</v>
      </c>
      <c r="AB562" s="71" t="s">
        <v>1390</v>
      </c>
    </row>
    <row r="563" spans="1:28" hidden="1" x14ac:dyDescent="0.3">
      <c r="A563" s="4">
        <v>46216</v>
      </c>
      <c r="B563" s="8" t="s">
        <v>1361</v>
      </c>
      <c r="C563" s="8" t="s">
        <v>36</v>
      </c>
      <c r="D563" s="8" t="s">
        <v>50</v>
      </c>
      <c r="E563" s="8" t="s">
        <v>47</v>
      </c>
      <c r="F563" s="8"/>
      <c r="G563" s="8"/>
      <c r="H563" s="6">
        <f t="shared" si="44"/>
        <v>2500</v>
      </c>
      <c r="I563" s="6">
        <f t="shared" si="42"/>
        <v>301.89393939393938</v>
      </c>
      <c r="J563" s="72" t="s">
        <v>1167</v>
      </c>
      <c r="K563" s="2">
        <v>5.28</v>
      </c>
      <c r="L563" s="72" t="s">
        <v>618</v>
      </c>
      <c r="M563" s="72" t="s">
        <v>1391</v>
      </c>
      <c r="N563" s="72" t="s">
        <v>1392</v>
      </c>
      <c r="O563" s="56">
        <v>1594</v>
      </c>
      <c r="P563" s="72" t="s">
        <v>1393</v>
      </c>
      <c r="Q563" s="72" t="s">
        <v>1394</v>
      </c>
      <c r="R563" s="72" t="s">
        <v>939</v>
      </c>
      <c r="S563" s="72" t="s">
        <v>749</v>
      </c>
      <c r="T563" s="72" t="s">
        <v>839</v>
      </c>
      <c r="U563" s="72" t="s">
        <v>1395</v>
      </c>
      <c r="V563" s="72" t="s">
        <v>1396</v>
      </c>
      <c r="W563" s="72" t="s">
        <v>1397</v>
      </c>
      <c r="X563" s="72" t="s">
        <v>1398</v>
      </c>
      <c r="Y563" s="72" t="s">
        <v>1399</v>
      </c>
      <c r="Z563" s="72" t="s">
        <v>719</v>
      </c>
      <c r="AA563" s="72" t="s">
        <v>548</v>
      </c>
      <c r="AB563" s="72" t="s">
        <v>1400</v>
      </c>
    </row>
    <row r="564" spans="1:28" hidden="1" x14ac:dyDescent="0.3">
      <c r="A564" s="4">
        <v>46216</v>
      </c>
      <c r="B564" s="8" t="s">
        <v>1361</v>
      </c>
      <c r="C564" s="8" t="s">
        <v>36</v>
      </c>
      <c r="D564" s="8" t="s">
        <v>52</v>
      </c>
      <c r="E564" s="8" t="s">
        <v>47</v>
      </c>
      <c r="F564" s="8"/>
      <c r="G564" s="8"/>
      <c r="H564" s="6">
        <f t="shared" si="44"/>
        <v>2500</v>
      </c>
      <c r="I564" s="6">
        <f t="shared" si="42"/>
        <v>304.94186046511629</v>
      </c>
      <c r="J564" s="71" t="s">
        <v>1401</v>
      </c>
      <c r="K564" s="2">
        <v>6.88</v>
      </c>
      <c r="L564" s="71" t="s">
        <v>1064</v>
      </c>
      <c r="M564" s="71" t="s">
        <v>1402</v>
      </c>
      <c r="N564" s="2" t="s">
        <v>1403</v>
      </c>
      <c r="O564" s="56">
        <v>2098</v>
      </c>
      <c r="P564" s="71" t="s">
        <v>1404</v>
      </c>
      <c r="Q564" s="71" t="s">
        <v>1405</v>
      </c>
      <c r="R564" s="71" t="s">
        <v>1406</v>
      </c>
      <c r="S564" s="71" t="s">
        <v>749</v>
      </c>
      <c r="T564" s="71" t="s">
        <v>771</v>
      </c>
      <c r="U564" s="71" t="s">
        <v>1132</v>
      </c>
      <c r="V564" s="71" t="s">
        <v>1307</v>
      </c>
      <c r="W564" s="71" t="s">
        <v>1407</v>
      </c>
      <c r="X564" s="72" t="s">
        <v>1408</v>
      </c>
      <c r="Y564" s="72" t="s">
        <v>1409</v>
      </c>
      <c r="Z564" s="71" t="s">
        <v>621</v>
      </c>
      <c r="AA564" s="72" t="s">
        <v>548</v>
      </c>
      <c r="AB564" s="71" t="s">
        <v>1410</v>
      </c>
    </row>
    <row r="565" spans="1:28" hidden="1" x14ac:dyDescent="0.3">
      <c r="A565" s="4">
        <v>46216</v>
      </c>
      <c r="B565" s="8" t="s">
        <v>1361</v>
      </c>
      <c r="C565" s="8" t="s">
        <v>36</v>
      </c>
      <c r="D565" s="8" t="s">
        <v>46</v>
      </c>
      <c r="E565" s="8" t="s">
        <v>47</v>
      </c>
      <c r="F565" s="8"/>
      <c r="G565" s="8"/>
      <c r="H565" s="6">
        <f t="shared" si="44"/>
        <v>2500</v>
      </c>
      <c r="I565" s="6">
        <f t="shared" si="42"/>
        <v>328.76106194690266</v>
      </c>
      <c r="J565" s="72" t="s">
        <v>1001</v>
      </c>
      <c r="K565" s="2">
        <v>6.78</v>
      </c>
      <c r="L565" s="72" t="s">
        <v>624</v>
      </c>
      <c r="M565" s="72" t="s">
        <v>1411</v>
      </c>
      <c r="N565" s="2" t="s">
        <v>1412</v>
      </c>
      <c r="O565" s="56">
        <v>2229</v>
      </c>
      <c r="P565" s="72" t="s">
        <v>1413</v>
      </c>
      <c r="Q565" s="72" t="s">
        <v>1414</v>
      </c>
      <c r="R565" s="72" t="s">
        <v>1150</v>
      </c>
      <c r="S565" s="72" t="s">
        <v>1415</v>
      </c>
      <c r="T565" s="72" t="s">
        <v>1416</v>
      </c>
      <c r="U565" s="72" t="s">
        <v>1417</v>
      </c>
      <c r="V565" s="72" t="s">
        <v>1418</v>
      </c>
      <c r="W565" s="72" t="s">
        <v>1419</v>
      </c>
      <c r="X565" s="72" t="s">
        <v>1420</v>
      </c>
      <c r="Y565" s="72" t="s">
        <v>1421</v>
      </c>
      <c r="Z565" s="72" t="s">
        <v>580</v>
      </c>
      <c r="AA565" s="72" t="s">
        <v>548</v>
      </c>
      <c r="AB565" s="72" t="s">
        <v>1422</v>
      </c>
    </row>
    <row r="566" spans="1:28" x14ac:dyDescent="0.3">
      <c r="A566" s="4">
        <v>46216</v>
      </c>
      <c r="B566" s="8" t="s">
        <v>1361</v>
      </c>
      <c r="C566" s="8" t="s">
        <v>36</v>
      </c>
      <c r="D566" s="7" t="s">
        <v>48</v>
      </c>
      <c r="E566" s="7" t="s">
        <v>38</v>
      </c>
      <c r="F566" s="59">
        <v>806</v>
      </c>
      <c r="G566" s="8"/>
      <c r="H566" s="6">
        <f>24000/6</f>
        <v>4000</v>
      </c>
      <c r="I566" s="6">
        <f t="shared" si="42"/>
        <v>349.80620155038758</v>
      </c>
      <c r="J566" s="2" t="s">
        <v>935</v>
      </c>
      <c r="K566" s="2">
        <v>5.16</v>
      </c>
      <c r="L566" s="2" t="s">
        <v>585</v>
      </c>
      <c r="M566" s="2" t="s">
        <v>1423</v>
      </c>
      <c r="N566" s="72" t="s">
        <v>1424</v>
      </c>
      <c r="O566" s="79">
        <v>1805</v>
      </c>
      <c r="P566" s="2" t="s">
        <v>1425</v>
      </c>
      <c r="Q566" s="2" t="s">
        <v>1048</v>
      </c>
      <c r="R566" s="2" t="s">
        <v>1426</v>
      </c>
      <c r="S566" s="2" t="s">
        <v>961</v>
      </c>
      <c r="T566" s="2" t="s">
        <v>1167</v>
      </c>
      <c r="U566" s="2" t="s">
        <v>1427</v>
      </c>
      <c r="V566" s="2" t="s">
        <v>1428</v>
      </c>
      <c r="W566" s="2" t="s">
        <v>1429</v>
      </c>
      <c r="X566" s="72" t="s">
        <v>1430</v>
      </c>
      <c r="Y566" s="72" t="s">
        <v>1431</v>
      </c>
      <c r="Z566" s="2" t="s">
        <v>800</v>
      </c>
      <c r="AA566" s="72" t="s">
        <v>548</v>
      </c>
      <c r="AB566" s="2" t="s">
        <v>1432</v>
      </c>
    </row>
    <row r="567" spans="1:28" hidden="1" x14ac:dyDescent="0.3">
      <c r="A567" s="4">
        <v>46216</v>
      </c>
      <c r="B567" s="8" t="s">
        <v>55</v>
      </c>
      <c r="C567" s="8" t="s">
        <v>56</v>
      </c>
      <c r="D567" s="7" t="s">
        <v>49</v>
      </c>
      <c r="E567" s="7" t="s">
        <v>47</v>
      </c>
      <c r="F567" s="8"/>
      <c r="G567" s="8" t="s">
        <v>146</v>
      </c>
      <c r="H567" s="6"/>
      <c r="I567" s="6">
        <f t="shared" si="42"/>
        <v>0</v>
      </c>
      <c r="J567" s="2" t="s">
        <v>1433</v>
      </c>
      <c r="K567" s="2">
        <v>0.23</v>
      </c>
      <c r="L567" s="2" t="s">
        <v>800</v>
      </c>
      <c r="M567" s="2" t="s">
        <v>1434</v>
      </c>
      <c r="N567" s="2" t="s">
        <v>1380</v>
      </c>
      <c r="O567" s="56">
        <v>0</v>
      </c>
      <c r="P567" s="2" t="s">
        <v>548</v>
      </c>
      <c r="Q567" s="2" t="s">
        <v>548</v>
      </c>
      <c r="R567" s="2" t="s">
        <v>658</v>
      </c>
      <c r="S567" s="2" t="s">
        <v>1208</v>
      </c>
      <c r="T567" s="2" t="s">
        <v>737</v>
      </c>
      <c r="U567" s="2" t="s">
        <v>839</v>
      </c>
      <c r="V567" s="2" t="s">
        <v>1435</v>
      </c>
      <c r="W567" s="2" t="s">
        <v>1436</v>
      </c>
      <c r="X567" s="2" t="s">
        <v>1437</v>
      </c>
      <c r="Y567" s="2" t="s">
        <v>1438</v>
      </c>
      <c r="Z567" s="2" t="s">
        <v>548</v>
      </c>
      <c r="AA567" s="2" t="s">
        <v>548</v>
      </c>
      <c r="AB567" s="2" t="s">
        <v>1295</v>
      </c>
    </row>
    <row r="568" spans="1:28" hidden="1" x14ac:dyDescent="0.3">
      <c r="A568" s="4">
        <v>46217</v>
      </c>
      <c r="B568" s="8" t="s">
        <v>1361</v>
      </c>
      <c r="C568" s="8" t="s">
        <v>36</v>
      </c>
      <c r="D568" s="8" t="s">
        <v>39</v>
      </c>
      <c r="E568" s="8" t="s">
        <v>47</v>
      </c>
      <c r="F568" s="8" t="s">
        <v>985</v>
      </c>
      <c r="G568" s="8" t="s">
        <v>985</v>
      </c>
      <c r="H568" s="6">
        <f t="shared" ref="H568:H573" si="45">15000/6</f>
        <v>2500</v>
      </c>
      <c r="I568" s="6">
        <f t="shared" si="42"/>
        <v>186.62790697674419</v>
      </c>
      <c r="J568" s="73" t="s">
        <v>1439</v>
      </c>
      <c r="K568" s="2">
        <v>6.88</v>
      </c>
      <c r="L568" s="73" t="s">
        <v>756</v>
      </c>
      <c r="M568" s="73" t="s">
        <v>1440</v>
      </c>
      <c r="N568" s="2">
        <v>778</v>
      </c>
      <c r="O568" s="56">
        <v>1284</v>
      </c>
      <c r="P568" s="73" t="s">
        <v>706</v>
      </c>
      <c r="Q568" s="73" t="s">
        <v>1441</v>
      </c>
      <c r="R568" s="73" t="s">
        <v>1442</v>
      </c>
      <c r="S568" s="73" t="s">
        <v>567</v>
      </c>
      <c r="T568" s="73" t="s">
        <v>762</v>
      </c>
      <c r="U568" s="73" t="s">
        <v>1443</v>
      </c>
      <c r="V568" s="73" t="s">
        <v>1444</v>
      </c>
      <c r="W568" s="73" t="s">
        <v>1445</v>
      </c>
      <c r="X568" s="73">
        <v>76096</v>
      </c>
      <c r="Y568" s="73">
        <v>112557</v>
      </c>
      <c r="Z568" s="73" t="s">
        <v>998</v>
      </c>
      <c r="AA568" s="73">
        <v>0</v>
      </c>
      <c r="AB568" s="73" t="s">
        <v>1446</v>
      </c>
    </row>
    <row r="569" spans="1:28" hidden="1" x14ac:dyDescent="0.3">
      <c r="A569" s="4">
        <v>46217</v>
      </c>
      <c r="B569" s="8" t="s">
        <v>1361</v>
      </c>
      <c r="C569" s="8" t="s">
        <v>36</v>
      </c>
      <c r="D569" s="8" t="s">
        <v>43</v>
      </c>
      <c r="E569" s="8" t="s">
        <v>47</v>
      </c>
      <c r="F569" s="8"/>
      <c r="G569" s="8"/>
      <c r="H569" s="6">
        <f t="shared" si="45"/>
        <v>2500</v>
      </c>
      <c r="I569" s="6">
        <f t="shared" si="42"/>
        <v>129.96941896024464</v>
      </c>
      <c r="J569" s="2" t="s">
        <v>1447</v>
      </c>
      <c r="K569" s="2">
        <v>3.27</v>
      </c>
      <c r="L569" s="2" t="s">
        <v>589</v>
      </c>
      <c r="M569" s="2" t="s">
        <v>1448</v>
      </c>
      <c r="N569" s="2" t="s">
        <v>45</v>
      </c>
      <c r="O569" s="56">
        <v>425</v>
      </c>
      <c r="P569" s="2" t="s">
        <v>45</v>
      </c>
      <c r="Q569" s="2" t="s">
        <v>45</v>
      </c>
      <c r="R569" s="2" t="s">
        <v>1449</v>
      </c>
      <c r="S569" s="2" t="s">
        <v>961</v>
      </c>
      <c r="T569" s="2" t="s">
        <v>1450</v>
      </c>
      <c r="U569" s="2" t="s">
        <v>1451</v>
      </c>
      <c r="V569" s="2" t="s">
        <v>1452</v>
      </c>
      <c r="W569" s="2" t="s">
        <v>1453</v>
      </c>
      <c r="X569" s="2" t="s">
        <v>45</v>
      </c>
      <c r="Y569" s="2" t="s">
        <v>45</v>
      </c>
      <c r="Z569" s="2" t="s">
        <v>621</v>
      </c>
      <c r="AA569" s="2" t="s">
        <v>45</v>
      </c>
      <c r="AB569" s="2" t="s">
        <v>1454</v>
      </c>
    </row>
    <row r="570" spans="1:28" hidden="1" x14ac:dyDescent="0.3">
      <c r="A570" s="4">
        <v>46217</v>
      </c>
      <c r="B570" s="8" t="s">
        <v>1361</v>
      </c>
      <c r="C570" s="8" t="s">
        <v>36</v>
      </c>
      <c r="D570" s="8" t="s">
        <v>67</v>
      </c>
      <c r="E570" s="8" t="s">
        <v>47</v>
      </c>
      <c r="F570" s="8"/>
      <c r="G570" s="8"/>
      <c r="H570" s="6">
        <f t="shared" si="45"/>
        <v>2500</v>
      </c>
      <c r="I570" s="6">
        <f t="shared" si="42"/>
        <v>355.848623853211</v>
      </c>
      <c r="J570" s="2" t="s">
        <v>691</v>
      </c>
      <c r="K570" s="2">
        <v>8.7200000000000006</v>
      </c>
      <c r="L570" s="2" t="s">
        <v>709</v>
      </c>
      <c r="M570" s="2" t="s">
        <v>1455</v>
      </c>
      <c r="N570" s="2" t="s">
        <v>1456</v>
      </c>
      <c r="O570" s="56">
        <v>3103</v>
      </c>
      <c r="P570" s="2" t="s">
        <v>971</v>
      </c>
      <c r="Q570" s="2" t="s">
        <v>1457</v>
      </c>
      <c r="R570" s="2" t="s">
        <v>1458</v>
      </c>
      <c r="S570" s="2" t="s">
        <v>961</v>
      </c>
      <c r="T570" s="2" t="s">
        <v>1459</v>
      </c>
      <c r="U570" s="2" t="s">
        <v>1460</v>
      </c>
      <c r="V570" s="2" t="s">
        <v>1461</v>
      </c>
      <c r="W570" s="2" t="s">
        <v>1462</v>
      </c>
      <c r="X570" s="2" t="s">
        <v>1463</v>
      </c>
      <c r="Y570" s="2" t="s">
        <v>1464</v>
      </c>
      <c r="Z570" s="2" t="s">
        <v>784</v>
      </c>
      <c r="AA570" s="2" t="s">
        <v>548</v>
      </c>
      <c r="AB570" s="2" t="s">
        <v>1465</v>
      </c>
    </row>
    <row r="571" spans="1:28" hidden="1" x14ac:dyDescent="0.3">
      <c r="A571" s="4">
        <v>46217</v>
      </c>
      <c r="B571" s="8" t="s">
        <v>1361</v>
      </c>
      <c r="C571" s="8" t="s">
        <v>36</v>
      </c>
      <c r="D571" s="8" t="s">
        <v>50</v>
      </c>
      <c r="E571" s="8" t="s">
        <v>47</v>
      </c>
      <c r="F571" s="8"/>
      <c r="G571" s="8"/>
      <c r="H571" s="6">
        <f t="shared" si="45"/>
        <v>2500</v>
      </c>
      <c r="I571" s="6">
        <f t="shared" si="42"/>
        <v>218.26196473551636</v>
      </c>
      <c r="J571" s="2" t="s">
        <v>1466</v>
      </c>
      <c r="K571" s="2">
        <v>7.94</v>
      </c>
      <c r="L571" s="2" t="s">
        <v>602</v>
      </c>
      <c r="M571" s="2" t="s">
        <v>1467</v>
      </c>
      <c r="N571" s="2" t="s">
        <v>1468</v>
      </c>
      <c r="O571" s="56">
        <v>1733</v>
      </c>
      <c r="P571" s="2" t="s">
        <v>1469</v>
      </c>
      <c r="Q571" s="2" t="s">
        <v>1470</v>
      </c>
      <c r="R571" s="2" t="s">
        <v>1471</v>
      </c>
      <c r="S571" s="2" t="s">
        <v>685</v>
      </c>
      <c r="T571" s="2" t="s">
        <v>1175</v>
      </c>
      <c r="U571" s="2" t="s">
        <v>1443</v>
      </c>
      <c r="V571" s="2" t="s">
        <v>1472</v>
      </c>
      <c r="W571" s="2" t="s">
        <v>1473</v>
      </c>
      <c r="X571" s="2" t="s">
        <v>1474</v>
      </c>
      <c r="Y571" s="2" t="s">
        <v>1475</v>
      </c>
      <c r="Z571" s="2" t="s">
        <v>602</v>
      </c>
      <c r="AA571" s="2" t="s">
        <v>548</v>
      </c>
      <c r="AB571" s="2" t="s">
        <v>1476</v>
      </c>
    </row>
    <row r="572" spans="1:28" hidden="1" x14ac:dyDescent="0.3">
      <c r="A572" s="4">
        <v>46217</v>
      </c>
      <c r="B572" s="8" t="s">
        <v>1361</v>
      </c>
      <c r="C572" s="8" t="s">
        <v>36</v>
      </c>
      <c r="D572" s="8" t="s">
        <v>52</v>
      </c>
      <c r="E572" s="8" t="s">
        <v>47</v>
      </c>
      <c r="F572" s="8"/>
      <c r="G572" s="8"/>
      <c r="H572" s="6">
        <f t="shared" si="45"/>
        <v>2500</v>
      </c>
      <c r="I572" s="6">
        <f t="shared" si="42"/>
        <v>343.48561759729273</v>
      </c>
      <c r="J572" s="2" t="s">
        <v>1477</v>
      </c>
      <c r="K572" s="2">
        <v>11.82</v>
      </c>
      <c r="L572" s="2" t="s">
        <v>777</v>
      </c>
      <c r="M572" s="2" t="s">
        <v>1478</v>
      </c>
      <c r="N572" s="2" t="s">
        <v>1479</v>
      </c>
      <c r="O572" s="56">
        <v>4060</v>
      </c>
      <c r="P572" s="2" t="s">
        <v>971</v>
      </c>
      <c r="Q572" s="2" t="s">
        <v>1480</v>
      </c>
      <c r="R572" s="2" t="s">
        <v>1481</v>
      </c>
      <c r="S572" s="2" t="s">
        <v>961</v>
      </c>
      <c r="T572" s="2" t="s">
        <v>1317</v>
      </c>
      <c r="U572" s="2" t="s">
        <v>1482</v>
      </c>
      <c r="V572" s="2" t="s">
        <v>1483</v>
      </c>
      <c r="W572" s="2" t="s">
        <v>1484</v>
      </c>
      <c r="X572" s="2" t="s">
        <v>1485</v>
      </c>
      <c r="Y572" s="2" t="s">
        <v>1486</v>
      </c>
      <c r="Z572" s="2" t="s">
        <v>1380</v>
      </c>
      <c r="AA572" s="2" t="s">
        <v>548</v>
      </c>
      <c r="AB572" s="2" t="s">
        <v>1487</v>
      </c>
    </row>
    <row r="573" spans="1:28" hidden="1" x14ac:dyDescent="0.3">
      <c r="A573" s="4">
        <v>46217</v>
      </c>
      <c r="B573" s="8" t="s">
        <v>1361</v>
      </c>
      <c r="C573" s="8" t="s">
        <v>36</v>
      </c>
      <c r="D573" s="8" t="s">
        <v>46</v>
      </c>
      <c r="E573" s="8" t="s">
        <v>47</v>
      </c>
      <c r="F573" s="8"/>
      <c r="G573" s="8"/>
      <c r="H573" s="6">
        <f t="shared" si="45"/>
        <v>2500</v>
      </c>
      <c r="I573" s="6">
        <f t="shared" si="42"/>
        <v>208.40336134453781</v>
      </c>
      <c r="J573" s="2" t="s">
        <v>1488</v>
      </c>
      <c r="K573" s="2">
        <v>5.95</v>
      </c>
      <c r="L573" s="2" t="s">
        <v>1489</v>
      </c>
      <c r="M573" s="2" t="s">
        <v>1490</v>
      </c>
      <c r="N573" s="2" t="s">
        <v>1491</v>
      </c>
      <c r="O573" s="56">
        <v>1240</v>
      </c>
      <c r="P573" s="2" t="s">
        <v>1492</v>
      </c>
      <c r="Q573" s="2" t="s">
        <v>1493</v>
      </c>
      <c r="R573" s="2" t="s">
        <v>1494</v>
      </c>
      <c r="S573" s="2" t="s">
        <v>1495</v>
      </c>
      <c r="T573" s="2" t="s">
        <v>1101</v>
      </c>
      <c r="U573" s="2" t="s">
        <v>1496</v>
      </c>
      <c r="V573" s="2" t="s">
        <v>1497</v>
      </c>
      <c r="W573" s="2" t="s">
        <v>1498</v>
      </c>
      <c r="X573" s="2" t="s">
        <v>1499</v>
      </c>
      <c r="Y573" s="2" t="s">
        <v>1500</v>
      </c>
      <c r="Z573" s="2" t="s">
        <v>580</v>
      </c>
      <c r="AA573" s="2" t="s">
        <v>548</v>
      </c>
      <c r="AB573" s="2" t="s">
        <v>1501</v>
      </c>
    </row>
    <row r="574" spans="1:28" x14ac:dyDescent="0.3">
      <c r="A574" s="4">
        <v>46217</v>
      </c>
      <c r="B574" s="8" t="s">
        <v>1361</v>
      </c>
      <c r="C574" s="8" t="s">
        <v>36</v>
      </c>
      <c r="D574" s="7" t="s">
        <v>48</v>
      </c>
      <c r="E574" s="7" t="s">
        <v>38</v>
      </c>
      <c r="F574" s="59">
        <v>1920</v>
      </c>
      <c r="G574" s="8"/>
      <c r="H574" s="6">
        <f>24000/6</f>
        <v>4000</v>
      </c>
      <c r="I574" s="6">
        <f t="shared" si="42"/>
        <v>488.49557522123899</v>
      </c>
      <c r="J574" s="2" t="s">
        <v>1350</v>
      </c>
      <c r="K574" s="2">
        <v>4.5199999999999996</v>
      </c>
      <c r="L574" s="2" t="s">
        <v>1502</v>
      </c>
      <c r="M574" s="2" t="s">
        <v>1503</v>
      </c>
      <c r="N574" s="2" t="s">
        <v>1504</v>
      </c>
      <c r="O574" s="79">
        <v>2208</v>
      </c>
      <c r="P574" s="2" t="s">
        <v>1505</v>
      </c>
      <c r="Q574" s="2" t="s">
        <v>1506</v>
      </c>
      <c r="R574" s="2" t="s">
        <v>1507</v>
      </c>
      <c r="S574" s="2" t="s">
        <v>737</v>
      </c>
      <c r="T574" s="2" t="s">
        <v>1508</v>
      </c>
      <c r="U574" s="2" t="s">
        <v>1509</v>
      </c>
      <c r="V574" s="2" t="s">
        <v>1510</v>
      </c>
      <c r="W574" s="2" t="s">
        <v>1511</v>
      </c>
      <c r="X574" s="2" t="s">
        <v>1512</v>
      </c>
      <c r="Y574" s="2" t="s">
        <v>1513</v>
      </c>
      <c r="Z574" s="2" t="s">
        <v>548</v>
      </c>
      <c r="AA574" s="2" t="s">
        <v>548</v>
      </c>
      <c r="AB574" s="2" t="s">
        <v>1432</v>
      </c>
    </row>
    <row r="575" spans="1:28" hidden="1" x14ac:dyDescent="0.3">
      <c r="A575" s="4">
        <v>46217</v>
      </c>
      <c r="B575" s="8" t="s">
        <v>1361</v>
      </c>
      <c r="C575" s="8" t="s">
        <v>36</v>
      </c>
      <c r="D575" s="7" t="s">
        <v>49</v>
      </c>
      <c r="E575" s="7" t="s">
        <v>61</v>
      </c>
      <c r="F575" s="8"/>
      <c r="G575" s="8"/>
      <c r="H575" s="6"/>
      <c r="I575" s="6">
        <f t="shared" si="42"/>
        <v>171.15384615384616</v>
      </c>
      <c r="J575" s="2" t="s">
        <v>1514</v>
      </c>
      <c r="K575" s="2">
        <v>1.56</v>
      </c>
      <c r="L575" s="2" t="s">
        <v>803</v>
      </c>
      <c r="M575" s="2" t="s">
        <v>1515</v>
      </c>
      <c r="N575" s="2" t="s">
        <v>1516</v>
      </c>
      <c r="O575" s="56">
        <v>267</v>
      </c>
      <c r="P575" s="2" t="s">
        <v>1517</v>
      </c>
      <c r="Q575" s="2" t="s">
        <v>1518</v>
      </c>
      <c r="R575" s="2" t="s">
        <v>1519</v>
      </c>
      <c r="S575" s="2" t="s">
        <v>627</v>
      </c>
      <c r="T575" s="2" t="s">
        <v>1520</v>
      </c>
      <c r="U575" s="2" t="s">
        <v>1521</v>
      </c>
      <c r="V575" s="2" t="s">
        <v>1522</v>
      </c>
      <c r="W575" s="2" t="s">
        <v>1523</v>
      </c>
      <c r="X575" s="2" t="s">
        <v>1524</v>
      </c>
      <c r="Y575" s="2" t="s">
        <v>1525</v>
      </c>
      <c r="Z575" s="2" t="s">
        <v>548</v>
      </c>
      <c r="AA575" s="2" t="s">
        <v>548</v>
      </c>
      <c r="AB575" s="2" t="s">
        <v>1295</v>
      </c>
    </row>
    <row r="576" spans="1:28" hidden="1" x14ac:dyDescent="0.3">
      <c r="A576" s="4">
        <v>46218</v>
      </c>
      <c r="B576" s="8" t="s">
        <v>1361</v>
      </c>
      <c r="C576" s="8" t="s">
        <v>36</v>
      </c>
      <c r="D576" s="8" t="s">
        <v>39</v>
      </c>
      <c r="E576" s="8" t="s">
        <v>47</v>
      </c>
      <c r="F576" s="8" t="s">
        <v>985</v>
      </c>
      <c r="G576" s="8" t="s">
        <v>985</v>
      </c>
      <c r="H576" s="6">
        <f>15000/6</f>
        <v>2500</v>
      </c>
      <c r="I576" s="6">
        <f t="shared" si="42"/>
        <v>180</v>
      </c>
      <c r="J576" s="73" t="s">
        <v>1526</v>
      </c>
      <c r="K576" s="2">
        <v>7.4</v>
      </c>
      <c r="L576" s="73" t="s">
        <v>608</v>
      </c>
      <c r="M576" s="73" t="s">
        <v>1527</v>
      </c>
      <c r="N576" s="2">
        <v>1036</v>
      </c>
      <c r="O576" s="56">
        <v>1332</v>
      </c>
      <c r="P576" s="73" t="s">
        <v>1528</v>
      </c>
      <c r="Q576" s="73" t="s">
        <v>1529</v>
      </c>
      <c r="R576" s="73" t="s">
        <v>1530</v>
      </c>
      <c r="S576" s="73" t="s">
        <v>961</v>
      </c>
      <c r="T576" s="73" t="s">
        <v>1175</v>
      </c>
      <c r="U576" s="73" t="s">
        <v>1531</v>
      </c>
      <c r="V576" s="73" t="s">
        <v>1532</v>
      </c>
      <c r="W576" s="73" t="s">
        <v>1533</v>
      </c>
      <c r="X576" s="73">
        <v>77132</v>
      </c>
      <c r="Y576" s="73">
        <v>113889</v>
      </c>
      <c r="Z576" s="73" t="s">
        <v>649</v>
      </c>
      <c r="AA576" s="73">
        <v>0</v>
      </c>
      <c r="AB576" s="73" t="s">
        <v>1534</v>
      </c>
    </row>
    <row r="577" spans="1:28" hidden="1" x14ac:dyDescent="0.3">
      <c r="A577" s="4">
        <v>46218</v>
      </c>
      <c r="B577" s="8" t="s">
        <v>1361</v>
      </c>
      <c r="C577" s="8" t="s">
        <v>36</v>
      </c>
      <c r="D577" s="8" t="s">
        <v>43</v>
      </c>
      <c r="E577" s="8" t="s">
        <v>47</v>
      </c>
      <c r="F577" s="8"/>
      <c r="G577" s="8"/>
      <c r="H577" s="6">
        <f>15000/6</f>
        <v>2500</v>
      </c>
      <c r="I577" s="6">
        <f t="shared" si="42"/>
        <v>330.93053735255569</v>
      </c>
      <c r="J577" s="2" t="s">
        <v>1535</v>
      </c>
      <c r="K577" s="2">
        <v>7.63</v>
      </c>
      <c r="L577" s="2" t="s">
        <v>608</v>
      </c>
      <c r="M577" s="2" t="s">
        <v>959</v>
      </c>
      <c r="N577" s="2" t="s">
        <v>45</v>
      </c>
      <c r="O577" s="56">
        <v>2525</v>
      </c>
      <c r="P577" s="2" t="s">
        <v>45</v>
      </c>
      <c r="Q577" s="2" t="s">
        <v>45</v>
      </c>
      <c r="R577" s="2" t="s">
        <v>1536</v>
      </c>
      <c r="S577" s="2" t="s">
        <v>658</v>
      </c>
      <c r="T577" s="2" t="s">
        <v>1040</v>
      </c>
      <c r="U577" s="2" t="s">
        <v>1537</v>
      </c>
      <c r="V577" s="2" t="s">
        <v>1538</v>
      </c>
      <c r="W577" s="2" t="s">
        <v>1539</v>
      </c>
      <c r="X577" s="2" t="s">
        <v>45</v>
      </c>
      <c r="Y577" s="2" t="s">
        <v>45</v>
      </c>
      <c r="Z577" s="2" t="s">
        <v>756</v>
      </c>
      <c r="AA577" s="2" t="s">
        <v>45</v>
      </c>
      <c r="AB577" s="2" t="s">
        <v>1540</v>
      </c>
    </row>
    <row r="578" spans="1:28" hidden="1" x14ac:dyDescent="0.3">
      <c r="A578" s="4">
        <v>46218</v>
      </c>
      <c r="B578" s="8" t="s">
        <v>1361</v>
      </c>
      <c r="C578" s="8" t="s">
        <v>36</v>
      </c>
      <c r="D578" s="8" t="s">
        <v>67</v>
      </c>
      <c r="E578" s="8" t="s">
        <v>47</v>
      </c>
      <c r="F578" s="8"/>
      <c r="G578" s="8"/>
      <c r="H578" s="6">
        <f>15000/6</f>
        <v>2500</v>
      </c>
      <c r="I578" s="6">
        <f t="shared" si="42"/>
        <v>346.66666666666669</v>
      </c>
      <c r="J578" s="2" t="s">
        <v>863</v>
      </c>
      <c r="K578" s="2">
        <v>7.8</v>
      </c>
      <c r="L578" s="2" t="s">
        <v>1064</v>
      </c>
      <c r="M578" s="2" t="s">
        <v>1355</v>
      </c>
      <c r="N578" s="2" t="s">
        <v>1541</v>
      </c>
      <c r="O578" s="56">
        <v>2704</v>
      </c>
      <c r="P578" s="2" t="s">
        <v>1222</v>
      </c>
      <c r="Q578" s="2" t="s">
        <v>1542</v>
      </c>
      <c r="R578" s="2" t="s">
        <v>1543</v>
      </c>
      <c r="S578" s="2" t="s">
        <v>749</v>
      </c>
      <c r="T578" s="2" t="s">
        <v>771</v>
      </c>
      <c r="U578" s="2" t="s">
        <v>1544</v>
      </c>
      <c r="V578" s="2" t="s">
        <v>1545</v>
      </c>
      <c r="W578" s="2" t="s">
        <v>1546</v>
      </c>
      <c r="X578" s="2" t="s">
        <v>1547</v>
      </c>
      <c r="Y578" s="2" t="s">
        <v>1548</v>
      </c>
      <c r="Z578" s="2" t="s">
        <v>580</v>
      </c>
      <c r="AA578" s="2" t="s">
        <v>548</v>
      </c>
      <c r="AB578" s="2" t="s">
        <v>1549</v>
      </c>
    </row>
    <row r="579" spans="1:28" hidden="1" x14ac:dyDescent="0.3">
      <c r="A579" s="4">
        <v>46218</v>
      </c>
      <c r="B579" s="8" t="s">
        <v>1361</v>
      </c>
      <c r="C579" s="8" t="s">
        <v>36</v>
      </c>
      <c r="D579" s="8" t="s">
        <v>50</v>
      </c>
      <c r="E579" s="8" t="s">
        <v>47</v>
      </c>
      <c r="F579" s="8"/>
      <c r="G579" s="8"/>
      <c r="H579" s="6">
        <f>15000/6</f>
        <v>2500</v>
      </c>
      <c r="I579" s="6">
        <f t="shared" si="42"/>
        <v>364.97622820919179</v>
      </c>
      <c r="J579" s="2" t="s">
        <v>1550</v>
      </c>
      <c r="K579" s="2">
        <v>6.31</v>
      </c>
      <c r="L579" s="2" t="s">
        <v>1146</v>
      </c>
      <c r="M579" s="2" t="s">
        <v>1551</v>
      </c>
      <c r="N579" s="2" t="s">
        <v>1552</v>
      </c>
      <c r="O579" s="56">
        <v>2303</v>
      </c>
      <c r="P579" s="2" t="s">
        <v>1553</v>
      </c>
      <c r="Q579" s="2" t="s">
        <v>1554</v>
      </c>
      <c r="R579" s="2" t="s">
        <v>1050</v>
      </c>
      <c r="S579" s="2" t="s">
        <v>658</v>
      </c>
      <c r="T579" s="2" t="s">
        <v>1555</v>
      </c>
      <c r="U579" s="2" t="s">
        <v>1057</v>
      </c>
      <c r="V579" s="2" t="s">
        <v>1556</v>
      </c>
      <c r="W579" s="2" t="s">
        <v>1557</v>
      </c>
      <c r="X579" s="2" t="s">
        <v>1558</v>
      </c>
      <c r="Y579" s="2" t="s">
        <v>1559</v>
      </c>
      <c r="Z579" s="2" t="s">
        <v>561</v>
      </c>
      <c r="AA579" s="2" t="s">
        <v>548</v>
      </c>
      <c r="AB579" s="2" t="s">
        <v>1560</v>
      </c>
    </row>
    <row r="580" spans="1:28" hidden="1" x14ac:dyDescent="0.3">
      <c r="A580" s="4">
        <v>46218</v>
      </c>
      <c r="B580" s="8" t="s">
        <v>1361</v>
      </c>
      <c r="C580" s="8" t="s">
        <v>36</v>
      </c>
      <c r="D580" s="8" t="s">
        <v>52</v>
      </c>
      <c r="E580" s="8" t="s">
        <v>47</v>
      </c>
      <c r="F580" s="8"/>
      <c r="G580" s="8"/>
      <c r="H580" s="6">
        <f>15000/6</f>
        <v>2500</v>
      </c>
      <c r="I580" s="6">
        <f t="shared" si="42"/>
        <v>358.07916937053858</v>
      </c>
      <c r="J580" s="2" t="s">
        <v>1561</v>
      </c>
      <c r="K580" s="2">
        <v>15.41</v>
      </c>
      <c r="L580" s="2" t="s">
        <v>652</v>
      </c>
      <c r="M580" s="2" t="s">
        <v>1562</v>
      </c>
      <c r="N580" s="2" t="s">
        <v>1563</v>
      </c>
      <c r="O580" s="56">
        <v>5518</v>
      </c>
      <c r="P580" s="2" t="s">
        <v>1564</v>
      </c>
      <c r="Q580" s="2" t="s">
        <v>1565</v>
      </c>
      <c r="R580" s="2" t="s">
        <v>1566</v>
      </c>
      <c r="S580" s="2" t="s">
        <v>961</v>
      </c>
      <c r="T580" s="2" t="s">
        <v>869</v>
      </c>
      <c r="U580" s="2" t="s">
        <v>1567</v>
      </c>
      <c r="V580" s="2" t="s">
        <v>1568</v>
      </c>
      <c r="W580" s="2" t="s">
        <v>1569</v>
      </c>
      <c r="X580" s="2" t="s">
        <v>1570</v>
      </c>
      <c r="Y580" s="2" t="s">
        <v>1571</v>
      </c>
      <c r="Z580" s="2" t="s">
        <v>800</v>
      </c>
      <c r="AA580" s="2" t="s">
        <v>548</v>
      </c>
      <c r="AB580" s="2" t="s">
        <v>1572</v>
      </c>
    </row>
    <row r="581" spans="1:28" hidden="1" x14ac:dyDescent="0.3">
      <c r="A581" s="4">
        <v>46218</v>
      </c>
      <c r="B581" s="8" t="s">
        <v>55</v>
      </c>
      <c r="C581" s="8" t="s">
        <v>56</v>
      </c>
      <c r="D581" s="8" t="s">
        <v>46</v>
      </c>
      <c r="E581" s="8" t="s">
        <v>47</v>
      </c>
      <c r="F581" s="8"/>
      <c r="G581" s="8" t="s">
        <v>146</v>
      </c>
      <c r="H581" s="6"/>
      <c r="I581" s="6">
        <f t="shared" si="42"/>
        <v>0</v>
      </c>
      <c r="J581" s="2" t="s">
        <v>1573</v>
      </c>
      <c r="K581" s="2">
        <v>0.46</v>
      </c>
      <c r="L581" s="2" t="s">
        <v>580</v>
      </c>
      <c r="M581" s="2" t="s">
        <v>1574</v>
      </c>
      <c r="N581" s="2" t="s">
        <v>1575</v>
      </c>
      <c r="O581" s="56">
        <v>0</v>
      </c>
      <c r="P581" s="2" t="s">
        <v>580</v>
      </c>
      <c r="Q581" s="2" t="s">
        <v>1576</v>
      </c>
      <c r="R581" s="2" t="s">
        <v>949</v>
      </c>
      <c r="S581" s="2" t="s">
        <v>1208</v>
      </c>
      <c r="T581" s="2" t="s">
        <v>839</v>
      </c>
      <c r="U581" s="2" t="s">
        <v>1151</v>
      </c>
      <c r="V581" s="2" t="s">
        <v>1577</v>
      </c>
      <c r="W581" s="2" t="s">
        <v>1578</v>
      </c>
      <c r="X581" s="2" t="s">
        <v>1579</v>
      </c>
      <c r="Y581" s="2" t="s">
        <v>1580</v>
      </c>
      <c r="Z581" s="2" t="s">
        <v>548</v>
      </c>
      <c r="AA581" s="2" t="s">
        <v>548</v>
      </c>
      <c r="AB581" s="2" t="s">
        <v>1501</v>
      </c>
    </row>
    <row r="582" spans="1:28" x14ac:dyDescent="0.3">
      <c r="A582" s="4">
        <v>46218</v>
      </c>
      <c r="B582" s="8" t="s">
        <v>1361</v>
      </c>
      <c r="C582" s="8" t="s">
        <v>36</v>
      </c>
      <c r="D582" s="7" t="s">
        <v>48</v>
      </c>
      <c r="E582" s="7" t="s">
        <v>38</v>
      </c>
      <c r="F582" s="59">
        <v>1817</v>
      </c>
      <c r="G582" s="8"/>
      <c r="H582" s="6">
        <f>24000/6</f>
        <v>4000</v>
      </c>
      <c r="I582" s="6">
        <f t="shared" si="42"/>
        <v>345.87458745874591</v>
      </c>
      <c r="J582" s="2" t="s">
        <v>1581</v>
      </c>
      <c r="K582" s="2">
        <v>6.06</v>
      </c>
      <c r="L582" s="2" t="s">
        <v>756</v>
      </c>
      <c r="M582" s="2" t="s">
        <v>1582</v>
      </c>
      <c r="N582" s="2" t="s">
        <v>1583</v>
      </c>
      <c r="O582" s="79">
        <v>2096</v>
      </c>
      <c r="P582" s="2" t="s">
        <v>1584</v>
      </c>
      <c r="Q582" s="2" t="s">
        <v>1585</v>
      </c>
      <c r="R582" s="2" t="s">
        <v>1096</v>
      </c>
      <c r="S582" s="2" t="s">
        <v>712</v>
      </c>
      <c r="T582" s="2" t="s">
        <v>1043</v>
      </c>
      <c r="U582" s="2" t="s">
        <v>1586</v>
      </c>
      <c r="V582" s="2" t="s">
        <v>1587</v>
      </c>
      <c r="W582" s="2" t="s">
        <v>1588</v>
      </c>
      <c r="X582" s="2" t="s">
        <v>1589</v>
      </c>
      <c r="Y582" s="2" t="s">
        <v>1590</v>
      </c>
      <c r="Z582" s="2" t="s">
        <v>800</v>
      </c>
      <c r="AA582" s="2" t="s">
        <v>548</v>
      </c>
      <c r="AB582" s="2" t="s">
        <v>1591</v>
      </c>
    </row>
    <row r="583" spans="1:28" hidden="1" x14ac:dyDescent="0.3">
      <c r="A583" s="4">
        <v>46218</v>
      </c>
      <c r="B583" s="8" t="s">
        <v>1361</v>
      </c>
      <c r="C583" s="8" t="s">
        <v>36</v>
      </c>
      <c r="D583" s="7" t="s">
        <v>49</v>
      </c>
      <c r="E583" s="7" t="s">
        <v>47</v>
      </c>
      <c r="F583" s="8"/>
      <c r="G583" s="8"/>
      <c r="H583" s="6">
        <f>15000/6</f>
        <v>2500</v>
      </c>
      <c r="I583" s="6">
        <f t="shared" si="42"/>
        <v>294.66089466089466</v>
      </c>
      <c r="J583" s="2" t="s">
        <v>1592</v>
      </c>
      <c r="K583" s="2">
        <v>6.93</v>
      </c>
      <c r="L583" s="2" t="s">
        <v>955</v>
      </c>
      <c r="M583" s="2" t="s">
        <v>1593</v>
      </c>
      <c r="N583" s="2" t="s">
        <v>1594</v>
      </c>
      <c r="O583" s="56">
        <v>2042</v>
      </c>
      <c r="P583" s="2" t="s">
        <v>1595</v>
      </c>
      <c r="Q583" s="2" t="s">
        <v>1596</v>
      </c>
      <c r="R583" s="2" t="s">
        <v>1597</v>
      </c>
      <c r="S583" s="2" t="s">
        <v>658</v>
      </c>
      <c r="T583" s="2" t="s">
        <v>1598</v>
      </c>
      <c r="U583" s="2" t="s">
        <v>1599</v>
      </c>
      <c r="V583" s="2" t="s">
        <v>1600</v>
      </c>
      <c r="W583" s="2" t="s">
        <v>1601</v>
      </c>
      <c r="X583" s="2" t="s">
        <v>1602</v>
      </c>
      <c r="Y583" s="2" t="s">
        <v>1603</v>
      </c>
      <c r="Z583" s="2" t="s">
        <v>548</v>
      </c>
      <c r="AA583" s="2" t="s">
        <v>548</v>
      </c>
      <c r="AB583" s="2" t="s">
        <v>1295</v>
      </c>
    </row>
    <row r="584" spans="1:28" hidden="1" x14ac:dyDescent="0.3">
      <c r="A584" s="4">
        <v>46219</v>
      </c>
      <c r="B584" s="8" t="s">
        <v>1361</v>
      </c>
      <c r="C584" s="8" t="s">
        <v>36</v>
      </c>
      <c r="D584" s="8" t="s">
        <v>39</v>
      </c>
      <c r="E584" s="8" t="s">
        <v>47</v>
      </c>
      <c r="F584" s="7" t="s">
        <v>985</v>
      </c>
      <c r="G584" s="7" t="s">
        <v>985</v>
      </c>
      <c r="H584" s="6">
        <f t="shared" ref="H584:H589" si="46">15000/7</f>
        <v>2142.8571428571427</v>
      </c>
      <c r="I584" s="6">
        <f t="shared" si="42"/>
        <v>338.29499323410016</v>
      </c>
      <c r="J584" s="73" t="s">
        <v>1604</v>
      </c>
      <c r="K584" s="2">
        <v>7.39</v>
      </c>
      <c r="L584" s="73" t="s">
        <v>602</v>
      </c>
      <c r="M584" s="73" t="s">
        <v>1605</v>
      </c>
      <c r="N584" s="73">
        <v>1062</v>
      </c>
      <c r="O584" s="56">
        <v>2500</v>
      </c>
      <c r="P584" s="73" t="s">
        <v>790</v>
      </c>
      <c r="Q584" s="73" t="s">
        <v>1606</v>
      </c>
      <c r="R584" s="73" t="s">
        <v>986</v>
      </c>
      <c r="S584" s="73" t="s">
        <v>685</v>
      </c>
      <c r="T584" s="73" t="s">
        <v>1175</v>
      </c>
      <c r="U584" s="73">
        <v>150</v>
      </c>
      <c r="V584" s="73" t="s">
        <v>1607</v>
      </c>
      <c r="W584" s="73" t="s">
        <v>1608</v>
      </c>
      <c r="X584" s="73">
        <v>78194</v>
      </c>
      <c r="Y584" s="73">
        <v>115442</v>
      </c>
      <c r="Z584" s="73" t="s">
        <v>649</v>
      </c>
      <c r="AA584" s="73">
        <v>0</v>
      </c>
      <c r="AB584" s="73">
        <v>286</v>
      </c>
    </row>
    <row r="585" spans="1:28" hidden="1" x14ac:dyDescent="0.3">
      <c r="A585" s="4">
        <v>46219</v>
      </c>
      <c r="B585" s="8" t="s">
        <v>1361</v>
      </c>
      <c r="C585" s="8" t="s">
        <v>36</v>
      </c>
      <c r="D585" s="8" t="s">
        <v>43</v>
      </c>
      <c r="E585" s="8" t="s">
        <v>47</v>
      </c>
      <c r="F585" s="8"/>
      <c r="G585" s="8"/>
      <c r="H585" s="6">
        <f t="shared" si="46"/>
        <v>2142.8571428571427</v>
      </c>
      <c r="I585" s="6">
        <f t="shared" si="42"/>
        <v>464.87603305785126</v>
      </c>
      <c r="J585" s="2" t="s">
        <v>1416</v>
      </c>
      <c r="K585" s="2">
        <v>4.84</v>
      </c>
      <c r="L585" s="2" t="s">
        <v>652</v>
      </c>
      <c r="M585" s="2" t="s">
        <v>1609</v>
      </c>
      <c r="N585" s="2" t="s">
        <v>45</v>
      </c>
      <c r="O585" s="56">
        <v>2250</v>
      </c>
      <c r="P585" s="2" t="s">
        <v>45</v>
      </c>
      <c r="Q585" s="2" t="s">
        <v>45</v>
      </c>
      <c r="R585" s="2" t="s">
        <v>1610</v>
      </c>
      <c r="S585" s="2" t="s">
        <v>961</v>
      </c>
      <c r="T585" s="2" t="s">
        <v>869</v>
      </c>
      <c r="U585" s="2" t="s">
        <v>1611</v>
      </c>
      <c r="V585" s="2" t="s">
        <v>1612</v>
      </c>
      <c r="W585" s="2" t="s">
        <v>1613</v>
      </c>
      <c r="X585" s="2" t="s">
        <v>45</v>
      </c>
      <c r="Y585" s="2" t="s">
        <v>45</v>
      </c>
      <c r="Z585" s="2" t="s">
        <v>800</v>
      </c>
      <c r="AA585" s="2" t="s">
        <v>45</v>
      </c>
      <c r="AB585" s="2" t="s">
        <v>1614</v>
      </c>
    </row>
    <row r="586" spans="1:28" hidden="1" x14ac:dyDescent="0.3">
      <c r="A586" s="4">
        <v>46219</v>
      </c>
      <c r="B586" s="8" t="s">
        <v>1361</v>
      </c>
      <c r="C586" s="8" t="s">
        <v>36</v>
      </c>
      <c r="D586" s="8" t="s">
        <v>67</v>
      </c>
      <c r="E586" s="8" t="s">
        <v>47</v>
      </c>
      <c r="F586" s="8"/>
      <c r="G586" s="8"/>
      <c r="H586" s="6">
        <f t="shared" si="46"/>
        <v>2142.8571428571427</v>
      </c>
      <c r="I586" s="6">
        <f t="shared" si="42"/>
        <v>449.67490247074119</v>
      </c>
      <c r="J586" s="2" t="s">
        <v>1615</v>
      </c>
      <c r="K586" s="2">
        <v>7.69</v>
      </c>
      <c r="L586" s="2" t="s">
        <v>561</v>
      </c>
      <c r="M586" s="2" t="s">
        <v>1616</v>
      </c>
      <c r="N586" s="2" t="s">
        <v>1617</v>
      </c>
      <c r="O586" s="56">
        <v>3458</v>
      </c>
      <c r="P586" s="2" t="s">
        <v>1205</v>
      </c>
      <c r="Q586" s="2" t="s">
        <v>1618</v>
      </c>
      <c r="R586" s="2" t="s">
        <v>1006</v>
      </c>
      <c r="S586" s="2" t="s">
        <v>582</v>
      </c>
      <c r="T586" s="2" t="s">
        <v>726</v>
      </c>
      <c r="U586" s="2" t="s">
        <v>1619</v>
      </c>
      <c r="V586" s="2" t="s">
        <v>1620</v>
      </c>
      <c r="W586" s="2" t="s">
        <v>1621</v>
      </c>
      <c r="X586" s="2" t="s">
        <v>1622</v>
      </c>
      <c r="Y586" s="2" t="s">
        <v>1623</v>
      </c>
      <c r="Z586" s="2" t="s">
        <v>621</v>
      </c>
      <c r="AA586" s="2" t="s">
        <v>548</v>
      </c>
      <c r="AB586" s="2" t="s">
        <v>1624</v>
      </c>
    </row>
    <row r="587" spans="1:28" hidden="1" x14ac:dyDescent="0.3">
      <c r="A587" s="4">
        <v>46219</v>
      </c>
      <c r="B587" s="8" t="s">
        <v>1361</v>
      </c>
      <c r="C587" s="8" t="s">
        <v>36</v>
      </c>
      <c r="D587" s="8" t="s">
        <v>50</v>
      </c>
      <c r="E587" s="8" t="s">
        <v>47</v>
      </c>
      <c r="F587" s="8"/>
      <c r="G587" s="8"/>
      <c r="H587" s="6">
        <f t="shared" si="46"/>
        <v>2142.8571428571427</v>
      </c>
      <c r="I587" s="6">
        <f t="shared" si="42"/>
        <v>407.4858757062147</v>
      </c>
      <c r="J587" s="2" t="s">
        <v>1562</v>
      </c>
      <c r="K587" s="2">
        <v>7.08</v>
      </c>
      <c r="L587" s="2" t="s">
        <v>955</v>
      </c>
      <c r="M587" s="2" t="s">
        <v>910</v>
      </c>
      <c r="N587" s="2" t="s">
        <v>1625</v>
      </c>
      <c r="O587" s="56">
        <v>2885</v>
      </c>
      <c r="P587" s="2" t="s">
        <v>1626</v>
      </c>
      <c r="Q587" s="2" t="s">
        <v>1627</v>
      </c>
      <c r="R587" s="2" t="s">
        <v>1628</v>
      </c>
      <c r="S587" s="2" t="s">
        <v>839</v>
      </c>
      <c r="T587" s="2" t="s">
        <v>685</v>
      </c>
      <c r="U587" s="2" t="s">
        <v>1629</v>
      </c>
      <c r="V587" s="2" t="s">
        <v>1630</v>
      </c>
      <c r="W587" s="2" t="s">
        <v>1631</v>
      </c>
      <c r="X587" s="2" t="s">
        <v>1632</v>
      </c>
      <c r="Y587" s="2" t="s">
        <v>1633</v>
      </c>
      <c r="Z587" s="2" t="s">
        <v>548</v>
      </c>
      <c r="AA587" s="2" t="s">
        <v>548</v>
      </c>
      <c r="AB587" s="2" t="s">
        <v>1560</v>
      </c>
    </row>
    <row r="588" spans="1:28" hidden="1" x14ac:dyDescent="0.3">
      <c r="A588" s="4">
        <v>46219</v>
      </c>
      <c r="B588" s="8" t="s">
        <v>1361</v>
      </c>
      <c r="C588" s="8" t="s">
        <v>36</v>
      </c>
      <c r="D588" s="8" t="s">
        <v>52</v>
      </c>
      <c r="E588" s="8" t="s">
        <v>47</v>
      </c>
      <c r="F588" s="8"/>
      <c r="G588" s="8"/>
      <c r="H588" s="6">
        <f t="shared" si="46"/>
        <v>2142.8571428571427</v>
      </c>
      <c r="I588" s="6">
        <f t="shared" si="42"/>
        <v>389.84806629834253</v>
      </c>
      <c r="J588" s="2" t="s">
        <v>1634</v>
      </c>
      <c r="K588" s="2">
        <v>14.48</v>
      </c>
      <c r="L588" s="2" t="s">
        <v>756</v>
      </c>
      <c r="M588" s="2" t="s">
        <v>620</v>
      </c>
      <c r="N588" s="2" t="s">
        <v>1635</v>
      </c>
      <c r="O588" s="56">
        <v>5645</v>
      </c>
      <c r="P588" s="2" t="s">
        <v>1636</v>
      </c>
      <c r="Q588" s="2" t="s">
        <v>1637</v>
      </c>
      <c r="R588" s="2" t="s">
        <v>1035</v>
      </c>
      <c r="S588" s="2" t="s">
        <v>595</v>
      </c>
      <c r="T588" s="2" t="s">
        <v>726</v>
      </c>
      <c r="U588" s="2" t="s">
        <v>1638</v>
      </c>
      <c r="V588" s="2" t="s">
        <v>1366</v>
      </c>
      <c r="W588" s="2" t="s">
        <v>1639</v>
      </c>
      <c r="X588" s="2" t="s">
        <v>1640</v>
      </c>
      <c r="Y588" s="2" t="s">
        <v>1641</v>
      </c>
      <c r="Z588" s="2" t="s">
        <v>737</v>
      </c>
      <c r="AA588" s="2" t="s">
        <v>548</v>
      </c>
      <c r="AB588" s="2" t="s">
        <v>1642</v>
      </c>
    </row>
    <row r="589" spans="1:28" hidden="1" x14ac:dyDescent="0.3">
      <c r="A589" s="4">
        <v>46219</v>
      </c>
      <c r="B589" s="8" t="s">
        <v>1361</v>
      </c>
      <c r="C589" s="8" t="s">
        <v>36</v>
      </c>
      <c r="D589" s="8" t="s">
        <v>46</v>
      </c>
      <c r="E589" s="8" t="s">
        <v>47</v>
      </c>
      <c r="F589" s="8"/>
      <c r="G589" s="8"/>
      <c r="H589" s="6">
        <f t="shared" si="46"/>
        <v>2142.8571428571427</v>
      </c>
      <c r="I589" s="6">
        <f t="shared" si="42"/>
        <v>251.52354570637121</v>
      </c>
      <c r="J589" s="2" t="s">
        <v>1040</v>
      </c>
      <c r="K589" s="2">
        <v>3.61</v>
      </c>
      <c r="L589" s="2" t="s">
        <v>585</v>
      </c>
      <c r="M589" s="2" t="s">
        <v>1643</v>
      </c>
      <c r="N589" s="2" t="s">
        <v>1644</v>
      </c>
      <c r="O589" s="56">
        <v>908</v>
      </c>
      <c r="P589" s="2" t="s">
        <v>746</v>
      </c>
      <c r="Q589" s="2" t="s">
        <v>1645</v>
      </c>
      <c r="R589" s="2" t="s">
        <v>1646</v>
      </c>
      <c r="S589" s="2" t="s">
        <v>961</v>
      </c>
      <c r="T589" s="2" t="s">
        <v>1167</v>
      </c>
      <c r="U589" s="2" t="s">
        <v>1647</v>
      </c>
      <c r="V589" s="2" t="s">
        <v>1648</v>
      </c>
      <c r="W589" s="2" t="s">
        <v>1649</v>
      </c>
      <c r="X589" s="2" t="s">
        <v>1650</v>
      </c>
      <c r="Y589" s="2" t="s">
        <v>1651</v>
      </c>
      <c r="Z589" s="2" t="s">
        <v>580</v>
      </c>
      <c r="AA589" s="2" t="s">
        <v>548</v>
      </c>
      <c r="AB589" s="2" t="s">
        <v>1652</v>
      </c>
    </row>
    <row r="590" spans="1:28" x14ac:dyDescent="0.3">
      <c r="A590" s="4">
        <v>46219</v>
      </c>
      <c r="B590" s="8" t="s">
        <v>1361</v>
      </c>
      <c r="C590" s="8" t="s">
        <v>36</v>
      </c>
      <c r="D590" s="7" t="s">
        <v>48</v>
      </c>
      <c r="E590" s="7" t="s">
        <v>38</v>
      </c>
      <c r="F590" s="59">
        <v>541</v>
      </c>
      <c r="G590" s="8"/>
      <c r="H590" s="6">
        <f>24000/6</f>
        <v>4000</v>
      </c>
      <c r="I590" s="6">
        <f t="shared" si="42"/>
        <v>783.87096774193549</v>
      </c>
      <c r="J590" s="2" t="s">
        <v>1653</v>
      </c>
      <c r="K590" s="2">
        <v>0.93</v>
      </c>
      <c r="L590" s="2" t="s">
        <v>1654</v>
      </c>
      <c r="M590" s="2" t="s">
        <v>1655</v>
      </c>
      <c r="N590" s="2" t="s">
        <v>1656</v>
      </c>
      <c r="O590" s="79">
        <v>729</v>
      </c>
      <c r="P590" s="2" t="s">
        <v>1295</v>
      </c>
      <c r="Q590" s="2" t="s">
        <v>1657</v>
      </c>
      <c r="R590" s="2" t="s">
        <v>1658</v>
      </c>
      <c r="S590" s="2" t="s">
        <v>1208</v>
      </c>
      <c r="T590" s="2" t="s">
        <v>1120</v>
      </c>
      <c r="U590" s="2" t="s">
        <v>1659</v>
      </c>
      <c r="V590" s="2" t="s">
        <v>1660</v>
      </c>
      <c r="W590" s="2" t="s">
        <v>1661</v>
      </c>
      <c r="X590" s="2" t="s">
        <v>1662</v>
      </c>
      <c r="Y590" s="2" t="s">
        <v>1663</v>
      </c>
      <c r="Z590" s="2" t="s">
        <v>548</v>
      </c>
      <c r="AA590" s="2" t="s">
        <v>548</v>
      </c>
      <c r="AB590" s="2" t="s">
        <v>1591</v>
      </c>
    </row>
    <row r="591" spans="1:28" hidden="1" x14ac:dyDescent="0.3">
      <c r="A591" s="4">
        <v>46219</v>
      </c>
      <c r="B591" s="8" t="s">
        <v>1361</v>
      </c>
      <c r="C591" s="8" t="s">
        <v>36</v>
      </c>
      <c r="D591" s="7" t="s">
        <v>49</v>
      </c>
      <c r="E591" s="7" t="s">
        <v>47</v>
      </c>
      <c r="F591" s="8"/>
      <c r="G591" s="8"/>
      <c r="H591" s="6">
        <f t="shared" ref="H591:H597" si="47">15000/7</f>
        <v>2142.8571428571427</v>
      </c>
      <c r="I591" s="6">
        <f t="shared" si="42"/>
        <v>469.76744186046511</v>
      </c>
      <c r="J591" s="2" t="s">
        <v>721</v>
      </c>
      <c r="K591" s="2">
        <v>6.45</v>
      </c>
      <c r="L591" s="2" t="s">
        <v>1187</v>
      </c>
      <c r="M591" s="2" t="s">
        <v>1664</v>
      </c>
      <c r="N591" s="2" t="s">
        <v>1665</v>
      </c>
      <c r="O591" s="56">
        <v>3030</v>
      </c>
      <c r="P591" s="2" t="s">
        <v>564</v>
      </c>
      <c r="Q591" s="2" t="s">
        <v>1666</v>
      </c>
      <c r="R591" s="2" t="s">
        <v>1667</v>
      </c>
      <c r="S591" s="2" t="s">
        <v>611</v>
      </c>
      <c r="T591" s="2" t="s">
        <v>1668</v>
      </c>
      <c r="U591" s="2" t="s">
        <v>1669</v>
      </c>
      <c r="V591" s="2" t="s">
        <v>1670</v>
      </c>
      <c r="W591" s="2" t="s">
        <v>1671</v>
      </c>
      <c r="X591" s="2" t="s">
        <v>1672</v>
      </c>
      <c r="Y591" s="2" t="s">
        <v>1673</v>
      </c>
      <c r="Z591" s="2" t="s">
        <v>649</v>
      </c>
      <c r="AA591" s="2" t="s">
        <v>548</v>
      </c>
      <c r="AB591" s="2" t="s">
        <v>567</v>
      </c>
    </row>
    <row r="592" spans="1:28" hidden="1" x14ac:dyDescent="0.3">
      <c r="A592" s="4">
        <v>46220</v>
      </c>
      <c r="B592" s="8" t="s">
        <v>1361</v>
      </c>
      <c r="C592" s="8" t="s">
        <v>36</v>
      </c>
      <c r="D592" s="8" t="s">
        <v>39</v>
      </c>
      <c r="E592" s="8" t="s">
        <v>47</v>
      </c>
      <c r="F592" s="7" t="s">
        <v>985</v>
      </c>
      <c r="G592" s="7" t="s">
        <v>985</v>
      </c>
      <c r="H592" s="6">
        <f t="shared" si="47"/>
        <v>2142.8571428571427</v>
      </c>
      <c r="I592" s="6">
        <f t="shared" si="42"/>
        <v>297.92746113989637</v>
      </c>
      <c r="J592" s="73" t="s">
        <v>1674</v>
      </c>
      <c r="K592" s="2">
        <v>7.72</v>
      </c>
      <c r="L592" s="73" t="s">
        <v>608</v>
      </c>
      <c r="M592" s="73" t="s">
        <v>1675</v>
      </c>
      <c r="N592" s="73">
        <v>987</v>
      </c>
      <c r="O592" s="56">
        <v>2300</v>
      </c>
      <c r="P592" s="73" t="s">
        <v>1676</v>
      </c>
      <c r="Q592" s="73" t="s">
        <v>1677</v>
      </c>
      <c r="R592" s="73" t="s">
        <v>1678</v>
      </c>
      <c r="S592" s="73" t="s">
        <v>961</v>
      </c>
      <c r="T592" s="73" t="s">
        <v>1175</v>
      </c>
      <c r="U592" s="73" t="s">
        <v>995</v>
      </c>
      <c r="V592" s="73" t="s">
        <v>1679</v>
      </c>
      <c r="W592" s="73" t="s">
        <v>1680</v>
      </c>
      <c r="X592" s="73">
        <v>79181</v>
      </c>
      <c r="Y592" s="73">
        <v>117097</v>
      </c>
      <c r="Z592" s="73" t="s">
        <v>998</v>
      </c>
      <c r="AA592" s="73">
        <v>0</v>
      </c>
      <c r="AB592" s="73" t="s">
        <v>1681</v>
      </c>
    </row>
    <row r="593" spans="1:28" hidden="1" x14ac:dyDescent="0.3">
      <c r="A593" s="4">
        <v>46220</v>
      </c>
      <c r="B593" s="8" t="s">
        <v>1361</v>
      </c>
      <c r="C593" s="8" t="s">
        <v>36</v>
      </c>
      <c r="D593" s="8" t="s">
        <v>43</v>
      </c>
      <c r="E593" s="8" t="s">
        <v>47</v>
      </c>
      <c r="F593" s="8"/>
      <c r="G593" s="8"/>
      <c r="H593" s="6">
        <f t="shared" si="47"/>
        <v>2142.8571428571427</v>
      </c>
      <c r="I593" s="6">
        <f t="shared" si="42"/>
        <v>394.92753623188406</v>
      </c>
      <c r="J593" s="2" t="s">
        <v>721</v>
      </c>
      <c r="K593" s="2">
        <v>6.9</v>
      </c>
      <c r="L593" s="2" t="s">
        <v>652</v>
      </c>
      <c r="M593" s="2" t="s">
        <v>1682</v>
      </c>
      <c r="N593" s="2" t="s">
        <v>45</v>
      </c>
      <c r="O593" s="56">
        <v>2725</v>
      </c>
      <c r="P593" s="2" t="s">
        <v>45</v>
      </c>
      <c r="Q593" s="2" t="s">
        <v>45</v>
      </c>
      <c r="R593" s="2" t="s">
        <v>629</v>
      </c>
      <c r="S593" s="2" t="s">
        <v>658</v>
      </c>
      <c r="T593" s="2" t="s">
        <v>659</v>
      </c>
      <c r="U593" s="2" t="s">
        <v>1683</v>
      </c>
      <c r="V593" s="2" t="s">
        <v>1444</v>
      </c>
      <c r="W593" s="2" t="s">
        <v>1684</v>
      </c>
      <c r="X593" s="2" t="s">
        <v>45</v>
      </c>
      <c r="Y593" s="2" t="s">
        <v>45</v>
      </c>
      <c r="Z593" s="2" t="s">
        <v>580</v>
      </c>
      <c r="AA593" s="2" t="s">
        <v>45</v>
      </c>
      <c r="AB593" s="2" t="s">
        <v>1685</v>
      </c>
    </row>
    <row r="594" spans="1:28" hidden="1" x14ac:dyDescent="0.3">
      <c r="A594" s="4">
        <v>46220</v>
      </c>
      <c r="B594" s="8" t="s">
        <v>1361</v>
      </c>
      <c r="C594" s="8" t="s">
        <v>36</v>
      </c>
      <c r="D594" s="8" t="s">
        <v>67</v>
      </c>
      <c r="E594" s="8" t="s">
        <v>47</v>
      </c>
      <c r="F594" s="8"/>
      <c r="G594" s="8"/>
      <c r="H594" s="6">
        <f t="shared" si="47"/>
        <v>2142.8571428571427</v>
      </c>
      <c r="I594" s="6">
        <f t="shared" si="42"/>
        <v>405.94744121715075</v>
      </c>
      <c r="J594" s="2" t="s">
        <v>1535</v>
      </c>
      <c r="K594" s="2">
        <v>7.23</v>
      </c>
      <c r="L594" s="2" t="s">
        <v>1146</v>
      </c>
      <c r="M594" s="2" t="s">
        <v>1686</v>
      </c>
      <c r="N594" s="2" t="s">
        <v>1687</v>
      </c>
      <c r="O594" s="56">
        <v>2935</v>
      </c>
      <c r="P594" s="2" t="s">
        <v>1688</v>
      </c>
      <c r="Q594" s="2" t="s">
        <v>1689</v>
      </c>
      <c r="R594" s="2" t="s">
        <v>1690</v>
      </c>
      <c r="S594" s="2" t="s">
        <v>961</v>
      </c>
      <c r="T594" s="2" t="s">
        <v>1691</v>
      </c>
      <c r="U594" s="2" t="s">
        <v>1530</v>
      </c>
      <c r="V594" s="2" t="s">
        <v>1692</v>
      </c>
      <c r="W594" s="2" t="s">
        <v>1693</v>
      </c>
      <c r="X594" s="2" t="s">
        <v>1694</v>
      </c>
      <c r="Y594" s="2" t="s">
        <v>1695</v>
      </c>
      <c r="Z594" s="2" t="s">
        <v>1696</v>
      </c>
      <c r="AA594" s="2" t="s">
        <v>548</v>
      </c>
      <c r="AB594" s="2" t="s">
        <v>1697</v>
      </c>
    </row>
    <row r="595" spans="1:28" hidden="1" x14ac:dyDescent="0.3">
      <c r="A595" s="4">
        <v>46220</v>
      </c>
      <c r="B595" s="8" t="s">
        <v>1361</v>
      </c>
      <c r="C595" s="8" t="s">
        <v>36</v>
      </c>
      <c r="D595" s="8" t="s">
        <v>50</v>
      </c>
      <c r="E595" s="8" t="s">
        <v>47</v>
      </c>
      <c r="F595" s="8"/>
      <c r="G595" s="8"/>
      <c r="H595" s="6">
        <f t="shared" si="47"/>
        <v>2142.8571428571427</v>
      </c>
      <c r="I595" s="6">
        <f t="shared" si="42"/>
        <v>324.15316642120763</v>
      </c>
      <c r="J595" s="2" t="s">
        <v>1698</v>
      </c>
      <c r="K595" s="2">
        <v>6.79</v>
      </c>
      <c r="L595" s="2" t="s">
        <v>998</v>
      </c>
      <c r="M595" s="2" t="s">
        <v>1075</v>
      </c>
      <c r="N595" s="2" t="s">
        <v>1699</v>
      </c>
      <c r="O595" s="56">
        <v>2201</v>
      </c>
      <c r="P595" s="2" t="s">
        <v>1700</v>
      </c>
      <c r="Q595" s="2" t="s">
        <v>1701</v>
      </c>
      <c r="R595" s="2" t="s">
        <v>1702</v>
      </c>
      <c r="S595" s="2" t="s">
        <v>839</v>
      </c>
      <c r="T595" s="2" t="s">
        <v>1520</v>
      </c>
      <c r="U595" s="2" t="s">
        <v>1299</v>
      </c>
      <c r="V595" s="2" t="s">
        <v>988</v>
      </c>
      <c r="W595" s="2" t="s">
        <v>1703</v>
      </c>
      <c r="X595" s="2" t="s">
        <v>1704</v>
      </c>
      <c r="Y595" s="2" t="s">
        <v>1705</v>
      </c>
      <c r="Z595" s="2" t="s">
        <v>580</v>
      </c>
      <c r="AA595" s="2" t="s">
        <v>548</v>
      </c>
      <c r="AB595" s="2" t="s">
        <v>1706</v>
      </c>
    </row>
    <row r="596" spans="1:28" hidden="1" x14ac:dyDescent="0.3">
      <c r="A596" s="4">
        <v>46220</v>
      </c>
      <c r="B596" s="8" t="s">
        <v>1361</v>
      </c>
      <c r="C596" s="8" t="s">
        <v>36</v>
      </c>
      <c r="D596" s="8" t="s">
        <v>52</v>
      </c>
      <c r="E596" s="8" t="s">
        <v>47</v>
      </c>
      <c r="F596" s="8"/>
      <c r="G596" s="8"/>
      <c r="H596" s="6">
        <f t="shared" si="47"/>
        <v>2142.8571428571427</v>
      </c>
      <c r="I596" s="6">
        <f t="shared" si="42"/>
        <v>355.31281032770607</v>
      </c>
      <c r="J596" s="2" t="s">
        <v>1707</v>
      </c>
      <c r="K596" s="2">
        <v>10.07</v>
      </c>
      <c r="L596" s="2" t="s">
        <v>1696</v>
      </c>
      <c r="M596" s="2" t="s">
        <v>1708</v>
      </c>
      <c r="N596" s="2" t="s">
        <v>1709</v>
      </c>
      <c r="O596" s="56">
        <v>3578</v>
      </c>
      <c r="P596" s="2" t="s">
        <v>1710</v>
      </c>
      <c r="Q596" s="2" t="s">
        <v>1711</v>
      </c>
      <c r="R596" s="2" t="s">
        <v>1712</v>
      </c>
      <c r="S596" s="2" t="s">
        <v>839</v>
      </c>
      <c r="T596" s="2" t="s">
        <v>839</v>
      </c>
      <c r="U596" s="2" t="s">
        <v>1417</v>
      </c>
      <c r="V596" s="2" t="s">
        <v>1165</v>
      </c>
      <c r="W596" s="2" t="s">
        <v>1713</v>
      </c>
      <c r="X596" s="2" t="s">
        <v>1714</v>
      </c>
      <c r="Y596" s="2" t="s">
        <v>1715</v>
      </c>
      <c r="Z596" s="2" t="s">
        <v>719</v>
      </c>
      <c r="AA596" s="2" t="s">
        <v>548</v>
      </c>
      <c r="AB596" s="2" t="s">
        <v>1716</v>
      </c>
    </row>
    <row r="597" spans="1:28" hidden="1" x14ac:dyDescent="0.3">
      <c r="A597" s="4">
        <v>46220</v>
      </c>
      <c r="B597" s="8" t="s">
        <v>1361</v>
      </c>
      <c r="C597" s="8" t="s">
        <v>36</v>
      </c>
      <c r="D597" s="8" t="s">
        <v>46</v>
      </c>
      <c r="E597" s="8" t="s">
        <v>47</v>
      </c>
      <c r="F597" s="8"/>
      <c r="G597" s="8"/>
      <c r="H597" s="6">
        <f t="shared" si="47"/>
        <v>2142.8571428571427</v>
      </c>
      <c r="I597" s="6">
        <f t="shared" si="42"/>
        <v>411.9962511715089</v>
      </c>
      <c r="J597" s="2" t="s">
        <v>1717</v>
      </c>
      <c r="K597" s="2">
        <v>10.67</v>
      </c>
      <c r="L597" s="2" t="s">
        <v>1245</v>
      </c>
      <c r="M597" s="2" t="s">
        <v>1718</v>
      </c>
      <c r="N597" s="2" t="s">
        <v>1719</v>
      </c>
      <c r="O597" s="56">
        <v>4396</v>
      </c>
      <c r="P597" s="2" t="s">
        <v>1199</v>
      </c>
      <c r="Q597" s="2" t="s">
        <v>1720</v>
      </c>
      <c r="R597" s="2" t="s">
        <v>1721</v>
      </c>
      <c r="S597" s="2" t="s">
        <v>1415</v>
      </c>
      <c r="T597" s="2" t="s">
        <v>1095</v>
      </c>
      <c r="U597" s="2" t="s">
        <v>1722</v>
      </c>
      <c r="V597" s="2" t="s">
        <v>1723</v>
      </c>
      <c r="W597" s="2" t="s">
        <v>1724</v>
      </c>
      <c r="X597" s="2" t="s">
        <v>1725</v>
      </c>
      <c r="Y597" s="2" t="s">
        <v>1726</v>
      </c>
      <c r="Z597" s="2" t="s">
        <v>649</v>
      </c>
      <c r="AA597" s="2" t="s">
        <v>548</v>
      </c>
      <c r="AB597" s="2" t="s">
        <v>1727</v>
      </c>
    </row>
    <row r="598" spans="1:28" x14ac:dyDescent="0.3">
      <c r="A598" s="4">
        <v>46220</v>
      </c>
      <c r="B598" s="8" t="s">
        <v>1361</v>
      </c>
      <c r="C598" s="8" t="s">
        <v>36</v>
      </c>
      <c r="D598" s="7" t="s">
        <v>48</v>
      </c>
      <c r="E598" s="7" t="s">
        <v>38</v>
      </c>
      <c r="F598" s="59">
        <v>371</v>
      </c>
      <c r="G598" s="8"/>
      <c r="H598" s="6">
        <f>24000/6</f>
        <v>4000</v>
      </c>
      <c r="I598" s="6">
        <f t="shared" si="42"/>
        <v>686.20689655172418</v>
      </c>
      <c r="J598" s="2" t="s">
        <v>1728</v>
      </c>
      <c r="K598" s="2">
        <v>0.57999999999999996</v>
      </c>
      <c r="L598" s="2" t="s">
        <v>1310</v>
      </c>
      <c r="M598" s="2" t="s">
        <v>1729</v>
      </c>
      <c r="N598" s="2" t="s">
        <v>1730</v>
      </c>
      <c r="O598" s="79">
        <v>398</v>
      </c>
      <c r="P598" s="2" t="s">
        <v>1731</v>
      </c>
      <c r="Q598" s="2" t="s">
        <v>1732</v>
      </c>
      <c r="R598" s="2" t="s">
        <v>684</v>
      </c>
      <c r="S598" s="2" t="s">
        <v>1312</v>
      </c>
      <c r="T598" s="2" t="s">
        <v>1120</v>
      </c>
      <c r="U598" s="2" t="s">
        <v>1733</v>
      </c>
      <c r="V598" s="2" t="s">
        <v>1734</v>
      </c>
      <c r="W598" s="2" t="s">
        <v>1735</v>
      </c>
      <c r="X598" s="2" t="s">
        <v>1736</v>
      </c>
      <c r="Y598" s="2" t="s">
        <v>1737</v>
      </c>
      <c r="Z598" s="2" t="s">
        <v>548</v>
      </c>
      <c r="AA598" s="2" t="s">
        <v>548</v>
      </c>
      <c r="AB598" s="2" t="s">
        <v>1591</v>
      </c>
    </row>
    <row r="599" spans="1:28" hidden="1" x14ac:dyDescent="0.3">
      <c r="A599" s="4">
        <v>46220</v>
      </c>
      <c r="B599" s="8" t="s">
        <v>1361</v>
      </c>
      <c r="C599" s="8" t="s">
        <v>36</v>
      </c>
      <c r="D599" s="7" t="s">
        <v>49</v>
      </c>
      <c r="E599" s="7" t="s">
        <v>47</v>
      </c>
      <c r="F599" s="8"/>
      <c r="G599" s="8"/>
      <c r="H599" s="6">
        <f>15000/7</f>
        <v>2142.8571428571427</v>
      </c>
      <c r="I599" s="6">
        <f t="shared" si="42"/>
        <v>494.69696969696975</v>
      </c>
      <c r="J599" s="2" t="s">
        <v>1186</v>
      </c>
      <c r="K599" s="2">
        <v>6.6</v>
      </c>
      <c r="L599" s="2" t="s">
        <v>1146</v>
      </c>
      <c r="M599" s="2" t="s">
        <v>1738</v>
      </c>
      <c r="N599" s="2" t="s">
        <v>1739</v>
      </c>
      <c r="O599" s="56">
        <v>3265</v>
      </c>
      <c r="P599" s="2" t="s">
        <v>1740</v>
      </c>
      <c r="Q599" s="2" t="s">
        <v>1741</v>
      </c>
      <c r="R599" s="2" t="s">
        <v>962</v>
      </c>
      <c r="S599" s="2" t="s">
        <v>642</v>
      </c>
      <c r="T599" s="2" t="s">
        <v>1505</v>
      </c>
      <c r="U599" s="2" t="s">
        <v>1098</v>
      </c>
      <c r="V599" s="2" t="s">
        <v>1742</v>
      </c>
      <c r="W599" s="2" t="s">
        <v>1743</v>
      </c>
      <c r="X599" s="2" t="s">
        <v>1744</v>
      </c>
      <c r="Y599" s="2" t="s">
        <v>1745</v>
      </c>
      <c r="Z599" s="2" t="s">
        <v>548</v>
      </c>
      <c r="AA599" s="2" t="s">
        <v>548</v>
      </c>
      <c r="AB599" s="2" t="s">
        <v>567</v>
      </c>
    </row>
    <row r="600" spans="1:28" hidden="1" x14ac:dyDescent="0.3">
      <c r="A600" s="4">
        <v>46221</v>
      </c>
      <c r="B600" s="8" t="s">
        <v>1361</v>
      </c>
      <c r="C600" s="8" t="s">
        <v>36</v>
      </c>
      <c r="D600" s="8" t="s">
        <v>39</v>
      </c>
      <c r="E600" s="8" t="s">
        <v>47</v>
      </c>
      <c r="F600" s="8"/>
      <c r="G600" s="8"/>
      <c r="H600" s="6">
        <f t="shared" ref="H600:H605" si="48">15000/6</f>
        <v>2500</v>
      </c>
      <c r="I600" s="6">
        <f t="shared" si="42"/>
        <v>439.4977168949772</v>
      </c>
      <c r="J600" s="2" t="s">
        <v>961</v>
      </c>
      <c r="K600" s="2">
        <v>4.38</v>
      </c>
      <c r="L600" s="2" t="s">
        <v>1502</v>
      </c>
      <c r="M600" s="2" t="s">
        <v>1746</v>
      </c>
      <c r="N600" s="2" t="s">
        <v>1747</v>
      </c>
      <c r="O600" s="56">
        <v>1925</v>
      </c>
      <c r="P600" s="2" t="s">
        <v>1748</v>
      </c>
      <c r="Q600" s="2" t="s">
        <v>1749</v>
      </c>
      <c r="R600" s="2" t="s">
        <v>1750</v>
      </c>
      <c r="S600" s="2" t="s">
        <v>961</v>
      </c>
      <c r="T600" s="2" t="s">
        <v>1518</v>
      </c>
      <c r="U600" s="2" t="s">
        <v>1751</v>
      </c>
      <c r="V600" s="2" t="s">
        <v>1752</v>
      </c>
      <c r="W600" s="2" t="s">
        <v>1753</v>
      </c>
      <c r="X600" s="2" t="s">
        <v>1754</v>
      </c>
      <c r="Y600" s="2" t="s">
        <v>1755</v>
      </c>
      <c r="Z600" s="2" t="s">
        <v>649</v>
      </c>
      <c r="AA600" s="2" t="s">
        <v>548</v>
      </c>
      <c r="AB600" s="2" t="s">
        <v>1756</v>
      </c>
    </row>
    <row r="601" spans="1:28" hidden="1" x14ac:dyDescent="0.3">
      <c r="A601" s="4">
        <v>46221</v>
      </c>
      <c r="B601" s="8" t="s">
        <v>1361</v>
      </c>
      <c r="C601" s="8" t="s">
        <v>36</v>
      </c>
      <c r="D601" s="8" t="s">
        <v>43</v>
      </c>
      <c r="E601" s="8" t="s">
        <v>47</v>
      </c>
      <c r="F601" s="8"/>
      <c r="G601" s="8"/>
      <c r="H601" s="6">
        <f t="shared" si="48"/>
        <v>2500</v>
      </c>
      <c r="I601" s="6">
        <f t="shared" si="42"/>
        <v>238.3177570093458</v>
      </c>
      <c r="J601" s="2" t="s">
        <v>1757</v>
      </c>
      <c r="K601" s="2">
        <v>5.35</v>
      </c>
      <c r="L601" s="2" t="s">
        <v>621</v>
      </c>
      <c r="M601" s="2" t="s">
        <v>1758</v>
      </c>
      <c r="N601" s="2" t="s">
        <v>45</v>
      </c>
      <c r="O601" s="56">
        <v>1275</v>
      </c>
      <c r="P601" s="2" t="s">
        <v>45</v>
      </c>
      <c r="Q601" s="2" t="s">
        <v>45</v>
      </c>
      <c r="R601" s="2" t="s">
        <v>1647</v>
      </c>
      <c r="S601" s="2" t="s">
        <v>583</v>
      </c>
      <c r="T601" s="2" t="s">
        <v>1183</v>
      </c>
      <c r="U601" s="2" t="s">
        <v>1759</v>
      </c>
      <c r="V601" s="2" t="s">
        <v>1760</v>
      </c>
      <c r="W601" s="2" t="s">
        <v>1761</v>
      </c>
      <c r="X601" s="2" t="s">
        <v>45</v>
      </c>
      <c r="Y601" s="2" t="s">
        <v>45</v>
      </c>
      <c r="Z601" s="2" t="s">
        <v>649</v>
      </c>
      <c r="AA601" s="2" t="s">
        <v>45</v>
      </c>
      <c r="AB601" s="2" t="s">
        <v>1762</v>
      </c>
    </row>
    <row r="602" spans="1:28" hidden="1" x14ac:dyDescent="0.3">
      <c r="A602" s="4">
        <v>46221</v>
      </c>
      <c r="B602" s="8" t="s">
        <v>1361</v>
      </c>
      <c r="C602" s="8" t="s">
        <v>36</v>
      </c>
      <c r="D602" s="8" t="s">
        <v>67</v>
      </c>
      <c r="E602" s="8" t="s">
        <v>47</v>
      </c>
      <c r="F602" s="8"/>
      <c r="G602" s="8"/>
      <c r="H602" s="6">
        <f t="shared" si="48"/>
        <v>2500</v>
      </c>
      <c r="I602" s="6">
        <f t="shared" si="42"/>
        <v>231.95488721804509</v>
      </c>
      <c r="J602" s="2" t="s">
        <v>1763</v>
      </c>
      <c r="K602" s="2">
        <v>5.32</v>
      </c>
      <c r="L602" s="2" t="s">
        <v>561</v>
      </c>
      <c r="M602" s="2" t="s">
        <v>1764</v>
      </c>
      <c r="N602" s="2" t="s">
        <v>1765</v>
      </c>
      <c r="O602" s="56">
        <v>1234</v>
      </c>
      <c r="P602" s="2" t="s">
        <v>1766</v>
      </c>
      <c r="Q602" s="2" t="s">
        <v>1767</v>
      </c>
      <c r="R602" s="2" t="s">
        <v>1342</v>
      </c>
      <c r="S602" s="2" t="s">
        <v>582</v>
      </c>
      <c r="T602" s="2" t="s">
        <v>726</v>
      </c>
      <c r="U602" s="2" t="s">
        <v>1768</v>
      </c>
      <c r="V602" s="2" t="s">
        <v>1769</v>
      </c>
      <c r="W602" s="2" t="s">
        <v>1770</v>
      </c>
      <c r="X602" s="2" t="s">
        <v>1771</v>
      </c>
      <c r="Y602" s="2" t="s">
        <v>1772</v>
      </c>
      <c r="Z602" s="2" t="s">
        <v>579</v>
      </c>
      <c r="AA602" s="2" t="s">
        <v>548</v>
      </c>
      <c r="AB602" s="2" t="s">
        <v>1773</v>
      </c>
    </row>
    <row r="603" spans="1:28" hidden="1" x14ac:dyDescent="0.3">
      <c r="A603" s="4">
        <v>46221</v>
      </c>
      <c r="B603" s="8" t="s">
        <v>1361</v>
      </c>
      <c r="C603" s="8" t="s">
        <v>36</v>
      </c>
      <c r="D603" s="8" t="s">
        <v>50</v>
      </c>
      <c r="E603" s="8" t="s">
        <v>47</v>
      </c>
      <c r="F603" s="8"/>
      <c r="G603" s="8"/>
      <c r="H603" s="6">
        <f t="shared" si="48"/>
        <v>2500</v>
      </c>
      <c r="I603" s="6">
        <f t="shared" si="42"/>
        <v>393.86363636363632</v>
      </c>
      <c r="J603" s="2" t="s">
        <v>1774</v>
      </c>
      <c r="K603" s="2">
        <v>4.4000000000000004</v>
      </c>
      <c r="L603" s="2" t="s">
        <v>585</v>
      </c>
      <c r="M603" s="2" t="s">
        <v>1775</v>
      </c>
      <c r="N603" s="2" t="s">
        <v>1776</v>
      </c>
      <c r="O603" s="56">
        <v>1733</v>
      </c>
      <c r="P603" s="2" t="s">
        <v>1777</v>
      </c>
      <c r="Q603" s="2" t="s">
        <v>837</v>
      </c>
      <c r="R603" s="2" t="s">
        <v>1375</v>
      </c>
      <c r="S603" s="2" t="s">
        <v>582</v>
      </c>
      <c r="T603" s="2" t="s">
        <v>1778</v>
      </c>
      <c r="U603" s="2" t="s">
        <v>1779</v>
      </c>
      <c r="V603" s="2" t="s">
        <v>811</v>
      </c>
      <c r="W603" s="2" t="s">
        <v>1780</v>
      </c>
      <c r="X603" s="2" t="s">
        <v>1781</v>
      </c>
      <c r="Y603" s="2" t="s">
        <v>1782</v>
      </c>
      <c r="Z603" s="2" t="s">
        <v>649</v>
      </c>
      <c r="AA603" s="2" t="s">
        <v>548</v>
      </c>
      <c r="AB603" s="2" t="s">
        <v>1783</v>
      </c>
    </row>
    <row r="604" spans="1:28" hidden="1" x14ac:dyDescent="0.3">
      <c r="A604" s="4">
        <v>46221</v>
      </c>
      <c r="B604" s="8" t="s">
        <v>1361</v>
      </c>
      <c r="C604" s="8" t="s">
        <v>36</v>
      </c>
      <c r="D604" s="8" t="s">
        <v>52</v>
      </c>
      <c r="E604" s="8" t="s">
        <v>47</v>
      </c>
      <c r="F604" s="8"/>
      <c r="G604" s="8"/>
      <c r="H604" s="6">
        <f t="shared" si="48"/>
        <v>2500</v>
      </c>
      <c r="I604" s="6">
        <f t="shared" ref="I604:I667" si="49">IFERROR(O604/K604,)</f>
        <v>184.983498349835</v>
      </c>
      <c r="J604" s="2" t="s">
        <v>1784</v>
      </c>
      <c r="K604" s="2">
        <v>6.06</v>
      </c>
      <c r="L604" s="2" t="s">
        <v>579</v>
      </c>
      <c r="M604" s="2" t="s">
        <v>1785</v>
      </c>
      <c r="N604" s="2" t="s">
        <v>1786</v>
      </c>
      <c r="O604" s="56">
        <v>1121</v>
      </c>
      <c r="P604" s="2" t="s">
        <v>1787</v>
      </c>
      <c r="Q604" s="2" t="s">
        <v>1788</v>
      </c>
      <c r="R604" s="2" t="s">
        <v>1122</v>
      </c>
      <c r="S604" s="2" t="s">
        <v>583</v>
      </c>
      <c r="T604" s="2" t="s">
        <v>839</v>
      </c>
      <c r="U604" s="2" t="s">
        <v>1192</v>
      </c>
      <c r="V604" s="2" t="s">
        <v>1060</v>
      </c>
      <c r="W604" s="2" t="s">
        <v>1789</v>
      </c>
      <c r="X604" s="2" t="s">
        <v>1790</v>
      </c>
      <c r="Y604" s="2" t="s">
        <v>1791</v>
      </c>
      <c r="Z604" s="2" t="s">
        <v>1696</v>
      </c>
      <c r="AA604" s="2" t="s">
        <v>548</v>
      </c>
      <c r="AB604" s="2" t="s">
        <v>1516</v>
      </c>
    </row>
    <row r="605" spans="1:28" hidden="1" x14ac:dyDescent="0.3">
      <c r="A605" s="4">
        <v>46221</v>
      </c>
      <c r="B605" s="8" t="s">
        <v>1361</v>
      </c>
      <c r="C605" s="8" t="s">
        <v>36</v>
      </c>
      <c r="D605" s="8" t="s">
        <v>46</v>
      </c>
      <c r="E605" s="8" t="s">
        <v>47</v>
      </c>
      <c r="F605" s="8"/>
      <c r="G605" s="8"/>
      <c r="H605" s="6">
        <f t="shared" si="48"/>
        <v>2500</v>
      </c>
      <c r="I605" s="6">
        <f t="shared" si="49"/>
        <v>327.75073028237586</v>
      </c>
      <c r="J605" s="2" t="s">
        <v>1717</v>
      </c>
      <c r="K605" s="2">
        <v>10.27</v>
      </c>
      <c r="L605" s="2" t="s">
        <v>1792</v>
      </c>
      <c r="M605" s="2" t="s">
        <v>1793</v>
      </c>
      <c r="N605" s="2" t="s">
        <v>1794</v>
      </c>
      <c r="O605" s="56">
        <v>3366</v>
      </c>
      <c r="P605" s="2" t="s">
        <v>1148</v>
      </c>
      <c r="Q605" s="2" t="s">
        <v>1795</v>
      </c>
      <c r="R605" s="2" t="s">
        <v>1796</v>
      </c>
      <c r="S605" s="2" t="s">
        <v>1797</v>
      </c>
      <c r="T605" s="2" t="s">
        <v>1798</v>
      </c>
      <c r="U605" s="2" t="s">
        <v>1799</v>
      </c>
      <c r="V605" s="2" t="s">
        <v>1800</v>
      </c>
      <c r="W605" s="2" t="s">
        <v>1801</v>
      </c>
      <c r="X605" s="2" t="s">
        <v>1802</v>
      </c>
      <c r="Y605" s="2" t="s">
        <v>1803</v>
      </c>
      <c r="Z605" s="2" t="s">
        <v>649</v>
      </c>
      <c r="AA605" s="2" t="s">
        <v>548</v>
      </c>
      <c r="AB605" s="2" t="s">
        <v>1804</v>
      </c>
    </row>
    <row r="606" spans="1:28" x14ac:dyDescent="0.3">
      <c r="A606" s="4">
        <v>46221</v>
      </c>
      <c r="B606" s="8" t="s">
        <v>1361</v>
      </c>
      <c r="C606" s="8" t="s">
        <v>36</v>
      </c>
      <c r="D606" s="7" t="s">
        <v>48</v>
      </c>
      <c r="E606" s="7" t="s">
        <v>38</v>
      </c>
      <c r="F606" s="59">
        <v>1115</v>
      </c>
      <c r="G606" s="8"/>
      <c r="H606" s="6">
        <f>24000/6</f>
        <v>4000</v>
      </c>
      <c r="I606" s="6">
        <f t="shared" si="49"/>
        <v>474.609375</v>
      </c>
      <c r="J606" s="2" t="s">
        <v>1148</v>
      </c>
      <c r="K606" s="2">
        <v>2.56</v>
      </c>
      <c r="L606" s="2" t="s">
        <v>694</v>
      </c>
      <c r="M606" s="2" t="s">
        <v>1805</v>
      </c>
      <c r="N606" s="2" t="s">
        <v>1806</v>
      </c>
      <c r="O606" s="79">
        <v>1215</v>
      </c>
      <c r="P606" s="2" t="s">
        <v>1807</v>
      </c>
      <c r="Q606" s="2" t="s">
        <v>1808</v>
      </c>
      <c r="R606" s="2" t="s">
        <v>1809</v>
      </c>
      <c r="S606" s="2" t="s">
        <v>749</v>
      </c>
      <c r="T606" s="2" t="s">
        <v>1810</v>
      </c>
      <c r="U606" s="2" t="s">
        <v>1811</v>
      </c>
      <c r="V606" s="2" t="s">
        <v>1812</v>
      </c>
      <c r="W606" s="2" t="s">
        <v>1813</v>
      </c>
      <c r="X606" s="2" t="s">
        <v>1814</v>
      </c>
      <c r="Y606" s="2" t="s">
        <v>1815</v>
      </c>
      <c r="Z606" s="2" t="s">
        <v>548</v>
      </c>
      <c r="AA606" s="2" t="s">
        <v>548</v>
      </c>
      <c r="AB606" s="2" t="s">
        <v>1591</v>
      </c>
    </row>
    <row r="607" spans="1:28" hidden="1" x14ac:dyDescent="0.3">
      <c r="A607" s="4">
        <v>46221</v>
      </c>
      <c r="B607" s="8" t="s">
        <v>1361</v>
      </c>
      <c r="C607" s="8" t="s">
        <v>36</v>
      </c>
      <c r="D607" s="7" t="s">
        <v>49</v>
      </c>
      <c r="E607" s="7" t="s">
        <v>61</v>
      </c>
      <c r="F607" s="8"/>
      <c r="G607" s="8"/>
      <c r="H607" s="6"/>
      <c r="I607" s="6">
        <f t="shared" si="49"/>
        <v>390.18036072144287</v>
      </c>
      <c r="J607" s="2" t="s">
        <v>1816</v>
      </c>
      <c r="K607" s="2">
        <v>4.99</v>
      </c>
      <c r="L607" s="2" t="s">
        <v>608</v>
      </c>
      <c r="M607" s="2" t="s">
        <v>1444</v>
      </c>
      <c r="N607" s="2" t="s">
        <v>1817</v>
      </c>
      <c r="O607" s="56">
        <v>1947</v>
      </c>
      <c r="P607" s="2" t="s">
        <v>1818</v>
      </c>
      <c r="Q607" s="2" t="s">
        <v>1819</v>
      </c>
      <c r="R607" s="2" t="s">
        <v>1820</v>
      </c>
      <c r="S607" s="2" t="s">
        <v>961</v>
      </c>
      <c r="T607" s="2" t="s">
        <v>1175</v>
      </c>
      <c r="U607" s="2" t="s">
        <v>1821</v>
      </c>
      <c r="V607" s="2" t="s">
        <v>1822</v>
      </c>
      <c r="W607" s="2" t="s">
        <v>1823</v>
      </c>
      <c r="X607" s="2" t="s">
        <v>1824</v>
      </c>
      <c r="Y607" s="2" t="s">
        <v>1825</v>
      </c>
      <c r="Z607" s="2" t="s">
        <v>548</v>
      </c>
      <c r="AA607" s="2" t="s">
        <v>548</v>
      </c>
      <c r="AB607" s="2" t="s">
        <v>567</v>
      </c>
    </row>
    <row r="608" spans="1:28" hidden="1" x14ac:dyDescent="0.3">
      <c r="A608" s="4">
        <v>46222</v>
      </c>
      <c r="B608" s="8" t="s">
        <v>55</v>
      </c>
      <c r="C608" s="8" t="s">
        <v>56</v>
      </c>
      <c r="D608" s="8" t="s">
        <v>39</v>
      </c>
      <c r="E608" s="8" t="s">
        <v>47</v>
      </c>
      <c r="F608" s="8"/>
      <c r="G608" s="8"/>
      <c r="H608" s="6"/>
      <c r="I608" s="6">
        <f t="shared" si="49"/>
        <v>0</v>
      </c>
      <c r="J608" s="2" t="s">
        <v>548</v>
      </c>
      <c r="K608" s="2" t="s">
        <v>548</v>
      </c>
      <c r="L608" s="2" t="s">
        <v>548</v>
      </c>
      <c r="M608" s="2" t="s">
        <v>45</v>
      </c>
      <c r="N608" s="2" t="s">
        <v>548</v>
      </c>
      <c r="O608" s="56">
        <v>0</v>
      </c>
      <c r="P608" s="2" t="s">
        <v>45</v>
      </c>
      <c r="Q608" s="2" t="s">
        <v>45</v>
      </c>
      <c r="R608" s="2" t="s">
        <v>548</v>
      </c>
      <c r="S608" s="2" t="s">
        <v>548</v>
      </c>
      <c r="T608" s="2" t="s">
        <v>45</v>
      </c>
      <c r="U608" s="2" t="s">
        <v>548</v>
      </c>
      <c r="V608" s="2" t="s">
        <v>45</v>
      </c>
      <c r="W608" s="2" t="s">
        <v>1753</v>
      </c>
      <c r="X608" s="2" t="s">
        <v>1754</v>
      </c>
      <c r="Y608" s="2" t="s">
        <v>1755</v>
      </c>
      <c r="Z608" s="2" t="s">
        <v>548</v>
      </c>
      <c r="AA608" s="2" t="s">
        <v>45</v>
      </c>
      <c r="AB608" s="2" t="s">
        <v>1756</v>
      </c>
    </row>
    <row r="609" spans="1:28" hidden="1" x14ac:dyDescent="0.3">
      <c r="A609" s="4">
        <v>46222</v>
      </c>
      <c r="B609" s="8" t="s">
        <v>55</v>
      </c>
      <c r="C609" s="8" t="s">
        <v>56</v>
      </c>
      <c r="D609" s="8" t="s">
        <v>43</v>
      </c>
      <c r="E609" s="8" t="s">
        <v>47</v>
      </c>
      <c r="F609" s="8"/>
      <c r="G609" s="8"/>
      <c r="H609" s="6"/>
      <c r="I609" s="6">
        <f t="shared" si="49"/>
        <v>0</v>
      </c>
      <c r="J609" s="2" t="s">
        <v>548</v>
      </c>
      <c r="K609" s="2" t="s">
        <v>548</v>
      </c>
      <c r="L609" s="2" t="s">
        <v>548</v>
      </c>
      <c r="M609" s="2" t="s">
        <v>45</v>
      </c>
      <c r="N609" s="2" t="s">
        <v>45</v>
      </c>
      <c r="O609" s="56">
        <v>0</v>
      </c>
      <c r="P609" s="2" t="s">
        <v>45</v>
      </c>
      <c r="Q609" s="2" t="s">
        <v>45</v>
      </c>
      <c r="R609" s="2" t="s">
        <v>548</v>
      </c>
      <c r="S609" s="2" t="s">
        <v>548</v>
      </c>
      <c r="T609" s="2" t="s">
        <v>45</v>
      </c>
      <c r="U609" s="2" t="s">
        <v>548</v>
      </c>
      <c r="V609" s="2" t="s">
        <v>45</v>
      </c>
      <c r="W609" s="2" t="s">
        <v>1761</v>
      </c>
      <c r="X609" s="2" t="s">
        <v>45</v>
      </c>
      <c r="Y609" s="2" t="s">
        <v>45</v>
      </c>
      <c r="Z609" s="2" t="s">
        <v>548</v>
      </c>
      <c r="AA609" s="2" t="s">
        <v>45</v>
      </c>
      <c r="AB609" s="2" t="s">
        <v>1762</v>
      </c>
    </row>
    <row r="610" spans="1:28" hidden="1" x14ac:dyDescent="0.3">
      <c r="A610" s="4">
        <v>46222</v>
      </c>
      <c r="B610" s="8" t="s">
        <v>55</v>
      </c>
      <c r="C610" s="8" t="s">
        <v>56</v>
      </c>
      <c r="D610" s="8" t="s">
        <v>67</v>
      </c>
      <c r="E610" s="8" t="s">
        <v>47</v>
      </c>
      <c r="F610" s="8"/>
      <c r="G610" s="8"/>
      <c r="H610" s="6"/>
      <c r="I610" s="6">
        <f t="shared" si="49"/>
        <v>0</v>
      </c>
      <c r="J610" s="2" t="s">
        <v>45</v>
      </c>
      <c r="K610" s="2" t="s">
        <v>45</v>
      </c>
      <c r="L610" s="2" t="s">
        <v>45</v>
      </c>
      <c r="M610" s="2" t="s">
        <v>45</v>
      </c>
      <c r="N610" s="2" t="s">
        <v>45</v>
      </c>
      <c r="O610" s="56" t="s">
        <v>45</v>
      </c>
      <c r="P610" s="2" t="s">
        <v>45</v>
      </c>
      <c r="Q610" s="2" t="s">
        <v>45</v>
      </c>
      <c r="R610" s="2" t="s">
        <v>45</v>
      </c>
      <c r="S610" s="2" t="s">
        <v>45</v>
      </c>
      <c r="T610" s="2" t="s">
        <v>45</v>
      </c>
      <c r="U610" s="2" t="s">
        <v>45</v>
      </c>
      <c r="V610" s="2" t="s">
        <v>45</v>
      </c>
      <c r="W610" s="2" t="s">
        <v>45</v>
      </c>
      <c r="X610" s="2" t="s">
        <v>45</v>
      </c>
      <c r="Y610" s="2" t="s">
        <v>45</v>
      </c>
      <c r="Z610" s="2" t="s">
        <v>45</v>
      </c>
      <c r="AA610" s="2" t="s">
        <v>45</v>
      </c>
      <c r="AB610" s="2" t="s">
        <v>45</v>
      </c>
    </row>
    <row r="611" spans="1:28" hidden="1" x14ac:dyDescent="0.3">
      <c r="A611" s="4">
        <v>46222</v>
      </c>
      <c r="B611" s="8" t="s">
        <v>55</v>
      </c>
      <c r="C611" s="8" t="s">
        <v>56</v>
      </c>
      <c r="D611" s="8" t="s">
        <v>50</v>
      </c>
      <c r="E611" s="8" t="s">
        <v>47</v>
      </c>
      <c r="F611" s="8"/>
      <c r="G611" s="8"/>
      <c r="H611" s="6"/>
      <c r="I611" s="6">
        <f t="shared" si="49"/>
        <v>0</v>
      </c>
      <c r="J611" s="2" t="s">
        <v>548</v>
      </c>
      <c r="K611" s="2" t="s">
        <v>548</v>
      </c>
      <c r="L611" s="2" t="s">
        <v>548</v>
      </c>
      <c r="M611" s="2" t="s">
        <v>45</v>
      </c>
      <c r="N611" s="2" t="s">
        <v>548</v>
      </c>
      <c r="O611" s="56">
        <v>0</v>
      </c>
      <c r="P611" s="2" t="s">
        <v>45</v>
      </c>
      <c r="Q611" s="2" t="s">
        <v>45</v>
      </c>
      <c r="R611" s="2" t="s">
        <v>548</v>
      </c>
      <c r="S611" s="2" t="s">
        <v>548</v>
      </c>
      <c r="T611" s="2" t="s">
        <v>45</v>
      </c>
      <c r="U611" s="2" t="s">
        <v>548</v>
      </c>
      <c r="V611" s="2" t="s">
        <v>45</v>
      </c>
      <c r="W611" s="2" t="s">
        <v>1780</v>
      </c>
      <c r="X611" s="2" t="s">
        <v>1781</v>
      </c>
      <c r="Y611" s="2" t="s">
        <v>1782</v>
      </c>
      <c r="Z611" s="2" t="s">
        <v>548</v>
      </c>
      <c r="AA611" s="2" t="s">
        <v>45</v>
      </c>
      <c r="AB611" s="2" t="s">
        <v>1783</v>
      </c>
    </row>
    <row r="612" spans="1:28" hidden="1" x14ac:dyDescent="0.3">
      <c r="A612" s="4">
        <v>46222</v>
      </c>
      <c r="B612" s="8" t="s">
        <v>55</v>
      </c>
      <c r="C612" s="8" t="s">
        <v>56</v>
      </c>
      <c r="D612" s="8" t="s">
        <v>52</v>
      </c>
      <c r="E612" s="8" t="s">
        <v>47</v>
      </c>
      <c r="F612" s="8"/>
      <c r="G612" s="8"/>
      <c r="H612" s="6"/>
      <c r="I612" s="6">
        <f t="shared" si="49"/>
        <v>0</v>
      </c>
      <c r="J612" s="2" t="s">
        <v>548</v>
      </c>
      <c r="K612" s="2" t="s">
        <v>548</v>
      </c>
      <c r="L612" s="2" t="s">
        <v>548</v>
      </c>
      <c r="M612" s="2" t="s">
        <v>45</v>
      </c>
      <c r="N612" s="2" t="s">
        <v>548</v>
      </c>
      <c r="O612" s="56">
        <v>0</v>
      </c>
      <c r="P612" s="2" t="s">
        <v>45</v>
      </c>
      <c r="Q612" s="2" t="s">
        <v>45</v>
      </c>
      <c r="R612" s="2" t="s">
        <v>548</v>
      </c>
      <c r="S612" s="2" t="s">
        <v>548</v>
      </c>
      <c r="T612" s="2" t="s">
        <v>45</v>
      </c>
      <c r="U612" s="2" t="s">
        <v>548</v>
      </c>
      <c r="V612" s="2" t="s">
        <v>45</v>
      </c>
      <c r="W612" s="2" t="s">
        <v>1789</v>
      </c>
      <c r="X612" s="2" t="s">
        <v>1790</v>
      </c>
      <c r="Y612" s="2" t="s">
        <v>1791</v>
      </c>
      <c r="Z612" s="2" t="s">
        <v>548</v>
      </c>
      <c r="AA612" s="2" t="s">
        <v>45</v>
      </c>
      <c r="AB612" s="2" t="s">
        <v>1516</v>
      </c>
    </row>
    <row r="613" spans="1:28" hidden="1" x14ac:dyDescent="0.3">
      <c r="A613" s="4">
        <v>46222</v>
      </c>
      <c r="B613" s="8" t="s">
        <v>55</v>
      </c>
      <c r="C613" s="8" t="s">
        <v>56</v>
      </c>
      <c r="D613" s="8" t="s">
        <v>46</v>
      </c>
      <c r="E613" s="8" t="s">
        <v>47</v>
      </c>
      <c r="F613" s="8"/>
      <c r="G613" s="8"/>
      <c r="H613" s="6"/>
      <c r="I613" s="6">
        <f t="shared" si="49"/>
        <v>0</v>
      </c>
      <c r="J613" s="2" t="s">
        <v>679</v>
      </c>
      <c r="K613" s="2">
        <v>0.04</v>
      </c>
      <c r="L613" s="2" t="s">
        <v>548</v>
      </c>
      <c r="M613" s="2" t="s">
        <v>548</v>
      </c>
      <c r="N613" s="2" t="s">
        <v>548</v>
      </c>
      <c r="O613" s="56">
        <v>0</v>
      </c>
      <c r="P613" s="2" t="s">
        <v>45</v>
      </c>
      <c r="Q613" s="2" t="s">
        <v>45</v>
      </c>
      <c r="R613" s="2" t="s">
        <v>548</v>
      </c>
      <c r="S613" s="2" t="s">
        <v>548</v>
      </c>
      <c r="T613" s="2" t="s">
        <v>45</v>
      </c>
      <c r="U613" s="2" t="s">
        <v>548</v>
      </c>
      <c r="V613" s="2" t="s">
        <v>548</v>
      </c>
      <c r="W613" s="2" t="s">
        <v>1826</v>
      </c>
      <c r="X613" s="2" t="s">
        <v>1802</v>
      </c>
      <c r="Y613" s="2" t="s">
        <v>1803</v>
      </c>
      <c r="Z613" s="2" t="s">
        <v>548</v>
      </c>
      <c r="AA613" s="2" t="s">
        <v>45</v>
      </c>
      <c r="AB613" s="2" t="s">
        <v>1804</v>
      </c>
    </row>
    <row r="614" spans="1:28" x14ac:dyDescent="0.3">
      <c r="A614" s="4">
        <v>46222</v>
      </c>
      <c r="B614" s="8" t="s">
        <v>55</v>
      </c>
      <c r="C614" s="8" t="s">
        <v>56</v>
      </c>
      <c r="D614" s="7" t="s">
        <v>48</v>
      </c>
      <c r="E614" s="7" t="s">
        <v>38</v>
      </c>
      <c r="F614" s="8"/>
      <c r="G614" s="8"/>
      <c r="H614" s="6"/>
      <c r="I614" s="6">
        <f t="shared" si="49"/>
        <v>0</v>
      </c>
      <c r="J614" s="2" t="s">
        <v>548</v>
      </c>
      <c r="K614" s="2" t="s">
        <v>548</v>
      </c>
      <c r="L614" s="2" t="s">
        <v>548</v>
      </c>
      <c r="M614" s="2" t="s">
        <v>45</v>
      </c>
      <c r="N614" s="2" t="s">
        <v>548</v>
      </c>
      <c r="O614" s="56">
        <v>0</v>
      </c>
      <c r="P614" s="2" t="s">
        <v>45</v>
      </c>
      <c r="Q614" s="2" t="s">
        <v>45</v>
      </c>
      <c r="R614" s="2" t="s">
        <v>548</v>
      </c>
      <c r="S614" s="2" t="s">
        <v>548</v>
      </c>
      <c r="T614" s="2" t="s">
        <v>45</v>
      </c>
      <c r="U614" s="2" t="s">
        <v>548</v>
      </c>
      <c r="V614" s="2" t="s">
        <v>45</v>
      </c>
      <c r="W614" s="2" t="s">
        <v>1813</v>
      </c>
      <c r="X614" s="2" t="s">
        <v>1814</v>
      </c>
      <c r="Y614" s="2" t="s">
        <v>1815</v>
      </c>
      <c r="Z614" s="2" t="s">
        <v>548</v>
      </c>
      <c r="AA614" s="2" t="s">
        <v>45</v>
      </c>
      <c r="AB614" s="2" t="s">
        <v>1591</v>
      </c>
    </row>
    <row r="615" spans="1:28" hidden="1" x14ac:dyDescent="0.3">
      <c r="A615" s="4">
        <v>46222</v>
      </c>
      <c r="B615" s="8" t="s">
        <v>55</v>
      </c>
      <c r="C615" s="8" t="s">
        <v>56</v>
      </c>
      <c r="D615" s="7" t="s">
        <v>49</v>
      </c>
      <c r="E615" s="7" t="s">
        <v>47</v>
      </c>
      <c r="F615" s="59"/>
      <c r="G615" s="8"/>
      <c r="H615" s="6"/>
      <c r="I615" s="6">
        <f t="shared" si="49"/>
        <v>0</v>
      </c>
      <c r="J615" s="2" t="s">
        <v>45</v>
      </c>
      <c r="K615" s="2" t="s">
        <v>45</v>
      </c>
      <c r="L615" s="2" t="s">
        <v>45</v>
      </c>
      <c r="M615" s="2" t="s">
        <v>45</v>
      </c>
      <c r="N615" s="2" t="s">
        <v>45</v>
      </c>
      <c r="O615" s="56" t="s">
        <v>45</v>
      </c>
      <c r="P615" s="2" t="s">
        <v>45</v>
      </c>
      <c r="Q615" s="2" t="s">
        <v>45</v>
      </c>
      <c r="R615" s="2" t="s">
        <v>45</v>
      </c>
      <c r="S615" s="2" t="s">
        <v>45</v>
      </c>
      <c r="T615" s="2" t="s">
        <v>45</v>
      </c>
      <c r="U615" s="2" t="s">
        <v>45</v>
      </c>
      <c r="V615" s="2" t="s">
        <v>45</v>
      </c>
      <c r="W615" s="2" t="s">
        <v>45</v>
      </c>
      <c r="X615" s="2" t="s">
        <v>45</v>
      </c>
      <c r="Y615" s="2" t="s">
        <v>45</v>
      </c>
      <c r="Z615" s="2" t="s">
        <v>45</v>
      </c>
      <c r="AA615" s="2" t="s">
        <v>45</v>
      </c>
      <c r="AB615" s="2" t="s">
        <v>45</v>
      </c>
    </row>
    <row r="616" spans="1:28" hidden="1" x14ac:dyDescent="0.3">
      <c r="A616" s="4">
        <v>46223</v>
      </c>
      <c r="B616" s="8" t="s">
        <v>1827</v>
      </c>
      <c r="C616" s="8" t="s">
        <v>36</v>
      </c>
      <c r="D616" s="8" t="s">
        <v>39</v>
      </c>
      <c r="E616" s="8" t="s">
        <v>47</v>
      </c>
      <c r="F616" s="59"/>
      <c r="G616" s="59"/>
      <c r="H616" s="6">
        <f t="shared" ref="H616:H621" si="50">15000/6</f>
        <v>2500</v>
      </c>
      <c r="I616" s="6">
        <f t="shared" si="49"/>
        <v>444.16243654822335</v>
      </c>
      <c r="J616" s="2" t="s">
        <v>1828</v>
      </c>
      <c r="K616" s="2">
        <v>7.88</v>
      </c>
      <c r="L616" s="2" t="s">
        <v>561</v>
      </c>
      <c r="M616" s="2" t="s">
        <v>1829</v>
      </c>
      <c r="N616" s="2" t="s">
        <v>1830</v>
      </c>
      <c r="O616" s="79">
        <v>3500</v>
      </c>
      <c r="P616" s="2" t="s">
        <v>1831</v>
      </c>
      <c r="Q616" s="2" t="s">
        <v>1832</v>
      </c>
      <c r="R616" s="2" t="s">
        <v>1266</v>
      </c>
      <c r="S616" s="2" t="s">
        <v>749</v>
      </c>
      <c r="T616" s="2" t="s">
        <v>1833</v>
      </c>
      <c r="U616" s="2" t="s">
        <v>870</v>
      </c>
      <c r="V616" s="2" t="s">
        <v>1834</v>
      </c>
      <c r="W616" s="2" t="s">
        <v>1835</v>
      </c>
      <c r="X616" s="2" t="s">
        <v>1836</v>
      </c>
      <c r="Y616" s="2" t="s">
        <v>1837</v>
      </c>
      <c r="Z616" s="2" t="s">
        <v>548</v>
      </c>
      <c r="AA616" s="2" t="s">
        <v>548</v>
      </c>
      <c r="AB616" s="2" t="s">
        <v>1756</v>
      </c>
    </row>
    <row r="617" spans="1:28" hidden="1" x14ac:dyDescent="0.3">
      <c r="A617" s="4">
        <v>46223</v>
      </c>
      <c r="B617" s="8" t="s">
        <v>1827</v>
      </c>
      <c r="C617" s="8" t="s">
        <v>36</v>
      </c>
      <c r="D617" s="8" t="s">
        <v>43</v>
      </c>
      <c r="E617" s="8" t="s">
        <v>47</v>
      </c>
      <c r="F617" s="59"/>
      <c r="G617" s="59"/>
      <c r="H617" s="6">
        <f t="shared" si="50"/>
        <v>2500</v>
      </c>
      <c r="I617" s="6">
        <f t="shared" si="49"/>
        <v>279.68036529680364</v>
      </c>
      <c r="J617" s="2" t="s">
        <v>1838</v>
      </c>
      <c r="K617" s="2">
        <v>4.38</v>
      </c>
      <c r="L617" s="2" t="s">
        <v>618</v>
      </c>
      <c r="M617" s="2" t="s">
        <v>1839</v>
      </c>
      <c r="N617" s="2" t="s">
        <v>45</v>
      </c>
      <c r="O617" s="79">
        <v>1225</v>
      </c>
      <c r="P617" s="2" t="s">
        <v>45</v>
      </c>
      <c r="Q617" s="2" t="s">
        <v>45</v>
      </c>
      <c r="R617" s="2" t="s">
        <v>1840</v>
      </c>
      <c r="S617" s="2" t="s">
        <v>685</v>
      </c>
      <c r="T617" s="2" t="s">
        <v>1841</v>
      </c>
      <c r="U617" s="2" t="s">
        <v>1842</v>
      </c>
      <c r="V617" s="2" t="s">
        <v>1843</v>
      </c>
      <c r="W617" s="2" t="s">
        <v>1844</v>
      </c>
      <c r="X617" s="2" t="s">
        <v>45</v>
      </c>
      <c r="Y617" s="2" t="s">
        <v>45</v>
      </c>
      <c r="Z617" s="2" t="s">
        <v>649</v>
      </c>
      <c r="AA617" s="2" t="s">
        <v>45</v>
      </c>
      <c r="AB617" s="2" t="s">
        <v>1845</v>
      </c>
    </row>
    <row r="618" spans="1:28" hidden="1" x14ac:dyDescent="0.3">
      <c r="A618" s="4">
        <v>46223</v>
      </c>
      <c r="B618" s="8" t="s">
        <v>1827</v>
      </c>
      <c r="C618" s="8" t="s">
        <v>36</v>
      </c>
      <c r="D618" s="8" t="s">
        <v>67</v>
      </c>
      <c r="E618" s="8" t="s">
        <v>47</v>
      </c>
      <c r="F618" s="59"/>
      <c r="G618" s="59"/>
      <c r="H618" s="6">
        <f t="shared" si="50"/>
        <v>2500</v>
      </c>
      <c r="I618" s="6">
        <f t="shared" si="49"/>
        <v>382.96943231441048</v>
      </c>
      <c r="J618" s="2" t="s">
        <v>972</v>
      </c>
      <c r="K618" s="2">
        <v>6.87</v>
      </c>
      <c r="L618" s="2" t="s">
        <v>709</v>
      </c>
      <c r="M618" s="2" t="s">
        <v>1846</v>
      </c>
      <c r="N618" s="2" t="s">
        <v>758</v>
      </c>
      <c r="O618" s="56">
        <v>2631</v>
      </c>
      <c r="P618" s="2" t="s">
        <v>1847</v>
      </c>
      <c r="Q618" s="2" t="s">
        <v>625</v>
      </c>
      <c r="R618" s="2" t="s">
        <v>929</v>
      </c>
      <c r="S618" s="2" t="s">
        <v>658</v>
      </c>
      <c r="T618" s="2" t="s">
        <v>1183</v>
      </c>
      <c r="U618" s="2" t="s">
        <v>1471</v>
      </c>
      <c r="V618" s="2" t="s">
        <v>1848</v>
      </c>
      <c r="W618" s="2" t="s">
        <v>1849</v>
      </c>
      <c r="X618" s="2" t="s">
        <v>1850</v>
      </c>
      <c r="Y618" s="2" t="s">
        <v>1851</v>
      </c>
      <c r="Z618" s="2" t="s">
        <v>1696</v>
      </c>
      <c r="AA618" s="2" t="s">
        <v>548</v>
      </c>
      <c r="AB618" s="2" t="s">
        <v>1852</v>
      </c>
    </row>
    <row r="619" spans="1:28" hidden="1" x14ac:dyDescent="0.3">
      <c r="A619" s="4">
        <v>46223</v>
      </c>
      <c r="B619" s="8" t="s">
        <v>1827</v>
      </c>
      <c r="C619" s="8" t="s">
        <v>36</v>
      </c>
      <c r="D619" s="8" t="s">
        <v>50</v>
      </c>
      <c r="E619" s="8" t="s">
        <v>47</v>
      </c>
      <c r="F619" s="59"/>
      <c r="G619" s="59"/>
      <c r="H619" s="6">
        <f t="shared" si="50"/>
        <v>2500</v>
      </c>
      <c r="I619" s="6">
        <f t="shared" si="49"/>
        <v>289.05380333951763</v>
      </c>
      <c r="J619" s="2" t="s">
        <v>804</v>
      </c>
      <c r="K619" s="2">
        <v>5.39</v>
      </c>
      <c r="L619" s="2" t="s">
        <v>1502</v>
      </c>
      <c r="M619" s="2" t="s">
        <v>1853</v>
      </c>
      <c r="N619" s="2" t="s">
        <v>1854</v>
      </c>
      <c r="O619" s="56">
        <v>1558</v>
      </c>
      <c r="P619" s="2" t="s">
        <v>784</v>
      </c>
      <c r="Q619" s="2" t="s">
        <v>1720</v>
      </c>
      <c r="R619" s="2" t="s">
        <v>1182</v>
      </c>
      <c r="S619" s="2" t="s">
        <v>567</v>
      </c>
      <c r="T619" s="2" t="s">
        <v>1855</v>
      </c>
      <c r="U619" s="2" t="s">
        <v>1856</v>
      </c>
      <c r="V619" s="2" t="s">
        <v>1857</v>
      </c>
      <c r="W619" s="2" t="s">
        <v>1858</v>
      </c>
      <c r="X619" s="2" t="s">
        <v>1859</v>
      </c>
      <c r="Y619" s="2" t="s">
        <v>1860</v>
      </c>
      <c r="Z619" s="2" t="s">
        <v>1696</v>
      </c>
      <c r="AA619" s="2" t="s">
        <v>548</v>
      </c>
      <c r="AB619" s="2" t="s">
        <v>1861</v>
      </c>
    </row>
    <row r="620" spans="1:28" hidden="1" x14ac:dyDescent="0.3">
      <c r="A620" s="4">
        <v>46223</v>
      </c>
      <c r="B620" s="8" t="s">
        <v>1827</v>
      </c>
      <c r="C620" s="8" t="s">
        <v>36</v>
      </c>
      <c r="D620" s="8" t="s">
        <v>52</v>
      </c>
      <c r="E620" s="8" t="s">
        <v>47</v>
      </c>
      <c r="F620" s="59"/>
      <c r="G620" s="59"/>
      <c r="H620" s="6">
        <f t="shared" si="50"/>
        <v>2500</v>
      </c>
      <c r="I620" s="6">
        <f t="shared" si="49"/>
        <v>264.2570281124498</v>
      </c>
      <c r="J620" s="2" t="s">
        <v>1605</v>
      </c>
      <c r="K620" s="2">
        <v>9.9600000000000009</v>
      </c>
      <c r="L620" s="2" t="s">
        <v>602</v>
      </c>
      <c r="M620" s="2" t="s">
        <v>1862</v>
      </c>
      <c r="N620" s="2" t="s">
        <v>1863</v>
      </c>
      <c r="O620" s="56">
        <v>2632</v>
      </c>
      <c r="P620" s="2" t="s">
        <v>1864</v>
      </c>
      <c r="Q620" s="2" t="s">
        <v>1865</v>
      </c>
      <c r="R620" s="2" t="s">
        <v>1866</v>
      </c>
      <c r="S620" s="2" t="s">
        <v>582</v>
      </c>
      <c r="T620" s="2" t="s">
        <v>1183</v>
      </c>
      <c r="U620" s="2" t="s">
        <v>1867</v>
      </c>
      <c r="V620" s="2" t="s">
        <v>1868</v>
      </c>
      <c r="W620" s="2" t="s">
        <v>1869</v>
      </c>
      <c r="X620" s="2" t="s">
        <v>1870</v>
      </c>
      <c r="Y620" s="2" t="s">
        <v>1871</v>
      </c>
      <c r="Z620" s="2" t="s">
        <v>1214</v>
      </c>
      <c r="AA620" s="2" t="s">
        <v>548</v>
      </c>
      <c r="AB620" s="2" t="s">
        <v>1872</v>
      </c>
    </row>
    <row r="621" spans="1:28" hidden="1" x14ac:dyDescent="0.3">
      <c r="A621" s="4">
        <v>46223</v>
      </c>
      <c r="B621" s="8" t="s">
        <v>1827</v>
      </c>
      <c r="C621" s="8" t="s">
        <v>36</v>
      </c>
      <c r="D621" s="8" t="s">
        <v>46</v>
      </c>
      <c r="E621" s="8" t="s">
        <v>47</v>
      </c>
      <c r="F621" s="59"/>
      <c r="G621" s="59"/>
      <c r="H621" s="6">
        <f t="shared" si="50"/>
        <v>2500</v>
      </c>
      <c r="I621" s="6">
        <f t="shared" si="49"/>
        <v>272.9624838292367</v>
      </c>
      <c r="J621" s="2" t="s">
        <v>1535</v>
      </c>
      <c r="K621" s="2">
        <v>7.73</v>
      </c>
      <c r="L621" s="2" t="s">
        <v>955</v>
      </c>
      <c r="M621" s="2" t="s">
        <v>1873</v>
      </c>
      <c r="N621" s="2" t="s">
        <v>1874</v>
      </c>
      <c r="O621" s="56">
        <v>2110</v>
      </c>
      <c r="P621" s="2" t="s">
        <v>1875</v>
      </c>
      <c r="Q621" s="2" t="s">
        <v>1708</v>
      </c>
      <c r="R621" s="2" t="s">
        <v>1876</v>
      </c>
      <c r="S621" s="2" t="s">
        <v>712</v>
      </c>
      <c r="T621" s="2" t="s">
        <v>1877</v>
      </c>
      <c r="U621" s="2" t="s">
        <v>1878</v>
      </c>
      <c r="V621" s="2" t="s">
        <v>1879</v>
      </c>
      <c r="W621" s="2" t="s">
        <v>1880</v>
      </c>
      <c r="X621" s="2" t="s">
        <v>1881</v>
      </c>
      <c r="Y621" s="2" t="s">
        <v>1882</v>
      </c>
      <c r="Z621" s="2" t="s">
        <v>618</v>
      </c>
      <c r="AA621" s="2" t="s">
        <v>548</v>
      </c>
      <c r="AB621" s="2" t="s">
        <v>1883</v>
      </c>
    </row>
    <row r="622" spans="1:28" x14ac:dyDescent="0.3">
      <c r="A622" s="4">
        <v>46223</v>
      </c>
      <c r="B622" s="8" t="s">
        <v>1827</v>
      </c>
      <c r="C622" s="8" t="s">
        <v>36</v>
      </c>
      <c r="D622" s="8" t="s">
        <v>48</v>
      </c>
      <c r="E622" s="7" t="s">
        <v>38</v>
      </c>
      <c r="F622" s="59">
        <v>2741</v>
      </c>
      <c r="G622" s="59"/>
      <c r="H622" s="6">
        <v>4000</v>
      </c>
      <c r="I622" s="6">
        <f t="shared" si="49"/>
        <v>489.75609756097566</v>
      </c>
      <c r="J622" s="2" t="s">
        <v>1884</v>
      </c>
      <c r="K622" s="2">
        <v>8.1999999999999993</v>
      </c>
      <c r="L622" s="2" t="s">
        <v>585</v>
      </c>
      <c r="M622" s="2" t="s">
        <v>1885</v>
      </c>
      <c r="N622" s="2" t="s">
        <v>1886</v>
      </c>
      <c r="O622" s="56">
        <v>4016</v>
      </c>
      <c r="P622" s="2" t="s">
        <v>1887</v>
      </c>
      <c r="Q622" s="2" t="s">
        <v>1888</v>
      </c>
      <c r="R622" s="2" t="s">
        <v>1889</v>
      </c>
      <c r="S622" s="2" t="s">
        <v>567</v>
      </c>
      <c r="T622" s="2" t="s">
        <v>672</v>
      </c>
      <c r="U622" s="2" t="s">
        <v>1890</v>
      </c>
      <c r="V622" s="2" t="s">
        <v>1891</v>
      </c>
      <c r="W622" s="2" t="s">
        <v>1892</v>
      </c>
      <c r="X622" s="2" t="s">
        <v>1893</v>
      </c>
      <c r="Y622" s="2" t="s">
        <v>1894</v>
      </c>
      <c r="Z622" s="2" t="s">
        <v>649</v>
      </c>
      <c r="AA622" s="2" t="s">
        <v>548</v>
      </c>
      <c r="AB622" s="2" t="s">
        <v>1895</v>
      </c>
    </row>
    <row r="623" spans="1:28" hidden="1" x14ac:dyDescent="0.3">
      <c r="A623" s="4">
        <v>46223</v>
      </c>
      <c r="B623" s="8" t="s">
        <v>1827</v>
      </c>
      <c r="C623" s="8" t="s">
        <v>36</v>
      </c>
      <c r="D623" s="8" t="s">
        <v>49</v>
      </c>
      <c r="E623" s="8" t="s">
        <v>61</v>
      </c>
      <c r="F623" s="59"/>
      <c r="G623" s="59"/>
      <c r="H623" s="6"/>
      <c r="I623" s="6">
        <f t="shared" si="49"/>
        <v>412.85266457680251</v>
      </c>
      <c r="J623" s="2" t="s">
        <v>1896</v>
      </c>
      <c r="K623" s="2">
        <v>6.38</v>
      </c>
      <c r="L623" s="2" t="s">
        <v>652</v>
      </c>
      <c r="M623" s="2" t="s">
        <v>1897</v>
      </c>
      <c r="N623" s="2" t="s">
        <v>1898</v>
      </c>
      <c r="O623" s="56">
        <v>2634</v>
      </c>
      <c r="P623" s="2" t="s">
        <v>1899</v>
      </c>
      <c r="Q623" s="2" t="s">
        <v>1414</v>
      </c>
      <c r="R623" s="2" t="s">
        <v>1482</v>
      </c>
      <c r="S623" s="2" t="s">
        <v>737</v>
      </c>
      <c r="T623" s="2" t="s">
        <v>791</v>
      </c>
      <c r="U623" s="2" t="s">
        <v>1900</v>
      </c>
      <c r="V623" s="2" t="s">
        <v>1901</v>
      </c>
      <c r="W623" s="2" t="s">
        <v>1902</v>
      </c>
      <c r="X623" s="2" t="s">
        <v>1903</v>
      </c>
      <c r="Y623" s="2" t="s">
        <v>1904</v>
      </c>
      <c r="Z623" s="2" t="s">
        <v>548</v>
      </c>
      <c r="AA623" s="2" t="s">
        <v>548</v>
      </c>
      <c r="AB623" s="2" t="s">
        <v>567</v>
      </c>
    </row>
    <row r="624" spans="1:28" hidden="1" x14ac:dyDescent="0.3">
      <c r="A624" s="4">
        <v>46224</v>
      </c>
      <c r="B624" s="8" t="s">
        <v>1827</v>
      </c>
      <c r="C624" s="8" t="s">
        <v>36</v>
      </c>
      <c r="D624" s="8" t="s">
        <v>39</v>
      </c>
      <c r="E624" s="8" t="s">
        <v>47</v>
      </c>
      <c r="F624" s="59"/>
      <c r="G624" s="59"/>
      <c r="H624" s="6">
        <f>15000/5</f>
        <v>3000</v>
      </c>
      <c r="I624" s="6">
        <f t="shared" si="49"/>
        <v>467.62589928057554</v>
      </c>
      <c r="J624" s="2" t="s">
        <v>1526</v>
      </c>
      <c r="K624" s="2">
        <v>6.95</v>
      </c>
      <c r="L624" s="2" t="s">
        <v>678</v>
      </c>
      <c r="M624" s="2" t="s">
        <v>1905</v>
      </c>
      <c r="N624" s="2" t="s">
        <v>1906</v>
      </c>
      <c r="O624" s="56">
        <v>3250</v>
      </c>
      <c r="P624" s="2" t="s">
        <v>690</v>
      </c>
      <c r="Q624" s="2" t="s">
        <v>1907</v>
      </c>
      <c r="R624" s="2" t="s">
        <v>1908</v>
      </c>
      <c r="S624" s="2" t="s">
        <v>1256</v>
      </c>
      <c r="T624" s="2" t="s">
        <v>1175</v>
      </c>
      <c r="U624" s="2" t="s">
        <v>1057</v>
      </c>
      <c r="V624" s="2" t="s">
        <v>841</v>
      </c>
      <c r="W624" s="2" t="s">
        <v>1909</v>
      </c>
      <c r="X624" s="2" t="s">
        <v>1910</v>
      </c>
      <c r="Y624" s="2" t="s">
        <v>1911</v>
      </c>
      <c r="Z624" s="2" t="s">
        <v>602</v>
      </c>
      <c r="AA624" s="2" t="s">
        <v>548</v>
      </c>
      <c r="AB624" s="2" t="s">
        <v>1912</v>
      </c>
    </row>
    <row r="625" spans="1:28" hidden="1" x14ac:dyDescent="0.3">
      <c r="A625" s="4">
        <v>46224</v>
      </c>
      <c r="B625" s="8" t="s">
        <v>55</v>
      </c>
      <c r="C625" s="8" t="s">
        <v>56</v>
      </c>
      <c r="D625" s="8" t="s">
        <v>43</v>
      </c>
      <c r="E625" s="8" t="s">
        <v>47</v>
      </c>
      <c r="F625" s="8"/>
      <c r="G625" s="8" t="s">
        <v>146</v>
      </c>
      <c r="H625" s="6"/>
      <c r="I625" s="6">
        <f t="shared" si="49"/>
        <v>0</v>
      </c>
      <c r="J625" s="2" t="s">
        <v>45</v>
      </c>
      <c r="K625" s="2" t="s">
        <v>45</v>
      </c>
      <c r="L625" s="2" t="s">
        <v>45</v>
      </c>
      <c r="M625" s="2" t="s">
        <v>45</v>
      </c>
      <c r="N625" s="2" t="s">
        <v>45</v>
      </c>
      <c r="O625" s="79" t="s">
        <v>45</v>
      </c>
      <c r="P625" s="2" t="s">
        <v>45</v>
      </c>
      <c r="Q625" s="2" t="s">
        <v>45</v>
      </c>
      <c r="R625" s="2" t="s">
        <v>45</v>
      </c>
      <c r="S625" s="2" t="s">
        <v>45</v>
      </c>
      <c r="T625" s="2" t="s">
        <v>45</v>
      </c>
      <c r="U625" s="2" t="s">
        <v>45</v>
      </c>
      <c r="V625" s="2" t="s">
        <v>45</v>
      </c>
      <c r="W625" s="2" t="s">
        <v>45</v>
      </c>
      <c r="X625" s="2" t="s">
        <v>45</v>
      </c>
      <c r="Y625" s="2" t="s">
        <v>45</v>
      </c>
      <c r="Z625" s="2" t="s">
        <v>45</v>
      </c>
      <c r="AA625" s="2" t="s">
        <v>45</v>
      </c>
      <c r="AB625" s="2" t="s">
        <v>45</v>
      </c>
    </row>
    <row r="626" spans="1:28" hidden="1" x14ac:dyDescent="0.3">
      <c r="A626" s="4">
        <v>46224</v>
      </c>
      <c r="B626" s="8" t="s">
        <v>1827</v>
      </c>
      <c r="C626" s="8" t="s">
        <v>36</v>
      </c>
      <c r="D626" s="8" t="s">
        <v>67</v>
      </c>
      <c r="E626" s="8" t="s">
        <v>47</v>
      </c>
      <c r="F626" s="59"/>
      <c r="G626" s="59"/>
      <c r="H626" s="6">
        <f>15000/5</f>
        <v>3000</v>
      </c>
      <c r="I626" s="6">
        <f t="shared" si="49"/>
        <v>319.70108695652175</v>
      </c>
      <c r="J626" s="2" t="s">
        <v>1913</v>
      </c>
      <c r="K626" s="2">
        <v>7.36</v>
      </c>
      <c r="L626" s="2" t="s">
        <v>585</v>
      </c>
      <c r="M626" s="2" t="s">
        <v>1914</v>
      </c>
      <c r="N626" s="2" t="s">
        <v>1915</v>
      </c>
      <c r="O626" s="56">
        <v>2353</v>
      </c>
      <c r="P626" s="2" t="s">
        <v>877</v>
      </c>
      <c r="Q626" s="2" t="s">
        <v>1916</v>
      </c>
      <c r="R626" s="2" t="s">
        <v>1917</v>
      </c>
      <c r="S626" s="2" t="s">
        <v>749</v>
      </c>
      <c r="T626" s="2" t="s">
        <v>1143</v>
      </c>
      <c r="U626" s="2" t="s">
        <v>1918</v>
      </c>
      <c r="V626" s="2" t="s">
        <v>1919</v>
      </c>
      <c r="W626" s="2" t="s">
        <v>1920</v>
      </c>
      <c r="X626" s="2" t="s">
        <v>1921</v>
      </c>
      <c r="Y626" s="2" t="s">
        <v>1922</v>
      </c>
      <c r="Z626" s="2" t="s">
        <v>580</v>
      </c>
      <c r="AA626" s="2" t="s">
        <v>548</v>
      </c>
      <c r="AB626" s="2" t="s">
        <v>1923</v>
      </c>
    </row>
    <row r="627" spans="1:28" hidden="1" x14ac:dyDescent="0.3">
      <c r="A627" s="4">
        <v>46224</v>
      </c>
      <c r="B627" s="8" t="s">
        <v>1827</v>
      </c>
      <c r="C627" s="8" t="s">
        <v>36</v>
      </c>
      <c r="D627" s="8" t="s">
        <v>50</v>
      </c>
      <c r="E627" s="8" t="s">
        <v>47</v>
      </c>
      <c r="F627" s="59"/>
      <c r="G627" s="59"/>
      <c r="H627" s="6">
        <f>15000/5</f>
        <v>3000</v>
      </c>
      <c r="I627" s="6">
        <f t="shared" si="49"/>
        <v>310.40787623066103</v>
      </c>
      <c r="J627" s="2" t="s">
        <v>1924</v>
      </c>
      <c r="K627" s="2">
        <v>7.11</v>
      </c>
      <c r="L627" s="2" t="s">
        <v>690</v>
      </c>
      <c r="M627" s="2" t="s">
        <v>1925</v>
      </c>
      <c r="N627" s="2" t="s">
        <v>1926</v>
      </c>
      <c r="O627" s="56">
        <v>2207</v>
      </c>
      <c r="P627" s="2" t="s">
        <v>1927</v>
      </c>
      <c r="Q627" s="2" t="s">
        <v>1928</v>
      </c>
      <c r="R627" s="2" t="s">
        <v>870</v>
      </c>
      <c r="S627" s="2" t="s">
        <v>658</v>
      </c>
      <c r="T627" s="2" t="s">
        <v>1083</v>
      </c>
      <c r="U627" s="2" t="s">
        <v>995</v>
      </c>
      <c r="V627" s="2" t="s">
        <v>1929</v>
      </c>
      <c r="W627" s="2" t="s">
        <v>1930</v>
      </c>
      <c r="X627" s="2" t="s">
        <v>1931</v>
      </c>
      <c r="Y627" s="2" t="s">
        <v>1932</v>
      </c>
      <c r="Z627" s="2" t="s">
        <v>800</v>
      </c>
      <c r="AA627" s="2" t="s">
        <v>548</v>
      </c>
      <c r="AB627" s="2" t="s">
        <v>1933</v>
      </c>
    </row>
    <row r="628" spans="1:28" hidden="1" x14ac:dyDescent="0.3">
      <c r="A628" s="4">
        <v>46224</v>
      </c>
      <c r="B628" s="8" t="s">
        <v>1827</v>
      </c>
      <c r="C628" s="8" t="s">
        <v>36</v>
      </c>
      <c r="D628" s="8" t="s">
        <v>52</v>
      </c>
      <c r="E628" s="8" t="s">
        <v>47</v>
      </c>
      <c r="F628" s="59"/>
      <c r="G628" s="59"/>
      <c r="H628" s="6">
        <f>15000/5</f>
        <v>3000</v>
      </c>
      <c r="I628" s="6">
        <f t="shared" si="49"/>
        <v>271.42857142857139</v>
      </c>
      <c r="J628" s="2" t="s">
        <v>1934</v>
      </c>
      <c r="K628" s="2">
        <v>9.3800000000000008</v>
      </c>
      <c r="L628" s="2" t="s">
        <v>756</v>
      </c>
      <c r="M628" s="2" t="s">
        <v>1356</v>
      </c>
      <c r="N628" s="2" t="s">
        <v>1935</v>
      </c>
      <c r="O628" s="56">
        <v>2546</v>
      </c>
      <c r="P628" s="2" t="s">
        <v>624</v>
      </c>
      <c r="Q628" s="2" t="s">
        <v>1936</v>
      </c>
      <c r="R628" s="2" t="s">
        <v>1937</v>
      </c>
      <c r="S628" s="2" t="s">
        <v>567</v>
      </c>
      <c r="T628" s="2" t="s">
        <v>762</v>
      </c>
      <c r="U628" s="2" t="s">
        <v>1938</v>
      </c>
      <c r="V628" s="2" t="s">
        <v>1939</v>
      </c>
      <c r="W628" s="2" t="s">
        <v>1940</v>
      </c>
      <c r="X628" s="2" t="s">
        <v>1941</v>
      </c>
      <c r="Y628" s="2" t="s">
        <v>1942</v>
      </c>
      <c r="Z628" s="2" t="s">
        <v>1595</v>
      </c>
      <c r="AA628" s="2" t="s">
        <v>548</v>
      </c>
      <c r="AB628" s="2" t="s">
        <v>1943</v>
      </c>
    </row>
    <row r="629" spans="1:28" hidden="1" x14ac:dyDescent="0.3">
      <c r="A629" s="4">
        <v>46224</v>
      </c>
      <c r="B629" s="8" t="s">
        <v>1827</v>
      </c>
      <c r="C629" s="8" t="s">
        <v>36</v>
      </c>
      <c r="D629" s="8" t="s">
        <v>46</v>
      </c>
      <c r="E629" s="8" t="s">
        <v>47</v>
      </c>
      <c r="F629" s="59"/>
      <c r="G629" s="59"/>
      <c r="H629" s="6">
        <f>15000/5</f>
        <v>3000</v>
      </c>
      <c r="I629" s="6">
        <f t="shared" si="49"/>
        <v>372.44294167371089</v>
      </c>
      <c r="J629" s="2" t="s">
        <v>1873</v>
      </c>
      <c r="K629" s="2">
        <v>11.83</v>
      </c>
      <c r="L629" s="2" t="s">
        <v>1021</v>
      </c>
      <c r="M629" s="2" t="s">
        <v>1944</v>
      </c>
      <c r="N629" s="2" t="s">
        <v>1945</v>
      </c>
      <c r="O629" s="56">
        <v>4406</v>
      </c>
      <c r="P629" s="2" t="s">
        <v>1740</v>
      </c>
      <c r="Q629" s="2" t="s">
        <v>1391</v>
      </c>
      <c r="R629" s="2" t="s">
        <v>1946</v>
      </c>
      <c r="S629" s="2" t="s">
        <v>1928</v>
      </c>
      <c r="T629" s="2" t="s">
        <v>1947</v>
      </c>
      <c r="U629" s="2" t="s">
        <v>1948</v>
      </c>
      <c r="V629" s="2" t="s">
        <v>1949</v>
      </c>
      <c r="W629" s="2" t="s">
        <v>1950</v>
      </c>
      <c r="X629" s="2" t="s">
        <v>1951</v>
      </c>
      <c r="Y629" s="2" t="s">
        <v>1952</v>
      </c>
      <c r="Z629" s="2" t="s">
        <v>719</v>
      </c>
      <c r="AA629" s="2" t="s">
        <v>548</v>
      </c>
      <c r="AB629" s="2" t="s">
        <v>1953</v>
      </c>
    </row>
    <row r="630" spans="1:28" x14ac:dyDescent="0.3">
      <c r="A630" s="4">
        <v>46224</v>
      </c>
      <c r="B630" s="8" t="s">
        <v>1827</v>
      </c>
      <c r="C630" s="8" t="s">
        <v>36</v>
      </c>
      <c r="D630" s="8" t="s">
        <v>48</v>
      </c>
      <c r="E630" s="7" t="s">
        <v>38</v>
      </c>
      <c r="F630" s="59">
        <v>2742</v>
      </c>
      <c r="G630" s="59"/>
      <c r="H630" s="6">
        <v>4000</v>
      </c>
      <c r="I630" s="6">
        <f t="shared" si="49"/>
        <v>419.31428571428569</v>
      </c>
      <c r="J630" s="2" t="s">
        <v>1954</v>
      </c>
      <c r="K630" s="2">
        <v>8.75</v>
      </c>
      <c r="L630" s="2" t="s">
        <v>1064</v>
      </c>
      <c r="M630" s="2" t="s">
        <v>1955</v>
      </c>
      <c r="N630" s="2" t="s">
        <v>1956</v>
      </c>
      <c r="O630" s="56">
        <v>3669</v>
      </c>
      <c r="P630" s="2" t="s">
        <v>1957</v>
      </c>
      <c r="Q630" s="2" t="s">
        <v>1958</v>
      </c>
      <c r="R630" s="2" t="s">
        <v>1959</v>
      </c>
      <c r="S630" s="2" t="s">
        <v>567</v>
      </c>
      <c r="T630" s="2" t="s">
        <v>1763</v>
      </c>
      <c r="U630" s="2" t="s">
        <v>1025</v>
      </c>
      <c r="V630" s="2" t="s">
        <v>1960</v>
      </c>
      <c r="W630" s="2" t="s">
        <v>1961</v>
      </c>
      <c r="X630" s="2" t="s">
        <v>1962</v>
      </c>
      <c r="Y630" s="2" t="s">
        <v>1963</v>
      </c>
      <c r="Z630" s="2" t="s">
        <v>649</v>
      </c>
      <c r="AA630" s="2" t="s">
        <v>548</v>
      </c>
      <c r="AB630" s="2" t="s">
        <v>1964</v>
      </c>
    </row>
    <row r="631" spans="1:28" hidden="1" x14ac:dyDescent="0.3">
      <c r="A631" s="4">
        <v>46224</v>
      </c>
      <c r="B631" s="8" t="s">
        <v>1827</v>
      </c>
      <c r="C631" s="8" t="s">
        <v>36</v>
      </c>
      <c r="D631" s="8" t="s">
        <v>49</v>
      </c>
      <c r="E631" s="8" t="s">
        <v>61</v>
      </c>
      <c r="F631" s="59"/>
      <c r="G631" s="59"/>
      <c r="H631" s="6"/>
      <c r="I631" s="6">
        <f t="shared" si="49"/>
        <v>186.76092544987145</v>
      </c>
      <c r="J631" s="2" t="s">
        <v>1708</v>
      </c>
      <c r="K631" s="2">
        <v>7.78</v>
      </c>
      <c r="L631" s="2" t="s">
        <v>955</v>
      </c>
      <c r="M631" s="2" t="s">
        <v>1965</v>
      </c>
      <c r="N631" s="2" t="s">
        <v>1966</v>
      </c>
      <c r="O631" s="56">
        <v>1453</v>
      </c>
      <c r="P631" s="2" t="s">
        <v>1967</v>
      </c>
      <c r="Q631" s="2" t="s">
        <v>1968</v>
      </c>
      <c r="R631" s="2" t="s">
        <v>657</v>
      </c>
      <c r="S631" s="2" t="s">
        <v>961</v>
      </c>
      <c r="T631" s="2" t="s">
        <v>958</v>
      </c>
      <c r="U631" s="2" t="s">
        <v>1077</v>
      </c>
      <c r="V631" s="2" t="s">
        <v>1969</v>
      </c>
      <c r="W631" s="2" t="s">
        <v>1970</v>
      </c>
      <c r="X631" s="2" t="s">
        <v>1971</v>
      </c>
      <c r="Y631" s="2" t="s">
        <v>1972</v>
      </c>
      <c r="Z631" s="2" t="s">
        <v>649</v>
      </c>
      <c r="AA631" s="2" t="s">
        <v>548</v>
      </c>
      <c r="AB631" s="2" t="s">
        <v>1877</v>
      </c>
    </row>
    <row r="632" spans="1:28" hidden="1" x14ac:dyDescent="0.3">
      <c r="A632" s="4">
        <v>46225</v>
      </c>
      <c r="B632" s="8" t="s">
        <v>1827</v>
      </c>
      <c r="C632" s="8" t="s">
        <v>36</v>
      </c>
      <c r="D632" s="8" t="s">
        <v>39</v>
      </c>
      <c r="E632" s="8" t="s">
        <v>47</v>
      </c>
      <c r="F632" s="8"/>
      <c r="G632" s="8"/>
      <c r="H632" s="6">
        <f>15000/6</f>
        <v>2500</v>
      </c>
      <c r="I632" s="6">
        <f t="shared" si="49"/>
        <v>323.89937106918239</v>
      </c>
      <c r="J632" s="2" t="s">
        <v>1973</v>
      </c>
      <c r="K632" s="2">
        <v>7.95</v>
      </c>
      <c r="L632" s="2" t="s">
        <v>585</v>
      </c>
      <c r="M632" s="2" t="s">
        <v>1974</v>
      </c>
      <c r="N632" s="2" t="s">
        <v>1975</v>
      </c>
      <c r="O632" s="56">
        <v>2575</v>
      </c>
      <c r="P632" s="2" t="s">
        <v>1128</v>
      </c>
      <c r="Q632" s="2" t="s">
        <v>1974</v>
      </c>
      <c r="R632" s="2" t="s">
        <v>1976</v>
      </c>
      <c r="S632" s="2" t="s">
        <v>685</v>
      </c>
      <c r="T632" s="2" t="s">
        <v>1015</v>
      </c>
      <c r="U632" s="2" t="s">
        <v>1266</v>
      </c>
      <c r="V632" s="2" t="s">
        <v>1977</v>
      </c>
      <c r="W632" s="2" t="s">
        <v>1978</v>
      </c>
      <c r="X632" s="2" t="s">
        <v>1979</v>
      </c>
      <c r="Y632" s="2" t="s">
        <v>1980</v>
      </c>
      <c r="Z632" s="2" t="s">
        <v>800</v>
      </c>
      <c r="AA632" s="2" t="s">
        <v>548</v>
      </c>
      <c r="AB632" s="2" t="s">
        <v>1981</v>
      </c>
    </row>
    <row r="633" spans="1:28" hidden="1" x14ac:dyDescent="0.3">
      <c r="A633" s="4">
        <v>46225</v>
      </c>
      <c r="B633" s="8" t="s">
        <v>55</v>
      </c>
      <c r="C633" s="8" t="s">
        <v>56</v>
      </c>
      <c r="D633" s="8" t="s">
        <v>43</v>
      </c>
      <c r="E633" s="8" t="s">
        <v>47</v>
      </c>
      <c r="F633" s="8"/>
      <c r="G633" s="8" t="s">
        <v>146</v>
      </c>
      <c r="H633" s="6"/>
      <c r="I633" s="6">
        <f t="shared" si="49"/>
        <v>0</v>
      </c>
      <c r="J633" s="2" t="s">
        <v>1982</v>
      </c>
      <c r="K633" s="2">
        <v>0.12</v>
      </c>
      <c r="L633" s="2" t="s">
        <v>784</v>
      </c>
      <c r="M633" s="2" t="s">
        <v>1983</v>
      </c>
      <c r="N633" s="2" t="s">
        <v>45</v>
      </c>
      <c r="O633" s="79" t="s">
        <v>45</v>
      </c>
      <c r="P633" s="2" t="s">
        <v>45</v>
      </c>
      <c r="Q633" s="2" t="s">
        <v>45</v>
      </c>
      <c r="R633" s="2" t="s">
        <v>820</v>
      </c>
      <c r="S633" s="2" t="s">
        <v>902</v>
      </c>
      <c r="T633" s="2" t="s">
        <v>903</v>
      </c>
      <c r="U633" s="2" t="s">
        <v>583</v>
      </c>
      <c r="V633" s="2" t="s">
        <v>1984</v>
      </c>
      <c r="W633" s="2" t="s">
        <v>1985</v>
      </c>
      <c r="X633" s="2" t="s">
        <v>45</v>
      </c>
      <c r="Y633" s="2" t="s">
        <v>45</v>
      </c>
      <c r="Z633" s="2" t="s">
        <v>548</v>
      </c>
      <c r="AA633" s="2" t="s">
        <v>45</v>
      </c>
      <c r="AB633" s="2" t="s">
        <v>1845</v>
      </c>
    </row>
    <row r="634" spans="1:28" hidden="1" x14ac:dyDescent="0.3">
      <c r="A634" s="4">
        <v>46225</v>
      </c>
      <c r="B634" s="8" t="s">
        <v>1827</v>
      </c>
      <c r="C634" s="8" t="s">
        <v>36</v>
      </c>
      <c r="D634" s="8" t="s">
        <v>67</v>
      </c>
      <c r="E634" s="8" t="s">
        <v>47</v>
      </c>
      <c r="F634" s="59"/>
      <c r="G634" s="59"/>
      <c r="H634" s="6">
        <f>15000/6</f>
        <v>2500</v>
      </c>
      <c r="I634" s="6">
        <f t="shared" si="49"/>
        <v>335.14538558786347</v>
      </c>
      <c r="J634" s="2" t="s">
        <v>1986</v>
      </c>
      <c r="K634" s="2">
        <v>7.91</v>
      </c>
      <c r="L634" s="2" t="s">
        <v>1092</v>
      </c>
      <c r="M634" s="2" t="s">
        <v>1986</v>
      </c>
      <c r="N634" s="2" t="s">
        <v>1987</v>
      </c>
      <c r="O634" s="56">
        <v>2651</v>
      </c>
      <c r="P634" s="2" t="s">
        <v>1988</v>
      </c>
      <c r="Q634" s="2" t="s">
        <v>1805</v>
      </c>
      <c r="R634" s="2" t="s">
        <v>1507</v>
      </c>
      <c r="S634" s="2" t="s">
        <v>582</v>
      </c>
      <c r="T634" s="2" t="s">
        <v>685</v>
      </c>
      <c r="U634" s="2" t="s">
        <v>1989</v>
      </c>
      <c r="V634" s="2" t="s">
        <v>1990</v>
      </c>
      <c r="W634" s="2" t="s">
        <v>1991</v>
      </c>
      <c r="X634" s="2" t="s">
        <v>1992</v>
      </c>
      <c r="Y634" s="2" t="s">
        <v>1993</v>
      </c>
      <c r="Z634" s="2" t="s">
        <v>602</v>
      </c>
      <c r="AA634" s="2" t="s">
        <v>548</v>
      </c>
      <c r="AB634" s="2" t="s">
        <v>1994</v>
      </c>
    </row>
    <row r="635" spans="1:28" hidden="1" x14ac:dyDescent="0.3">
      <c r="A635" s="4">
        <v>46225</v>
      </c>
      <c r="B635" s="8" t="s">
        <v>1827</v>
      </c>
      <c r="C635" s="8" t="s">
        <v>36</v>
      </c>
      <c r="D635" s="8" t="s">
        <v>50</v>
      </c>
      <c r="E635" s="8" t="s">
        <v>47</v>
      </c>
      <c r="F635" s="59"/>
      <c r="G635" s="59"/>
      <c r="H635" s="6">
        <f>15000/6</f>
        <v>2500</v>
      </c>
      <c r="I635" s="6">
        <f t="shared" si="49"/>
        <v>429.45301542776997</v>
      </c>
      <c r="J635" s="2" t="s">
        <v>1585</v>
      </c>
      <c r="K635" s="2">
        <v>7.13</v>
      </c>
      <c r="L635" s="2" t="s">
        <v>777</v>
      </c>
      <c r="M635" s="2" t="s">
        <v>1995</v>
      </c>
      <c r="N635" s="2" t="s">
        <v>1709</v>
      </c>
      <c r="O635" s="56">
        <v>3062</v>
      </c>
      <c r="P635" s="2" t="s">
        <v>1996</v>
      </c>
      <c r="Q635" s="2" t="s">
        <v>1997</v>
      </c>
      <c r="R635" s="2" t="s">
        <v>1998</v>
      </c>
      <c r="S635" s="2" t="s">
        <v>658</v>
      </c>
      <c r="T635" s="2" t="s">
        <v>1267</v>
      </c>
      <c r="U635" s="2" t="s">
        <v>986</v>
      </c>
      <c r="V635" s="2" t="s">
        <v>1999</v>
      </c>
      <c r="W635" s="2" t="s">
        <v>2000</v>
      </c>
      <c r="X635" s="2" t="s">
        <v>2001</v>
      </c>
      <c r="Y635" s="2" t="s">
        <v>2002</v>
      </c>
      <c r="Z635" s="2" t="s">
        <v>602</v>
      </c>
      <c r="AA635" s="2" t="s">
        <v>548</v>
      </c>
      <c r="AB635" s="2" t="s">
        <v>2003</v>
      </c>
    </row>
    <row r="636" spans="1:28" hidden="1" x14ac:dyDescent="0.3">
      <c r="A636" s="4">
        <v>46225</v>
      </c>
      <c r="B636" s="8" t="s">
        <v>1827</v>
      </c>
      <c r="C636" s="8" t="s">
        <v>36</v>
      </c>
      <c r="D636" s="8" t="s">
        <v>52</v>
      </c>
      <c r="E636" s="8" t="s">
        <v>47</v>
      </c>
      <c r="F636" s="59"/>
      <c r="G636" s="59"/>
      <c r="H636" s="6">
        <f>15000/6</f>
        <v>2500</v>
      </c>
      <c r="I636" s="6">
        <f t="shared" si="49"/>
        <v>286.3291139240506</v>
      </c>
      <c r="J636" s="2" t="s">
        <v>2004</v>
      </c>
      <c r="K636" s="2">
        <v>7.9</v>
      </c>
      <c r="L636" s="2" t="s">
        <v>561</v>
      </c>
      <c r="M636" s="2" t="s">
        <v>2005</v>
      </c>
      <c r="N636" s="2" t="s">
        <v>2006</v>
      </c>
      <c r="O636" s="56">
        <v>2262</v>
      </c>
      <c r="P636" s="2" t="s">
        <v>2007</v>
      </c>
      <c r="Q636" s="2" t="s">
        <v>2008</v>
      </c>
      <c r="R636" s="2" t="s">
        <v>2009</v>
      </c>
      <c r="S636" s="2" t="s">
        <v>582</v>
      </c>
      <c r="T636" s="2" t="s">
        <v>726</v>
      </c>
      <c r="U636" s="2" t="s">
        <v>2010</v>
      </c>
      <c r="V636" s="2" t="s">
        <v>2011</v>
      </c>
      <c r="W636" s="2" t="s">
        <v>2012</v>
      </c>
      <c r="X636" s="2" t="s">
        <v>2013</v>
      </c>
      <c r="Y636" s="2" t="s">
        <v>2014</v>
      </c>
      <c r="Z636" s="2" t="s">
        <v>602</v>
      </c>
      <c r="AA636" s="2" t="s">
        <v>548</v>
      </c>
      <c r="AB636" s="2" t="s">
        <v>2015</v>
      </c>
    </row>
    <row r="637" spans="1:28" hidden="1" x14ac:dyDescent="0.3">
      <c r="A637" s="4">
        <v>46225</v>
      </c>
      <c r="B637" s="8" t="s">
        <v>1827</v>
      </c>
      <c r="C637" s="8" t="s">
        <v>36</v>
      </c>
      <c r="D637" s="8" t="s">
        <v>46</v>
      </c>
      <c r="E637" s="8" t="s">
        <v>47</v>
      </c>
      <c r="F637" s="59"/>
      <c r="G637" s="59"/>
      <c r="H637" s="6">
        <f>15000/6</f>
        <v>2500</v>
      </c>
      <c r="I637" s="6">
        <f t="shared" si="49"/>
        <v>383.79416282642092</v>
      </c>
      <c r="J637" s="2" t="s">
        <v>1480</v>
      </c>
      <c r="K637" s="2">
        <v>13.02</v>
      </c>
      <c r="L637" s="2" t="s">
        <v>971</v>
      </c>
      <c r="M637" s="2" t="s">
        <v>1565</v>
      </c>
      <c r="N637" s="2" t="s">
        <v>2016</v>
      </c>
      <c r="O637" s="56">
        <v>4997</v>
      </c>
      <c r="P637" s="2" t="s">
        <v>1131</v>
      </c>
      <c r="Q637" s="2" t="s">
        <v>2017</v>
      </c>
      <c r="R637" s="2" t="s">
        <v>2018</v>
      </c>
      <c r="S637" s="2" t="s">
        <v>793</v>
      </c>
      <c r="T637" s="2" t="s">
        <v>961</v>
      </c>
      <c r="U637" s="2" t="s">
        <v>2019</v>
      </c>
      <c r="V637" s="2" t="s">
        <v>674</v>
      </c>
      <c r="W637" s="2" t="s">
        <v>2020</v>
      </c>
      <c r="X637" s="2" t="s">
        <v>2021</v>
      </c>
      <c r="Y637" s="2" t="s">
        <v>2022</v>
      </c>
      <c r="Z637" s="2" t="s">
        <v>719</v>
      </c>
      <c r="AA637" s="2" t="s">
        <v>548</v>
      </c>
      <c r="AB637" s="2" t="s">
        <v>2023</v>
      </c>
    </row>
    <row r="638" spans="1:28" x14ac:dyDescent="0.3">
      <c r="A638" s="4">
        <v>46225</v>
      </c>
      <c r="B638" s="8" t="s">
        <v>1827</v>
      </c>
      <c r="C638" s="8" t="s">
        <v>36</v>
      </c>
      <c r="D638" s="8" t="s">
        <v>48</v>
      </c>
      <c r="E638" s="7" t="s">
        <v>38</v>
      </c>
      <c r="F638" s="59">
        <v>3249</v>
      </c>
      <c r="G638" s="59"/>
      <c r="H638" s="6">
        <v>4000</v>
      </c>
      <c r="I638" s="6">
        <f t="shared" si="49"/>
        <v>454.41176470588232</v>
      </c>
      <c r="J638" s="2" t="s">
        <v>2024</v>
      </c>
      <c r="K638" s="2">
        <v>8.16</v>
      </c>
      <c r="L638" s="2" t="s">
        <v>608</v>
      </c>
      <c r="M638" s="2" t="s">
        <v>2025</v>
      </c>
      <c r="N638" s="2" t="s">
        <v>2026</v>
      </c>
      <c r="O638" s="56">
        <v>3708</v>
      </c>
      <c r="P638" s="2" t="s">
        <v>2027</v>
      </c>
      <c r="Q638" s="2" t="s">
        <v>2028</v>
      </c>
      <c r="R638" s="2" t="s">
        <v>2029</v>
      </c>
      <c r="S638" s="2" t="s">
        <v>1256</v>
      </c>
      <c r="T638" s="2" t="s">
        <v>2030</v>
      </c>
      <c r="U638" s="2" t="s">
        <v>1638</v>
      </c>
      <c r="V638" s="2" t="s">
        <v>2031</v>
      </c>
      <c r="W638" s="2" t="s">
        <v>2032</v>
      </c>
      <c r="X638" s="2" t="s">
        <v>2033</v>
      </c>
      <c r="Y638" s="2" t="s">
        <v>2034</v>
      </c>
      <c r="Z638" s="2" t="s">
        <v>548</v>
      </c>
      <c r="AA638" s="2" t="s">
        <v>548</v>
      </c>
      <c r="AB638" s="2" t="s">
        <v>1964</v>
      </c>
    </row>
    <row r="639" spans="1:28" hidden="1" x14ac:dyDescent="0.3">
      <c r="A639" s="4">
        <v>46225</v>
      </c>
      <c r="B639" s="8" t="s">
        <v>1827</v>
      </c>
      <c r="C639" s="8" t="s">
        <v>36</v>
      </c>
      <c r="D639" s="8" t="s">
        <v>49</v>
      </c>
      <c r="E639" s="8" t="s">
        <v>47</v>
      </c>
      <c r="F639" s="59"/>
      <c r="G639" s="59"/>
      <c r="H639" s="6">
        <f>15000/6</f>
        <v>2500</v>
      </c>
      <c r="I639" s="6">
        <f t="shared" si="49"/>
        <v>360.56338028169017</v>
      </c>
      <c r="J639" s="2" t="s">
        <v>642</v>
      </c>
      <c r="K639" s="2">
        <v>6.39</v>
      </c>
      <c r="L639" s="2" t="s">
        <v>706</v>
      </c>
      <c r="M639" s="2" t="s">
        <v>1147</v>
      </c>
      <c r="N639" s="2" t="s">
        <v>2035</v>
      </c>
      <c r="O639" s="56">
        <v>2304</v>
      </c>
      <c r="P639" s="2" t="s">
        <v>2036</v>
      </c>
      <c r="Q639" s="2" t="s">
        <v>2037</v>
      </c>
      <c r="R639" s="2" t="s">
        <v>2038</v>
      </c>
      <c r="S639" s="2" t="s">
        <v>1256</v>
      </c>
      <c r="T639" s="2" t="s">
        <v>2039</v>
      </c>
      <c r="U639" s="2" t="s">
        <v>2040</v>
      </c>
      <c r="V639" s="2" t="s">
        <v>2041</v>
      </c>
      <c r="W639" s="2" t="s">
        <v>2042</v>
      </c>
      <c r="X639" s="2" t="s">
        <v>2043</v>
      </c>
      <c r="Y639" s="2" t="s">
        <v>2044</v>
      </c>
      <c r="Z639" s="2" t="s">
        <v>548</v>
      </c>
      <c r="AA639" s="2" t="s">
        <v>548</v>
      </c>
      <c r="AB639" s="2" t="s">
        <v>1877</v>
      </c>
    </row>
    <row r="640" spans="1:28" hidden="1" x14ac:dyDescent="0.3">
      <c r="A640" s="4">
        <v>46226</v>
      </c>
      <c r="B640" s="8" t="s">
        <v>1827</v>
      </c>
      <c r="C640" s="8" t="s">
        <v>36</v>
      </c>
      <c r="D640" s="8" t="s">
        <v>39</v>
      </c>
      <c r="E640" s="8" t="s">
        <v>47</v>
      </c>
      <c r="F640" s="8"/>
      <c r="G640" s="8"/>
      <c r="H640" s="6">
        <f>15000/6</f>
        <v>2500</v>
      </c>
      <c r="I640" s="6">
        <f t="shared" si="49"/>
        <v>351.77595628415298</v>
      </c>
      <c r="J640" s="2" t="s">
        <v>1054</v>
      </c>
      <c r="K640" s="2">
        <v>7.32</v>
      </c>
      <c r="L640" s="2" t="s">
        <v>1696</v>
      </c>
      <c r="M640" s="2" t="s">
        <v>2045</v>
      </c>
      <c r="N640" s="2" t="s">
        <v>654</v>
      </c>
      <c r="O640" s="56">
        <v>2575</v>
      </c>
      <c r="P640" s="2" t="s">
        <v>790</v>
      </c>
      <c r="Q640" s="2" t="s">
        <v>1232</v>
      </c>
      <c r="R640" s="2" t="s">
        <v>2046</v>
      </c>
      <c r="S640" s="2" t="s">
        <v>595</v>
      </c>
      <c r="T640" s="2" t="s">
        <v>595</v>
      </c>
      <c r="U640" s="2" t="s">
        <v>1443</v>
      </c>
      <c r="V640" s="2" t="s">
        <v>1165</v>
      </c>
      <c r="W640" s="2" t="s">
        <v>2047</v>
      </c>
      <c r="X640" s="2" t="s">
        <v>2048</v>
      </c>
      <c r="Y640" s="2" t="s">
        <v>2049</v>
      </c>
      <c r="Z640" s="2" t="s">
        <v>649</v>
      </c>
      <c r="AA640" s="2" t="s">
        <v>548</v>
      </c>
      <c r="AB640" s="2" t="s">
        <v>2050</v>
      </c>
    </row>
    <row r="641" spans="1:28" hidden="1" x14ac:dyDescent="0.3">
      <c r="A641" s="4">
        <v>46226</v>
      </c>
      <c r="B641" s="8" t="s">
        <v>55</v>
      </c>
      <c r="C641" s="8" t="s">
        <v>56</v>
      </c>
      <c r="D641" s="8" t="s">
        <v>43</v>
      </c>
      <c r="E641" s="8" t="s">
        <v>47</v>
      </c>
      <c r="F641" s="8"/>
      <c r="G641" s="8" t="s">
        <v>146</v>
      </c>
      <c r="H641" s="6"/>
      <c r="I641" s="6">
        <f t="shared" si="49"/>
        <v>0</v>
      </c>
      <c r="J641" s="2" t="s">
        <v>2051</v>
      </c>
      <c r="K641" s="2">
        <v>0.04</v>
      </c>
      <c r="L641" s="2" t="s">
        <v>618</v>
      </c>
      <c r="M641" s="2" t="s">
        <v>2052</v>
      </c>
      <c r="N641" s="2" t="s">
        <v>45</v>
      </c>
      <c r="O641" s="79" t="s">
        <v>45</v>
      </c>
      <c r="P641" s="2" t="s">
        <v>45</v>
      </c>
      <c r="Q641" s="2" t="s">
        <v>45</v>
      </c>
      <c r="R641" s="2" t="s">
        <v>595</v>
      </c>
      <c r="S641" s="2" t="s">
        <v>749</v>
      </c>
      <c r="T641" s="2" t="s">
        <v>839</v>
      </c>
      <c r="U641" s="2" t="s">
        <v>585</v>
      </c>
      <c r="V641" s="2" t="s">
        <v>2053</v>
      </c>
      <c r="W641" s="2" t="s">
        <v>2054</v>
      </c>
      <c r="X641" s="2" t="s">
        <v>45</v>
      </c>
      <c r="Y641" s="2" t="s">
        <v>45</v>
      </c>
      <c r="Z641" s="2" t="s">
        <v>548</v>
      </c>
      <c r="AA641" s="2" t="s">
        <v>45</v>
      </c>
      <c r="AB641" s="2" t="s">
        <v>1845</v>
      </c>
    </row>
    <row r="642" spans="1:28" hidden="1" x14ac:dyDescent="0.3">
      <c r="A642" s="4">
        <v>46226</v>
      </c>
      <c r="B642" s="8" t="s">
        <v>1827</v>
      </c>
      <c r="C642" s="8" t="s">
        <v>36</v>
      </c>
      <c r="D642" s="8" t="s">
        <v>67</v>
      </c>
      <c r="E642" s="8" t="s">
        <v>47</v>
      </c>
      <c r="F642" s="59"/>
      <c r="G642" s="59"/>
      <c r="H642" s="6">
        <f>15000/6</f>
        <v>2500</v>
      </c>
      <c r="I642" s="6">
        <f t="shared" si="49"/>
        <v>306.17906683480453</v>
      </c>
      <c r="J642" s="2" t="s">
        <v>1116</v>
      </c>
      <c r="K642" s="2">
        <v>7.93</v>
      </c>
      <c r="L642" s="2" t="s">
        <v>602</v>
      </c>
      <c r="M642" s="2" t="s">
        <v>2055</v>
      </c>
      <c r="N642" s="2" t="s">
        <v>2056</v>
      </c>
      <c r="O642" s="56">
        <v>2428</v>
      </c>
      <c r="P642" s="2" t="s">
        <v>2057</v>
      </c>
      <c r="Q642" s="2" t="s">
        <v>1075</v>
      </c>
      <c r="R642" s="2" t="s">
        <v>2058</v>
      </c>
      <c r="S642" s="2" t="s">
        <v>749</v>
      </c>
      <c r="T642" s="2" t="s">
        <v>919</v>
      </c>
      <c r="U642" s="2" t="s">
        <v>2059</v>
      </c>
      <c r="V642" s="2" t="s">
        <v>698</v>
      </c>
      <c r="W642" s="2" t="s">
        <v>2060</v>
      </c>
      <c r="X642" s="2" t="s">
        <v>2061</v>
      </c>
      <c r="Y642" s="2" t="s">
        <v>2062</v>
      </c>
      <c r="Z642" s="2" t="s">
        <v>636</v>
      </c>
      <c r="AA642" s="2" t="s">
        <v>548</v>
      </c>
      <c r="AB642" s="2" t="s">
        <v>2063</v>
      </c>
    </row>
    <row r="643" spans="1:28" hidden="1" x14ac:dyDescent="0.3">
      <c r="A643" s="4">
        <v>46226</v>
      </c>
      <c r="B643" s="8" t="s">
        <v>1827</v>
      </c>
      <c r="C643" s="8" t="s">
        <v>36</v>
      </c>
      <c r="D643" s="8" t="s">
        <v>50</v>
      </c>
      <c r="E643" s="8" t="s">
        <v>47</v>
      </c>
      <c r="F643" s="59"/>
      <c r="G643" s="59"/>
      <c r="H643" s="6">
        <f>15000/6</f>
        <v>2500</v>
      </c>
      <c r="I643" s="6">
        <f t="shared" si="49"/>
        <v>379.71223021582733</v>
      </c>
      <c r="J643" s="2" t="s">
        <v>1126</v>
      </c>
      <c r="K643" s="2">
        <v>6.95</v>
      </c>
      <c r="L643" s="2" t="s">
        <v>1502</v>
      </c>
      <c r="M643" s="2" t="s">
        <v>2064</v>
      </c>
      <c r="N643" s="2" t="s">
        <v>2065</v>
      </c>
      <c r="O643" s="56">
        <v>2639</v>
      </c>
      <c r="P643" s="2" t="s">
        <v>926</v>
      </c>
      <c r="Q643" s="2" t="s">
        <v>2066</v>
      </c>
      <c r="R643" s="2" t="s">
        <v>626</v>
      </c>
      <c r="S643" s="2" t="s">
        <v>567</v>
      </c>
      <c r="T643" s="2" t="s">
        <v>1855</v>
      </c>
      <c r="U643" s="2" t="s">
        <v>1471</v>
      </c>
      <c r="V643" s="2" t="s">
        <v>2067</v>
      </c>
      <c r="W643" s="2" t="s">
        <v>2068</v>
      </c>
      <c r="X643" s="2" t="s">
        <v>2069</v>
      </c>
      <c r="Y643" s="2" t="s">
        <v>2070</v>
      </c>
      <c r="Z643" s="2" t="s">
        <v>690</v>
      </c>
      <c r="AA643" s="2" t="s">
        <v>548</v>
      </c>
      <c r="AB643" s="2" t="s">
        <v>2071</v>
      </c>
    </row>
    <row r="644" spans="1:28" hidden="1" x14ac:dyDescent="0.3">
      <c r="A644" s="4">
        <v>46226</v>
      </c>
      <c r="B644" s="8" t="s">
        <v>1827</v>
      </c>
      <c r="C644" s="8" t="s">
        <v>36</v>
      </c>
      <c r="D644" s="8" t="s">
        <v>52</v>
      </c>
      <c r="E644" s="8" t="s">
        <v>47</v>
      </c>
      <c r="F644" s="59"/>
      <c r="G644" s="59"/>
      <c r="H644" s="6">
        <f>15000/6</f>
        <v>2500</v>
      </c>
      <c r="I644" s="6">
        <f t="shared" si="49"/>
        <v>292.31770833333337</v>
      </c>
      <c r="J644" s="2" t="s">
        <v>1862</v>
      </c>
      <c r="K644" s="2">
        <v>7.68</v>
      </c>
      <c r="L644" s="2" t="s">
        <v>621</v>
      </c>
      <c r="M644" s="2" t="s">
        <v>2072</v>
      </c>
      <c r="N644" s="2" t="s">
        <v>2073</v>
      </c>
      <c r="O644" s="56">
        <v>2245</v>
      </c>
      <c r="P644" s="2" t="s">
        <v>1818</v>
      </c>
      <c r="Q644" s="2" t="s">
        <v>2074</v>
      </c>
      <c r="R644" s="2" t="s">
        <v>1406</v>
      </c>
      <c r="S644" s="2" t="s">
        <v>749</v>
      </c>
      <c r="T644" s="2" t="s">
        <v>1043</v>
      </c>
      <c r="U644" s="2" t="s">
        <v>1132</v>
      </c>
      <c r="V644" s="2" t="s">
        <v>1767</v>
      </c>
      <c r="W644" s="2" t="s">
        <v>2075</v>
      </c>
      <c r="X644" s="2" t="s">
        <v>2076</v>
      </c>
      <c r="Y644" s="2" t="s">
        <v>2077</v>
      </c>
      <c r="Z644" s="2" t="s">
        <v>800</v>
      </c>
      <c r="AA644" s="2" t="s">
        <v>548</v>
      </c>
      <c r="AB644" s="2" t="s">
        <v>2078</v>
      </c>
    </row>
    <row r="645" spans="1:28" hidden="1" x14ac:dyDescent="0.3">
      <c r="A645" s="4">
        <v>46226</v>
      </c>
      <c r="B645" s="8" t="s">
        <v>1827</v>
      </c>
      <c r="C645" s="8" t="s">
        <v>36</v>
      </c>
      <c r="D645" s="8" t="s">
        <v>46</v>
      </c>
      <c r="E645" s="8" t="s">
        <v>47</v>
      </c>
      <c r="F645" s="59"/>
      <c r="G645" s="59"/>
      <c r="H645" s="6">
        <f>15000/6</f>
        <v>2500</v>
      </c>
      <c r="I645" s="6">
        <f t="shared" si="49"/>
        <v>290.13091641490433</v>
      </c>
      <c r="J645" s="2" t="s">
        <v>2079</v>
      </c>
      <c r="K645" s="2">
        <v>9.93</v>
      </c>
      <c r="L645" s="2" t="s">
        <v>726</v>
      </c>
      <c r="M645" s="2" t="s">
        <v>2080</v>
      </c>
      <c r="N645" s="2" t="s">
        <v>2081</v>
      </c>
      <c r="O645" s="56">
        <v>2881</v>
      </c>
      <c r="P645" s="2" t="s">
        <v>1131</v>
      </c>
      <c r="Q645" s="2" t="s">
        <v>1324</v>
      </c>
      <c r="R645" s="2" t="s">
        <v>2082</v>
      </c>
      <c r="S645" s="2" t="s">
        <v>2083</v>
      </c>
      <c r="T645" s="2" t="s">
        <v>1508</v>
      </c>
      <c r="U645" s="2" t="s">
        <v>2084</v>
      </c>
      <c r="V645" s="2" t="s">
        <v>2085</v>
      </c>
      <c r="W645" s="2" t="s">
        <v>2086</v>
      </c>
      <c r="X645" s="2" t="s">
        <v>2087</v>
      </c>
      <c r="Y645" s="2" t="s">
        <v>2088</v>
      </c>
      <c r="Z645" s="2" t="s">
        <v>1595</v>
      </c>
      <c r="AA645" s="2" t="s">
        <v>548</v>
      </c>
      <c r="AB645" s="2" t="s">
        <v>2089</v>
      </c>
    </row>
    <row r="646" spans="1:28" x14ac:dyDescent="0.3">
      <c r="A646" s="4">
        <v>46226</v>
      </c>
      <c r="B646" s="8" t="s">
        <v>1827</v>
      </c>
      <c r="C646" s="8" t="s">
        <v>36</v>
      </c>
      <c r="D646" s="8" t="s">
        <v>48</v>
      </c>
      <c r="E646" s="7" t="s">
        <v>38</v>
      </c>
      <c r="F646" s="59">
        <v>3341</v>
      </c>
      <c r="G646" s="59"/>
      <c r="H646" s="6">
        <v>4000</v>
      </c>
      <c r="I646" s="6">
        <f t="shared" si="49"/>
        <v>543.23144104803498</v>
      </c>
      <c r="J646" s="2" t="s">
        <v>2090</v>
      </c>
      <c r="K646" s="2">
        <v>6.87</v>
      </c>
      <c r="L646" s="2" t="s">
        <v>817</v>
      </c>
      <c r="M646" s="2" t="s">
        <v>2091</v>
      </c>
      <c r="N646" s="2" t="s">
        <v>2092</v>
      </c>
      <c r="O646" s="56">
        <v>3732</v>
      </c>
      <c r="P646" s="2" t="s">
        <v>2093</v>
      </c>
      <c r="Q646" s="2" t="s">
        <v>1275</v>
      </c>
      <c r="R646" s="2" t="s">
        <v>2094</v>
      </c>
      <c r="S646" s="2" t="s">
        <v>902</v>
      </c>
      <c r="T646" s="2" t="s">
        <v>2095</v>
      </c>
      <c r="U646" s="2" t="s">
        <v>739</v>
      </c>
      <c r="V646" s="2" t="s">
        <v>2096</v>
      </c>
      <c r="W646" s="2" t="s">
        <v>2097</v>
      </c>
      <c r="X646" s="2" t="s">
        <v>2098</v>
      </c>
      <c r="Y646" s="2" t="s">
        <v>2099</v>
      </c>
      <c r="Z646" s="2" t="s">
        <v>649</v>
      </c>
      <c r="AA646" s="2" t="s">
        <v>548</v>
      </c>
      <c r="AB646" s="2" t="s">
        <v>2100</v>
      </c>
    </row>
    <row r="647" spans="1:28" hidden="1" x14ac:dyDescent="0.3">
      <c r="A647" s="4">
        <v>46226</v>
      </c>
      <c r="B647" s="8" t="s">
        <v>1827</v>
      </c>
      <c r="C647" s="8" t="s">
        <v>36</v>
      </c>
      <c r="D647" s="8" t="s">
        <v>49</v>
      </c>
      <c r="E647" s="8" t="s">
        <v>47</v>
      </c>
      <c r="F647" s="59"/>
      <c r="G647" s="59"/>
      <c r="H647" s="6">
        <f>15000/6</f>
        <v>2500</v>
      </c>
      <c r="I647" s="6">
        <f t="shared" si="49"/>
        <v>232.70622286541243</v>
      </c>
      <c r="J647" s="2" t="s">
        <v>2101</v>
      </c>
      <c r="K647" s="2">
        <v>6.91</v>
      </c>
      <c r="L647" s="2" t="s">
        <v>955</v>
      </c>
      <c r="M647" s="2" t="s">
        <v>2102</v>
      </c>
      <c r="N647" s="2" t="s">
        <v>2103</v>
      </c>
      <c r="O647" s="56">
        <v>1608</v>
      </c>
      <c r="P647" s="2" t="s">
        <v>1847</v>
      </c>
      <c r="Q647" s="2" t="s">
        <v>2104</v>
      </c>
      <c r="R647" s="2" t="s">
        <v>2105</v>
      </c>
      <c r="S647" s="2" t="s">
        <v>567</v>
      </c>
      <c r="T647" s="2" t="s">
        <v>1160</v>
      </c>
      <c r="U647" s="2" t="s">
        <v>2106</v>
      </c>
      <c r="V647" s="2" t="s">
        <v>2107</v>
      </c>
      <c r="W647" s="2" t="s">
        <v>2108</v>
      </c>
      <c r="X647" s="2" t="s">
        <v>2109</v>
      </c>
      <c r="Y647" s="2" t="s">
        <v>2110</v>
      </c>
      <c r="Z647" s="2" t="s">
        <v>548</v>
      </c>
      <c r="AA647" s="2" t="s">
        <v>548</v>
      </c>
      <c r="AB647" s="2" t="s">
        <v>1877</v>
      </c>
    </row>
    <row r="648" spans="1:28" hidden="1" x14ac:dyDescent="0.3">
      <c r="A648" s="4">
        <v>46227</v>
      </c>
      <c r="B648" s="8" t="s">
        <v>1827</v>
      </c>
      <c r="C648" s="8" t="s">
        <v>36</v>
      </c>
      <c r="D648" s="8" t="s">
        <v>39</v>
      </c>
      <c r="E648" s="8" t="s">
        <v>47</v>
      </c>
      <c r="F648" s="59"/>
      <c r="G648" s="8"/>
      <c r="H648" s="6">
        <f t="shared" ref="H648:H653" si="51">15000/7</f>
        <v>2142.8571428571427</v>
      </c>
      <c r="I648" s="6">
        <f t="shared" si="49"/>
        <v>348.83720930232556</v>
      </c>
      <c r="J648" s="2" t="s">
        <v>2111</v>
      </c>
      <c r="K648" s="2">
        <v>7.74</v>
      </c>
      <c r="L648" s="2" t="s">
        <v>589</v>
      </c>
      <c r="M648" s="2" t="s">
        <v>2112</v>
      </c>
      <c r="N648" s="2" t="s">
        <v>2113</v>
      </c>
      <c r="O648" s="56">
        <v>2700</v>
      </c>
      <c r="P648" s="2" t="s">
        <v>2114</v>
      </c>
      <c r="Q648" s="2" t="s">
        <v>2115</v>
      </c>
      <c r="R648" s="2" t="s">
        <v>1998</v>
      </c>
      <c r="S648" s="2" t="s">
        <v>567</v>
      </c>
      <c r="T648" s="2" t="s">
        <v>2116</v>
      </c>
      <c r="U648" s="2" t="s">
        <v>995</v>
      </c>
      <c r="V648" s="2" t="s">
        <v>2117</v>
      </c>
      <c r="W648" s="2" t="s">
        <v>2118</v>
      </c>
      <c r="X648" s="2" t="s">
        <v>2119</v>
      </c>
      <c r="Y648" s="2" t="s">
        <v>2120</v>
      </c>
      <c r="Z648" s="2" t="s">
        <v>561</v>
      </c>
      <c r="AA648" s="2" t="s">
        <v>548</v>
      </c>
      <c r="AB648" s="2" t="s">
        <v>2121</v>
      </c>
    </row>
    <row r="649" spans="1:28" hidden="1" x14ac:dyDescent="0.3">
      <c r="A649" s="4">
        <v>46227</v>
      </c>
      <c r="B649" s="8" t="s">
        <v>1827</v>
      </c>
      <c r="C649" s="8" t="s">
        <v>36</v>
      </c>
      <c r="D649" s="8" t="s">
        <v>43</v>
      </c>
      <c r="E649" s="8" t="s">
        <v>47</v>
      </c>
      <c r="F649" s="59"/>
      <c r="G649" s="59"/>
      <c r="H649" s="6">
        <f t="shared" si="51"/>
        <v>2142.8571428571427</v>
      </c>
      <c r="I649" s="6">
        <f t="shared" si="49"/>
        <v>92.936802973977692</v>
      </c>
      <c r="J649" s="2" t="s">
        <v>2122</v>
      </c>
      <c r="K649" s="2">
        <v>2.69</v>
      </c>
      <c r="L649" s="2" t="s">
        <v>636</v>
      </c>
      <c r="M649" s="2" t="s">
        <v>1246</v>
      </c>
      <c r="N649" s="2" t="s">
        <v>45</v>
      </c>
      <c r="O649" s="79">
        <v>250</v>
      </c>
      <c r="P649" s="2" t="s">
        <v>45</v>
      </c>
      <c r="Q649" s="2" t="s">
        <v>45</v>
      </c>
      <c r="R649" s="2" t="s">
        <v>2123</v>
      </c>
      <c r="S649" s="2" t="s">
        <v>961</v>
      </c>
      <c r="T649" s="2" t="s">
        <v>685</v>
      </c>
      <c r="U649" s="2" t="s">
        <v>2124</v>
      </c>
      <c r="V649" s="2" t="s">
        <v>769</v>
      </c>
      <c r="W649" s="2" t="s">
        <v>2125</v>
      </c>
      <c r="X649" s="2" t="s">
        <v>45</v>
      </c>
      <c r="Y649" s="2" t="s">
        <v>45</v>
      </c>
      <c r="Z649" s="2" t="s">
        <v>548</v>
      </c>
      <c r="AA649" s="2" t="s">
        <v>45</v>
      </c>
      <c r="AB649" s="2" t="s">
        <v>1845</v>
      </c>
    </row>
    <row r="650" spans="1:28" hidden="1" x14ac:dyDescent="0.3">
      <c r="A650" s="4">
        <v>46227</v>
      </c>
      <c r="B650" s="8" t="s">
        <v>1827</v>
      </c>
      <c r="C650" s="8" t="s">
        <v>36</v>
      </c>
      <c r="D650" s="8" t="s">
        <v>67</v>
      </c>
      <c r="E650" s="8" t="s">
        <v>47</v>
      </c>
      <c r="F650" s="59"/>
      <c r="G650" s="59"/>
      <c r="H650" s="6">
        <f t="shared" si="51"/>
        <v>2142.8571428571427</v>
      </c>
      <c r="I650" s="6">
        <f t="shared" si="49"/>
        <v>252.41379310344828</v>
      </c>
      <c r="J650" s="2" t="s">
        <v>2126</v>
      </c>
      <c r="K650" s="2">
        <v>5.8</v>
      </c>
      <c r="L650" s="2" t="s">
        <v>678</v>
      </c>
      <c r="M650" s="2" t="s">
        <v>2127</v>
      </c>
      <c r="N650" s="2" t="s">
        <v>2128</v>
      </c>
      <c r="O650" s="79">
        <v>1464</v>
      </c>
      <c r="P650" s="2" t="s">
        <v>993</v>
      </c>
      <c r="Q650" s="2" t="s">
        <v>2129</v>
      </c>
      <c r="R650" s="2" t="s">
        <v>1192</v>
      </c>
      <c r="S650" s="2" t="s">
        <v>658</v>
      </c>
      <c r="T650" s="2" t="s">
        <v>1058</v>
      </c>
      <c r="U650" s="2" t="s">
        <v>1856</v>
      </c>
      <c r="V650" s="2" t="s">
        <v>2130</v>
      </c>
      <c r="W650" s="2" t="s">
        <v>2131</v>
      </c>
      <c r="X650" s="2" t="s">
        <v>2132</v>
      </c>
      <c r="Y650" s="2" t="s">
        <v>2133</v>
      </c>
      <c r="Z650" s="2" t="s">
        <v>602</v>
      </c>
      <c r="AA650" s="2" t="s">
        <v>548</v>
      </c>
      <c r="AB650" s="2" t="s">
        <v>2134</v>
      </c>
    </row>
    <row r="651" spans="1:28" hidden="1" x14ac:dyDescent="0.3">
      <c r="A651" s="4">
        <v>46227</v>
      </c>
      <c r="B651" s="8" t="s">
        <v>1827</v>
      </c>
      <c r="C651" s="8" t="s">
        <v>36</v>
      </c>
      <c r="D651" s="8" t="s">
        <v>50</v>
      </c>
      <c r="E651" s="8" t="s">
        <v>47</v>
      </c>
      <c r="F651" s="59"/>
      <c r="G651" s="59"/>
      <c r="H651" s="6">
        <f t="shared" si="51"/>
        <v>2142.8571428571427</v>
      </c>
      <c r="I651" s="6">
        <f t="shared" si="49"/>
        <v>409.73451327433628</v>
      </c>
      <c r="J651" s="2" t="s">
        <v>2135</v>
      </c>
      <c r="K651" s="2">
        <v>6.78</v>
      </c>
      <c r="L651" s="2" t="s">
        <v>706</v>
      </c>
      <c r="M651" s="2" t="s">
        <v>2136</v>
      </c>
      <c r="N651" s="2" t="s">
        <v>2137</v>
      </c>
      <c r="O651" s="56">
        <v>2778</v>
      </c>
      <c r="P651" s="2" t="s">
        <v>1333</v>
      </c>
      <c r="Q651" s="2" t="s">
        <v>2138</v>
      </c>
      <c r="R651" s="2" t="s">
        <v>1628</v>
      </c>
      <c r="S651" s="2" t="s">
        <v>961</v>
      </c>
      <c r="T651" s="2" t="s">
        <v>809</v>
      </c>
      <c r="U651" s="2" t="s">
        <v>2139</v>
      </c>
      <c r="V651" s="2" t="s">
        <v>1538</v>
      </c>
      <c r="W651" s="2" t="s">
        <v>2140</v>
      </c>
      <c r="X651" s="2" t="s">
        <v>2141</v>
      </c>
      <c r="Y651" s="2" t="s">
        <v>2142</v>
      </c>
      <c r="Z651" s="2" t="s">
        <v>602</v>
      </c>
      <c r="AA651" s="2" t="s">
        <v>548</v>
      </c>
      <c r="AB651" s="2" t="s">
        <v>2143</v>
      </c>
    </row>
    <row r="652" spans="1:28" hidden="1" x14ac:dyDescent="0.3">
      <c r="A652" s="4">
        <v>46227</v>
      </c>
      <c r="B652" s="8" t="s">
        <v>1827</v>
      </c>
      <c r="C652" s="8" t="s">
        <v>36</v>
      </c>
      <c r="D652" s="8" t="s">
        <v>52</v>
      </c>
      <c r="E652" s="8" t="s">
        <v>47</v>
      </c>
      <c r="F652" s="59"/>
      <c r="G652" s="59"/>
      <c r="H652" s="6">
        <f t="shared" si="51"/>
        <v>2142.8571428571427</v>
      </c>
      <c r="I652" s="6">
        <f t="shared" si="49"/>
        <v>253.32369942196533</v>
      </c>
      <c r="J652" s="2" t="s">
        <v>2090</v>
      </c>
      <c r="K652" s="2">
        <v>6.92</v>
      </c>
      <c r="L652" s="2" t="s">
        <v>1321</v>
      </c>
      <c r="M652" s="2" t="s">
        <v>2144</v>
      </c>
      <c r="N652" s="2" t="s">
        <v>2145</v>
      </c>
      <c r="O652" s="56">
        <v>1753</v>
      </c>
      <c r="P652" s="2" t="s">
        <v>2146</v>
      </c>
      <c r="Q652" s="2" t="s">
        <v>2147</v>
      </c>
      <c r="R652" s="2" t="s">
        <v>2148</v>
      </c>
      <c r="S652" s="2" t="s">
        <v>961</v>
      </c>
      <c r="T652" s="2" t="s">
        <v>2149</v>
      </c>
      <c r="U652" s="2" t="s">
        <v>1406</v>
      </c>
      <c r="V652" s="2" t="s">
        <v>2150</v>
      </c>
      <c r="W652" s="2" t="s">
        <v>2151</v>
      </c>
      <c r="X652" s="2" t="s">
        <v>2152</v>
      </c>
      <c r="Y652" s="2" t="s">
        <v>2153</v>
      </c>
      <c r="Z652" s="2" t="s">
        <v>618</v>
      </c>
      <c r="AA652" s="2" t="s">
        <v>548</v>
      </c>
      <c r="AB652" s="2" t="s">
        <v>2154</v>
      </c>
    </row>
    <row r="653" spans="1:28" hidden="1" x14ac:dyDescent="0.3">
      <c r="A653" s="4">
        <v>46227</v>
      </c>
      <c r="B653" s="8" t="s">
        <v>1827</v>
      </c>
      <c r="C653" s="8" t="s">
        <v>36</v>
      </c>
      <c r="D653" s="8" t="s">
        <v>46</v>
      </c>
      <c r="E653" s="8" t="s">
        <v>47</v>
      </c>
      <c r="F653" s="59"/>
      <c r="G653" s="59"/>
      <c r="H653" s="6">
        <f t="shared" si="51"/>
        <v>2142.8571428571427</v>
      </c>
      <c r="I653" s="6">
        <f t="shared" si="49"/>
        <v>401.37681159420288</v>
      </c>
      <c r="J653" s="2" t="s">
        <v>1701</v>
      </c>
      <c r="K653" s="2">
        <v>13.8</v>
      </c>
      <c r="L653" s="2" t="s">
        <v>817</v>
      </c>
      <c r="M653" s="2" t="s">
        <v>2155</v>
      </c>
      <c r="N653" s="2" t="s">
        <v>2156</v>
      </c>
      <c r="O653" s="56">
        <v>5539</v>
      </c>
      <c r="P653" s="2" t="s">
        <v>2157</v>
      </c>
      <c r="Q653" s="2" t="s">
        <v>2158</v>
      </c>
      <c r="R653" s="2" t="s">
        <v>2159</v>
      </c>
      <c r="S653" s="2" t="s">
        <v>747</v>
      </c>
      <c r="T653" s="2" t="s">
        <v>2160</v>
      </c>
      <c r="U653" s="2" t="s">
        <v>2161</v>
      </c>
      <c r="V653" s="2" t="s">
        <v>2162</v>
      </c>
      <c r="W653" s="2" t="s">
        <v>2163</v>
      </c>
      <c r="X653" s="2" t="s">
        <v>2164</v>
      </c>
      <c r="Y653" s="2" t="s">
        <v>2165</v>
      </c>
      <c r="Z653" s="2" t="s">
        <v>580</v>
      </c>
      <c r="AA653" s="2" t="s">
        <v>548</v>
      </c>
      <c r="AB653" s="2" t="s">
        <v>2166</v>
      </c>
    </row>
    <row r="654" spans="1:28" x14ac:dyDescent="0.3">
      <c r="A654" s="4">
        <v>46227</v>
      </c>
      <c r="B654" s="8" t="s">
        <v>1827</v>
      </c>
      <c r="C654" s="8" t="s">
        <v>36</v>
      </c>
      <c r="D654" s="8" t="s">
        <v>48</v>
      </c>
      <c r="E654" s="7" t="s">
        <v>38</v>
      </c>
      <c r="F654" s="59">
        <v>2749</v>
      </c>
      <c r="G654" s="59"/>
      <c r="H654" s="6">
        <v>4000</v>
      </c>
      <c r="I654" s="6">
        <f t="shared" si="49"/>
        <v>498.69960988296486</v>
      </c>
      <c r="J654" s="2" t="s">
        <v>2167</v>
      </c>
      <c r="K654" s="2">
        <v>7.69</v>
      </c>
      <c r="L654" s="2" t="s">
        <v>734</v>
      </c>
      <c r="M654" s="2" t="s">
        <v>2168</v>
      </c>
      <c r="N654" s="2" t="s">
        <v>2169</v>
      </c>
      <c r="O654" s="56">
        <v>3835</v>
      </c>
      <c r="P654" s="2" t="s">
        <v>2170</v>
      </c>
      <c r="Q654" s="2" t="s">
        <v>2171</v>
      </c>
      <c r="R654" s="2" t="s">
        <v>2172</v>
      </c>
      <c r="S654" s="2" t="s">
        <v>658</v>
      </c>
      <c r="T654" s="2" t="s">
        <v>1303</v>
      </c>
      <c r="U654" s="2" t="s">
        <v>2173</v>
      </c>
      <c r="V654" s="2" t="s">
        <v>2174</v>
      </c>
      <c r="W654" s="2" t="s">
        <v>2175</v>
      </c>
      <c r="X654" s="2" t="s">
        <v>2176</v>
      </c>
      <c r="Y654" s="2" t="s">
        <v>2177</v>
      </c>
      <c r="Z654" s="2" t="s">
        <v>548</v>
      </c>
      <c r="AA654" s="2" t="s">
        <v>548</v>
      </c>
      <c r="AB654" s="2" t="s">
        <v>2100</v>
      </c>
    </row>
    <row r="655" spans="1:28" hidden="1" x14ac:dyDescent="0.3">
      <c r="A655" s="4">
        <v>46227</v>
      </c>
      <c r="B655" s="8" t="s">
        <v>1827</v>
      </c>
      <c r="C655" s="8" t="s">
        <v>36</v>
      </c>
      <c r="D655" s="8" t="s">
        <v>49</v>
      </c>
      <c r="E655" s="8" t="s">
        <v>47</v>
      </c>
      <c r="F655" s="59"/>
      <c r="G655" s="59"/>
      <c r="H655" s="6">
        <f t="shared" ref="H655:H661" si="52">15000/7</f>
        <v>2142.8571428571427</v>
      </c>
      <c r="I655" s="6">
        <f t="shared" si="49"/>
        <v>304.51977401129943</v>
      </c>
      <c r="J655" s="2" t="s">
        <v>1585</v>
      </c>
      <c r="K655" s="2">
        <v>7.08</v>
      </c>
      <c r="L655" s="2" t="s">
        <v>636</v>
      </c>
      <c r="M655" s="2" t="s">
        <v>2178</v>
      </c>
      <c r="N655" s="2" t="s">
        <v>2179</v>
      </c>
      <c r="O655" s="56">
        <v>2156</v>
      </c>
      <c r="P655" s="2" t="s">
        <v>2180</v>
      </c>
      <c r="Q655" s="2" t="s">
        <v>1955</v>
      </c>
      <c r="R655" s="2" t="s">
        <v>2181</v>
      </c>
      <c r="S655" s="2" t="s">
        <v>1256</v>
      </c>
      <c r="T655" s="2" t="s">
        <v>1097</v>
      </c>
      <c r="U655" s="2" t="s">
        <v>2182</v>
      </c>
      <c r="V655" s="2" t="s">
        <v>2183</v>
      </c>
      <c r="W655" s="2" t="s">
        <v>2184</v>
      </c>
      <c r="X655" s="2" t="s">
        <v>2185</v>
      </c>
      <c r="Y655" s="2" t="s">
        <v>2186</v>
      </c>
      <c r="Z655" s="2" t="s">
        <v>548</v>
      </c>
      <c r="AA655" s="2" t="s">
        <v>548</v>
      </c>
      <c r="AB655" s="2" t="s">
        <v>1877</v>
      </c>
    </row>
    <row r="656" spans="1:28" hidden="1" x14ac:dyDescent="0.3">
      <c r="A656" s="4">
        <v>46228</v>
      </c>
      <c r="B656" s="8" t="s">
        <v>1827</v>
      </c>
      <c r="C656" s="8" t="s">
        <v>36</v>
      </c>
      <c r="D656" s="8" t="s">
        <v>39</v>
      </c>
      <c r="E656" s="8" t="s">
        <v>47</v>
      </c>
      <c r="F656" s="59"/>
      <c r="G656" s="8"/>
      <c r="H656" s="6">
        <f t="shared" si="52"/>
        <v>2142.8571428571427</v>
      </c>
      <c r="I656" s="6">
        <f t="shared" si="49"/>
        <v>207.52895752895753</v>
      </c>
      <c r="J656" s="2" t="s">
        <v>2187</v>
      </c>
      <c r="K656" s="2">
        <v>5.18</v>
      </c>
      <c r="L656" s="2" t="s">
        <v>585</v>
      </c>
      <c r="M656" s="2" t="s">
        <v>2188</v>
      </c>
      <c r="N656" s="2" t="s">
        <v>2189</v>
      </c>
      <c r="O656" s="56">
        <v>1075</v>
      </c>
      <c r="P656" s="2" t="s">
        <v>2190</v>
      </c>
      <c r="Q656" s="2" t="s">
        <v>2191</v>
      </c>
      <c r="R656" s="2" t="s">
        <v>1610</v>
      </c>
      <c r="S656" s="2" t="s">
        <v>685</v>
      </c>
      <c r="T656" s="2" t="s">
        <v>1015</v>
      </c>
      <c r="U656" s="2" t="s">
        <v>569</v>
      </c>
      <c r="V656" s="2" t="s">
        <v>2192</v>
      </c>
      <c r="W656" s="2" t="s">
        <v>2193</v>
      </c>
      <c r="X656" s="2" t="s">
        <v>2194</v>
      </c>
      <c r="Y656" s="2" t="s">
        <v>2195</v>
      </c>
      <c r="Z656" s="2" t="s">
        <v>579</v>
      </c>
      <c r="AA656" s="2" t="s">
        <v>548</v>
      </c>
      <c r="AB656" s="2" t="s">
        <v>2196</v>
      </c>
    </row>
    <row r="657" spans="1:28" hidden="1" x14ac:dyDescent="0.3">
      <c r="A657" s="4">
        <v>46228</v>
      </c>
      <c r="B657" s="8" t="s">
        <v>1827</v>
      </c>
      <c r="C657" s="8" t="s">
        <v>36</v>
      </c>
      <c r="D657" s="8" t="s">
        <v>43</v>
      </c>
      <c r="E657" s="8" t="s">
        <v>47</v>
      </c>
      <c r="F657" s="59"/>
      <c r="G657" s="59"/>
      <c r="H657" s="6">
        <f t="shared" si="52"/>
        <v>2142.8571428571427</v>
      </c>
      <c r="I657" s="6">
        <f t="shared" si="49"/>
        <v>263.60544217687078</v>
      </c>
      <c r="J657" s="2" t="s">
        <v>830</v>
      </c>
      <c r="K657" s="2">
        <v>2.94</v>
      </c>
      <c r="L657" s="2" t="s">
        <v>636</v>
      </c>
      <c r="M657" s="2" t="s">
        <v>2197</v>
      </c>
      <c r="N657" s="2" t="s">
        <v>45</v>
      </c>
      <c r="O657" s="79">
        <v>775</v>
      </c>
      <c r="P657" s="2" t="s">
        <v>45</v>
      </c>
      <c r="Q657" s="2" t="s">
        <v>45</v>
      </c>
      <c r="R657" s="2" t="s">
        <v>2198</v>
      </c>
      <c r="S657" s="2" t="s">
        <v>567</v>
      </c>
      <c r="T657" s="2" t="s">
        <v>2199</v>
      </c>
      <c r="U657" s="2" t="s">
        <v>2200</v>
      </c>
      <c r="V657" s="2" t="s">
        <v>2201</v>
      </c>
      <c r="W657" s="2" t="s">
        <v>2202</v>
      </c>
      <c r="X657" s="2" t="s">
        <v>45</v>
      </c>
      <c r="Y657" s="2" t="s">
        <v>45</v>
      </c>
      <c r="Z657" s="2" t="s">
        <v>548</v>
      </c>
      <c r="AA657" s="2" t="s">
        <v>45</v>
      </c>
      <c r="AB657" s="2" t="s">
        <v>1845</v>
      </c>
    </row>
    <row r="658" spans="1:28" hidden="1" x14ac:dyDescent="0.3">
      <c r="A658" s="4">
        <v>46228</v>
      </c>
      <c r="B658" s="8" t="s">
        <v>1827</v>
      </c>
      <c r="C658" s="8" t="s">
        <v>36</v>
      </c>
      <c r="D658" s="8" t="s">
        <v>67</v>
      </c>
      <c r="E658" s="8" t="s">
        <v>47</v>
      </c>
      <c r="F658" s="59"/>
      <c r="G658" s="59"/>
      <c r="H658" s="6">
        <f t="shared" si="52"/>
        <v>2142.8571428571427</v>
      </c>
      <c r="I658" s="6">
        <f t="shared" si="49"/>
        <v>373.11233885819524</v>
      </c>
      <c r="J658" s="2" t="s">
        <v>1091</v>
      </c>
      <c r="K658" s="2">
        <v>5.43</v>
      </c>
      <c r="L658" s="2" t="s">
        <v>777</v>
      </c>
      <c r="M658" s="2" t="s">
        <v>2203</v>
      </c>
      <c r="N658" s="2" t="s">
        <v>2204</v>
      </c>
      <c r="O658" s="79">
        <v>2026</v>
      </c>
      <c r="P658" s="2" t="s">
        <v>1189</v>
      </c>
      <c r="Q658" s="2" t="s">
        <v>2205</v>
      </c>
      <c r="R658" s="2" t="s">
        <v>613</v>
      </c>
      <c r="S658" s="2" t="s">
        <v>567</v>
      </c>
      <c r="T658" s="2" t="s">
        <v>1131</v>
      </c>
      <c r="U658" s="2" t="s">
        <v>939</v>
      </c>
      <c r="V658" s="2" t="s">
        <v>2206</v>
      </c>
      <c r="W658" s="2" t="s">
        <v>2207</v>
      </c>
      <c r="X658" s="2" t="s">
        <v>2208</v>
      </c>
      <c r="Y658" s="2" t="s">
        <v>2209</v>
      </c>
      <c r="Z658" s="2" t="s">
        <v>649</v>
      </c>
      <c r="AA658" s="2" t="s">
        <v>548</v>
      </c>
      <c r="AB658" s="2" t="s">
        <v>2210</v>
      </c>
    </row>
    <row r="659" spans="1:28" hidden="1" x14ac:dyDescent="0.3">
      <c r="A659" s="4">
        <v>46228</v>
      </c>
      <c r="B659" s="8" t="s">
        <v>1827</v>
      </c>
      <c r="C659" s="8" t="s">
        <v>36</v>
      </c>
      <c r="D659" s="8" t="s">
        <v>50</v>
      </c>
      <c r="E659" s="8" t="s">
        <v>47</v>
      </c>
      <c r="F659" s="59"/>
      <c r="G659" s="59"/>
      <c r="H659" s="6">
        <f t="shared" si="52"/>
        <v>2142.8571428571427</v>
      </c>
      <c r="I659" s="6">
        <f t="shared" si="49"/>
        <v>441.40969162995594</v>
      </c>
      <c r="J659" s="2" t="s">
        <v>2211</v>
      </c>
      <c r="K659" s="2">
        <v>4.54</v>
      </c>
      <c r="L659" s="2" t="s">
        <v>2212</v>
      </c>
      <c r="M659" s="2" t="s">
        <v>2213</v>
      </c>
      <c r="N659" s="2" t="s">
        <v>2214</v>
      </c>
      <c r="O659" s="56">
        <v>2004</v>
      </c>
      <c r="P659" s="2" t="s">
        <v>592</v>
      </c>
      <c r="Q659" s="2" t="s">
        <v>1905</v>
      </c>
      <c r="R659" s="2" t="s">
        <v>2215</v>
      </c>
      <c r="S659" s="2" t="s">
        <v>627</v>
      </c>
      <c r="T659" s="2" t="s">
        <v>738</v>
      </c>
      <c r="U659" s="2" t="s">
        <v>2216</v>
      </c>
      <c r="V659" s="2" t="s">
        <v>1200</v>
      </c>
      <c r="W659" s="2" t="s">
        <v>2217</v>
      </c>
      <c r="X659" s="2" t="s">
        <v>2218</v>
      </c>
      <c r="Y659" s="2" t="s">
        <v>2219</v>
      </c>
      <c r="Z659" s="2" t="s">
        <v>649</v>
      </c>
      <c r="AA659" s="2" t="s">
        <v>548</v>
      </c>
      <c r="AB659" s="2" t="s">
        <v>2220</v>
      </c>
    </row>
    <row r="660" spans="1:28" hidden="1" x14ac:dyDescent="0.3">
      <c r="A660" s="4">
        <v>46228</v>
      </c>
      <c r="B660" s="8" t="s">
        <v>1827</v>
      </c>
      <c r="C660" s="8" t="s">
        <v>36</v>
      </c>
      <c r="D660" s="8" t="s">
        <v>52</v>
      </c>
      <c r="E660" s="8" t="s">
        <v>47</v>
      </c>
      <c r="F660" s="59"/>
      <c r="G660" s="59"/>
      <c r="H660" s="6">
        <f t="shared" si="52"/>
        <v>2142.8571428571427</v>
      </c>
      <c r="I660" s="6">
        <f t="shared" si="49"/>
        <v>141.84397163120568</v>
      </c>
      <c r="J660" s="2" t="s">
        <v>1285</v>
      </c>
      <c r="K660" s="2">
        <v>5.64</v>
      </c>
      <c r="L660" s="2" t="s">
        <v>719</v>
      </c>
      <c r="M660" s="2" t="s">
        <v>1170</v>
      </c>
      <c r="N660" s="2" t="s">
        <v>2221</v>
      </c>
      <c r="O660" s="56">
        <v>800</v>
      </c>
      <c r="P660" s="2" t="s">
        <v>2222</v>
      </c>
      <c r="Q660" s="2" t="s">
        <v>2223</v>
      </c>
      <c r="R660" s="2" t="s">
        <v>1768</v>
      </c>
      <c r="S660" s="2" t="s">
        <v>627</v>
      </c>
      <c r="T660" s="2" t="s">
        <v>839</v>
      </c>
      <c r="U660" s="2" t="s">
        <v>2198</v>
      </c>
      <c r="V660" s="2" t="s">
        <v>2224</v>
      </c>
      <c r="W660" s="2" t="s">
        <v>2225</v>
      </c>
      <c r="X660" s="2" t="s">
        <v>2226</v>
      </c>
      <c r="Y660" s="2" t="s">
        <v>2227</v>
      </c>
      <c r="Z660" s="2" t="s">
        <v>548</v>
      </c>
      <c r="AA660" s="2" t="s">
        <v>548</v>
      </c>
      <c r="AB660" s="2" t="s">
        <v>2228</v>
      </c>
    </row>
    <row r="661" spans="1:28" hidden="1" x14ac:dyDescent="0.3">
      <c r="A661" s="4">
        <v>46228</v>
      </c>
      <c r="B661" s="8" t="s">
        <v>1827</v>
      </c>
      <c r="C661" s="8" t="s">
        <v>36</v>
      </c>
      <c r="D661" s="8" t="s">
        <v>46</v>
      </c>
      <c r="E661" s="8" t="s">
        <v>47</v>
      </c>
      <c r="F661" s="59"/>
      <c r="G661" s="59"/>
      <c r="H661" s="6">
        <f t="shared" si="52"/>
        <v>2142.8571428571427</v>
      </c>
      <c r="I661" s="6">
        <f t="shared" si="49"/>
        <v>482.28021978021974</v>
      </c>
      <c r="J661" s="2" t="s">
        <v>2229</v>
      </c>
      <c r="K661" s="2">
        <v>7.28</v>
      </c>
      <c r="L661" s="2" t="s">
        <v>618</v>
      </c>
      <c r="M661" s="2" t="s">
        <v>1029</v>
      </c>
      <c r="N661" s="2" t="s">
        <v>2230</v>
      </c>
      <c r="O661" s="56">
        <v>3511</v>
      </c>
      <c r="P661" s="2" t="s">
        <v>2231</v>
      </c>
      <c r="Q661" s="2" t="s">
        <v>1440</v>
      </c>
      <c r="R661" s="2" t="s">
        <v>2232</v>
      </c>
      <c r="S661" s="2" t="s">
        <v>685</v>
      </c>
      <c r="T661" s="2" t="s">
        <v>1841</v>
      </c>
      <c r="U661" s="2" t="s">
        <v>2233</v>
      </c>
      <c r="V661" s="2" t="s">
        <v>2234</v>
      </c>
      <c r="W661" s="2" t="s">
        <v>2235</v>
      </c>
      <c r="X661" s="2" t="s">
        <v>2236</v>
      </c>
      <c r="Y661" s="2" t="s">
        <v>2237</v>
      </c>
      <c r="Z661" s="2" t="s">
        <v>649</v>
      </c>
      <c r="AA661" s="2" t="s">
        <v>548</v>
      </c>
      <c r="AB661" s="2" t="s">
        <v>2238</v>
      </c>
    </row>
    <row r="662" spans="1:28" x14ac:dyDescent="0.3">
      <c r="A662" s="4">
        <v>46228</v>
      </c>
      <c r="B662" s="8" t="s">
        <v>1827</v>
      </c>
      <c r="C662" s="8" t="s">
        <v>36</v>
      </c>
      <c r="D662" s="8" t="s">
        <v>48</v>
      </c>
      <c r="E662" s="7" t="s">
        <v>38</v>
      </c>
      <c r="F662" s="59">
        <v>2200</v>
      </c>
      <c r="G662" s="59"/>
      <c r="H662" s="6">
        <v>4000</v>
      </c>
      <c r="I662" s="6">
        <f t="shared" si="49"/>
        <v>554.97737556561083</v>
      </c>
      <c r="J662" s="2" t="s">
        <v>791</v>
      </c>
      <c r="K662" s="2">
        <v>4.42</v>
      </c>
      <c r="L662" s="2" t="s">
        <v>1255</v>
      </c>
      <c r="M662" s="2" t="s">
        <v>2239</v>
      </c>
      <c r="N662" s="2" t="s">
        <v>2240</v>
      </c>
      <c r="O662" s="56">
        <v>2453</v>
      </c>
      <c r="P662" s="2" t="s">
        <v>1731</v>
      </c>
      <c r="Q662" s="2" t="s">
        <v>2241</v>
      </c>
      <c r="R662" s="2" t="s">
        <v>1619</v>
      </c>
      <c r="S662" s="2" t="s">
        <v>595</v>
      </c>
      <c r="T662" s="2" t="s">
        <v>2242</v>
      </c>
      <c r="U662" s="2" t="s">
        <v>1976</v>
      </c>
      <c r="V662" s="2" t="s">
        <v>2243</v>
      </c>
      <c r="W662" s="2" t="s">
        <v>2244</v>
      </c>
      <c r="X662" s="2" t="s">
        <v>2245</v>
      </c>
      <c r="Y662" s="2" t="s">
        <v>2246</v>
      </c>
      <c r="Z662" s="2" t="s">
        <v>649</v>
      </c>
      <c r="AA662" s="2" t="s">
        <v>548</v>
      </c>
      <c r="AB662" s="2" t="s">
        <v>1390</v>
      </c>
    </row>
    <row r="663" spans="1:28" hidden="1" x14ac:dyDescent="0.3">
      <c r="A663" s="4">
        <v>46228</v>
      </c>
      <c r="B663" s="8" t="s">
        <v>1827</v>
      </c>
      <c r="C663" s="8" t="s">
        <v>36</v>
      </c>
      <c r="D663" s="8" t="s">
        <v>49</v>
      </c>
      <c r="E663" s="8" t="s">
        <v>47</v>
      </c>
      <c r="F663" s="59"/>
      <c r="G663" s="59"/>
      <c r="H663" s="6">
        <f>15000/7</f>
        <v>2142.8571428571427</v>
      </c>
      <c r="I663" s="6">
        <f t="shared" si="49"/>
        <v>148.90387858347387</v>
      </c>
      <c r="J663" s="2" t="s">
        <v>2247</v>
      </c>
      <c r="K663" s="2">
        <v>5.93</v>
      </c>
      <c r="L663" s="2" t="s">
        <v>602</v>
      </c>
      <c r="M663" s="2" t="s">
        <v>2248</v>
      </c>
      <c r="N663" s="2" t="s">
        <v>2249</v>
      </c>
      <c r="O663" s="56">
        <v>883</v>
      </c>
      <c r="P663" s="2" t="s">
        <v>746</v>
      </c>
      <c r="Q663" s="2" t="s">
        <v>2027</v>
      </c>
      <c r="R663" s="2" t="s">
        <v>2250</v>
      </c>
      <c r="S663" s="2" t="s">
        <v>595</v>
      </c>
      <c r="T663" s="2" t="s">
        <v>839</v>
      </c>
      <c r="U663" s="2" t="s">
        <v>1068</v>
      </c>
      <c r="V663" s="2" t="s">
        <v>554</v>
      </c>
      <c r="W663" s="2" t="s">
        <v>2251</v>
      </c>
      <c r="X663" s="2" t="s">
        <v>2252</v>
      </c>
      <c r="Y663" s="2" t="s">
        <v>2253</v>
      </c>
      <c r="Z663" s="2" t="s">
        <v>548</v>
      </c>
      <c r="AA663" s="2" t="s">
        <v>548</v>
      </c>
      <c r="AB663" s="2" t="s">
        <v>1877</v>
      </c>
    </row>
    <row r="664" spans="1:28" hidden="1" x14ac:dyDescent="0.3">
      <c r="A664" s="4">
        <v>46229</v>
      </c>
      <c r="B664" s="8" t="s">
        <v>55</v>
      </c>
      <c r="C664" s="8" t="s">
        <v>56</v>
      </c>
      <c r="D664" s="8" t="s">
        <v>39</v>
      </c>
      <c r="E664" s="8" t="s">
        <v>47</v>
      </c>
      <c r="F664" s="59"/>
      <c r="G664" s="8"/>
      <c r="H664" s="6"/>
      <c r="I664" s="6">
        <f t="shared" si="49"/>
        <v>0</v>
      </c>
      <c r="J664" s="2" t="s">
        <v>548</v>
      </c>
      <c r="K664" s="2" t="s">
        <v>548</v>
      </c>
      <c r="L664" s="2" t="s">
        <v>548</v>
      </c>
      <c r="M664" s="2" t="s">
        <v>45</v>
      </c>
      <c r="N664" s="2" t="s">
        <v>548</v>
      </c>
      <c r="O664" s="56">
        <v>0</v>
      </c>
      <c r="P664" s="2" t="s">
        <v>45</v>
      </c>
      <c r="Q664" s="2" t="s">
        <v>45</v>
      </c>
      <c r="R664" s="2" t="s">
        <v>548</v>
      </c>
      <c r="S664" s="2" t="s">
        <v>548</v>
      </c>
      <c r="T664" s="2" t="s">
        <v>45</v>
      </c>
      <c r="U664" s="2" t="s">
        <v>548</v>
      </c>
      <c r="V664" s="2" t="s">
        <v>45</v>
      </c>
      <c r="W664" s="2" t="s">
        <v>2193</v>
      </c>
      <c r="X664" s="2" t="s">
        <v>2194</v>
      </c>
      <c r="Y664" s="2" t="s">
        <v>2195</v>
      </c>
      <c r="Z664" s="2" t="s">
        <v>548</v>
      </c>
      <c r="AA664" s="2" t="s">
        <v>45</v>
      </c>
      <c r="AB664" s="2" t="s">
        <v>2196</v>
      </c>
    </row>
    <row r="665" spans="1:28" hidden="1" x14ac:dyDescent="0.3">
      <c r="A665" s="4">
        <v>46229</v>
      </c>
      <c r="B665" s="8" t="s">
        <v>55</v>
      </c>
      <c r="C665" s="8" t="s">
        <v>56</v>
      </c>
      <c r="D665" s="8" t="s">
        <v>43</v>
      </c>
      <c r="E665" s="8" t="s">
        <v>47</v>
      </c>
      <c r="F665" s="59"/>
      <c r="G665" s="59"/>
      <c r="H665" s="6"/>
      <c r="I665" s="6">
        <f t="shared" si="49"/>
        <v>0</v>
      </c>
      <c r="J665" s="2" t="s">
        <v>548</v>
      </c>
      <c r="K665" s="2" t="s">
        <v>548</v>
      </c>
      <c r="L665" s="2" t="s">
        <v>548</v>
      </c>
      <c r="M665" s="2" t="s">
        <v>45</v>
      </c>
      <c r="N665" s="2" t="s">
        <v>45</v>
      </c>
      <c r="O665" s="79">
        <v>0</v>
      </c>
      <c r="P665" s="2" t="s">
        <v>45</v>
      </c>
      <c r="Q665" s="2" t="s">
        <v>45</v>
      </c>
      <c r="R665" s="2" t="s">
        <v>548</v>
      </c>
      <c r="S665" s="2" t="s">
        <v>548</v>
      </c>
      <c r="T665" s="2" t="s">
        <v>45</v>
      </c>
      <c r="U665" s="2" t="s">
        <v>548</v>
      </c>
      <c r="V665" s="2" t="s">
        <v>45</v>
      </c>
      <c r="W665" s="2" t="s">
        <v>2202</v>
      </c>
      <c r="X665" s="2" t="s">
        <v>45</v>
      </c>
      <c r="Y665" s="2" t="s">
        <v>45</v>
      </c>
      <c r="Z665" s="2" t="s">
        <v>548</v>
      </c>
      <c r="AA665" s="2" t="s">
        <v>45</v>
      </c>
      <c r="AB665" s="2" t="s">
        <v>1845</v>
      </c>
    </row>
    <row r="666" spans="1:28" hidden="1" x14ac:dyDescent="0.3">
      <c r="A666" s="4">
        <v>46229</v>
      </c>
      <c r="B666" s="8" t="s">
        <v>55</v>
      </c>
      <c r="C666" s="8" t="s">
        <v>56</v>
      </c>
      <c r="D666" s="8" t="s">
        <v>67</v>
      </c>
      <c r="E666" s="8" t="s">
        <v>47</v>
      </c>
      <c r="F666" s="59"/>
      <c r="G666" s="59"/>
      <c r="H666" s="6"/>
      <c r="I666" s="6">
        <f t="shared" si="49"/>
        <v>0</v>
      </c>
      <c r="J666" s="2" t="s">
        <v>45</v>
      </c>
      <c r="K666" s="2" t="s">
        <v>45</v>
      </c>
      <c r="L666" s="2" t="s">
        <v>45</v>
      </c>
      <c r="M666" s="2" t="s">
        <v>45</v>
      </c>
      <c r="N666" s="2" t="s">
        <v>45</v>
      </c>
      <c r="O666" s="79" t="s">
        <v>45</v>
      </c>
      <c r="P666" s="2" t="s">
        <v>45</v>
      </c>
      <c r="Q666" s="2" t="s">
        <v>45</v>
      </c>
      <c r="R666" s="2" t="s">
        <v>45</v>
      </c>
      <c r="S666" s="2" t="s">
        <v>45</v>
      </c>
      <c r="T666" s="2" t="s">
        <v>45</v>
      </c>
      <c r="U666" s="2" t="s">
        <v>45</v>
      </c>
      <c r="V666" s="2" t="s">
        <v>45</v>
      </c>
      <c r="W666" s="2" t="s">
        <v>45</v>
      </c>
      <c r="X666" s="2" t="s">
        <v>45</v>
      </c>
      <c r="Y666" s="2" t="s">
        <v>45</v>
      </c>
      <c r="Z666" s="2" t="s">
        <v>45</v>
      </c>
      <c r="AA666" s="2" t="s">
        <v>45</v>
      </c>
      <c r="AB666" s="2" t="s">
        <v>45</v>
      </c>
    </row>
    <row r="667" spans="1:28" hidden="1" x14ac:dyDescent="0.3">
      <c r="A667" s="4">
        <v>46229</v>
      </c>
      <c r="B667" s="8" t="s">
        <v>55</v>
      </c>
      <c r="C667" s="8" t="s">
        <v>56</v>
      </c>
      <c r="D667" s="8" t="s">
        <v>50</v>
      </c>
      <c r="E667" s="8" t="s">
        <v>47</v>
      </c>
      <c r="F667" s="59"/>
      <c r="G667" s="59"/>
      <c r="H667" s="6"/>
      <c r="I667" s="6">
        <f t="shared" si="49"/>
        <v>0</v>
      </c>
      <c r="J667" s="2" t="s">
        <v>548</v>
      </c>
      <c r="K667" s="2" t="s">
        <v>548</v>
      </c>
      <c r="L667" s="2" t="s">
        <v>548</v>
      </c>
      <c r="M667" s="2" t="s">
        <v>45</v>
      </c>
      <c r="N667" s="2" t="s">
        <v>548</v>
      </c>
      <c r="O667" s="56">
        <v>0</v>
      </c>
      <c r="P667" s="2" t="s">
        <v>45</v>
      </c>
      <c r="Q667" s="2" t="s">
        <v>45</v>
      </c>
      <c r="R667" s="2" t="s">
        <v>548</v>
      </c>
      <c r="S667" s="2" t="s">
        <v>548</v>
      </c>
      <c r="T667" s="2" t="s">
        <v>45</v>
      </c>
      <c r="U667" s="2" t="s">
        <v>548</v>
      </c>
      <c r="V667" s="2" t="s">
        <v>45</v>
      </c>
      <c r="W667" s="2" t="s">
        <v>2217</v>
      </c>
      <c r="X667" s="2" t="s">
        <v>2218</v>
      </c>
      <c r="Y667" s="2" t="s">
        <v>2219</v>
      </c>
      <c r="Z667" s="2" t="s">
        <v>548</v>
      </c>
      <c r="AA667" s="2" t="s">
        <v>45</v>
      </c>
      <c r="AB667" s="2" t="s">
        <v>2220</v>
      </c>
    </row>
    <row r="668" spans="1:28" hidden="1" x14ac:dyDescent="0.3">
      <c r="A668" s="4">
        <v>46229</v>
      </c>
      <c r="B668" s="8" t="s">
        <v>55</v>
      </c>
      <c r="C668" s="8" t="s">
        <v>56</v>
      </c>
      <c r="D668" s="8" t="s">
        <v>52</v>
      </c>
      <c r="E668" s="8" t="s">
        <v>47</v>
      </c>
      <c r="F668" s="59"/>
      <c r="G668" s="59"/>
      <c r="H668" s="6"/>
      <c r="I668" s="6">
        <f t="shared" ref="I668:I731" si="53">IFERROR(O668/K668,)</f>
        <v>0</v>
      </c>
      <c r="J668" s="2" t="s">
        <v>45</v>
      </c>
      <c r="K668" s="2" t="s">
        <v>45</v>
      </c>
      <c r="L668" s="2" t="s">
        <v>45</v>
      </c>
      <c r="M668" s="2" t="s">
        <v>45</v>
      </c>
      <c r="N668" s="2" t="s">
        <v>45</v>
      </c>
      <c r="O668" s="56">
        <v>0</v>
      </c>
      <c r="P668" s="2" t="s">
        <v>45</v>
      </c>
      <c r="Q668" s="2" t="s">
        <v>45</v>
      </c>
      <c r="R668" s="2" t="s">
        <v>45</v>
      </c>
      <c r="S668" s="2" t="s">
        <v>45</v>
      </c>
      <c r="T668" s="2" t="s">
        <v>45</v>
      </c>
      <c r="U668" s="2" t="s">
        <v>45</v>
      </c>
      <c r="V668" s="2" t="s">
        <v>45</v>
      </c>
      <c r="W668" s="2" t="s">
        <v>45</v>
      </c>
      <c r="X668" s="2" t="s">
        <v>45</v>
      </c>
      <c r="Y668" s="2" t="s">
        <v>45</v>
      </c>
      <c r="Z668" s="2" t="s">
        <v>45</v>
      </c>
      <c r="AA668" s="2" t="s">
        <v>45</v>
      </c>
      <c r="AB668" s="2" t="s">
        <v>45</v>
      </c>
    </row>
    <row r="669" spans="1:28" hidden="1" x14ac:dyDescent="0.3">
      <c r="A669" s="4">
        <v>46229</v>
      </c>
      <c r="B669" s="8" t="s">
        <v>55</v>
      </c>
      <c r="C669" s="8" t="s">
        <v>56</v>
      </c>
      <c r="D669" s="8" t="s">
        <v>46</v>
      </c>
      <c r="E669" s="8" t="s">
        <v>47</v>
      </c>
      <c r="F669" s="59"/>
      <c r="G669" s="59"/>
      <c r="H669" s="6"/>
      <c r="I669" s="6">
        <f t="shared" si="53"/>
        <v>0</v>
      </c>
      <c r="J669" s="2" t="s">
        <v>45</v>
      </c>
      <c r="K669" s="2" t="s">
        <v>45</v>
      </c>
      <c r="L669" s="2" t="s">
        <v>45</v>
      </c>
      <c r="M669" s="2" t="s">
        <v>45</v>
      </c>
      <c r="N669" s="2" t="s">
        <v>45</v>
      </c>
      <c r="O669" s="56" t="s">
        <v>45</v>
      </c>
      <c r="P669" s="2" t="s">
        <v>45</v>
      </c>
      <c r="Q669" s="2" t="s">
        <v>45</v>
      </c>
      <c r="R669" s="2" t="s">
        <v>45</v>
      </c>
      <c r="S669" s="2" t="s">
        <v>45</v>
      </c>
      <c r="T669" s="2" t="s">
        <v>45</v>
      </c>
      <c r="U669" s="2" t="s">
        <v>45</v>
      </c>
      <c r="V669" s="2" t="s">
        <v>45</v>
      </c>
      <c r="W669" s="2" t="s">
        <v>45</v>
      </c>
      <c r="X669" s="2" t="s">
        <v>45</v>
      </c>
      <c r="Y669" s="2" t="s">
        <v>45</v>
      </c>
      <c r="Z669" s="2" t="s">
        <v>45</v>
      </c>
      <c r="AA669" s="2" t="s">
        <v>45</v>
      </c>
      <c r="AB669" s="2" t="s">
        <v>45</v>
      </c>
    </row>
    <row r="670" spans="1:28" x14ac:dyDescent="0.3">
      <c r="A670" s="4">
        <v>46229</v>
      </c>
      <c r="B670" s="8" t="s">
        <v>55</v>
      </c>
      <c r="C670" s="8" t="s">
        <v>56</v>
      </c>
      <c r="D670" s="7" t="s">
        <v>48</v>
      </c>
      <c r="E670" s="7" t="s">
        <v>38</v>
      </c>
      <c r="F670" s="59"/>
      <c r="G670" s="59"/>
      <c r="H670" s="6"/>
      <c r="I670" s="6">
        <f t="shared" si="53"/>
        <v>0</v>
      </c>
      <c r="J670" s="2" t="s">
        <v>548</v>
      </c>
      <c r="K670" s="2">
        <v>0</v>
      </c>
      <c r="L670" s="2" t="s">
        <v>548</v>
      </c>
      <c r="M670" s="2" t="s">
        <v>45</v>
      </c>
      <c r="N670" s="2" t="s">
        <v>548</v>
      </c>
      <c r="O670" s="56">
        <v>0</v>
      </c>
      <c r="P670" s="2" t="s">
        <v>45</v>
      </c>
      <c r="Q670" s="2" t="s">
        <v>45</v>
      </c>
      <c r="R670" s="2" t="s">
        <v>548</v>
      </c>
      <c r="S670" s="2" t="s">
        <v>548</v>
      </c>
      <c r="T670" s="2" t="s">
        <v>45</v>
      </c>
      <c r="U670" s="2" t="s">
        <v>548</v>
      </c>
      <c r="V670" s="2" t="s">
        <v>45</v>
      </c>
      <c r="W670" s="2" t="s">
        <v>2244</v>
      </c>
      <c r="X670" s="2" t="s">
        <v>2245</v>
      </c>
      <c r="Y670" s="2" t="s">
        <v>2246</v>
      </c>
      <c r="Z670" s="2" t="s">
        <v>548</v>
      </c>
      <c r="AA670" s="2" t="s">
        <v>45</v>
      </c>
      <c r="AB670" s="2" t="s">
        <v>1390</v>
      </c>
    </row>
    <row r="671" spans="1:28" hidden="1" x14ac:dyDescent="0.3">
      <c r="A671" s="4">
        <v>46229</v>
      </c>
      <c r="B671" s="8" t="s">
        <v>55</v>
      </c>
      <c r="C671" s="8" t="s">
        <v>56</v>
      </c>
      <c r="D671" s="7" t="s">
        <v>49</v>
      </c>
      <c r="E671" s="7" t="s">
        <v>47</v>
      </c>
      <c r="F671" s="59"/>
      <c r="G671" s="59"/>
      <c r="H671" s="6"/>
      <c r="I671" s="6">
        <f t="shared" si="53"/>
        <v>0</v>
      </c>
      <c r="J671" s="2" t="s">
        <v>45</v>
      </c>
      <c r="K671" s="2" t="s">
        <v>45</v>
      </c>
      <c r="L671" s="2" t="s">
        <v>45</v>
      </c>
      <c r="M671" s="2" t="s">
        <v>45</v>
      </c>
      <c r="N671" s="2" t="s">
        <v>45</v>
      </c>
      <c r="O671" s="56">
        <v>0</v>
      </c>
      <c r="P671" s="2" t="s">
        <v>45</v>
      </c>
      <c r="Q671" s="2" t="s">
        <v>45</v>
      </c>
      <c r="R671" s="2" t="s">
        <v>45</v>
      </c>
      <c r="S671" s="2" t="s">
        <v>45</v>
      </c>
      <c r="T671" s="2" t="s">
        <v>45</v>
      </c>
      <c r="U671" s="2" t="s">
        <v>45</v>
      </c>
      <c r="V671" s="2" t="s">
        <v>45</v>
      </c>
      <c r="W671" s="2" t="s">
        <v>45</v>
      </c>
      <c r="X671" s="2" t="s">
        <v>45</v>
      </c>
      <c r="Y671" s="2" t="s">
        <v>45</v>
      </c>
      <c r="Z671" s="2" t="s">
        <v>45</v>
      </c>
      <c r="AA671" s="2" t="s">
        <v>45</v>
      </c>
      <c r="AB671" s="2" t="s">
        <v>45</v>
      </c>
    </row>
    <row r="672" spans="1:28" hidden="1" x14ac:dyDescent="0.3">
      <c r="A672" s="4">
        <v>46230</v>
      </c>
      <c r="B672" s="8" t="s">
        <v>2254</v>
      </c>
      <c r="C672" s="8" t="s">
        <v>36</v>
      </c>
      <c r="D672" s="8" t="s">
        <v>39</v>
      </c>
      <c r="E672" s="8" t="s">
        <v>47</v>
      </c>
      <c r="F672" s="59"/>
      <c r="G672" s="59"/>
      <c r="H672" s="6">
        <f>15000/6</f>
        <v>2500</v>
      </c>
      <c r="I672" s="6">
        <f t="shared" si="53"/>
        <v>272.16174183514778</v>
      </c>
      <c r="J672" s="2" t="s">
        <v>1862</v>
      </c>
      <c r="K672" s="2">
        <v>6.43</v>
      </c>
      <c r="L672" s="2" t="s">
        <v>1187</v>
      </c>
      <c r="M672" s="2" t="s">
        <v>2255</v>
      </c>
      <c r="N672" s="2" t="s">
        <v>2256</v>
      </c>
      <c r="O672" s="56">
        <v>1750</v>
      </c>
      <c r="P672" s="2" t="s">
        <v>1172</v>
      </c>
      <c r="Q672" s="2" t="s">
        <v>2257</v>
      </c>
      <c r="R672" s="2" t="s">
        <v>1260</v>
      </c>
      <c r="S672" s="2" t="s">
        <v>737</v>
      </c>
      <c r="T672" s="2" t="s">
        <v>1374</v>
      </c>
      <c r="U672" s="2" t="s">
        <v>1351</v>
      </c>
      <c r="V672" s="2" t="s">
        <v>1184</v>
      </c>
      <c r="W672" s="2" t="s">
        <v>2258</v>
      </c>
      <c r="X672" s="2" t="s">
        <v>2259</v>
      </c>
      <c r="Y672" s="2" t="s">
        <v>2260</v>
      </c>
      <c r="Z672" s="2" t="s">
        <v>649</v>
      </c>
      <c r="AA672" s="2" t="s">
        <v>548</v>
      </c>
      <c r="AB672" s="2" t="s">
        <v>2261</v>
      </c>
    </row>
    <row r="673" spans="1:28" hidden="1" x14ac:dyDescent="0.3">
      <c r="A673" s="4">
        <v>46230</v>
      </c>
      <c r="B673" s="8" t="s">
        <v>55</v>
      </c>
      <c r="C673" s="8" t="s">
        <v>56</v>
      </c>
      <c r="D673" s="8" t="s">
        <v>43</v>
      </c>
      <c r="E673" s="8" t="s">
        <v>47</v>
      </c>
      <c r="F673" s="8"/>
      <c r="G673" s="8" t="s">
        <v>146</v>
      </c>
      <c r="H673" s="6"/>
      <c r="I673" s="6">
        <f t="shared" si="53"/>
        <v>0</v>
      </c>
      <c r="J673" s="2" t="s">
        <v>45</v>
      </c>
      <c r="K673" s="2" t="s">
        <v>45</v>
      </c>
      <c r="L673" s="2" t="s">
        <v>45</v>
      </c>
      <c r="M673" s="2" t="s">
        <v>45</v>
      </c>
      <c r="N673" s="2" t="s">
        <v>45</v>
      </c>
      <c r="O673" s="77" t="s">
        <v>45</v>
      </c>
      <c r="P673" s="2" t="s">
        <v>45</v>
      </c>
      <c r="Q673" s="2" t="s">
        <v>45</v>
      </c>
      <c r="R673" s="2" t="s">
        <v>45</v>
      </c>
      <c r="S673" s="2" t="s">
        <v>45</v>
      </c>
      <c r="T673" s="2" t="s">
        <v>45</v>
      </c>
      <c r="U673" s="2" t="s">
        <v>45</v>
      </c>
      <c r="V673" s="2" t="s">
        <v>45</v>
      </c>
      <c r="W673" s="2" t="s">
        <v>45</v>
      </c>
      <c r="X673" s="2" t="s">
        <v>45</v>
      </c>
      <c r="Y673" s="2" t="s">
        <v>45</v>
      </c>
      <c r="Z673" s="2" t="s">
        <v>45</v>
      </c>
      <c r="AA673" s="2" t="s">
        <v>45</v>
      </c>
      <c r="AB673" s="2" t="s">
        <v>45</v>
      </c>
    </row>
    <row r="674" spans="1:28" hidden="1" x14ac:dyDescent="0.3">
      <c r="A674" s="4">
        <v>46230</v>
      </c>
      <c r="B674" s="8" t="s">
        <v>2254</v>
      </c>
      <c r="C674" s="8" t="s">
        <v>36</v>
      </c>
      <c r="D674" s="8" t="s">
        <v>67</v>
      </c>
      <c r="E674" s="8" t="s">
        <v>47</v>
      </c>
      <c r="F674" s="13"/>
      <c r="G674" s="59"/>
      <c r="H674" s="6">
        <f>15000/6</f>
        <v>2500</v>
      </c>
      <c r="I674" s="6">
        <f t="shared" si="53"/>
        <v>312.39892183288407</v>
      </c>
      <c r="J674" s="2" t="s">
        <v>2262</v>
      </c>
      <c r="K674" s="2">
        <v>11.13</v>
      </c>
      <c r="L674" s="2" t="s">
        <v>693</v>
      </c>
      <c r="M674" s="2" t="s">
        <v>1264</v>
      </c>
      <c r="N674" s="2" t="s">
        <v>2263</v>
      </c>
      <c r="O674" s="56">
        <v>3477</v>
      </c>
      <c r="P674" s="2" t="s">
        <v>1066</v>
      </c>
      <c r="Q674" s="2" t="s">
        <v>1206</v>
      </c>
      <c r="R674" s="2" t="s">
        <v>2264</v>
      </c>
      <c r="S674" s="2" t="s">
        <v>737</v>
      </c>
      <c r="T674" s="2" t="s">
        <v>2265</v>
      </c>
      <c r="U674" s="2" t="s">
        <v>1586</v>
      </c>
      <c r="V674" s="2" t="s">
        <v>2266</v>
      </c>
      <c r="W674" s="2" t="s">
        <v>2267</v>
      </c>
      <c r="X674" s="2" t="s">
        <v>2268</v>
      </c>
      <c r="Y674" s="2" t="s">
        <v>2269</v>
      </c>
      <c r="Z674" s="2" t="s">
        <v>800</v>
      </c>
      <c r="AA674" s="2" t="s">
        <v>548</v>
      </c>
      <c r="AB674" s="2" t="s">
        <v>2270</v>
      </c>
    </row>
    <row r="675" spans="1:28" hidden="1" x14ac:dyDescent="0.3">
      <c r="A675" s="4">
        <v>46230</v>
      </c>
      <c r="B675" s="8" t="s">
        <v>2254</v>
      </c>
      <c r="C675" s="8" t="s">
        <v>36</v>
      </c>
      <c r="D675" s="8" t="s">
        <v>50</v>
      </c>
      <c r="E675" s="8" t="s">
        <v>47</v>
      </c>
      <c r="F675" s="13"/>
      <c r="G675" s="59"/>
      <c r="H675" s="6">
        <f>15000/6</f>
        <v>2500</v>
      </c>
      <c r="I675" s="6">
        <f t="shared" si="53"/>
        <v>219.91017964071858</v>
      </c>
      <c r="J675" s="2" t="s">
        <v>954</v>
      </c>
      <c r="K675" s="2">
        <v>6.68</v>
      </c>
      <c r="L675" s="2" t="s">
        <v>1696</v>
      </c>
      <c r="M675" s="2" t="s">
        <v>2271</v>
      </c>
      <c r="N675" s="2" t="s">
        <v>2272</v>
      </c>
      <c r="O675" s="56">
        <v>1469</v>
      </c>
      <c r="P675" s="2" t="s">
        <v>2273</v>
      </c>
      <c r="Q675" s="2" t="s">
        <v>656</v>
      </c>
      <c r="R675" s="2" t="s">
        <v>1443</v>
      </c>
      <c r="S675" s="2" t="s">
        <v>749</v>
      </c>
      <c r="T675" s="2" t="s">
        <v>749</v>
      </c>
      <c r="U675" s="2" t="s">
        <v>1406</v>
      </c>
      <c r="V675" s="2" t="s">
        <v>2274</v>
      </c>
      <c r="W675" s="2" t="s">
        <v>2275</v>
      </c>
      <c r="X675" s="2" t="s">
        <v>2276</v>
      </c>
      <c r="Y675" s="2" t="s">
        <v>2277</v>
      </c>
      <c r="Z675" s="2" t="s">
        <v>998</v>
      </c>
      <c r="AA675" s="2" t="s">
        <v>548</v>
      </c>
      <c r="AB675" s="2" t="s">
        <v>2278</v>
      </c>
    </row>
    <row r="676" spans="1:28" hidden="1" x14ac:dyDescent="0.3">
      <c r="A676" s="4">
        <v>46230</v>
      </c>
      <c r="B676" s="8" t="s">
        <v>2254</v>
      </c>
      <c r="C676" s="8" t="s">
        <v>36</v>
      </c>
      <c r="D676" s="8" t="s">
        <v>52</v>
      </c>
      <c r="E676" s="8" t="s">
        <v>47</v>
      </c>
      <c r="F676" s="13"/>
      <c r="G676" s="59"/>
      <c r="H676" s="6">
        <f>15000/6</f>
        <v>2500</v>
      </c>
      <c r="I676" s="6">
        <f t="shared" si="53"/>
        <v>303.23014804845224</v>
      </c>
      <c r="J676" s="2" t="s">
        <v>2279</v>
      </c>
      <c r="K676" s="2">
        <v>7.43</v>
      </c>
      <c r="L676" s="2" t="s">
        <v>618</v>
      </c>
      <c r="M676" s="2" t="s">
        <v>2280</v>
      </c>
      <c r="N676" s="2" t="s">
        <v>2281</v>
      </c>
      <c r="O676" s="56">
        <v>2253</v>
      </c>
      <c r="P676" s="2" t="s">
        <v>1274</v>
      </c>
      <c r="Q676" s="2" t="s">
        <v>1334</v>
      </c>
      <c r="R676" s="2" t="s">
        <v>1918</v>
      </c>
      <c r="S676" s="2" t="s">
        <v>582</v>
      </c>
      <c r="T676" s="2" t="s">
        <v>869</v>
      </c>
      <c r="U676" s="2" t="s">
        <v>920</v>
      </c>
      <c r="V676" s="2" t="s">
        <v>2282</v>
      </c>
      <c r="W676" s="2" t="s">
        <v>2283</v>
      </c>
      <c r="X676" s="2" t="s">
        <v>2284</v>
      </c>
      <c r="Y676" s="2" t="s">
        <v>2285</v>
      </c>
      <c r="Z676" s="2" t="s">
        <v>548</v>
      </c>
      <c r="AA676" s="2" t="s">
        <v>548</v>
      </c>
      <c r="AB676" s="2" t="s">
        <v>2228</v>
      </c>
    </row>
    <row r="677" spans="1:28" hidden="1" x14ac:dyDescent="0.3">
      <c r="A677" s="4">
        <v>46230</v>
      </c>
      <c r="B677" s="8" t="s">
        <v>2254</v>
      </c>
      <c r="C677" s="8" t="s">
        <v>36</v>
      </c>
      <c r="D677" s="7" t="s">
        <v>46</v>
      </c>
      <c r="E677" s="7" t="s">
        <v>47</v>
      </c>
      <c r="F677" s="13"/>
      <c r="G677" s="59"/>
      <c r="H677" s="6">
        <f>15000/6</f>
        <v>2500</v>
      </c>
      <c r="I677" s="6">
        <f t="shared" si="53"/>
        <v>511.89979123173276</v>
      </c>
      <c r="J677" s="2" t="s">
        <v>2286</v>
      </c>
      <c r="K677" s="2">
        <v>4.79</v>
      </c>
      <c r="L677" s="2" t="s">
        <v>2287</v>
      </c>
      <c r="M677" s="2" t="s">
        <v>2288</v>
      </c>
      <c r="N677" s="2" t="s">
        <v>2289</v>
      </c>
      <c r="O677" s="56">
        <v>2452</v>
      </c>
      <c r="P677" s="2" t="s">
        <v>713</v>
      </c>
      <c r="Q677" s="2" t="s">
        <v>2290</v>
      </c>
      <c r="R677" s="2" t="s">
        <v>1690</v>
      </c>
      <c r="S677" s="2" t="s">
        <v>1797</v>
      </c>
      <c r="T677" s="2" t="s">
        <v>2291</v>
      </c>
      <c r="U677" s="2" t="s">
        <v>2292</v>
      </c>
      <c r="V677" s="2" t="s">
        <v>2293</v>
      </c>
      <c r="W677" s="2" t="s">
        <v>2294</v>
      </c>
      <c r="X677" s="2" t="s">
        <v>2295</v>
      </c>
      <c r="Y677" s="2" t="s">
        <v>2296</v>
      </c>
      <c r="Z677" s="2" t="s">
        <v>548</v>
      </c>
      <c r="AA677" s="2" t="s">
        <v>548</v>
      </c>
      <c r="AB677" s="2" t="s">
        <v>2238</v>
      </c>
    </row>
    <row r="678" spans="1:28" x14ac:dyDescent="0.3">
      <c r="A678" s="4">
        <v>46230</v>
      </c>
      <c r="B678" s="8" t="s">
        <v>2254</v>
      </c>
      <c r="C678" s="8" t="s">
        <v>36</v>
      </c>
      <c r="D678" s="8" t="s">
        <v>48</v>
      </c>
      <c r="E678" s="7" t="s">
        <v>38</v>
      </c>
      <c r="F678" s="13">
        <v>2126</v>
      </c>
      <c r="G678" s="59"/>
      <c r="H678" s="6">
        <f>24000/7</f>
        <v>3428.5714285714284</v>
      </c>
      <c r="I678" s="6">
        <f t="shared" si="53"/>
        <v>499.40119760479047</v>
      </c>
      <c r="J678" s="2" t="s">
        <v>1581</v>
      </c>
      <c r="K678" s="2">
        <v>5.01</v>
      </c>
      <c r="L678" s="2" t="s">
        <v>2297</v>
      </c>
      <c r="M678" s="2" t="s">
        <v>2298</v>
      </c>
      <c r="N678" s="2" t="s">
        <v>2299</v>
      </c>
      <c r="O678" s="56">
        <v>2502</v>
      </c>
      <c r="P678" s="2" t="s">
        <v>2300</v>
      </c>
      <c r="Q678" s="2" t="s">
        <v>2301</v>
      </c>
      <c r="R678" s="2" t="s">
        <v>974</v>
      </c>
      <c r="S678" s="2" t="s">
        <v>2017</v>
      </c>
      <c r="T678" s="2" t="s">
        <v>2302</v>
      </c>
      <c r="U678" s="2" t="s">
        <v>1168</v>
      </c>
      <c r="V678" s="2" t="s">
        <v>2303</v>
      </c>
      <c r="W678" s="2" t="s">
        <v>2304</v>
      </c>
      <c r="X678" s="2" t="s">
        <v>2305</v>
      </c>
      <c r="Y678" s="2" t="s">
        <v>2306</v>
      </c>
      <c r="Z678" s="2" t="s">
        <v>649</v>
      </c>
      <c r="AA678" s="2" t="s">
        <v>548</v>
      </c>
      <c r="AB678" s="2" t="s">
        <v>2307</v>
      </c>
    </row>
    <row r="679" spans="1:28" hidden="1" x14ac:dyDescent="0.3">
      <c r="A679" s="4">
        <v>46230</v>
      </c>
      <c r="B679" s="8" t="s">
        <v>2254</v>
      </c>
      <c r="C679" s="8" t="s">
        <v>36</v>
      </c>
      <c r="D679" s="8" t="s">
        <v>49</v>
      </c>
      <c r="E679" s="8" t="s">
        <v>47</v>
      </c>
      <c r="F679" s="13"/>
      <c r="G679" s="59"/>
      <c r="H679" s="6">
        <f>15000/6</f>
        <v>2500</v>
      </c>
      <c r="I679" s="6">
        <f t="shared" si="53"/>
        <v>384.44444444444446</v>
      </c>
      <c r="J679" s="2" t="s">
        <v>1108</v>
      </c>
      <c r="K679" s="2">
        <v>6.3</v>
      </c>
      <c r="L679" s="2" t="s">
        <v>1321</v>
      </c>
      <c r="M679" s="2" t="s">
        <v>2308</v>
      </c>
      <c r="N679" s="2" t="s">
        <v>2309</v>
      </c>
      <c r="O679" s="56">
        <v>2422</v>
      </c>
      <c r="P679" s="2" t="s">
        <v>2007</v>
      </c>
      <c r="Q679" s="2" t="s">
        <v>2310</v>
      </c>
      <c r="R679" s="2" t="s">
        <v>2311</v>
      </c>
      <c r="S679" s="2" t="s">
        <v>712</v>
      </c>
      <c r="T679" s="2" t="s">
        <v>1957</v>
      </c>
      <c r="U679" s="2" t="s">
        <v>2106</v>
      </c>
      <c r="V679" s="2" t="s">
        <v>2312</v>
      </c>
      <c r="W679" s="2" t="s">
        <v>2313</v>
      </c>
      <c r="X679" s="2" t="s">
        <v>2314</v>
      </c>
      <c r="Y679" s="2" t="s">
        <v>2315</v>
      </c>
      <c r="Z679" s="2" t="s">
        <v>548</v>
      </c>
      <c r="AA679" s="2" t="s">
        <v>548</v>
      </c>
      <c r="AB679" s="2" t="s">
        <v>1877</v>
      </c>
    </row>
    <row r="680" spans="1:28" hidden="1" x14ac:dyDescent="0.3">
      <c r="A680" s="4">
        <v>46231</v>
      </c>
      <c r="B680" s="8" t="s">
        <v>2254</v>
      </c>
      <c r="C680" s="8" t="s">
        <v>36</v>
      </c>
      <c r="D680" s="8" t="s">
        <v>39</v>
      </c>
      <c r="E680" s="8" t="s">
        <v>47</v>
      </c>
      <c r="F680" s="13"/>
      <c r="G680" s="59"/>
      <c r="H680" s="6">
        <f>15000/5</f>
        <v>3000</v>
      </c>
      <c r="I680" s="6">
        <f t="shared" si="53"/>
        <v>265.30612244897958</v>
      </c>
      <c r="J680" s="2" t="s">
        <v>1389</v>
      </c>
      <c r="K680" s="2">
        <v>2.4500000000000002</v>
      </c>
      <c r="L680" s="2" t="s">
        <v>585</v>
      </c>
      <c r="M680" s="2" t="s">
        <v>2316</v>
      </c>
      <c r="N680" s="2" t="s">
        <v>2317</v>
      </c>
      <c r="O680" s="56">
        <v>650</v>
      </c>
      <c r="P680" s="2" t="s">
        <v>2318</v>
      </c>
      <c r="Q680" s="2" t="s">
        <v>2319</v>
      </c>
      <c r="R680" s="2" t="s">
        <v>2320</v>
      </c>
      <c r="S680" s="2" t="s">
        <v>685</v>
      </c>
      <c r="T680" s="2" t="s">
        <v>1015</v>
      </c>
      <c r="U680" s="2" t="s">
        <v>2321</v>
      </c>
      <c r="V680" s="2" t="s">
        <v>2322</v>
      </c>
      <c r="W680" s="2" t="s">
        <v>2323</v>
      </c>
      <c r="X680" s="2" t="s">
        <v>2324</v>
      </c>
      <c r="Y680" s="2" t="s">
        <v>2325</v>
      </c>
      <c r="Z680" s="2" t="s">
        <v>548</v>
      </c>
      <c r="AA680" s="2" t="s">
        <v>548</v>
      </c>
      <c r="AB680" s="2" t="s">
        <v>2261</v>
      </c>
    </row>
    <row r="681" spans="1:28" hidden="1" x14ac:dyDescent="0.3">
      <c r="A681" s="4">
        <v>46231</v>
      </c>
      <c r="B681" s="8" t="s">
        <v>55</v>
      </c>
      <c r="C681" s="8" t="s">
        <v>56</v>
      </c>
      <c r="D681" s="8" t="s">
        <v>43</v>
      </c>
      <c r="E681" s="8" t="s">
        <v>47</v>
      </c>
      <c r="F681" s="8"/>
      <c r="G681" s="8" t="s">
        <v>146</v>
      </c>
      <c r="H681" s="6"/>
      <c r="I681" s="6">
        <f t="shared" si="53"/>
        <v>0</v>
      </c>
      <c r="J681" s="2" t="s">
        <v>2326</v>
      </c>
      <c r="K681" s="2" t="s">
        <v>45</v>
      </c>
      <c r="L681" s="2" t="s">
        <v>1255</v>
      </c>
      <c r="M681" s="2" t="s">
        <v>2327</v>
      </c>
      <c r="N681" s="2" t="s">
        <v>45</v>
      </c>
      <c r="O681" s="56">
        <v>0</v>
      </c>
      <c r="P681" s="2" t="s">
        <v>45</v>
      </c>
      <c r="Q681" s="2" t="s">
        <v>45</v>
      </c>
      <c r="R681" s="2" t="s">
        <v>749</v>
      </c>
      <c r="S681" s="2" t="s">
        <v>685</v>
      </c>
      <c r="T681" s="2" t="s">
        <v>1350</v>
      </c>
      <c r="U681" s="2" t="s">
        <v>45</v>
      </c>
      <c r="V681" s="2" t="s">
        <v>45</v>
      </c>
      <c r="W681" s="2" t="s">
        <v>2328</v>
      </c>
      <c r="X681" s="2" t="s">
        <v>45</v>
      </c>
      <c r="Y681" s="2" t="s">
        <v>45</v>
      </c>
      <c r="Z681" s="2" t="s">
        <v>548</v>
      </c>
      <c r="AA681" s="2" t="s">
        <v>45</v>
      </c>
      <c r="AB681" s="2" t="s">
        <v>1845</v>
      </c>
    </row>
    <row r="682" spans="1:28" hidden="1" x14ac:dyDescent="0.3">
      <c r="A682" s="4">
        <v>46231</v>
      </c>
      <c r="B682" s="8" t="s">
        <v>2254</v>
      </c>
      <c r="C682" s="8" t="s">
        <v>36</v>
      </c>
      <c r="D682" s="8" t="s">
        <v>67</v>
      </c>
      <c r="E682" s="8" t="s">
        <v>61</v>
      </c>
      <c r="F682" s="13"/>
      <c r="G682" s="59"/>
      <c r="H682" s="6"/>
      <c r="I682" s="6">
        <f t="shared" si="53"/>
        <v>263.42494714587735</v>
      </c>
      <c r="J682" s="2" t="s">
        <v>2329</v>
      </c>
      <c r="K682" s="2">
        <v>9.4600000000000009</v>
      </c>
      <c r="L682" s="2" t="s">
        <v>636</v>
      </c>
      <c r="M682" s="2" t="s">
        <v>2330</v>
      </c>
      <c r="N682" s="2" t="s">
        <v>2331</v>
      </c>
      <c r="O682" s="56">
        <v>2492</v>
      </c>
      <c r="P682" s="2" t="s">
        <v>706</v>
      </c>
      <c r="Q682" s="2" t="s">
        <v>2332</v>
      </c>
      <c r="R682" s="2" t="s">
        <v>1821</v>
      </c>
      <c r="S682" s="2" t="s">
        <v>839</v>
      </c>
      <c r="T682" s="2" t="s">
        <v>1183</v>
      </c>
      <c r="U682" s="2" t="s">
        <v>2333</v>
      </c>
      <c r="V682" s="2" t="s">
        <v>2334</v>
      </c>
      <c r="W682" s="2" t="s">
        <v>2335</v>
      </c>
      <c r="X682" s="2" t="s">
        <v>2336</v>
      </c>
      <c r="Y682" s="2" t="s">
        <v>2337</v>
      </c>
      <c r="Z682" s="2" t="s">
        <v>579</v>
      </c>
      <c r="AA682" s="2" t="s">
        <v>548</v>
      </c>
      <c r="AB682" s="2" t="s">
        <v>2338</v>
      </c>
    </row>
    <row r="683" spans="1:28" hidden="1" x14ac:dyDescent="0.3">
      <c r="A683" s="4">
        <v>46231</v>
      </c>
      <c r="B683" s="8" t="s">
        <v>2254</v>
      </c>
      <c r="C683" s="8" t="s">
        <v>36</v>
      </c>
      <c r="D683" s="8" t="s">
        <v>50</v>
      </c>
      <c r="E683" s="8" t="s">
        <v>47</v>
      </c>
      <c r="F683" s="13"/>
      <c r="G683" s="59"/>
      <c r="H683" s="6">
        <f>15000/5</f>
        <v>3000</v>
      </c>
      <c r="I683" s="6">
        <f t="shared" si="53"/>
        <v>373.32242225859244</v>
      </c>
      <c r="J683" s="2" t="s">
        <v>2339</v>
      </c>
      <c r="K683" s="2">
        <v>6.11</v>
      </c>
      <c r="L683" s="2" t="s">
        <v>734</v>
      </c>
      <c r="M683" s="2" t="s">
        <v>2340</v>
      </c>
      <c r="N683" s="2" t="s">
        <v>2341</v>
      </c>
      <c r="O683" s="56">
        <v>2281</v>
      </c>
      <c r="P683" s="2" t="s">
        <v>2342</v>
      </c>
      <c r="Q683" s="2" t="s">
        <v>1022</v>
      </c>
      <c r="R683" s="2" t="s">
        <v>2343</v>
      </c>
      <c r="S683" s="2" t="s">
        <v>685</v>
      </c>
      <c r="T683" s="2" t="s">
        <v>2344</v>
      </c>
      <c r="U683" s="2" t="s">
        <v>1917</v>
      </c>
      <c r="V683" s="2" t="s">
        <v>1359</v>
      </c>
      <c r="W683" s="2" t="s">
        <v>2345</v>
      </c>
      <c r="X683" s="2" t="s">
        <v>2346</v>
      </c>
      <c r="Y683" s="2" t="s">
        <v>2347</v>
      </c>
      <c r="Z683" s="2" t="s">
        <v>719</v>
      </c>
      <c r="AA683" s="2" t="s">
        <v>548</v>
      </c>
      <c r="AB683" s="2" t="s">
        <v>2348</v>
      </c>
    </row>
    <row r="684" spans="1:28" hidden="1" x14ac:dyDescent="0.3">
      <c r="A684" s="4">
        <v>46231</v>
      </c>
      <c r="B684" s="8" t="s">
        <v>2254</v>
      </c>
      <c r="C684" s="8" t="s">
        <v>36</v>
      </c>
      <c r="D684" s="8" t="s">
        <v>52</v>
      </c>
      <c r="E684" s="8" t="s">
        <v>47</v>
      </c>
      <c r="F684" s="13"/>
      <c r="G684" s="59"/>
      <c r="H684" s="6">
        <f>15000/5</f>
        <v>3000</v>
      </c>
      <c r="I684" s="6">
        <f t="shared" si="53"/>
        <v>259.73904939422181</v>
      </c>
      <c r="J684" s="2" t="s">
        <v>2349</v>
      </c>
      <c r="K684" s="2">
        <v>10.73</v>
      </c>
      <c r="L684" s="2" t="s">
        <v>706</v>
      </c>
      <c r="M684" s="2" t="s">
        <v>1717</v>
      </c>
      <c r="N684" s="2" t="s">
        <v>2350</v>
      </c>
      <c r="O684" s="56">
        <v>2787</v>
      </c>
      <c r="P684" s="2" t="s">
        <v>1996</v>
      </c>
      <c r="Q684" s="2" t="s">
        <v>2351</v>
      </c>
      <c r="R684" s="2" t="s">
        <v>779</v>
      </c>
      <c r="S684" s="2" t="s">
        <v>712</v>
      </c>
      <c r="T684" s="2" t="s">
        <v>713</v>
      </c>
      <c r="U684" s="2" t="s">
        <v>1209</v>
      </c>
      <c r="V684" s="2" t="s">
        <v>2352</v>
      </c>
      <c r="W684" s="2" t="s">
        <v>2353</v>
      </c>
      <c r="X684" s="2" t="s">
        <v>2354</v>
      </c>
      <c r="Y684" s="2" t="s">
        <v>2355</v>
      </c>
      <c r="Z684" s="2" t="s">
        <v>690</v>
      </c>
      <c r="AA684" s="2" t="s">
        <v>548</v>
      </c>
      <c r="AB684" s="2" t="s">
        <v>2356</v>
      </c>
    </row>
    <row r="685" spans="1:28" hidden="1" x14ac:dyDescent="0.3">
      <c r="A685" s="4">
        <v>46231</v>
      </c>
      <c r="B685" s="8" t="s">
        <v>2254</v>
      </c>
      <c r="C685" s="8" t="s">
        <v>36</v>
      </c>
      <c r="D685" s="7" t="s">
        <v>46</v>
      </c>
      <c r="E685" s="7" t="s">
        <v>47</v>
      </c>
      <c r="F685" s="13"/>
      <c r="G685" s="59"/>
      <c r="H685" s="6">
        <f>15000/5</f>
        <v>3000</v>
      </c>
      <c r="I685" s="6">
        <f t="shared" si="53"/>
        <v>426.03550295857991</v>
      </c>
      <c r="J685" s="2" t="s">
        <v>564</v>
      </c>
      <c r="K685" s="2">
        <v>1.69</v>
      </c>
      <c r="L685" s="2" t="s">
        <v>608</v>
      </c>
      <c r="M685" s="2" t="s">
        <v>2357</v>
      </c>
      <c r="N685" s="2" t="s">
        <v>2358</v>
      </c>
      <c r="O685" s="56">
        <v>720</v>
      </c>
      <c r="P685" s="2" t="s">
        <v>1296</v>
      </c>
      <c r="Q685" s="2" t="s">
        <v>1383</v>
      </c>
      <c r="R685" s="2" t="s">
        <v>2359</v>
      </c>
      <c r="S685" s="2" t="s">
        <v>642</v>
      </c>
      <c r="T685" s="2" t="s">
        <v>2360</v>
      </c>
      <c r="U685" s="2" t="s">
        <v>2124</v>
      </c>
      <c r="V685" s="2" t="s">
        <v>2361</v>
      </c>
      <c r="W685" s="2" t="s">
        <v>2362</v>
      </c>
      <c r="X685" s="2" t="s">
        <v>2363</v>
      </c>
      <c r="Y685" s="2" t="s">
        <v>2364</v>
      </c>
      <c r="Z685" s="2" t="s">
        <v>548</v>
      </c>
      <c r="AA685" s="2" t="s">
        <v>548</v>
      </c>
      <c r="AB685" s="2" t="s">
        <v>2238</v>
      </c>
    </row>
    <row r="686" spans="1:28" x14ac:dyDescent="0.3">
      <c r="A686" s="4">
        <v>46231</v>
      </c>
      <c r="B686" s="8" t="s">
        <v>2254</v>
      </c>
      <c r="C686" s="8" t="s">
        <v>36</v>
      </c>
      <c r="D686" s="8" t="s">
        <v>48</v>
      </c>
      <c r="E686" s="7" t="s">
        <v>38</v>
      </c>
      <c r="F686" s="13">
        <v>1876</v>
      </c>
      <c r="G686" s="59"/>
      <c r="H686" s="6">
        <f>24000/7</f>
        <v>3428.5714285714284</v>
      </c>
      <c r="I686" s="6">
        <f t="shared" si="53"/>
        <v>342.76206322795343</v>
      </c>
      <c r="J686" s="2" t="s">
        <v>2365</v>
      </c>
      <c r="K686" s="2">
        <v>6.01</v>
      </c>
      <c r="L686" s="2" t="s">
        <v>1380</v>
      </c>
      <c r="M686" s="2" t="s">
        <v>2366</v>
      </c>
      <c r="N686" s="2" t="s">
        <v>2367</v>
      </c>
      <c r="O686" s="56">
        <v>2060</v>
      </c>
      <c r="P686" s="2" t="s">
        <v>2368</v>
      </c>
      <c r="Q686" s="2" t="s">
        <v>2369</v>
      </c>
      <c r="R686" s="2" t="s">
        <v>2370</v>
      </c>
      <c r="S686" s="2" t="s">
        <v>747</v>
      </c>
      <c r="T686" s="2" t="s">
        <v>2371</v>
      </c>
      <c r="U686" s="2" t="s">
        <v>2372</v>
      </c>
      <c r="V686" s="2" t="s">
        <v>2373</v>
      </c>
      <c r="W686" s="2" t="s">
        <v>2374</v>
      </c>
      <c r="X686" s="2" t="s">
        <v>2375</v>
      </c>
      <c r="Y686" s="2" t="s">
        <v>2376</v>
      </c>
      <c r="Z686" s="2" t="s">
        <v>548</v>
      </c>
      <c r="AA686" s="2" t="s">
        <v>548</v>
      </c>
      <c r="AB686" s="2" t="s">
        <v>2307</v>
      </c>
    </row>
    <row r="687" spans="1:28" hidden="1" x14ac:dyDescent="0.3">
      <c r="A687" s="4">
        <v>46231</v>
      </c>
      <c r="B687" s="8" t="s">
        <v>2254</v>
      </c>
      <c r="C687" s="8" t="s">
        <v>36</v>
      </c>
      <c r="D687" s="8" t="s">
        <v>49</v>
      </c>
      <c r="E687" s="8" t="s">
        <v>47</v>
      </c>
      <c r="F687" s="13"/>
      <c r="G687" s="59"/>
      <c r="H687" s="6">
        <f>15000/5</f>
        <v>3000</v>
      </c>
      <c r="I687" s="6">
        <f t="shared" si="53"/>
        <v>298.22866344605472</v>
      </c>
      <c r="J687" s="2" t="s">
        <v>2377</v>
      </c>
      <c r="K687" s="2">
        <v>6.21</v>
      </c>
      <c r="L687" s="2" t="s">
        <v>561</v>
      </c>
      <c r="M687" s="2" t="s">
        <v>2378</v>
      </c>
      <c r="N687" s="2" t="s">
        <v>2379</v>
      </c>
      <c r="O687" s="56">
        <v>1852</v>
      </c>
      <c r="P687" s="2" t="s">
        <v>2380</v>
      </c>
      <c r="Q687" s="2" t="s">
        <v>2381</v>
      </c>
      <c r="R687" s="2" t="s">
        <v>904</v>
      </c>
      <c r="S687" s="2" t="s">
        <v>595</v>
      </c>
      <c r="T687" s="2" t="s">
        <v>2095</v>
      </c>
      <c r="U687" s="2" t="s">
        <v>2382</v>
      </c>
      <c r="V687" s="2" t="s">
        <v>2383</v>
      </c>
      <c r="W687" s="2" t="s">
        <v>2384</v>
      </c>
      <c r="X687" s="2" t="s">
        <v>2385</v>
      </c>
      <c r="Y687" s="2" t="s">
        <v>2386</v>
      </c>
      <c r="Z687" s="2" t="s">
        <v>649</v>
      </c>
      <c r="AA687" s="2" t="s">
        <v>548</v>
      </c>
      <c r="AB687" s="2" t="s">
        <v>2387</v>
      </c>
    </row>
    <row r="688" spans="1:28" hidden="1" x14ac:dyDescent="0.3">
      <c r="A688" s="4">
        <v>46232</v>
      </c>
      <c r="B688" s="8" t="s">
        <v>2254</v>
      </c>
      <c r="C688" s="8" t="s">
        <v>36</v>
      </c>
      <c r="D688" s="8" t="s">
        <v>39</v>
      </c>
      <c r="E688" s="8" t="s">
        <v>47</v>
      </c>
      <c r="F688" s="13"/>
      <c r="G688" s="59"/>
      <c r="H688" s="6">
        <f>15000/5</f>
        <v>3000</v>
      </c>
      <c r="I688" s="6">
        <f t="shared" si="53"/>
        <v>263.33333333333331</v>
      </c>
      <c r="J688" s="2" t="s">
        <v>863</v>
      </c>
      <c r="K688" s="2">
        <v>7.5</v>
      </c>
      <c r="L688" s="2" t="s">
        <v>589</v>
      </c>
      <c r="M688" s="2" t="s">
        <v>1213</v>
      </c>
      <c r="N688" s="2" t="s">
        <v>2388</v>
      </c>
      <c r="O688" s="56">
        <v>1975</v>
      </c>
      <c r="P688" s="2" t="s">
        <v>2114</v>
      </c>
      <c r="Q688" s="2" t="s">
        <v>2224</v>
      </c>
      <c r="R688" s="2" t="s">
        <v>929</v>
      </c>
      <c r="S688" s="2" t="s">
        <v>839</v>
      </c>
      <c r="T688" s="2" t="s">
        <v>1121</v>
      </c>
      <c r="U688" s="2" t="s">
        <v>1442</v>
      </c>
      <c r="V688" s="2" t="s">
        <v>2389</v>
      </c>
      <c r="W688" s="2" t="s">
        <v>2390</v>
      </c>
      <c r="X688" s="2" t="s">
        <v>2391</v>
      </c>
      <c r="Y688" s="2" t="s">
        <v>2392</v>
      </c>
      <c r="Z688" s="2" t="s">
        <v>800</v>
      </c>
      <c r="AA688" s="2" t="s">
        <v>548</v>
      </c>
      <c r="AB688" s="2" t="s">
        <v>2393</v>
      </c>
    </row>
    <row r="689" spans="1:28" hidden="1" x14ac:dyDescent="0.3">
      <c r="A689" s="4">
        <v>46232</v>
      </c>
      <c r="B689" s="8" t="s">
        <v>55</v>
      </c>
      <c r="C689" s="8" t="s">
        <v>56</v>
      </c>
      <c r="D689" s="8" t="s">
        <v>43</v>
      </c>
      <c r="E689" s="8" t="s">
        <v>47</v>
      </c>
      <c r="F689" s="8"/>
      <c r="G689" s="8" t="s">
        <v>146</v>
      </c>
      <c r="H689" s="6"/>
      <c r="I689" s="6">
        <f t="shared" si="53"/>
        <v>0</v>
      </c>
      <c r="J689" s="2" t="s">
        <v>2394</v>
      </c>
      <c r="K689" s="2">
        <v>0.56999999999999995</v>
      </c>
      <c r="L689" s="2" t="s">
        <v>652</v>
      </c>
      <c r="M689" s="2" t="s">
        <v>2395</v>
      </c>
      <c r="N689" s="2" t="s">
        <v>45</v>
      </c>
      <c r="O689" s="56" t="s">
        <v>45</v>
      </c>
      <c r="P689" s="2" t="s">
        <v>45</v>
      </c>
      <c r="Q689" s="2" t="s">
        <v>45</v>
      </c>
      <c r="R689" s="2" t="s">
        <v>816</v>
      </c>
      <c r="S689" s="2" t="s">
        <v>961</v>
      </c>
      <c r="T689" s="2" t="s">
        <v>869</v>
      </c>
      <c r="U689" s="2" t="s">
        <v>737</v>
      </c>
      <c r="V689" s="2" t="s">
        <v>1832</v>
      </c>
      <c r="W689" s="2" t="s">
        <v>2396</v>
      </c>
      <c r="X689" s="2" t="s">
        <v>45</v>
      </c>
      <c r="Y689" s="2" t="s">
        <v>45</v>
      </c>
      <c r="Z689" s="2" t="s">
        <v>800</v>
      </c>
      <c r="AA689" s="2" t="s">
        <v>45</v>
      </c>
      <c r="AB689" s="2" t="s">
        <v>883</v>
      </c>
    </row>
    <row r="690" spans="1:28" hidden="1" x14ac:dyDescent="0.3">
      <c r="A690" s="4">
        <v>46232</v>
      </c>
      <c r="B690" s="8" t="s">
        <v>2254</v>
      </c>
      <c r="C690" s="8" t="s">
        <v>36</v>
      </c>
      <c r="D690" s="8" t="s">
        <v>67</v>
      </c>
      <c r="E690" s="8" t="s">
        <v>61</v>
      </c>
      <c r="F690" s="13"/>
      <c r="G690" s="59"/>
      <c r="H690" s="6"/>
      <c r="I690" s="6">
        <f t="shared" si="53"/>
        <v>255.10835913312692</v>
      </c>
      <c r="J690" s="2" t="s">
        <v>604</v>
      </c>
      <c r="K690" s="2">
        <v>6.46</v>
      </c>
      <c r="L690" s="2" t="s">
        <v>1117</v>
      </c>
      <c r="M690" s="2" t="s">
        <v>2397</v>
      </c>
      <c r="N690" s="2" t="s">
        <v>2398</v>
      </c>
      <c r="O690" s="56">
        <v>1648</v>
      </c>
      <c r="P690" s="2" t="s">
        <v>2399</v>
      </c>
      <c r="Q690" s="2" t="s">
        <v>2400</v>
      </c>
      <c r="R690" s="2" t="s">
        <v>1132</v>
      </c>
      <c r="S690" s="2" t="s">
        <v>1256</v>
      </c>
      <c r="T690" s="2" t="s">
        <v>2401</v>
      </c>
      <c r="U690" s="2" t="s">
        <v>1059</v>
      </c>
      <c r="V690" s="2" t="s">
        <v>2402</v>
      </c>
      <c r="W690" s="2" t="s">
        <v>2403</v>
      </c>
      <c r="X690" s="2" t="s">
        <v>2404</v>
      </c>
      <c r="Y690" s="2" t="s">
        <v>2405</v>
      </c>
      <c r="Z690" s="2" t="s">
        <v>621</v>
      </c>
      <c r="AA690" s="2" t="s">
        <v>548</v>
      </c>
      <c r="AB690" s="2" t="s">
        <v>2406</v>
      </c>
    </row>
    <row r="691" spans="1:28" hidden="1" x14ac:dyDescent="0.3">
      <c r="A691" s="4">
        <v>46232</v>
      </c>
      <c r="B691" s="8" t="s">
        <v>2254</v>
      </c>
      <c r="C691" s="8" t="s">
        <v>36</v>
      </c>
      <c r="D691" s="8" t="s">
        <v>50</v>
      </c>
      <c r="E691" s="8" t="s">
        <v>47</v>
      </c>
      <c r="F691" s="13"/>
      <c r="G691" s="59"/>
      <c r="H691" s="6">
        <f>15000/5</f>
        <v>3000</v>
      </c>
      <c r="I691" s="6">
        <f t="shared" si="53"/>
        <v>376.31578947368422</v>
      </c>
      <c r="J691" s="2" t="s">
        <v>2407</v>
      </c>
      <c r="K691" s="2">
        <v>7.6</v>
      </c>
      <c r="L691" s="2" t="s">
        <v>1064</v>
      </c>
      <c r="M691" s="2" t="s">
        <v>2408</v>
      </c>
      <c r="N691" s="2" t="s">
        <v>2409</v>
      </c>
      <c r="O691" s="56">
        <v>2860</v>
      </c>
      <c r="P691" s="2" t="s">
        <v>2410</v>
      </c>
      <c r="Q691" s="2" t="s">
        <v>2411</v>
      </c>
      <c r="R691" s="2" t="s">
        <v>2412</v>
      </c>
      <c r="S691" s="2" t="s">
        <v>685</v>
      </c>
      <c r="T691" s="2" t="s">
        <v>1887</v>
      </c>
      <c r="U691" s="2" t="s">
        <v>2413</v>
      </c>
      <c r="V691" s="2" t="s">
        <v>2414</v>
      </c>
      <c r="W691" s="2" t="s">
        <v>2415</v>
      </c>
      <c r="X691" s="2" t="s">
        <v>2416</v>
      </c>
      <c r="Y691" s="2" t="s">
        <v>2417</v>
      </c>
      <c r="Z691" s="2" t="s">
        <v>652</v>
      </c>
      <c r="AA691" s="2" t="s">
        <v>548</v>
      </c>
      <c r="AB691" s="2" t="s">
        <v>2418</v>
      </c>
    </row>
    <row r="692" spans="1:28" hidden="1" x14ac:dyDescent="0.3">
      <c r="A692" s="4">
        <v>46232</v>
      </c>
      <c r="B692" s="8" t="s">
        <v>2254</v>
      </c>
      <c r="C692" s="8" t="s">
        <v>36</v>
      </c>
      <c r="D692" s="8" t="s">
        <v>52</v>
      </c>
      <c r="E692" s="8" t="s">
        <v>47</v>
      </c>
      <c r="F692" s="13"/>
      <c r="G692" s="59"/>
      <c r="H692" s="6">
        <f>15000/5</f>
        <v>3000</v>
      </c>
      <c r="I692" s="6">
        <f t="shared" si="53"/>
        <v>242.88659793814435</v>
      </c>
      <c r="J692" s="2" t="s">
        <v>2419</v>
      </c>
      <c r="K692" s="2">
        <v>9.6999999999999993</v>
      </c>
      <c r="L692" s="2" t="s">
        <v>777</v>
      </c>
      <c r="M692" s="2" t="s">
        <v>2420</v>
      </c>
      <c r="N692" s="2" t="s">
        <v>2421</v>
      </c>
      <c r="O692" s="56">
        <v>2356</v>
      </c>
      <c r="P692" s="2" t="s">
        <v>2297</v>
      </c>
      <c r="Q692" s="2" t="s">
        <v>2422</v>
      </c>
      <c r="R692" s="2" t="s">
        <v>2423</v>
      </c>
      <c r="S692" s="2" t="s">
        <v>961</v>
      </c>
      <c r="T692" s="2" t="s">
        <v>1317</v>
      </c>
      <c r="U692" s="2" t="s">
        <v>2424</v>
      </c>
      <c r="V692" s="2" t="s">
        <v>2425</v>
      </c>
      <c r="W692" s="2" t="s">
        <v>2426</v>
      </c>
      <c r="X692" s="2" t="s">
        <v>2427</v>
      </c>
      <c r="Y692" s="2" t="s">
        <v>2428</v>
      </c>
      <c r="Z692" s="2" t="s">
        <v>1502</v>
      </c>
      <c r="AA692" s="2" t="s">
        <v>548</v>
      </c>
      <c r="AB692" s="2" t="s">
        <v>2429</v>
      </c>
    </row>
    <row r="693" spans="1:28" hidden="1" x14ac:dyDescent="0.3">
      <c r="A693" s="4">
        <v>46232</v>
      </c>
      <c r="B693" s="8" t="s">
        <v>2254</v>
      </c>
      <c r="C693" s="8" t="s">
        <v>36</v>
      </c>
      <c r="D693" s="7" t="s">
        <v>46</v>
      </c>
      <c r="E693" s="7" t="s">
        <v>47</v>
      </c>
      <c r="F693" s="13"/>
      <c r="G693" s="59"/>
      <c r="H693" s="6">
        <f>15000/5</f>
        <v>3000</v>
      </c>
      <c r="I693" s="6">
        <f t="shared" si="53"/>
        <v>483.44155844155841</v>
      </c>
      <c r="J693" s="2" t="s">
        <v>2430</v>
      </c>
      <c r="K693" s="2">
        <v>9.24</v>
      </c>
      <c r="L693" s="2" t="s">
        <v>971</v>
      </c>
      <c r="M693" s="2" t="s">
        <v>2431</v>
      </c>
      <c r="N693" s="2" t="s">
        <v>2432</v>
      </c>
      <c r="O693" s="56">
        <v>4467</v>
      </c>
      <c r="P693" s="2" t="s">
        <v>1015</v>
      </c>
      <c r="Q693" s="2" t="s">
        <v>2433</v>
      </c>
      <c r="R693" s="2" t="s">
        <v>2434</v>
      </c>
      <c r="S693" s="2" t="s">
        <v>1415</v>
      </c>
      <c r="T693" s="2" t="s">
        <v>1338</v>
      </c>
      <c r="U693" s="2" t="s">
        <v>1076</v>
      </c>
      <c r="V693" s="2" t="s">
        <v>2435</v>
      </c>
      <c r="W693" s="2" t="s">
        <v>2436</v>
      </c>
      <c r="X693" s="2" t="s">
        <v>2437</v>
      </c>
      <c r="Y693" s="2" t="s">
        <v>2438</v>
      </c>
      <c r="Z693" s="2" t="s">
        <v>548</v>
      </c>
      <c r="AA693" s="2" t="s">
        <v>548</v>
      </c>
      <c r="AB693" s="2" t="s">
        <v>2238</v>
      </c>
    </row>
    <row r="694" spans="1:28" x14ac:dyDescent="0.3">
      <c r="A694" s="4">
        <v>46232</v>
      </c>
      <c r="B694" s="8" t="s">
        <v>2254</v>
      </c>
      <c r="C694" s="8" t="s">
        <v>36</v>
      </c>
      <c r="D694" s="8" t="s">
        <v>48</v>
      </c>
      <c r="E694" s="7" t="s">
        <v>38</v>
      </c>
      <c r="F694" s="13">
        <v>1454</v>
      </c>
      <c r="G694" s="59"/>
      <c r="H694" s="6">
        <f>24000/7</f>
        <v>3428.5714285714284</v>
      </c>
      <c r="I694" s="6">
        <f t="shared" si="53"/>
        <v>321.71717171717171</v>
      </c>
      <c r="J694" s="2" t="s">
        <v>2439</v>
      </c>
      <c r="K694" s="2">
        <v>5.94</v>
      </c>
      <c r="L694" s="2" t="s">
        <v>777</v>
      </c>
      <c r="M694" s="2" t="s">
        <v>1265</v>
      </c>
      <c r="N694" s="2" t="s">
        <v>2440</v>
      </c>
      <c r="O694" s="56">
        <v>1911</v>
      </c>
      <c r="P694" s="2" t="s">
        <v>565</v>
      </c>
      <c r="Q694" s="2" t="s">
        <v>1439</v>
      </c>
      <c r="R694" s="2" t="s">
        <v>2232</v>
      </c>
      <c r="S694" s="2" t="s">
        <v>642</v>
      </c>
      <c r="T694" s="2" t="s">
        <v>2441</v>
      </c>
      <c r="U694" s="2" t="s">
        <v>1384</v>
      </c>
      <c r="V694" s="2" t="s">
        <v>2442</v>
      </c>
      <c r="W694" s="2" t="s">
        <v>2443</v>
      </c>
      <c r="X694" s="2" t="s">
        <v>2444</v>
      </c>
      <c r="Y694" s="2" t="s">
        <v>2445</v>
      </c>
      <c r="Z694" s="2" t="s">
        <v>649</v>
      </c>
      <c r="AA694" s="2" t="s">
        <v>548</v>
      </c>
      <c r="AB694" s="2" t="s">
        <v>2446</v>
      </c>
    </row>
    <row r="695" spans="1:28" hidden="1" x14ac:dyDescent="0.3">
      <c r="A695" s="4">
        <v>46232</v>
      </c>
      <c r="B695" s="8" t="s">
        <v>2254</v>
      </c>
      <c r="C695" s="8" t="s">
        <v>36</v>
      </c>
      <c r="D695" s="8" t="s">
        <v>49</v>
      </c>
      <c r="E695" s="8" t="s">
        <v>47</v>
      </c>
      <c r="F695" s="13"/>
      <c r="G695" s="59"/>
      <c r="H695" s="6">
        <f>15000/5</f>
        <v>3000</v>
      </c>
      <c r="I695" s="6">
        <f t="shared" si="53"/>
        <v>291.02749638205501</v>
      </c>
      <c r="J695" s="2" t="s">
        <v>2447</v>
      </c>
      <c r="K695" s="2">
        <v>6.91</v>
      </c>
      <c r="L695" s="2" t="s">
        <v>756</v>
      </c>
      <c r="M695" s="2" t="s">
        <v>2448</v>
      </c>
      <c r="N695" s="2" t="s">
        <v>2449</v>
      </c>
      <c r="O695" s="56">
        <v>2011</v>
      </c>
      <c r="P695" s="2" t="s">
        <v>2007</v>
      </c>
      <c r="Q695" s="2" t="s">
        <v>1110</v>
      </c>
      <c r="R695" s="2" t="s">
        <v>2450</v>
      </c>
      <c r="S695" s="2" t="s">
        <v>961</v>
      </c>
      <c r="T695" s="2" t="s">
        <v>839</v>
      </c>
      <c r="U695" s="2" t="s">
        <v>2451</v>
      </c>
      <c r="V695" s="2" t="s">
        <v>2452</v>
      </c>
      <c r="W695" s="2" t="s">
        <v>2453</v>
      </c>
      <c r="X695" s="2" t="s">
        <v>2454</v>
      </c>
      <c r="Y695" s="2" t="s">
        <v>2455</v>
      </c>
      <c r="Z695" s="2" t="s">
        <v>548</v>
      </c>
      <c r="AA695" s="2" t="s">
        <v>548</v>
      </c>
      <c r="AB695" s="2" t="s">
        <v>2387</v>
      </c>
    </row>
    <row r="696" spans="1:28" hidden="1" x14ac:dyDescent="0.3">
      <c r="A696" s="4">
        <v>46233</v>
      </c>
      <c r="B696" s="8" t="s">
        <v>2254</v>
      </c>
      <c r="C696" s="8" t="s">
        <v>36</v>
      </c>
      <c r="D696" s="8" t="s">
        <v>39</v>
      </c>
      <c r="E696" s="8" t="s">
        <v>47</v>
      </c>
      <c r="F696" s="13"/>
      <c r="G696" s="59"/>
      <c r="H696" s="6">
        <f>15000/5</f>
        <v>3000</v>
      </c>
      <c r="I696" s="6">
        <f t="shared" si="53"/>
        <v>199.31972789115648</v>
      </c>
      <c r="J696" s="2" t="s">
        <v>721</v>
      </c>
      <c r="K696" s="2">
        <v>7.35</v>
      </c>
      <c r="L696" s="2" t="s">
        <v>585</v>
      </c>
      <c r="M696" s="2" t="s">
        <v>2456</v>
      </c>
      <c r="N696" s="2" t="s">
        <v>2457</v>
      </c>
      <c r="O696" s="56">
        <v>1465</v>
      </c>
      <c r="P696" s="2" t="s">
        <v>2458</v>
      </c>
      <c r="Q696" s="2" t="s">
        <v>2459</v>
      </c>
      <c r="R696" s="2" t="s">
        <v>846</v>
      </c>
      <c r="S696" s="2" t="s">
        <v>595</v>
      </c>
      <c r="T696" s="2" t="s">
        <v>903</v>
      </c>
      <c r="U696" s="2" t="s">
        <v>2139</v>
      </c>
      <c r="V696" s="2" t="s">
        <v>1843</v>
      </c>
      <c r="W696" s="2" t="s">
        <v>2460</v>
      </c>
      <c r="X696" s="2" t="s">
        <v>2461</v>
      </c>
      <c r="Y696" s="2" t="s">
        <v>2462</v>
      </c>
      <c r="Z696" s="2" t="s">
        <v>579</v>
      </c>
      <c r="AA696" s="2" t="s">
        <v>548</v>
      </c>
      <c r="AB696" s="2" t="s">
        <v>2463</v>
      </c>
    </row>
    <row r="697" spans="1:28" hidden="1" x14ac:dyDescent="0.3">
      <c r="A697" s="4">
        <v>46233</v>
      </c>
      <c r="B697" s="8" t="s">
        <v>55</v>
      </c>
      <c r="C697" s="8" t="s">
        <v>56</v>
      </c>
      <c r="D697" s="8" t="s">
        <v>43</v>
      </c>
      <c r="E697" s="8" t="s">
        <v>47</v>
      </c>
      <c r="F697" s="8"/>
      <c r="G697" s="8" t="s">
        <v>146</v>
      </c>
      <c r="H697" s="6"/>
      <c r="I697" s="6">
        <f t="shared" si="53"/>
        <v>0</v>
      </c>
      <c r="J697" s="2" t="s">
        <v>2464</v>
      </c>
      <c r="K697" s="2" t="s">
        <v>2465</v>
      </c>
      <c r="L697" s="2" t="s">
        <v>1310</v>
      </c>
      <c r="M697" s="2" t="s">
        <v>2466</v>
      </c>
      <c r="N697" s="2" t="s">
        <v>45</v>
      </c>
      <c r="O697" s="56" t="s">
        <v>45</v>
      </c>
      <c r="P697" s="2" t="s">
        <v>45</v>
      </c>
      <c r="Q697" s="2" t="s">
        <v>45</v>
      </c>
      <c r="R697" s="2" t="s">
        <v>595</v>
      </c>
      <c r="S697" s="2" t="s">
        <v>585</v>
      </c>
      <c r="T697" s="2" t="s">
        <v>2467</v>
      </c>
      <c r="U697" s="2" t="s">
        <v>749</v>
      </c>
      <c r="V697" s="2" t="s">
        <v>2468</v>
      </c>
      <c r="W697" s="2" t="s">
        <v>2469</v>
      </c>
      <c r="X697" s="2" t="s">
        <v>45</v>
      </c>
      <c r="Y697" s="2" t="s">
        <v>45</v>
      </c>
      <c r="Z697" s="2" t="s">
        <v>548</v>
      </c>
      <c r="AA697" s="2" t="s">
        <v>45</v>
      </c>
      <c r="AB697" s="2" t="s">
        <v>883</v>
      </c>
    </row>
    <row r="698" spans="1:28" hidden="1" x14ac:dyDescent="0.3">
      <c r="A698" s="4">
        <v>46233</v>
      </c>
      <c r="B698" s="8" t="s">
        <v>2254</v>
      </c>
      <c r="C698" s="8" t="s">
        <v>36</v>
      </c>
      <c r="D698" s="8" t="s">
        <v>67</v>
      </c>
      <c r="E698" s="8" t="s">
        <v>61</v>
      </c>
      <c r="F698" s="13"/>
      <c r="G698" s="59"/>
      <c r="H698" s="6"/>
      <c r="I698" s="6">
        <f t="shared" si="53"/>
        <v>371.18110236220474</v>
      </c>
      <c r="J698" s="2" t="s">
        <v>2470</v>
      </c>
      <c r="K698" s="2">
        <v>6.35</v>
      </c>
      <c r="L698" s="2" t="s">
        <v>877</v>
      </c>
      <c r="M698" s="2" t="s">
        <v>2471</v>
      </c>
      <c r="N698" s="2" t="s">
        <v>2472</v>
      </c>
      <c r="O698" s="56">
        <v>2357</v>
      </c>
      <c r="P698" s="2" t="s">
        <v>2473</v>
      </c>
      <c r="Q698" s="2" t="s">
        <v>2474</v>
      </c>
      <c r="R698" s="2" t="s">
        <v>2475</v>
      </c>
      <c r="S698" s="2" t="s">
        <v>737</v>
      </c>
      <c r="T698" s="2" t="s">
        <v>2476</v>
      </c>
      <c r="U698" s="2" t="s">
        <v>1258</v>
      </c>
      <c r="V698" s="2" t="s">
        <v>2477</v>
      </c>
      <c r="W698" s="2" t="s">
        <v>2478</v>
      </c>
      <c r="X698" s="2" t="s">
        <v>2479</v>
      </c>
      <c r="Y698" s="2" t="s">
        <v>2480</v>
      </c>
      <c r="Z698" s="2" t="s">
        <v>649</v>
      </c>
      <c r="AA698" s="2" t="s">
        <v>548</v>
      </c>
      <c r="AB698" s="2" t="s">
        <v>2481</v>
      </c>
    </row>
    <row r="699" spans="1:28" hidden="1" x14ac:dyDescent="0.3">
      <c r="A699" s="4">
        <v>46233</v>
      </c>
      <c r="B699" s="8" t="s">
        <v>2254</v>
      </c>
      <c r="C699" s="8" t="s">
        <v>36</v>
      </c>
      <c r="D699" s="8" t="s">
        <v>50</v>
      </c>
      <c r="E699" s="8" t="s">
        <v>47</v>
      </c>
      <c r="F699" s="13"/>
      <c r="G699" s="59"/>
      <c r="H699" s="6">
        <f>15000/5</f>
        <v>3000</v>
      </c>
      <c r="I699" s="6">
        <f t="shared" si="53"/>
        <v>368.57962697274036</v>
      </c>
      <c r="J699" s="2" t="s">
        <v>2482</v>
      </c>
      <c r="K699" s="2">
        <v>6.97</v>
      </c>
      <c r="L699" s="2" t="s">
        <v>817</v>
      </c>
      <c r="M699" s="2" t="s">
        <v>2483</v>
      </c>
      <c r="N699" s="2" t="s">
        <v>2484</v>
      </c>
      <c r="O699" s="56">
        <v>2569</v>
      </c>
      <c r="P699" s="2" t="s">
        <v>1688</v>
      </c>
      <c r="Q699" s="2" t="s">
        <v>2485</v>
      </c>
      <c r="R699" s="2" t="s">
        <v>727</v>
      </c>
      <c r="S699" s="2" t="s">
        <v>658</v>
      </c>
      <c r="T699" s="2" t="s">
        <v>1374</v>
      </c>
      <c r="U699" s="2" t="s">
        <v>2486</v>
      </c>
      <c r="V699" s="2" t="s">
        <v>1568</v>
      </c>
      <c r="W699" s="2" t="s">
        <v>2487</v>
      </c>
      <c r="X699" s="2" t="s">
        <v>2488</v>
      </c>
      <c r="Y699" s="2" t="s">
        <v>2489</v>
      </c>
      <c r="Z699" s="2" t="s">
        <v>579</v>
      </c>
      <c r="AA699" s="2" t="s">
        <v>548</v>
      </c>
      <c r="AB699" s="2" t="s">
        <v>2490</v>
      </c>
    </row>
    <row r="700" spans="1:28" hidden="1" x14ac:dyDescent="0.3">
      <c r="A700" s="4">
        <v>46233</v>
      </c>
      <c r="B700" s="8" t="s">
        <v>2254</v>
      </c>
      <c r="C700" s="8" t="s">
        <v>36</v>
      </c>
      <c r="D700" s="8" t="s">
        <v>52</v>
      </c>
      <c r="E700" s="8" t="s">
        <v>47</v>
      </c>
      <c r="F700" s="13"/>
      <c r="G700" s="59"/>
      <c r="H700" s="6">
        <f>15000/5</f>
        <v>3000</v>
      </c>
      <c r="I700" s="6">
        <f t="shared" si="53"/>
        <v>211.47308781869688</v>
      </c>
      <c r="J700" s="2" t="s">
        <v>2491</v>
      </c>
      <c r="K700" s="2">
        <v>7.06</v>
      </c>
      <c r="L700" s="2" t="s">
        <v>777</v>
      </c>
      <c r="M700" s="2" t="s">
        <v>807</v>
      </c>
      <c r="N700" s="2" t="s">
        <v>2492</v>
      </c>
      <c r="O700" s="56">
        <f>1943-450</f>
        <v>1493</v>
      </c>
      <c r="P700" s="2" t="s">
        <v>1031</v>
      </c>
      <c r="Q700" s="2" t="s">
        <v>2493</v>
      </c>
      <c r="R700" s="2" t="s">
        <v>845</v>
      </c>
      <c r="S700" s="2" t="s">
        <v>961</v>
      </c>
      <c r="T700" s="2" t="s">
        <v>1317</v>
      </c>
      <c r="U700" s="2" t="s">
        <v>1442</v>
      </c>
      <c r="V700" s="2" t="s">
        <v>1071</v>
      </c>
      <c r="W700" s="2" t="s">
        <v>2494</v>
      </c>
      <c r="X700" s="2" t="s">
        <v>2495</v>
      </c>
      <c r="Y700" s="2" t="s">
        <v>2496</v>
      </c>
      <c r="Z700" s="2" t="s">
        <v>602</v>
      </c>
      <c r="AA700" s="2" t="s">
        <v>548</v>
      </c>
      <c r="AB700" s="2" t="s">
        <v>2497</v>
      </c>
    </row>
    <row r="701" spans="1:28" hidden="1" x14ac:dyDescent="0.3">
      <c r="A701" s="4">
        <v>46233</v>
      </c>
      <c r="B701" s="8" t="s">
        <v>2254</v>
      </c>
      <c r="C701" s="8" t="s">
        <v>36</v>
      </c>
      <c r="D701" s="8" t="s">
        <v>52</v>
      </c>
      <c r="E701" s="8" t="s">
        <v>61</v>
      </c>
      <c r="F701" s="13"/>
      <c r="G701" s="59"/>
      <c r="H701" s="6"/>
      <c r="I701" s="6">
        <f t="shared" si="53"/>
        <v>0</v>
      </c>
      <c r="J701" s="2"/>
      <c r="K701" s="2"/>
      <c r="L701" s="2"/>
      <c r="M701" s="2"/>
      <c r="N701" s="2"/>
      <c r="O701" s="56">
        <f>18*25</f>
        <v>450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idden="1" x14ac:dyDescent="0.3">
      <c r="A702" s="4">
        <v>46233</v>
      </c>
      <c r="B702" s="8" t="s">
        <v>2254</v>
      </c>
      <c r="C702" s="8" t="s">
        <v>36</v>
      </c>
      <c r="D702" s="7" t="s">
        <v>46</v>
      </c>
      <c r="E702" s="7" t="s">
        <v>47</v>
      </c>
      <c r="F702" s="13"/>
      <c r="G702" s="59"/>
      <c r="H702" s="6">
        <f>15000/5</f>
        <v>3000</v>
      </c>
      <c r="I702" s="6">
        <f t="shared" si="53"/>
        <v>443.34203655352479</v>
      </c>
      <c r="J702" s="2" t="s">
        <v>2498</v>
      </c>
      <c r="K702" s="2">
        <v>11.49</v>
      </c>
      <c r="L702" s="2" t="s">
        <v>1855</v>
      </c>
      <c r="M702" s="2" t="s">
        <v>2499</v>
      </c>
      <c r="N702" s="2" t="s">
        <v>2500</v>
      </c>
      <c r="O702" s="56">
        <v>5094</v>
      </c>
      <c r="P702" s="2" t="s">
        <v>1121</v>
      </c>
      <c r="Q702" s="2" t="s">
        <v>2501</v>
      </c>
      <c r="R702" s="2" t="s">
        <v>2502</v>
      </c>
      <c r="S702" s="2" t="s">
        <v>1929</v>
      </c>
      <c r="T702" s="2" t="s">
        <v>2503</v>
      </c>
      <c r="U702" s="2" t="s">
        <v>2504</v>
      </c>
      <c r="V702" s="2" t="s">
        <v>2505</v>
      </c>
      <c r="W702" s="2" t="s">
        <v>2506</v>
      </c>
      <c r="X702" s="2" t="s">
        <v>2507</v>
      </c>
      <c r="Y702" s="2" t="s">
        <v>2508</v>
      </c>
      <c r="Z702" s="2" t="s">
        <v>800</v>
      </c>
      <c r="AA702" s="2" t="s">
        <v>548</v>
      </c>
      <c r="AB702" s="2" t="s">
        <v>2509</v>
      </c>
    </row>
    <row r="703" spans="1:28" x14ac:dyDescent="0.3">
      <c r="A703" s="4">
        <v>46233</v>
      </c>
      <c r="B703" s="8" t="s">
        <v>2254</v>
      </c>
      <c r="C703" s="8" t="s">
        <v>36</v>
      </c>
      <c r="D703" s="8" t="s">
        <v>48</v>
      </c>
      <c r="E703" s="7" t="s">
        <v>38</v>
      </c>
      <c r="F703" s="13">
        <v>3801</v>
      </c>
      <c r="G703" s="59"/>
      <c r="H703" s="6">
        <f>24000/7</f>
        <v>3428.5714285714284</v>
      </c>
      <c r="I703" s="6">
        <f t="shared" si="53"/>
        <v>523.65887207702895</v>
      </c>
      <c r="J703" s="2" t="s">
        <v>1038</v>
      </c>
      <c r="K703" s="2">
        <v>7.27</v>
      </c>
      <c r="L703" s="2" t="s">
        <v>621</v>
      </c>
      <c r="M703" s="2" t="s">
        <v>2510</v>
      </c>
      <c r="N703" s="2" t="s">
        <v>2511</v>
      </c>
      <c r="O703" s="56">
        <v>3807</v>
      </c>
      <c r="P703" s="2" t="s">
        <v>2512</v>
      </c>
      <c r="Q703" s="2" t="s">
        <v>2513</v>
      </c>
      <c r="R703" s="2" t="s">
        <v>2514</v>
      </c>
      <c r="S703" s="2" t="s">
        <v>749</v>
      </c>
      <c r="T703" s="2" t="s">
        <v>1043</v>
      </c>
      <c r="U703" s="2" t="s">
        <v>2515</v>
      </c>
      <c r="V703" s="2" t="s">
        <v>2516</v>
      </c>
      <c r="W703" s="2" t="s">
        <v>2517</v>
      </c>
      <c r="X703" s="2" t="s">
        <v>2518</v>
      </c>
      <c r="Y703" s="2" t="s">
        <v>2519</v>
      </c>
      <c r="Z703" s="2" t="s">
        <v>800</v>
      </c>
      <c r="AA703" s="2" t="s">
        <v>548</v>
      </c>
      <c r="AB703" s="2" t="s">
        <v>2520</v>
      </c>
    </row>
    <row r="704" spans="1:28" hidden="1" x14ac:dyDescent="0.3">
      <c r="A704" s="4">
        <v>46233</v>
      </c>
      <c r="B704" s="8" t="s">
        <v>2254</v>
      </c>
      <c r="C704" s="8" t="s">
        <v>36</v>
      </c>
      <c r="D704" s="8" t="s">
        <v>49</v>
      </c>
      <c r="E704" s="8" t="s">
        <v>47</v>
      </c>
      <c r="F704" s="13"/>
      <c r="G704" s="59"/>
      <c r="H704" s="6">
        <f>15000/5</f>
        <v>3000</v>
      </c>
      <c r="I704" s="6">
        <f t="shared" si="53"/>
        <v>430.02958579881658</v>
      </c>
      <c r="J704" s="2" t="s">
        <v>2101</v>
      </c>
      <c r="K704" s="2">
        <v>6.76</v>
      </c>
      <c r="L704" s="2" t="s">
        <v>652</v>
      </c>
      <c r="M704" s="2" t="s">
        <v>2521</v>
      </c>
      <c r="N704" s="2" t="s">
        <v>2522</v>
      </c>
      <c r="O704" s="56">
        <f>3057-150</f>
        <v>2907</v>
      </c>
      <c r="P704" s="2" t="s">
        <v>1183</v>
      </c>
      <c r="Q704" s="2" t="s">
        <v>2523</v>
      </c>
      <c r="R704" s="2" t="s">
        <v>2524</v>
      </c>
      <c r="S704" s="2" t="s">
        <v>658</v>
      </c>
      <c r="T704" s="2" t="s">
        <v>659</v>
      </c>
      <c r="U704" s="2" t="s">
        <v>1077</v>
      </c>
      <c r="V704" s="2" t="s">
        <v>2525</v>
      </c>
      <c r="W704" s="2" t="s">
        <v>2526</v>
      </c>
      <c r="X704" s="2" t="s">
        <v>2527</v>
      </c>
      <c r="Y704" s="2" t="s">
        <v>2528</v>
      </c>
      <c r="Z704" s="2" t="s">
        <v>548</v>
      </c>
      <c r="AA704" s="2" t="s">
        <v>548</v>
      </c>
      <c r="AB704" s="2" t="s">
        <v>2387</v>
      </c>
    </row>
    <row r="705" spans="1:28" hidden="1" x14ac:dyDescent="0.3">
      <c r="A705" s="4">
        <v>46233</v>
      </c>
      <c r="B705" s="8" t="s">
        <v>2254</v>
      </c>
      <c r="C705" s="8" t="s">
        <v>36</v>
      </c>
      <c r="D705" s="8" t="s">
        <v>49</v>
      </c>
      <c r="E705" s="8" t="s">
        <v>61</v>
      </c>
      <c r="F705" s="13"/>
      <c r="G705" s="59"/>
      <c r="H705" s="6"/>
      <c r="I705" s="6">
        <f t="shared" si="53"/>
        <v>0</v>
      </c>
      <c r="J705" s="2"/>
      <c r="K705" s="2"/>
      <c r="L705" s="2"/>
      <c r="M705" s="2"/>
      <c r="N705" s="2"/>
      <c r="O705" s="56">
        <f>6*25</f>
        <v>150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idden="1" x14ac:dyDescent="0.3">
      <c r="A706" s="4">
        <v>46234</v>
      </c>
      <c r="B706" s="8" t="s">
        <v>2254</v>
      </c>
      <c r="C706" s="8" t="s">
        <v>36</v>
      </c>
      <c r="D706" s="8" t="s">
        <v>39</v>
      </c>
      <c r="E706" s="8" t="s">
        <v>47</v>
      </c>
      <c r="F706" s="13"/>
      <c r="G706" s="59"/>
      <c r="H706" s="6">
        <f>15000/6</f>
        <v>2500</v>
      </c>
      <c r="I706" s="6">
        <f t="shared" si="53"/>
        <v>262.9733520336606</v>
      </c>
      <c r="J706" s="2" t="s">
        <v>2529</v>
      </c>
      <c r="K706" s="2">
        <v>7.13</v>
      </c>
      <c r="L706" s="2" t="s">
        <v>955</v>
      </c>
      <c r="M706" s="2" t="s">
        <v>2530</v>
      </c>
      <c r="N706" s="2" t="s">
        <v>2035</v>
      </c>
      <c r="O706" s="56">
        <v>1875</v>
      </c>
      <c r="P706" s="2" t="s">
        <v>2531</v>
      </c>
      <c r="Q706" s="2" t="s">
        <v>2319</v>
      </c>
      <c r="R706" s="2" t="s">
        <v>1544</v>
      </c>
      <c r="S706" s="2" t="s">
        <v>839</v>
      </c>
      <c r="T706" s="2" t="s">
        <v>685</v>
      </c>
      <c r="U706" s="2" t="s">
        <v>1349</v>
      </c>
      <c r="V706" s="2" t="s">
        <v>2532</v>
      </c>
      <c r="W706" s="2" t="s">
        <v>2533</v>
      </c>
      <c r="X706" s="2" t="s">
        <v>2534</v>
      </c>
      <c r="Y706" s="2" t="s">
        <v>2535</v>
      </c>
      <c r="Z706" s="2" t="s">
        <v>800</v>
      </c>
      <c r="AA706" s="2" t="s">
        <v>548</v>
      </c>
      <c r="AB706" s="2" t="s">
        <v>2536</v>
      </c>
    </row>
    <row r="707" spans="1:28" hidden="1" x14ac:dyDescent="0.3">
      <c r="A707" s="4">
        <v>46234</v>
      </c>
      <c r="B707" s="8" t="s">
        <v>2254</v>
      </c>
      <c r="C707" s="8" t="s">
        <v>36</v>
      </c>
      <c r="D707" s="8" t="s">
        <v>43</v>
      </c>
      <c r="E707" s="8" t="s">
        <v>61</v>
      </c>
      <c r="F707" s="13"/>
      <c r="G707" s="59"/>
      <c r="H707" s="6"/>
      <c r="I707" s="6">
        <f t="shared" si="53"/>
        <v>0</v>
      </c>
      <c r="J707" s="2"/>
      <c r="K707" s="2"/>
      <c r="L707" s="2"/>
      <c r="M707" s="2"/>
      <c r="N707" s="2"/>
      <c r="O707" s="56">
        <v>25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idden="1" x14ac:dyDescent="0.3">
      <c r="A708" s="4">
        <v>46234</v>
      </c>
      <c r="B708" s="8" t="s">
        <v>2254</v>
      </c>
      <c r="C708" s="8" t="s">
        <v>36</v>
      </c>
      <c r="D708" s="8" t="s">
        <v>43</v>
      </c>
      <c r="E708" s="8" t="s">
        <v>47</v>
      </c>
      <c r="F708" s="13"/>
      <c r="G708" s="59"/>
      <c r="H708" s="6">
        <f>15000/6</f>
        <v>2500</v>
      </c>
      <c r="I708" s="6">
        <f t="shared" si="53"/>
        <v>11.261261261261261</v>
      </c>
      <c r="J708" s="2" t="s">
        <v>2537</v>
      </c>
      <c r="K708" s="2">
        <v>4.4400000000000004</v>
      </c>
      <c r="L708" s="2" t="s">
        <v>602</v>
      </c>
      <c r="M708" s="2" t="s">
        <v>2538</v>
      </c>
      <c r="N708" s="2" t="s">
        <v>45</v>
      </c>
      <c r="O708" s="56">
        <v>50</v>
      </c>
      <c r="P708" s="2" t="s">
        <v>45</v>
      </c>
      <c r="Q708" s="2" t="s">
        <v>45</v>
      </c>
      <c r="R708" s="2" t="s">
        <v>1174</v>
      </c>
      <c r="S708" s="2" t="s">
        <v>595</v>
      </c>
      <c r="T708" s="2" t="s">
        <v>839</v>
      </c>
      <c r="U708" s="2" t="s">
        <v>2539</v>
      </c>
      <c r="V708" s="2" t="s">
        <v>2540</v>
      </c>
      <c r="W708" s="2" t="s">
        <v>2541</v>
      </c>
      <c r="X708" s="2" t="s">
        <v>45</v>
      </c>
      <c r="Y708" s="2" t="s">
        <v>45</v>
      </c>
      <c r="Z708" s="2" t="s">
        <v>649</v>
      </c>
      <c r="AA708" s="2" t="s">
        <v>45</v>
      </c>
      <c r="AB708" s="2" t="s">
        <v>2542</v>
      </c>
    </row>
    <row r="709" spans="1:28" hidden="1" x14ac:dyDescent="0.3">
      <c r="A709" s="4">
        <v>46234</v>
      </c>
      <c r="B709" s="8" t="s">
        <v>55</v>
      </c>
      <c r="C709" s="8" t="s">
        <v>56</v>
      </c>
      <c r="D709" s="8" t="s">
        <v>67</v>
      </c>
      <c r="E709" s="8" t="s">
        <v>47</v>
      </c>
      <c r="F709" s="13"/>
      <c r="G709" s="8" t="s">
        <v>146</v>
      </c>
      <c r="H709" s="6"/>
      <c r="I709" s="6">
        <f t="shared" si="53"/>
        <v>0</v>
      </c>
      <c r="J709" s="2" t="s">
        <v>2543</v>
      </c>
      <c r="K709" s="2">
        <v>0.57999999999999996</v>
      </c>
      <c r="L709" s="2" t="s">
        <v>1092</v>
      </c>
      <c r="M709" s="2" t="s">
        <v>2544</v>
      </c>
      <c r="N709" s="2" t="s">
        <v>2545</v>
      </c>
      <c r="O709" s="56" t="s">
        <v>42</v>
      </c>
      <c r="P709" s="2" t="s">
        <v>800</v>
      </c>
      <c r="Q709" s="2" t="s">
        <v>580</v>
      </c>
      <c r="R709" s="2" t="s">
        <v>747</v>
      </c>
      <c r="S709" s="2" t="s">
        <v>749</v>
      </c>
      <c r="T709" s="2" t="s">
        <v>1447</v>
      </c>
      <c r="U709" s="2" t="s">
        <v>712</v>
      </c>
      <c r="V709" s="2" t="s">
        <v>2546</v>
      </c>
      <c r="W709" s="2" t="s">
        <v>2547</v>
      </c>
      <c r="X709" s="2" t="s">
        <v>2548</v>
      </c>
      <c r="Y709" s="2" t="s">
        <v>2549</v>
      </c>
      <c r="Z709" s="2" t="s">
        <v>548</v>
      </c>
      <c r="AA709" s="2" t="s">
        <v>548</v>
      </c>
      <c r="AB709" s="2" t="s">
        <v>2481</v>
      </c>
    </row>
    <row r="710" spans="1:28" hidden="1" x14ac:dyDescent="0.3">
      <c r="A710" s="4">
        <v>46234</v>
      </c>
      <c r="B710" s="8" t="s">
        <v>2254</v>
      </c>
      <c r="C710" s="8" t="s">
        <v>36</v>
      </c>
      <c r="D710" s="8" t="s">
        <v>50</v>
      </c>
      <c r="E710" s="8" t="s">
        <v>47</v>
      </c>
      <c r="F710" s="13"/>
      <c r="G710" s="59"/>
      <c r="H710" s="6">
        <f>15000/6</f>
        <v>2500</v>
      </c>
      <c r="I710" s="6">
        <f t="shared" si="53"/>
        <v>238.97810218978103</v>
      </c>
      <c r="J710" s="2" t="s">
        <v>2550</v>
      </c>
      <c r="K710" s="2">
        <v>6.85</v>
      </c>
      <c r="L710" s="2" t="s">
        <v>621</v>
      </c>
      <c r="M710" s="2" t="s">
        <v>2551</v>
      </c>
      <c r="N710" s="2" t="s">
        <v>1854</v>
      </c>
      <c r="O710" s="56">
        <v>1637</v>
      </c>
      <c r="P710" s="2" t="s">
        <v>1189</v>
      </c>
      <c r="Q710" s="2" t="s">
        <v>2552</v>
      </c>
      <c r="R710" s="2" t="s">
        <v>2553</v>
      </c>
      <c r="S710" s="2" t="s">
        <v>582</v>
      </c>
      <c r="T710" s="2" t="s">
        <v>839</v>
      </c>
      <c r="U710" s="2" t="s">
        <v>911</v>
      </c>
      <c r="V710" s="2" t="s">
        <v>2554</v>
      </c>
      <c r="W710" s="2" t="s">
        <v>2555</v>
      </c>
      <c r="X710" s="2" t="s">
        <v>2556</v>
      </c>
      <c r="Y710" s="2" t="s">
        <v>2557</v>
      </c>
      <c r="Z710" s="2" t="s">
        <v>690</v>
      </c>
      <c r="AA710" s="2" t="s">
        <v>548</v>
      </c>
      <c r="AB710" s="2" t="s">
        <v>2558</v>
      </c>
    </row>
    <row r="711" spans="1:28" hidden="1" x14ac:dyDescent="0.3">
      <c r="A711" s="4">
        <v>46234</v>
      </c>
      <c r="B711" s="8" t="s">
        <v>2254</v>
      </c>
      <c r="C711" s="8" t="s">
        <v>36</v>
      </c>
      <c r="D711" s="8" t="s">
        <v>52</v>
      </c>
      <c r="E711" s="8" t="s">
        <v>47</v>
      </c>
      <c r="F711" s="13"/>
      <c r="G711" s="59"/>
      <c r="H711" s="6">
        <f>15000/6</f>
        <v>2500</v>
      </c>
      <c r="I711" s="6">
        <f t="shared" si="53"/>
        <v>268.53932584269666</v>
      </c>
      <c r="J711" s="2" t="s">
        <v>2559</v>
      </c>
      <c r="K711" s="2">
        <v>8.01</v>
      </c>
      <c r="L711" s="2" t="s">
        <v>1321</v>
      </c>
      <c r="M711" s="2" t="s">
        <v>2560</v>
      </c>
      <c r="N711" s="2" t="s">
        <v>1739</v>
      </c>
      <c r="O711" s="56">
        <v>2151</v>
      </c>
      <c r="P711" s="2" t="s">
        <v>2410</v>
      </c>
      <c r="Q711" s="2" t="s">
        <v>1832</v>
      </c>
      <c r="R711" s="2" t="s">
        <v>2009</v>
      </c>
      <c r="S711" s="2" t="s">
        <v>961</v>
      </c>
      <c r="T711" s="2" t="s">
        <v>2149</v>
      </c>
      <c r="U711" s="2" t="s">
        <v>770</v>
      </c>
      <c r="V711" s="2" t="s">
        <v>2561</v>
      </c>
      <c r="W711" s="2" t="s">
        <v>2562</v>
      </c>
      <c r="X711" s="2" t="s">
        <v>2563</v>
      </c>
      <c r="Y711" s="2" t="s">
        <v>2564</v>
      </c>
      <c r="Z711" s="2" t="s">
        <v>702</v>
      </c>
      <c r="AA711" s="2" t="s">
        <v>548</v>
      </c>
      <c r="AB711" s="2" t="s">
        <v>2565</v>
      </c>
    </row>
    <row r="712" spans="1:28" hidden="1" x14ac:dyDescent="0.3">
      <c r="A712" s="4">
        <v>46234</v>
      </c>
      <c r="B712" s="8" t="s">
        <v>2254</v>
      </c>
      <c r="C712" s="8" t="s">
        <v>36</v>
      </c>
      <c r="D712" s="7" t="s">
        <v>46</v>
      </c>
      <c r="E712" s="8" t="s">
        <v>47</v>
      </c>
      <c r="F712" s="13"/>
      <c r="G712" s="59"/>
      <c r="H712" s="6">
        <f>15000/6</f>
        <v>2500</v>
      </c>
      <c r="I712" s="6">
        <f t="shared" si="53"/>
        <v>330</v>
      </c>
      <c r="J712" s="2" t="s">
        <v>2566</v>
      </c>
      <c r="K712" s="2">
        <v>11.7</v>
      </c>
      <c r="L712" s="2" t="s">
        <v>2567</v>
      </c>
      <c r="M712" s="2" t="s">
        <v>2568</v>
      </c>
      <c r="N712" s="2" t="s">
        <v>2569</v>
      </c>
      <c r="O712" s="56">
        <v>3861</v>
      </c>
      <c r="P712" s="2" t="s">
        <v>2570</v>
      </c>
      <c r="Q712" s="2" t="s">
        <v>1758</v>
      </c>
      <c r="R712" s="2" t="s">
        <v>2571</v>
      </c>
      <c r="S712" s="2" t="s">
        <v>2572</v>
      </c>
      <c r="T712" s="2" t="s">
        <v>2573</v>
      </c>
      <c r="U712" s="2" t="s">
        <v>2574</v>
      </c>
      <c r="V712" s="2" t="s">
        <v>2575</v>
      </c>
      <c r="W712" s="2" t="s">
        <v>2576</v>
      </c>
      <c r="X712" s="2" t="s">
        <v>2577</v>
      </c>
      <c r="Y712" s="2" t="s">
        <v>2578</v>
      </c>
      <c r="Z712" s="2" t="s">
        <v>800</v>
      </c>
      <c r="AA712" s="2" t="s">
        <v>548</v>
      </c>
      <c r="AB712" s="2" t="s">
        <v>2579</v>
      </c>
    </row>
    <row r="713" spans="1:28" x14ac:dyDescent="0.3">
      <c r="A713" s="4">
        <v>46234</v>
      </c>
      <c r="B713" s="8" t="s">
        <v>2254</v>
      </c>
      <c r="C713" s="8" t="s">
        <v>36</v>
      </c>
      <c r="D713" s="8" t="s">
        <v>48</v>
      </c>
      <c r="E713" s="7" t="s">
        <v>38</v>
      </c>
      <c r="F713" s="13">
        <v>2305</v>
      </c>
      <c r="G713" s="59"/>
      <c r="H713" s="6">
        <f>24000/7</f>
        <v>3428.5714285714284</v>
      </c>
      <c r="I713" s="6">
        <f t="shared" si="53"/>
        <v>495.0344827586207</v>
      </c>
      <c r="J713" s="2" t="s">
        <v>2004</v>
      </c>
      <c r="K713" s="2">
        <v>7.25</v>
      </c>
      <c r="L713" s="2" t="s">
        <v>777</v>
      </c>
      <c r="M713" s="2" t="s">
        <v>2580</v>
      </c>
      <c r="N713" s="2" t="s">
        <v>2581</v>
      </c>
      <c r="O713" s="56">
        <v>3589</v>
      </c>
      <c r="P713" s="2" t="s">
        <v>1097</v>
      </c>
      <c r="Q713" s="2" t="s">
        <v>2582</v>
      </c>
      <c r="R713" s="2" t="s">
        <v>2583</v>
      </c>
      <c r="S713" s="2" t="s">
        <v>902</v>
      </c>
      <c r="T713" s="2" t="s">
        <v>1338</v>
      </c>
      <c r="U713" s="2" t="s">
        <v>1087</v>
      </c>
      <c r="V713" s="2" t="s">
        <v>2107</v>
      </c>
      <c r="W713" s="2" t="s">
        <v>2584</v>
      </c>
      <c r="X713" s="2" t="s">
        <v>2585</v>
      </c>
      <c r="Y713" s="2" t="s">
        <v>2586</v>
      </c>
      <c r="Z713" s="2" t="s">
        <v>649</v>
      </c>
      <c r="AA713" s="2" t="s">
        <v>548</v>
      </c>
      <c r="AB713" s="2" t="s">
        <v>2587</v>
      </c>
    </row>
    <row r="714" spans="1:28" hidden="1" x14ac:dyDescent="0.3">
      <c r="A714" s="4">
        <v>46234</v>
      </c>
      <c r="B714" s="8" t="s">
        <v>2254</v>
      </c>
      <c r="C714" s="8" t="s">
        <v>36</v>
      </c>
      <c r="D714" s="8" t="s">
        <v>49</v>
      </c>
      <c r="E714" s="8" t="s">
        <v>47</v>
      </c>
      <c r="F714" s="13"/>
      <c r="G714" s="59"/>
      <c r="H714" s="6">
        <f>15000/6</f>
        <v>2500</v>
      </c>
      <c r="I714" s="6">
        <f t="shared" si="53"/>
        <v>474.15143603133157</v>
      </c>
      <c r="J714" s="2" t="s">
        <v>2588</v>
      </c>
      <c r="K714" s="2">
        <v>7.66</v>
      </c>
      <c r="L714" s="2" t="s">
        <v>817</v>
      </c>
      <c r="M714" s="2" t="s">
        <v>2589</v>
      </c>
      <c r="N714" s="2" t="s">
        <v>2590</v>
      </c>
      <c r="O714" s="56">
        <v>3632</v>
      </c>
      <c r="P714" s="2" t="s">
        <v>1191</v>
      </c>
      <c r="Q714" s="2" t="s">
        <v>2546</v>
      </c>
      <c r="R714" s="2" t="s">
        <v>2591</v>
      </c>
      <c r="S714" s="2" t="s">
        <v>642</v>
      </c>
      <c r="T714" s="2" t="s">
        <v>2592</v>
      </c>
      <c r="U714" s="2" t="s">
        <v>1638</v>
      </c>
      <c r="V714" s="2" t="s">
        <v>2593</v>
      </c>
      <c r="W714" s="2" t="s">
        <v>2594</v>
      </c>
      <c r="X714" s="2" t="s">
        <v>2595</v>
      </c>
      <c r="Y714" s="2" t="s">
        <v>2596</v>
      </c>
      <c r="Z714" s="2" t="s">
        <v>649</v>
      </c>
      <c r="AA714" s="2" t="s">
        <v>548</v>
      </c>
      <c r="AB714" s="2" t="s">
        <v>1231</v>
      </c>
    </row>
    <row r="715" spans="1:28" hidden="1" x14ac:dyDescent="0.3">
      <c r="A715" s="4">
        <v>46235</v>
      </c>
      <c r="B715" s="8" t="s">
        <v>2254</v>
      </c>
      <c r="C715" s="8" t="s">
        <v>36</v>
      </c>
      <c r="D715" s="8" t="s">
        <v>39</v>
      </c>
      <c r="E715" s="8" t="s">
        <v>47</v>
      </c>
      <c r="F715" s="13"/>
      <c r="G715" s="59"/>
      <c r="H715" s="6">
        <f>15000/7</f>
        <v>2142.8571428571427</v>
      </c>
      <c r="I715" s="6">
        <f t="shared" si="53"/>
        <v>168.91891891891893</v>
      </c>
      <c r="J715" s="2" t="s">
        <v>2597</v>
      </c>
      <c r="K715" s="2">
        <v>5.92</v>
      </c>
      <c r="L715" s="2" t="s">
        <v>585</v>
      </c>
      <c r="M715" s="2" t="s">
        <v>593</v>
      </c>
      <c r="N715" s="2" t="s">
        <v>2598</v>
      </c>
      <c r="O715" s="56">
        <v>1000</v>
      </c>
      <c r="P715" s="2" t="s">
        <v>652</v>
      </c>
      <c r="Q715" s="2" t="s">
        <v>2599</v>
      </c>
      <c r="R715" s="2" t="s">
        <v>1358</v>
      </c>
      <c r="S715" s="2" t="s">
        <v>685</v>
      </c>
      <c r="T715" s="2" t="s">
        <v>1015</v>
      </c>
      <c r="U715" s="2" t="s">
        <v>2600</v>
      </c>
      <c r="V715" s="2" t="s">
        <v>2601</v>
      </c>
      <c r="W715" s="2" t="s">
        <v>2602</v>
      </c>
      <c r="X715" s="2" t="s">
        <v>2603</v>
      </c>
      <c r="Y715" s="2" t="s">
        <v>2604</v>
      </c>
      <c r="Z715" s="2" t="s">
        <v>800</v>
      </c>
      <c r="AA715" s="2" t="s">
        <v>548</v>
      </c>
      <c r="AB715" s="2" t="s">
        <v>2605</v>
      </c>
    </row>
    <row r="716" spans="1:28" hidden="1" x14ac:dyDescent="0.3">
      <c r="A716" s="4">
        <v>46235</v>
      </c>
      <c r="B716" s="8" t="s">
        <v>2254</v>
      </c>
      <c r="C716" s="8" t="s">
        <v>36</v>
      </c>
      <c r="D716" s="8" t="s">
        <v>43</v>
      </c>
      <c r="E716" s="8" t="s">
        <v>47</v>
      </c>
      <c r="F716" s="13"/>
      <c r="G716" s="59"/>
      <c r="H716" s="6">
        <f>15000/7</f>
        <v>2142.8571428571427</v>
      </c>
      <c r="I716" s="6">
        <f t="shared" si="53"/>
        <v>0</v>
      </c>
      <c r="J716" s="2"/>
      <c r="K716" s="2"/>
      <c r="L716" s="2"/>
      <c r="M716" s="2"/>
      <c r="N716" s="2"/>
      <c r="O716" s="56">
        <v>50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idden="1" x14ac:dyDescent="0.3">
      <c r="A717" s="4">
        <v>46235</v>
      </c>
      <c r="B717" s="8" t="s">
        <v>2254</v>
      </c>
      <c r="C717" s="8" t="s">
        <v>36</v>
      </c>
      <c r="D717" s="8" t="s">
        <v>43</v>
      </c>
      <c r="E717" s="8" t="s">
        <v>61</v>
      </c>
      <c r="F717" s="13"/>
      <c r="G717" s="59"/>
      <c r="H717" s="6"/>
      <c r="I717" s="6">
        <f t="shared" si="53"/>
        <v>223.68421052631581</v>
      </c>
      <c r="J717" s="2" t="s">
        <v>1231</v>
      </c>
      <c r="K717" s="2">
        <v>3.8</v>
      </c>
      <c r="L717" s="2" t="s">
        <v>690</v>
      </c>
      <c r="M717" s="2" t="s">
        <v>1723</v>
      </c>
      <c r="N717" s="2" t="s">
        <v>45</v>
      </c>
      <c r="O717" s="56">
        <v>850</v>
      </c>
      <c r="P717" s="2" t="s">
        <v>45</v>
      </c>
      <c r="Q717" s="2" t="s">
        <v>45</v>
      </c>
      <c r="R717" s="2" t="s">
        <v>2606</v>
      </c>
      <c r="S717" s="2" t="s">
        <v>712</v>
      </c>
      <c r="T717" s="2" t="s">
        <v>771</v>
      </c>
      <c r="U717" s="2" t="s">
        <v>2607</v>
      </c>
      <c r="V717" s="2" t="s">
        <v>2608</v>
      </c>
      <c r="W717" s="2" t="s">
        <v>2609</v>
      </c>
      <c r="X717" s="2" t="s">
        <v>45</v>
      </c>
      <c r="Y717" s="2" t="s">
        <v>45</v>
      </c>
      <c r="Z717" s="2" t="s">
        <v>548</v>
      </c>
      <c r="AA717" s="2" t="s">
        <v>45</v>
      </c>
      <c r="AB717" s="2" t="s">
        <v>2542</v>
      </c>
    </row>
    <row r="718" spans="1:28" hidden="1" x14ac:dyDescent="0.3">
      <c r="A718" s="4">
        <v>46235</v>
      </c>
      <c r="B718" s="8" t="s">
        <v>2254</v>
      </c>
      <c r="C718" s="8" t="s">
        <v>36</v>
      </c>
      <c r="D718" s="8" t="s">
        <v>67</v>
      </c>
      <c r="E718" s="8" t="s">
        <v>47</v>
      </c>
      <c r="F718" s="13"/>
      <c r="G718" s="59"/>
      <c r="H718" s="6">
        <f>15000/7</f>
        <v>2142.8571428571427</v>
      </c>
      <c r="I718" s="6">
        <f t="shared" si="53"/>
        <v>207.2639225181598</v>
      </c>
      <c r="J718" s="2" t="s">
        <v>2610</v>
      </c>
      <c r="K718" s="2">
        <v>4.13</v>
      </c>
      <c r="L718" s="2" t="s">
        <v>1502</v>
      </c>
      <c r="M718" s="2" t="s">
        <v>2611</v>
      </c>
      <c r="N718" s="2" t="s">
        <v>2612</v>
      </c>
      <c r="O718" s="56">
        <v>856</v>
      </c>
      <c r="P718" s="2" t="s">
        <v>2613</v>
      </c>
      <c r="Q718" s="2" t="s">
        <v>2614</v>
      </c>
      <c r="R718" s="2" t="s">
        <v>1842</v>
      </c>
      <c r="S718" s="2" t="s">
        <v>595</v>
      </c>
      <c r="T718" s="2" t="s">
        <v>2615</v>
      </c>
      <c r="U718" s="2" t="s">
        <v>2616</v>
      </c>
      <c r="V718" s="2" t="s">
        <v>2617</v>
      </c>
      <c r="W718" s="2" t="s">
        <v>2618</v>
      </c>
      <c r="X718" s="2" t="s">
        <v>2619</v>
      </c>
      <c r="Y718" s="2" t="s">
        <v>2620</v>
      </c>
      <c r="Z718" s="2" t="s">
        <v>719</v>
      </c>
      <c r="AA718" s="2" t="s">
        <v>548</v>
      </c>
      <c r="AB718" s="2" t="s">
        <v>2621</v>
      </c>
    </row>
    <row r="719" spans="1:28" hidden="1" x14ac:dyDescent="0.3">
      <c r="A719" s="4">
        <v>46235</v>
      </c>
      <c r="B719" s="8" t="s">
        <v>2254</v>
      </c>
      <c r="C719" s="8" t="s">
        <v>36</v>
      </c>
      <c r="D719" s="8" t="s">
        <v>50</v>
      </c>
      <c r="E719" s="8" t="s">
        <v>47</v>
      </c>
      <c r="F719" s="13"/>
      <c r="G719" s="59"/>
      <c r="H719" s="6">
        <f>15000/7</f>
        <v>2142.8571428571427</v>
      </c>
      <c r="I719" s="6">
        <f t="shared" si="53"/>
        <v>233.93501805054152</v>
      </c>
      <c r="J719" s="2" t="s">
        <v>2622</v>
      </c>
      <c r="K719" s="2">
        <v>5.54</v>
      </c>
      <c r="L719" s="2" t="s">
        <v>756</v>
      </c>
      <c r="M719" s="2" t="s">
        <v>2623</v>
      </c>
      <c r="N719" s="2" t="s">
        <v>2624</v>
      </c>
      <c r="O719" s="56">
        <v>1296</v>
      </c>
      <c r="P719" s="2" t="s">
        <v>784</v>
      </c>
      <c r="Q719" s="2" t="s">
        <v>1934</v>
      </c>
      <c r="R719" s="2" t="s">
        <v>1357</v>
      </c>
      <c r="S719" s="2" t="s">
        <v>595</v>
      </c>
      <c r="T719" s="2" t="s">
        <v>726</v>
      </c>
      <c r="U719" s="2" t="s">
        <v>2625</v>
      </c>
      <c r="V719" s="2" t="s">
        <v>2266</v>
      </c>
      <c r="W719" s="2" t="s">
        <v>2626</v>
      </c>
      <c r="X719" s="2" t="s">
        <v>2627</v>
      </c>
      <c r="Y719" s="2" t="s">
        <v>2628</v>
      </c>
      <c r="Z719" s="2" t="s">
        <v>678</v>
      </c>
      <c r="AA719" s="2" t="s">
        <v>548</v>
      </c>
      <c r="AB719" s="2" t="s">
        <v>2629</v>
      </c>
    </row>
    <row r="720" spans="1:28" hidden="1" x14ac:dyDescent="0.3">
      <c r="A720" s="4">
        <v>46235</v>
      </c>
      <c r="B720" s="8" t="s">
        <v>2254</v>
      </c>
      <c r="C720" s="8" t="s">
        <v>36</v>
      </c>
      <c r="D720" s="8" t="s">
        <v>52</v>
      </c>
      <c r="E720" s="8" t="s">
        <v>47</v>
      </c>
      <c r="F720" s="13"/>
      <c r="G720" s="59"/>
      <c r="H720" s="6">
        <f>15000/7</f>
        <v>2142.8571428571427</v>
      </c>
      <c r="I720" s="6">
        <f t="shared" si="53"/>
        <v>279.42073170731709</v>
      </c>
      <c r="J720" s="2" t="s">
        <v>2630</v>
      </c>
      <c r="K720" s="2">
        <v>6.56</v>
      </c>
      <c r="L720" s="2" t="s">
        <v>998</v>
      </c>
      <c r="M720" s="2" t="s">
        <v>2631</v>
      </c>
      <c r="N720" s="2" t="s">
        <v>2632</v>
      </c>
      <c r="O720" s="56">
        <v>1833</v>
      </c>
      <c r="P720" s="2" t="s">
        <v>971</v>
      </c>
      <c r="Q720" s="2" t="s">
        <v>2633</v>
      </c>
      <c r="R720" s="2" t="s">
        <v>610</v>
      </c>
      <c r="S720" s="2" t="s">
        <v>685</v>
      </c>
      <c r="T720" s="2" t="s">
        <v>809</v>
      </c>
      <c r="U720" s="2" t="s">
        <v>1190</v>
      </c>
      <c r="V720" s="2" t="s">
        <v>2634</v>
      </c>
      <c r="W720" s="2" t="s">
        <v>2635</v>
      </c>
      <c r="X720" s="2" t="s">
        <v>2636</v>
      </c>
      <c r="Y720" s="2" t="s">
        <v>2637</v>
      </c>
      <c r="Z720" s="2" t="s">
        <v>649</v>
      </c>
      <c r="AA720" s="2" t="s">
        <v>548</v>
      </c>
      <c r="AB720" s="2" t="s">
        <v>2638</v>
      </c>
    </row>
    <row r="721" spans="1:28" hidden="1" x14ac:dyDescent="0.3">
      <c r="A721" s="4">
        <v>46235</v>
      </c>
      <c r="B721" s="8" t="s">
        <v>2254</v>
      </c>
      <c r="C721" s="8" t="s">
        <v>36</v>
      </c>
      <c r="D721" s="7" t="s">
        <v>46</v>
      </c>
      <c r="E721" s="8" t="s">
        <v>47</v>
      </c>
      <c r="F721" s="13"/>
      <c r="G721" s="59"/>
      <c r="H721" s="6">
        <f>15000/7</f>
        <v>2142.8571428571427</v>
      </c>
      <c r="I721" s="6">
        <f t="shared" si="53"/>
        <v>394.19847328244276</v>
      </c>
      <c r="J721" s="2" t="s">
        <v>1526</v>
      </c>
      <c r="K721" s="2">
        <v>6.55</v>
      </c>
      <c r="L721" s="2" t="s">
        <v>693</v>
      </c>
      <c r="M721" s="2" t="s">
        <v>2639</v>
      </c>
      <c r="N721" s="2" t="s">
        <v>2640</v>
      </c>
      <c r="O721" s="56">
        <v>2582</v>
      </c>
      <c r="P721" s="2" t="s">
        <v>2199</v>
      </c>
      <c r="Q721" s="2" t="s">
        <v>2641</v>
      </c>
      <c r="R721" s="2" t="s">
        <v>2642</v>
      </c>
      <c r="S721" s="2" t="s">
        <v>949</v>
      </c>
      <c r="T721" s="2" t="s">
        <v>1106</v>
      </c>
      <c r="U721" s="2" t="s">
        <v>2643</v>
      </c>
      <c r="V721" s="2" t="s">
        <v>2644</v>
      </c>
      <c r="W721" s="2" t="s">
        <v>2645</v>
      </c>
      <c r="X721" s="2" t="s">
        <v>2646</v>
      </c>
      <c r="Y721" s="2" t="s">
        <v>2647</v>
      </c>
      <c r="Z721" s="2" t="s">
        <v>548</v>
      </c>
      <c r="AA721" s="2" t="s">
        <v>548</v>
      </c>
      <c r="AB721" s="2" t="s">
        <v>2579</v>
      </c>
    </row>
    <row r="722" spans="1:28" x14ac:dyDescent="0.3">
      <c r="A722" s="4">
        <v>46235</v>
      </c>
      <c r="B722" s="8" t="s">
        <v>2254</v>
      </c>
      <c r="C722" s="8" t="s">
        <v>36</v>
      </c>
      <c r="D722" s="8" t="s">
        <v>48</v>
      </c>
      <c r="E722" s="7" t="s">
        <v>38</v>
      </c>
      <c r="F722" s="13">
        <v>3375</v>
      </c>
      <c r="G722" s="59"/>
      <c r="H722" s="6">
        <f>24000/7</f>
        <v>3428.5714285714284</v>
      </c>
      <c r="I722" s="6">
        <f t="shared" si="53"/>
        <v>650.23752969121142</v>
      </c>
      <c r="J722" s="2" t="s">
        <v>2648</v>
      </c>
      <c r="K722" s="2">
        <v>8.42</v>
      </c>
      <c r="L722" s="2" t="s">
        <v>706</v>
      </c>
      <c r="M722" s="2" t="s">
        <v>2649</v>
      </c>
      <c r="N722" s="2" t="s">
        <v>2650</v>
      </c>
      <c r="O722" s="56">
        <v>5475</v>
      </c>
      <c r="P722" s="2" t="s">
        <v>1084</v>
      </c>
      <c r="Q722" s="2" t="s">
        <v>2649</v>
      </c>
      <c r="R722" s="2" t="s">
        <v>2651</v>
      </c>
      <c r="S722" s="2" t="s">
        <v>611</v>
      </c>
      <c r="T722" s="2" t="s">
        <v>2652</v>
      </c>
      <c r="U722" s="2" t="s">
        <v>2653</v>
      </c>
      <c r="V722" s="2" t="s">
        <v>1660</v>
      </c>
      <c r="W722" s="2" t="s">
        <v>2654</v>
      </c>
      <c r="X722" s="2" t="s">
        <v>2655</v>
      </c>
      <c r="Y722" s="2" t="s">
        <v>2656</v>
      </c>
      <c r="Z722" s="2" t="s">
        <v>649</v>
      </c>
      <c r="AA722" s="2" t="s">
        <v>548</v>
      </c>
      <c r="AB722" s="2" t="s">
        <v>2657</v>
      </c>
    </row>
    <row r="723" spans="1:28" hidden="1" x14ac:dyDescent="0.3">
      <c r="A723" s="4">
        <v>46235</v>
      </c>
      <c r="B723" s="8" t="s">
        <v>2254</v>
      </c>
      <c r="C723" s="8" t="s">
        <v>36</v>
      </c>
      <c r="D723" s="8" t="s">
        <v>49</v>
      </c>
      <c r="E723" s="8" t="s">
        <v>47</v>
      </c>
      <c r="F723" s="13"/>
      <c r="G723" s="59"/>
      <c r="H723" s="6">
        <f>15000/7</f>
        <v>2142.8571428571427</v>
      </c>
      <c r="I723" s="6">
        <f t="shared" si="53"/>
        <v>395.5151515151515</v>
      </c>
      <c r="J723" s="2" t="s">
        <v>1203</v>
      </c>
      <c r="K723" s="2">
        <v>8.25</v>
      </c>
      <c r="L723" s="2" t="s">
        <v>1553</v>
      </c>
      <c r="M723" s="2" t="s">
        <v>2658</v>
      </c>
      <c r="N723" s="2" t="s">
        <v>2659</v>
      </c>
      <c r="O723" s="56">
        <v>3263</v>
      </c>
      <c r="P723" s="2" t="s">
        <v>2660</v>
      </c>
      <c r="Q723" s="2" t="s">
        <v>2661</v>
      </c>
      <c r="R723" s="2" t="s">
        <v>2662</v>
      </c>
      <c r="S723" s="2" t="s">
        <v>820</v>
      </c>
      <c r="T723" s="2" t="s">
        <v>762</v>
      </c>
      <c r="U723" s="2" t="s">
        <v>2663</v>
      </c>
      <c r="V723" s="2" t="s">
        <v>2664</v>
      </c>
      <c r="W723" s="2" t="s">
        <v>2665</v>
      </c>
      <c r="X723" s="2" t="s">
        <v>2666</v>
      </c>
      <c r="Y723" s="2" t="s">
        <v>2667</v>
      </c>
      <c r="Z723" s="2" t="s">
        <v>548</v>
      </c>
      <c r="AA723" s="2" t="s">
        <v>548</v>
      </c>
      <c r="AB723" s="2" t="s">
        <v>1231</v>
      </c>
    </row>
    <row r="724" spans="1:28" hidden="1" x14ac:dyDescent="0.3">
      <c r="A724" s="4">
        <v>46236</v>
      </c>
      <c r="B724" s="8" t="s">
        <v>55</v>
      </c>
      <c r="C724" s="8" t="s">
        <v>56</v>
      </c>
      <c r="D724" s="8" t="s">
        <v>39</v>
      </c>
      <c r="E724" s="8" t="s">
        <v>47</v>
      </c>
      <c r="F724" s="13"/>
      <c r="G724" s="59"/>
      <c r="H724" s="6"/>
      <c r="I724" s="6">
        <f t="shared" si="53"/>
        <v>0</v>
      </c>
      <c r="J724" s="2" t="s">
        <v>2668</v>
      </c>
      <c r="K724" s="2" t="s">
        <v>2669</v>
      </c>
      <c r="L724" s="2" t="s">
        <v>602</v>
      </c>
      <c r="M724" s="2" t="s">
        <v>2670</v>
      </c>
      <c r="N724" s="2" t="s">
        <v>548</v>
      </c>
      <c r="O724" s="56">
        <v>0</v>
      </c>
      <c r="P724" s="2" t="s">
        <v>45</v>
      </c>
      <c r="Q724" s="2" t="s">
        <v>548</v>
      </c>
      <c r="R724" s="2" t="s">
        <v>961</v>
      </c>
      <c r="S724" s="2" t="s">
        <v>839</v>
      </c>
      <c r="T724" s="2" t="s">
        <v>2302</v>
      </c>
      <c r="U724" s="2" t="s">
        <v>585</v>
      </c>
      <c r="V724" s="2" t="s">
        <v>2503</v>
      </c>
      <c r="W724" s="2" t="s">
        <v>2671</v>
      </c>
      <c r="X724" s="2" t="s">
        <v>2603</v>
      </c>
      <c r="Y724" s="2" t="s">
        <v>2604</v>
      </c>
      <c r="Z724" s="2" t="s">
        <v>649</v>
      </c>
      <c r="AA724" s="2" t="s">
        <v>45</v>
      </c>
      <c r="AB724" s="2" t="s">
        <v>2672</v>
      </c>
    </row>
    <row r="725" spans="1:28" hidden="1" x14ac:dyDescent="0.3">
      <c r="A725" s="4">
        <v>46236</v>
      </c>
      <c r="B725" s="8" t="s">
        <v>55</v>
      </c>
      <c r="C725" s="8" t="s">
        <v>56</v>
      </c>
      <c r="D725" s="8" t="s">
        <v>43</v>
      </c>
      <c r="E725" s="8" t="s">
        <v>47</v>
      </c>
      <c r="F725" s="13"/>
      <c r="G725" s="59"/>
      <c r="H725" s="6"/>
      <c r="I725" s="6">
        <f t="shared" si="53"/>
        <v>0</v>
      </c>
      <c r="J725" s="2" t="s">
        <v>548</v>
      </c>
      <c r="K725" s="2" t="s">
        <v>548</v>
      </c>
      <c r="L725" s="2" t="s">
        <v>548</v>
      </c>
      <c r="M725" s="2" t="s">
        <v>45</v>
      </c>
      <c r="N725" s="2" t="s">
        <v>45</v>
      </c>
      <c r="O725" s="56" t="s">
        <v>45</v>
      </c>
      <c r="P725" s="2" t="s">
        <v>45</v>
      </c>
      <c r="Q725" s="2" t="s">
        <v>45</v>
      </c>
      <c r="R725" s="2" t="s">
        <v>548</v>
      </c>
      <c r="S725" s="2" t="s">
        <v>548</v>
      </c>
      <c r="T725" s="2" t="s">
        <v>45</v>
      </c>
      <c r="U725" s="2" t="s">
        <v>548</v>
      </c>
      <c r="V725" s="2" t="s">
        <v>45</v>
      </c>
      <c r="W725" s="2" t="s">
        <v>2609</v>
      </c>
      <c r="X725" s="2" t="s">
        <v>45</v>
      </c>
      <c r="Y725" s="2" t="s">
        <v>45</v>
      </c>
      <c r="Z725" s="2" t="s">
        <v>548</v>
      </c>
      <c r="AA725" s="2" t="s">
        <v>45</v>
      </c>
      <c r="AB725" s="2" t="s">
        <v>2542</v>
      </c>
    </row>
    <row r="726" spans="1:28" hidden="1" x14ac:dyDescent="0.3">
      <c r="A726" s="4">
        <v>46236</v>
      </c>
      <c r="B726" s="8" t="s">
        <v>55</v>
      </c>
      <c r="C726" s="8" t="s">
        <v>56</v>
      </c>
      <c r="D726" s="8" t="s">
        <v>67</v>
      </c>
      <c r="E726" s="8" t="s">
        <v>47</v>
      </c>
      <c r="F726" s="13"/>
      <c r="G726" s="59"/>
      <c r="H726" s="6"/>
      <c r="I726" s="6">
        <f t="shared" si="53"/>
        <v>0</v>
      </c>
      <c r="J726" s="2" t="s">
        <v>45</v>
      </c>
      <c r="K726" s="2" t="s">
        <v>45</v>
      </c>
      <c r="L726" s="2" t="s">
        <v>45</v>
      </c>
      <c r="M726" s="2" t="s">
        <v>45</v>
      </c>
      <c r="N726" s="2" t="s">
        <v>45</v>
      </c>
      <c r="O726" s="56" t="s">
        <v>45</v>
      </c>
      <c r="P726" s="2" t="s">
        <v>45</v>
      </c>
      <c r="Q726" s="2" t="s">
        <v>45</v>
      </c>
      <c r="R726" s="2" t="s">
        <v>45</v>
      </c>
      <c r="S726" s="2" t="s">
        <v>45</v>
      </c>
      <c r="T726" s="2" t="s">
        <v>45</v>
      </c>
      <c r="U726" s="2" t="s">
        <v>45</v>
      </c>
      <c r="V726" s="2" t="s">
        <v>45</v>
      </c>
      <c r="W726" s="2" t="s">
        <v>45</v>
      </c>
      <c r="X726" s="2" t="s">
        <v>45</v>
      </c>
      <c r="Y726" s="2" t="s">
        <v>45</v>
      </c>
      <c r="Z726" s="2" t="s">
        <v>45</v>
      </c>
      <c r="AA726" s="2" t="s">
        <v>45</v>
      </c>
      <c r="AB726" s="2" t="s">
        <v>45</v>
      </c>
    </row>
    <row r="727" spans="1:28" hidden="1" x14ac:dyDescent="0.3">
      <c r="A727" s="4">
        <v>46236</v>
      </c>
      <c r="B727" s="8" t="s">
        <v>55</v>
      </c>
      <c r="C727" s="8" t="s">
        <v>56</v>
      </c>
      <c r="D727" s="8" t="s">
        <v>50</v>
      </c>
      <c r="E727" s="8" t="s">
        <v>47</v>
      </c>
      <c r="F727" s="13"/>
      <c r="G727" s="59"/>
      <c r="H727" s="6"/>
      <c r="I727" s="6">
        <f t="shared" si="53"/>
        <v>0</v>
      </c>
      <c r="J727" s="2" t="s">
        <v>548</v>
      </c>
      <c r="K727" s="2" t="s">
        <v>548</v>
      </c>
      <c r="L727" s="2" t="s">
        <v>548</v>
      </c>
      <c r="M727" s="2" t="s">
        <v>45</v>
      </c>
      <c r="N727" s="2" t="s">
        <v>548</v>
      </c>
      <c r="O727" s="56">
        <v>0</v>
      </c>
      <c r="P727" s="2" t="s">
        <v>45</v>
      </c>
      <c r="Q727" s="2" t="s">
        <v>45</v>
      </c>
      <c r="R727" s="2" t="s">
        <v>548</v>
      </c>
      <c r="S727" s="2" t="s">
        <v>548</v>
      </c>
      <c r="T727" s="2" t="s">
        <v>45</v>
      </c>
      <c r="U727" s="2" t="s">
        <v>548</v>
      </c>
      <c r="V727" s="2" t="s">
        <v>45</v>
      </c>
      <c r="W727" s="2" t="s">
        <v>2626</v>
      </c>
      <c r="X727" s="2" t="s">
        <v>2627</v>
      </c>
      <c r="Y727" s="2" t="s">
        <v>2628</v>
      </c>
      <c r="Z727" s="2" t="s">
        <v>548</v>
      </c>
      <c r="AA727" s="2" t="s">
        <v>45</v>
      </c>
      <c r="AB727" s="2" t="s">
        <v>2629</v>
      </c>
    </row>
    <row r="728" spans="1:28" hidden="1" x14ac:dyDescent="0.3">
      <c r="A728" s="4">
        <v>46236</v>
      </c>
      <c r="B728" s="8" t="s">
        <v>55</v>
      </c>
      <c r="C728" s="8" t="s">
        <v>56</v>
      </c>
      <c r="D728" s="8" t="s">
        <v>52</v>
      </c>
      <c r="E728" s="8" t="s">
        <v>47</v>
      </c>
      <c r="F728" s="13"/>
      <c r="G728" s="59"/>
      <c r="H728" s="6"/>
      <c r="I728" s="6">
        <f t="shared" si="53"/>
        <v>0</v>
      </c>
      <c r="J728" s="2" t="s">
        <v>45</v>
      </c>
      <c r="K728" s="2" t="s">
        <v>45</v>
      </c>
      <c r="L728" s="2" t="s">
        <v>45</v>
      </c>
      <c r="M728" s="2" t="s">
        <v>45</v>
      </c>
      <c r="N728" s="2" t="s">
        <v>45</v>
      </c>
      <c r="O728" s="56" t="s">
        <v>45</v>
      </c>
      <c r="P728" s="2" t="s">
        <v>45</v>
      </c>
      <c r="Q728" s="2" t="s">
        <v>45</v>
      </c>
      <c r="R728" s="2" t="s">
        <v>45</v>
      </c>
      <c r="S728" s="2" t="s">
        <v>45</v>
      </c>
      <c r="T728" s="2" t="s">
        <v>45</v>
      </c>
      <c r="U728" s="2" t="s">
        <v>45</v>
      </c>
      <c r="V728" s="2" t="s">
        <v>45</v>
      </c>
      <c r="W728" s="2" t="s">
        <v>45</v>
      </c>
      <c r="X728" s="2" t="s">
        <v>45</v>
      </c>
      <c r="Y728" s="2" t="s">
        <v>45</v>
      </c>
      <c r="Z728" s="2" t="s">
        <v>45</v>
      </c>
      <c r="AA728" s="2" t="s">
        <v>45</v>
      </c>
      <c r="AB728" s="2" t="s">
        <v>45</v>
      </c>
    </row>
    <row r="729" spans="1:28" hidden="1" x14ac:dyDescent="0.3">
      <c r="A729" s="4">
        <v>46236</v>
      </c>
      <c r="B729" s="8" t="s">
        <v>55</v>
      </c>
      <c r="C729" s="8" t="s">
        <v>56</v>
      </c>
      <c r="D729" s="7" t="s">
        <v>46</v>
      </c>
      <c r="E729" s="7" t="s">
        <v>47</v>
      </c>
      <c r="F729" s="13"/>
      <c r="G729" s="59"/>
      <c r="H729" s="6"/>
      <c r="I729" s="6">
        <f t="shared" si="53"/>
        <v>0</v>
      </c>
      <c r="J729" s="2" t="s">
        <v>548</v>
      </c>
      <c r="K729" s="2" t="s">
        <v>548</v>
      </c>
      <c r="L729" s="2" t="s">
        <v>548</v>
      </c>
      <c r="M729" s="2" t="s">
        <v>45</v>
      </c>
      <c r="N729" s="2" t="s">
        <v>548</v>
      </c>
      <c r="O729" s="56">
        <v>0</v>
      </c>
      <c r="P729" s="2" t="s">
        <v>45</v>
      </c>
      <c r="Q729" s="2" t="s">
        <v>45</v>
      </c>
      <c r="R729" s="2" t="s">
        <v>548</v>
      </c>
      <c r="S729" s="2" t="s">
        <v>548</v>
      </c>
      <c r="T729" s="2" t="s">
        <v>45</v>
      </c>
      <c r="U729" s="2" t="s">
        <v>548</v>
      </c>
      <c r="V729" s="2" t="s">
        <v>45</v>
      </c>
      <c r="W729" s="2" t="s">
        <v>2645</v>
      </c>
      <c r="X729" s="2" t="s">
        <v>2646</v>
      </c>
      <c r="Y729" s="2" t="s">
        <v>2647</v>
      </c>
      <c r="Z729" s="2" t="s">
        <v>548</v>
      </c>
      <c r="AA729" s="2" t="s">
        <v>45</v>
      </c>
      <c r="AB729" s="2" t="s">
        <v>2579</v>
      </c>
    </row>
    <row r="730" spans="1:28" x14ac:dyDescent="0.3">
      <c r="A730" s="4">
        <v>46236</v>
      </c>
      <c r="B730" s="8" t="s">
        <v>2254</v>
      </c>
      <c r="C730" s="8" t="s">
        <v>36</v>
      </c>
      <c r="D730" s="8" t="s">
        <v>48</v>
      </c>
      <c r="E730" s="7" t="s">
        <v>38</v>
      </c>
      <c r="F730" s="13">
        <v>2705</v>
      </c>
      <c r="G730" s="59"/>
      <c r="H730" s="6">
        <f>24000/7</f>
        <v>3428.5714285714284</v>
      </c>
      <c r="I730" s="6">
        <f t="shared" si="53"/>
        <v>768.40077071290943</v>
      </c>
      <c r="J730" s="2" t="s">
        <v>1785</v>
      </c>
      <c r="K730" s="2">
        <v>5.19</v>
      </c>
      <c r="L730" s="2" t="s">
        <v>1696</v>
      </c>
      <c r="M730" s="2" t="s">
        <v>2673</v>
      </c>
      <c r="N730" s="2" t="s">
        <v>2674</v>
      </c>
      <c r="O730" s="56">
        <v>3988</v>
      </c>
      <c r="P730" s="2" t="s">
        <v>2503</v>
      </c>
      <c r="Q730" s="2" t="s">
        <v>2675</v>
      </c>
      <c r="R730" s="2" t="s">
        <v>1821</v>
      </c>
      <c r="S730" s="2" t="s">
        <v>961</v>
      </c>
      <c r="T730" s="2" t="s">
        <v>961</v>
      </c>
      <c r="U730" s="2" t="s">
        <v>2676</v>
      </c>
      <c r="V730" s="2" t="s">
        <v>2677</v>
      </c>
      <c r="W730" s="2" t="s">
        <v>2678</v>
      </c>
      <c r="X730" s="2" t="s">
        <v>2679</v>
      </c>
      <c r="Y730" s="2" t="s">
        <v>2680</v>
      </c>
      <c r="Z730" s="2" t="s">
        <v>548</v>
      </c>
      <c r="AA730" s="2" t="s">
        <v>548</v>
      </c>
      <c r="AB730" s="2" t="s">
        <v>2657</v>
      </c>
    </row>
    <row r="731" spans="1:28" hidden="1" x14ac:dyDescent="0.3">
      <c r="A731" s="4">
        <v>46236</v>
      </c>
      <c r="B731" s="8" t="s">
        <v>55</v>
      </c>
      <c r="C731" s="8" t="s">
        <v>56</v>
      </c>
      <c r="D731" s="8" t="s">
        <v>49</v>
      </c>
      <c r="E731" s="8" t="s">
        <v>47</v>
      </c>
      <c r="F731" s="13"/>
      <c r="G731" s="59"/>
      <c r="H731" s="6"/>
      <c r="I731" s="6">
        <f t="shared" si="53"/>
        <v>0</v>
      </c>
      <c r="J731" s="2" t="s">
        <v>45</v>
      </c>
      <c r="K731" s="2" t="s">
        <v>45</v>
      </c>
      <c r="L731" s="2" t="s">
        <v>45</v>
      </c>
      <c r="M731" s="2" t="s">
        <v>45</v>
      </c>
      <c r="N731" s="2" t="s">
        <v>45</v>
      </c>
      <c r="O731" s="56" t="s">
        <v>45</v>
      </c>
      <c r="P731" s="2" t="s">
        <v>45</v>
      </c>
      <c r="Q731" s="2" t="s">
        <v>45</v>
      </c>
      <c r="R731" s="2" t="s">
        <v>45</v>
      </c>
      <c r="S731" s="2" t="s">
        <v>45</v>
      </c>
      <c r="T731" s="2" t="s">
        <v>45</v>
      </c>
      <c r="U731" s="2" t="s">
        <v>45</v>
      </c>
      <c r="V731" s="2" t="s">
        <v>45</v>
      </c>
      <c r="W731" s="2" t="s">
        <v>45</v>
      </c>
      <c r="X731" s="2" t="s">
        <v>45</v>
      </c>
      <c r="Y731" s="2" t="s">
        <v>45</v>
      </c>
      <c r="Z731" s="2" t="s">
        <v>45</v>
      </c>
      <c r="AA731" s="2" t="s">
        <v>45</v>
      </c>
      <c r="AB731" s="2" t="s">
        <v>45</v>
      </c>
    </row>
    <row r="732" spans="1:28" hidden="1" x14ac:dyDescent="0.3">
      <c r="A732" s="4">
        <v>46237</v>
      </c>
      <c r="B732" s="8" t="s">
        <v>2681</v>
      </c>
      <c r="C732" s="8" t="s">
        <v>36</v>
      </c>
      <c r="D732" s="8" t="s">
        <v>39</v>
      </c>
      <c r="E732" s="8" t="s">
        <v>47</v>
      </c>
      <c r="F732" s="13"/>
      <c r="G732" s="59"/>
      <c r="H732" s="6">
        <f>15000/7</f>
        <v>2142.8571428571427</v>
      </c>
      <c r="I732" s="6">
        <f t="shared" ref="I732:I795" si="54">IFERROR(O732/K732,)</f>
        <v>199.65277777777777</v>
      </c>
      <c r="J732" s="2" t="s">
        <v>2377</v>
      </c>
      <c r="K732" s="2">
        <v>5.76</v>
      </c>
      <c r="L732" s="2" t="s">
        <v>955</v>
      </c>
      <c r="M732" s="2" t="s">
        <v>2682</v>
      </c>
      <c r="N732" s="2" t="s">
        <v>2683</v>
      </c>
      <c r="O732" s="56">
        <v>1150</v>
      </c>
      <c r="P732" s="2" t="s">
        <v>2684</v>
      </c>
      <c r="Q732" s="2" t="s">
        <v>737</v>
      </c>
      <c r="R732" s="2" t="s">
        <v>838</v>
      </c>
      <c r="S732" s="2" t="s">
        <v>839</v>
      </c>
      <c r="T732" s="2" t="s">
        <v>685</v>
      </c>
      <c r="U732" s="2" t="s">
        <v>840</v>
      </c>
      <c r="V732" s="2" t="s">
        <v>2685</v>
      </c>
      <c r="W732" s="2" t="s">
        <v>2686</v>
      </c>
      <c r="X732" s="2" t="s">
        <v>2687</v>
      </c>
      <c r="Y732" s="2" t="s">
        <v>2688</v>
      </c>
      <c r="Z732" s="2" t="s">
        <v>548</v>
      </c>
      <c r="AA732" s="2" t="s">
        <v>548</v>
      </c>
      <c r="AB732" s="2" t="s">
        <v>2672</v>
      </c>
    </row>
    <row r="733" spans="1:28" hidden="1" x14ac:dyDescent="0.3">
      <c r="A733" s="4">
        <v>46237</v>
      </c>
      <c r="B733" s="8" t="s">
        <v>2681</v>
      </c>
      <c r="C733" s="8" t="s">
        <v>36</v>
      </c>
      <c r="D733" s="8" t="s">
        <v>43</v>
      </c>
      <c r="E733" s="8" t="s">
        <v>47</v>
      </c>
      <c r="F733" s="13"/>
      <c r="G733" s="59"/>
      <c r="H733" s="6">
        <f>15000/7</f>
        <v>2142.8571428571427</v>
      </c>
      <c r="I733" s="6">
        <f t="shared" si="54"/>
        <v>0</v>
      </c>
      <c r="J733" s="2"/>
      <c r="K733" s="2"/>
      <c r="L733" s="2"/>
      <c r="M733" s="2"/>
      <c r="N733" s="2"/>
      <c r="O733" s="56">
        <f>3*25</f>
        <v>75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idden="1" x14ac:dyDescent="0.3">
      <c r="A734" s="4">
        <v>46237</v>
      </c>
      <c r="B734" s="8" t="s">
        <v>2681</v>
      </c>
      <c r="C734" s="8" t="s">
        <v>36</v>
      </c>
      <c r="D734" s="8" t="s">
        <v>43</v>
      </c>
      <c r="E734" s="8" t="s">
        <v>61</v>
      </c>
      <c r="F734" s="13"/>
      <c r="G734" s="59"/>
      <c r="H734" s="6"/>
      <c r="I734" s="6">
        <f t="shared" si="54"/>
        <v>202.24719101123594</v>
      </c>
      <c r="J734" s="2" t="s">
        <v>2689</v>
      </c>
      <c r="K734" s="2">
        <v>4.45</v>
      </c>
      <c r="L734" s="2" t="s">
        <v>652</v>
      </c>
      <c r="M734" s="2" t="s">
        <v>2690</v>
      </c>
      <c r="N734" s="2" t="s">
        <v>45</v>
      </c>
      <c r="O734" s="56">
        <v>900</v>
      </c>
      <c r="P734" s="2" t="s">
        <v>45</v>
      </c>
      <c r="Q734" s="2" t="s">
        <v>45</v>
      </c>
      <c r="R734" s="2" t="s">
        <v>2691</v>
      </c>
      <c r="S734" s="2" t="s">
        <v>961</v>
      </c>
      <c r="T734" s="2" t="s">
        <v>869</v>
      </c>
      <c r="U734" s="2" t="s">
        <v>2692</v>
      </c>
      <c r="V734" s="2" t="s">
        <v>2693</v>
      </c>
      <c r="W734" s="2" t="s">
        <v>2694</v>
      </c>
      <c r="X734" s="2" t="s">
        <v>45</v>
      </c>
      <c r="Y734" s="2" t="s">
        <v>45</v>
      </c>
      <c r="Z734" s="2" t="s">
        <v>621</v>
      </c>
      <c r="AA734" s="2" t="s">
        <v>45</v>
      </c>
      <c r="AB734" s="2" t="s">
        <v>2695</v>
      </c>
    </row>
    <row r="735" spans="1:28" hidden="1" x14ac:dyDescent="0.3">
      <c r="A735" s="4">
        <v>46237</v>
      </c>
      <c r="B735" s="8" t="s">
        <v>2681</v>
      </c>
      <c r="C735" s="8" t="s">
        <v>36</v>
      </c>
      <c r="D735" s="8" t="s">
        <v>67</v>
      </c>
      <c r="E735" s="8" t="s">
        <v>47</v>
      </c>
      <c r="F735" s="13"/>
      <c r="G735" s="59"/>
      <c r="H735" s="6">
        <f>15000/7</f>
        <v>2142.8571428571427</v>
      </c>
      <c r="I735" s="6">
        <f t="shared" si="54"/>
        <v>486.09355246523387</v>
      </c>
      <c r="J735" s="2" t="s">
        <v>1120</v>
      </c>
      <c r="K735" s="2">
        <v>7.91</v>
      </c>
      <c r="L735" s="2" t="s">
        <v>1321</v>
      </c>
      <c r="M735" s="2" t="s">
        <v>2649</v>
      </c>
      <c r="N735" s="2" t="s">
        <v>2696</v>
      </c>
      <c r="O735" s="56">
        <v>3845</v>
      </c>
      <c r="P735" s="2" t="s">
        <v>1847</v>
      </c>
      <c r="Q735" s="2" t="s">
        <v>1017</v>
      </c>
      <c r="R735" s="2" t="s">
        <v>2697</v>
      </c>
      <c r="S735" s="2" t="s">
        <v>961</v>
      </c>
      <c r="T735" s="2" t="s">
        <v>2149</v>
      </c>
      <c r="U735" s="2" t="s">
        <v>2009</v>
      </c>
      <c r="V735" s="2" t="s">
        <v>2698</v>
      </c>
      <c r="W735" s="2" t="s">
        <v>2699</v>
      </c>
      <c r="X735" s="2" t="s">
        <v>2700</v>
      </c>
      <c r="Y735" s="2" t="s">
        <v>2701</v>
      </c>
      <c r="Z735" s="2" t="s">
        <v>579</v>
      </c>
      <c r="AA735" s="2" t="s">
        <v>548</v>
      </c>
      <c r="AB735" s="2" t="s">
        <v>2702</v>
      </c>
    </row>
    <row r="736" spans="1:28" hidden="1" x14ac:dyDescent="0.3">
      <c r="A736" s="4">
        <v>46237</v>
      </c>
      <c r="B736" s="8" t="s">
        <v>2681</v>
      </c>
      <c r="C736" s="8" t="s">
        <v>36</v>
      </c>
      <c r="D736" s="8" t="s">
        <v>50</v>
      </c>
      <c r="E736" s="8" t="s">
        <v>47</v>
      </c>
      <c r="F736" s="13"/>
      <c r="G736" s="59"/>
      <c r="H736" s="6">
        <f>15000/7</f>
        <v>2142.8571428571427</v>
      </c>
      <c r="I736" s="6">
        <f t="shared" si="54"/>
        <v>283.54430379746833</v>
      </c>
      <c r="J736" s="2" t="s">
        <v>2101</v>
      </c>
      <c r="K736" s="2">
        <v>7.11</v>
      </c>
      <c r="L736" s="2" t="s">
        <v>734</v>
      </c>
      <c r="M736" s="2" t="s">
        <v>2703</v>
      </c>
      <c r="N736" s="2" t="s">
        <v>2704</v>
      </c>
      <c r="O736" s="56">
        <v>2016</v>
      </c>
      <c r="P736" s="2" t="s">
        <v>993</v>
      </c>
      <c r="Q736" s="2" t="s">
        <v>2705</v>
      </c>
      <c r="R736" s="2" t="s">
        <v>1998</v>
      </c>
      <c r="S736" s="2" t="s">
        <v>595</v>
      </c>
      <c r="T736" s="2" t="s">
        <v>869</v>
      </c>
      <c r="U736" s="2" t="s">
        <v>626</v>
      </c>
      <c r="V736" s="2" t="s">
        <v>2706</v>
      </c>
      <c r="W736" s="2" t="s">
        <v>2707</v>
      </c>
      <c r="X736" s="2" t="s">
        <v>2708</v>
      </c>
      <c r="Y736" s="2" t="s">
        <v>2709</v>
      </c>
      <c r="Z736" s="2" t="s">
        <v>636</v>
      </c>
      <c r="AA736" s="2" t="s">
        <v>548</v>
      </c>
      <c r="AB736" s="2" t="s">
        <v>2710</v>
      </c>
    </row>
    <row r="737" spans="1:28" hidden="1" x14ac:dyDescent="0.3">
      <c r="A737" s="4">
        <v>46237</v>
      </c>
      <c r="B737" s="8" t="s">
        <v>2681</v>
      </c>
      <c r="C737" s="8" t="s">
        <v>36</v>
      </c>
      <c r="D737" s="8" t="s">
        <v>52</v>
      </c>
      <c r="E737" s="8" t="s">
        <v>47</v>
      </c>
      <c r="F737" s="13"/>
      <c r="G737" s="59"/>
      <c r="H737" s="6">
        <f>15000/7</f>
        <v>2142.8571428571427</v>
      </c>
      <c r="I737" s="6">
        <f t="shared" si="54"/>
        <v>253.33333333333331</v>
      </c>
      <c r="J737" s="2" t="s">
        <v>726</v>
      </c>
      <c r="K737" s="2">
        <v>2.85</v>
      </c>
      <c r="L737" s="2" t="s">
        <v>618</v>
      </c>
      <c r="M737" s="2" t="s">
        <v>2711</v>
      </c>
      <c r="N737" s="2" t="s">
        <v>2712</v>
      </c>
      <c r="O737" s="56">
        <v>722</v>
      </c>
      <c r="P737" s="2" t="s">
        <v>1333</v>
      </c>
      <c r="Q737" s="2" t="s">
        <v>2713</v>
      </c>
      <c r="R737" s="2" t="s">
        <v>2714</v>
      </c>
      <c r="S737" s="2" t="s">
        <v>749</v>
      </c>
      <c r="T737" s="2" t="s">
        <v>839</v>
      </c>
      <c r="U737" s="2" t="s">
        <v>1521</v>
      </c>
      <c r="V737" s="2" t="s">
        <v>1318</v>
      </c>
      <c r="W737" s="2" t="s">
        <v>2715</v>
      </c>
      <c r="X737" s="2" t="s">
        <v>2716</v>
      </c>
      <c r="Y737" s="2" t="s">
        <v>2717</v>
      </c>
      <c r="Z737" s="2" t="s">
        <v>548</v>
      </c>
      <c r="AA737" s="2" t="s">
        <v>548</v>
      </c>
      <c r="AB737" s="2" t="s">
        <v>2638</v>
      </c>
    </row>
    <row r="738" spans="1:28" hidden="1" x14ac:dyDescent="0.3">
      <c r="A738" s="4">
        <v>46237</v>
      </c>
      <c r="B738" s="8" t="s">
        <v>2681</v>
      </c>
      <c r="C738" s="8" t="s">
        <v>36</v>
      </c>
      <c r="D738" s="7" t="s">
        <v>46</v>
      </c>
      <c r="E738" s="7" t="s">
        <v>47</v>
      </c>
      <c r="F738" s="13"/>
      <c r="G738" s="59"/>
      <c r="H738" s="6">
        <f>15000/7</f>
        <v>2142.8571428571427</v>
      </c>
      <c r="I738" s="6">
        <f t="shared" si="54"/>
        <v>344.70774091627175</v>
      </c>
      <c r="J738" s="2" t="s">
        <v>2381</v>
      </c>
      <c r="K738" s="2">
        <v>6.33</v>
      </c>
      <c r="L738" s="2" t="s">
        <v>1321</v>
      </c>
      <c r="M738" s="2" t="s">
        <v>2718</v>
      </c>
      <c r="N738" s="2" t="s">
        <v>2719</v>
      </c>
      <c r="O738" s="56">
        <v>2182</v>
      </c>
      <c r="P738" s="2" t="s">
        <v>2720</v>
      </c>
      <c r="Q738" s="2" t="s">
        <v>2721</v>
      </c>
      <c r="R738" s="2" t="s">
        <v>1417</v>
      </c>
      <c r="S738" s="2" t="s">
        <v>611</v>
      </c>
      <c r="T738" s="2" t="s">
        <v>2722</v>
      </c>
      <c r="U738" s="2" t="s">
        <v>2723</v>
      </c>
      <c r="V738" s="2" t="s">
        <v>2724</v>
      </c>
      <c r="W738" s="2" t="s">
        <v>2725</v>
      </c>
      <c r="X738" s="2" t="s">
        <v>2726</v>
      </c>
      <c r="Y738" s="2" t="s">
        <v>2727</v>
      </c>
      <c r="Z738" s="2" t="s">
        <v>649</v>
      </c>
      <c r="AA738" s="2" t="s">
        <v>548</v>
      </c>
      <c r="AB738" s="2" t="s">
        <v>2728</v>
      </c>
    </row>
    <row r="739" spans="1:28" x14ac:dyDescent="0.3">
      <c r="A739" s="4">
        <v>46237</v>
      </c>
      <c r="B739" s="8" t="s">
        <v>2681</v>
      </c>
      <c r="C739" s="8" t="s">
        <v>36</v>
      </c>
      <c r="D739" s="8" t="s">
        <v>48</v>
      </c>
      <c r="E739" s="7" t="s">
        <v>38</v>
      </c>
      <c r="F739" s="13">
        <v>3090</v>
      </c>
      <c r="G739" s="59"/>
      <c r="H739" s="6">
        <f>24000/7</f>
        <v>3428.5714285714284</v>
      </c>
      <c r="I739" s="6">
        <f t="shared" si="54"/>
        <v>814.32545201668984</v>
      </c>
      <c r="J739" s="2" t="s">
        <v>2729</v>
      </c>
      <c r="K739" s="2">
        <v>7.19</v>
      </c>
      <c r="L739" s="2" t="s">
        <v>561</v>
      </c>
      <c r="M739" s="2" t="s">
        <v>656</v>
      </c>
      <c r="N739" s="2" t="s">
        <v>2730</v>
      </c>
      <c r="O739" s="56">
        <v>5855</v>
      </c>
      <c r="P739" s="2" t="s">
        <v>1968</v>
      </c>
      <c r="Q739" s="2" t="s">
        <v>1318</v>
      </c>
      <c r="R739" s="2" t="s">
        <v>2524</v>
      </c>
      <c r="S739" s="2" t="s">
        <v>567</v>
      </c>
      <c r="T739" s="2" t="s">
        <v>568</v>
      </c>
      <c r="U739" s="2" t="s">
        <v>1667</v>
      </c>
      <c r="V739" s="2" t="s">
        <v>2731</v>
      </c>
      <c r="W739" s="2" t="s">
        <v>2732</v>
      </c>
      <c r="X739" s="2" t="s">
        <v>2733</v>
      </c>
      <c r="Y739" s="2" t="s">
        <v>2734</v>
      </c>
      <c r="Z739" s="2" t="s">
        <v>548</v>
      </c>
      <c r="AA739" s="2" t="s">
        <v>548</v>
      </c>
      <c r="AB739" s="2" t="s">
        <v>2657</v>
      </c>
    </row>
    <row r="740" spans="1:28" hidden="1" x14ac:dyDescent="0.3">
      <c r="A740" s="4">
        <v>46237</v>
      </c>
      <c r="B740" s="8" t="s">
        <v>2681</v>
      </c>
      <c r="C740" s="8" t="s">
        <v>36</v>
      </c>
      <c r="D740" s="8" t="s">
        <v>49</v>
      </c>
      <c r="E740" s="8" t="s">
        <v>47</v>
      </c>
      <c r="F740" s="13"/>
      <c r="G740" s="59"/>
      <c r="H740" s="6">
        <f>15000/7</f>
        <v>2142.8571428571427</v>
      </c>
      <c r="I740" s="6">
        <f t="shared" si="54"/>
        <v>513.37760910815939</v>
      </c>
      <c r="J740" s="2" t="s">
        <v>1213</v>
      </c>
      <c r="K740" s="2">
        <v>10.54</v>
      </c>
      <c r="L740" s="2" t="s">
        <v>605</v>
      </c>
      <c r="M740" s="2" t="s">
        <v>2735</v>
      </c>
      <c r="N740" s="2" t="s">
        <v>2736</v>
      </c>
      <c r="O740" s="56">
        <v>5411</v>
      </c>
      <c r="P740" s="2" t="s">
        <v>2737</v>
      </c>
      <c r="Q740" s="2" t="s">
        <v>2738</v>
      </c>
      <c r="R740" s="2" t="s">
        <v>2739</v>
      </c>
      <c r="S740" s="2" t="s">
        <v>816</v>
      </c>
      <c r="T740" s="2" t="s">
        <v>2740</v>
      </c>
      <c r="U740" s="2" t="s">
        <v>2741</v>
      </c>
      <c r="V740" s="2" t="s">
        <v>2742</v>
      </c>
      <c r="W740" s="2" t="s">
        <v>2743</v>
      </c>
      <c r="X740" s="2" t="s">
        <v>2744</v>
      </c>
      <c r="Y740" s="2" t="s">
        <v>2745</v>
      </c>
      <c r="Z740" s="2" t="s">
        <v>548</v>
      </c>
      <c r="AA740" s="2" t="s">
        <v>548</v>
      </c>
      <c r="AB740" s="2" t="s">
        <v>1231</v>
      </c>
    </row>
    <row r="741" spans="1:28" hidden="1" x14ac:dyDescent="0.3">
      <c r="A741" s="4">
        <v>46238</v>
      </c>
      <c r="B741" s="8" t="s">
        <v>2681</v>
      </c>
      <c r="C741" s="8" t="s">
        <v>36</v>
      </c>
      <c r="D741" s="8" t="s">
        <v>39</v>
      </c>
      <c r="E741" s="8" t="s">
        <v>47</v>
      </c>
      <c r="F741" s="13"/>
      <c r="G741" s="59"/>
      <c r="H741" s="6">
        <f>15000/5</f>
        <v>3000</v>
      </c>
      <c r="I741" s="6">
        <f t="shared" si="54"/>
        <v>266.7140825035562</v>
      </c>
      <c r="J741" s="2" t="s">
        <v>2746</v>
      </c>
      <c r="K741" s="2">
        <v>7.03</v>
      </c>
      <c r="L741" s="2" t="s">
        <v>1187</v>
      </c>
      <c r="M741" s="2" t="s">
        <v>1643</v>
      </c>
      <c r="N741" s="2" t="s">
        <v>1898</v>
      </c>
      <c r="O741" s="56">
        <v>1875</v>
      </c>
      <c r="P741" s="2" t="s">
        <v>583</v>
      </c>
      <c r="Q741" s="2" t="s">
        <v>2747</v>
      </c>
      <c r="R741" s="2" t="s">
        <v>2748</v>
      </c>
      <c r="S741" s="2" t="s">
        <v>642</v>
      </c>
      <c r="T741" s="2" t="s">
        <v>2170</v>
      </c>
      <c r="U741" s="2" t="s">
        <v>2749</v>
      </c>
      <c r="V741" s="2" t="s">
        <v>2750</v>
      </c>
      <c r="W741" s="2" t="s">
        <v>2751</v>
      </c>
      <c r="X741" s="2" t="s">
        <v>2752</v>
      </c>
      <c r="Y741" s="2" t="s">
        <v>2753</v>
      </c>
      <c r="Z741" s="2" t="s">
        <v>649</v>
      </c>
      <c r="AA741" s="2" t="s">
        <v>548</v>
      </c>
      <c r="AB741" s="2" t="s">
        <v>2754</v>
      </c>
    </row>
    <row r="742" spans="1:28" hidden="1" x14ac:dyDescent="0.3">
      <c r="A742" s="4">
        <v>46238</v>
      </c>
      <c r="B742" s="8" t="s">
        <v>2681</v>
      </c>
      <c r="C742" s="8" t="s">
        <v>36</v>
      </c>
      <c r="D742" s="8" t="s">
        <v>43</v>
      </c>
      <c r="E742" s="8" t="s">
        <v>61</v>
      </c>
      <c r="F742" s="13"/>
      <c r="G742" s="59"/>
      <c r="H742" s="6"/>
      <c r="I742" s="6">
        <f t="shared" si="54"/>
        <v>29.550827423167846</v>
      </c>
      <c r="J742" s="2" t="s">
        <v>900</v>
      </c>
      <c r="K742" s="2">
        <v>8.4600000000000009</v>
      </c>
      <c r="L742" s="2" t="s">
        <v>884</v>
      </c>
      <c r="M742" s="2" t="s">
        <v>2755</v>
      </c>
      <c r="N742" s="2" t="s">
        <v>45</v>
      </c>
      <c r="O742" s="56">
        <v>250</v>
      </c>
      <c r="P742" s="2" t="s">
        <v>45</v>
      </c>
      <c r="Q742" s="2" t="s">
        <v>45</v>
      </c>
      <c r="R742" s="2" t="s">
        <v>1507</v>
      </c>
      <c r="S742" s="2" t="s">
        <v>1928</v>
      </c>
      <c r="T742" s="2" t="s">
        <v>1425</v>
      </c>
      <c r="U742" s="2" t="s">
        <v>2756</v>
      </c>
      <c r="V742" s="2" t="s">
        <v>2757</v>
      </c>
      <c r="W742" s="2" t="s">
        <v>2758</v>
      </c>
      <c r="X742" s="2" t="s">
        <v>45</v>
      </c>
      <c r="Y742" s="2" t="s">
        <v>45</v>
      </c>
      <c r="Z742" s="2" t="s">
        <v>1295</v>
      </c>
      <c r="AA742" s="2" t="s">
        <v>45</v>
      </c>
      <c r="AB742" s="2" t="s">
        <v>2759</v>
      </c>
    </row>
    <row r="743" spans="1:28" hidden="1" x14ac:dyDescent="0.3">
      <c r="A743" s="4">
        <v>46238</v>
      </c>
      <c r="B743" s="8" t="s">
        <v>2681</v>
      </c>
      <c r="C743" s="8" t="s">
        <v>36</v>
      </c>
      <c r="D743" s="8" t="s">
        <v>67</v>
      </c>
      <c r="E743" s="8" t="s">
        <v>47</v>
      </c>
      <c r="F743" s="13"/>
      <c r="G743" s="59"/>
      <c r="H743" s="6">
        <f>15000/5</f>
        <v>3000</v>
      </c>
      <c r="I743" s="6">
        <f t="shared" si="54"/>
        <v>129.42307692307691</v>
      </c>
      <c r="J743" s="2" t="s">
        <v>1354</v>
      </c>
      <c r="K743" s="2">
        <v>5.2</v>
      </c>
      <c r="L743" s="2" t="s">
        <v>602</v>
      </c>
      <c r="M743" s="2" t="s">
        <v>2760</v>
      </c>
      <c r="N743" s="2" t="s">
        <v>2761</v>
      </c>
      <c r="O743" s="56">
        <v>673</v>
      </c>
      <c r="P743" s="2" t="s">
        <v>2762</v>
      </c>
      <c r="Q743" s="2" t="s">
        <v>1416</v>
      </c>
      <c r="R743" s="2" t="s">
        <v>1610</v>
      </c>
      <c r="S743" s="2" t="s">
        <v>582</v>
      </c>
      <c r="T743" s="2" t="s">
        <v>1183</v>
      </c>
      <c r="U743" s="2" t="s">
        <v>1373</v>
      </c>
      <c r="V743" s="2" t="s">
        <v>1843</v>
      </c>
      <c r="W743" s="2" t="s">
        <v>2763</v>
      </c>
      <c r="X743" s="2" t="s">
        <v>2764</v>
      </c>
      <c r="Y743" s="2" t="s">
        <v>2765</v>
      </c>
      <c r="Z743" s="2" t="s">
        <v>602</v>
      </c>
      <c r="AA743" s="2" t="s">
        <v>548</v>
      </c>
      <c r="AB743" s="2" t="s">
        <v>2766</v>
      </c>
    </row>
    <row r="744" spans="1:28" hidden="1" x14ac:dyDescent="0.3">
      <c r="A744" s="4">
        <v>46238</v>
      </c>
      <c r="B744" s="8" t="s">
        <v>2681</v>
      </c>
      <c r="C744" s="8" t="s">
        <v>36</v>
      </c>
      <c r="D744" s="8" t="s">
        <v>50</v>
      </c>
      <c r="E744" s="8" t="s">
        <v>47</v>
      </c>
      <c r="F744" s="13"/>
      <c r="G744" s="59"/>
      <c r="H744" s="6">
        <f>15000/5</f>
        <v>3000</v>
      </c>
      <c r="I744" s="6">
        <f t="shared" si="54"/>
        <v>312.78735632183907</v>
      </c>
      <c r="J744" s="2" t="s">
        <v>2407</v>
      </c>
      <c r="K744" s="2">
        <v>6.96</v>
      </c>
      <c r="L744" s="2" t="s">
        <v>636</v>
      </c>
      <c r="M744" s="2" t="s">
        <v>2767</v>
      </c>
      <c r="N744" s="2" t="s">
        <v>2768</v>
      </c>
      <c r="O744" s="56">
        <v>2177</v>
      </c>
      <c r="P744" s="2" t="s">
        <v>1187</v>
      </c>
      <c r="Q744" s="2" t="s">
        <v>1049</v>
      </c>
      <c r="R744" s="2" t="s">
        <v>1442</v>
      </c>
      <c r="S744" s="2" t="s">
        <v>961</v>
      </c>
      <c r="T744" s="2" t="s">
        <v>685</v>
      </c>
      <c r="U744" s="2" t="s">
        <v>1908</v>
      </c>
      <c r="V744" s="2" t="s">
        <v>2334</v>
      </c>
      <c r="W744" s="2" t="s">
        <v>2769</v>
      </c>
      <c r="X744" s="2" t="s">
        <v>2770</v>
      </c>
      <c r="Y744" s="2" t="s">
        <v>2771</v>
      </c>
      <c r="Z744" s="2" t="s">
        <v>618</v>
      </c>
      <c r="AA744" s="2" t="s">
        <v>548</v>
      </c>
      <c r="AB744" s="2" t="s">
        <v>2772</v>
      </c>
    </row>
    <row r="745" spans="1:28" hidden="1" x14ac:dyDescent="0.3">
      <c r="A745" s="4">
        <v>46238</v>
      </c>
      <c r="B745" s="8" t="s">
        <v>55</v>
      </c>
      <c r="C745" s="8" t="s">
        <v>56</v>
      </c>
      <c r="D745" s="8" t="s">
        <v>52</v>
      </c>
      <c r="E745" s="8" t="s">
        <v>47</v>
      </c>
      <c r="F745" s="13"/>
      <c r="G745" s="8" t="s">
        <v>146</v>
      </c>
      <c r="H745" s="6"/>
      <c r="I745" s="6">
        <f t="shared" si="54"/>
        <v>0</v>
      </c>
      <c r="J745" s="2" t="s">
        <v>1433</v>
      </c>
      <c r="K745" s="2">
        <v>0.28000000000000003</v>
      </c>
      <c r="L745" s="2" t="s">
        <v>1654</v>
      </c>
      <c r="M745" s="2" t="s">
        <v>2773</v>
      </c>
      <c r="N745" s="2" t="s">
        <v>548</v>
      </c>
      <c r="O745" s="56">
        <v>0</v>
      </c>
      <c r="P745" s="2" t="s">
        <v>45</v>
      </c>
      <c r="Q745" s="2" t="s">
        <v>548</v>
      </c>
      <c r="R745" s="2" t="s">
        <v>749</v>
      </c>
      <c r="S745" s="2" t="s">
        <v>1312</v>
      </c>
      <c r="T745" s="2" t="s">
        <v>1183</v>
      </c>
      <c r="U745" s="2" t="s">
        <v>582</v>
      </c>
      <c r="V745" s="2" t="s">
        <v>2774</v>
      </c>
      <c r="W745" s="2" t="s">
        <v>2775</v>
      </c>
      <c r="X745" s="2" t="s">
        <v>2716</v>
      </c>
      <c r="Y745" s="2" t="s">
        <v>2717</v>
      </c>
      <c r="Z745" s="2" t="s">
        <v>548</v>
      </c>
      <c r="AA745" s="2" t="s">
        <v>45</v>
      </c>
      <c r="AB745" s="2" t="s">
        <v>2638</v>
      </c>
    </row>
    <row r="746" spans="1:28" hidden="1" x14ac:dyDescent="0.3">
      <c r="A746" s="4">
        <v>46238</v>
      </c>
      <c r="B746" s="8" t="s">
        <v>2681</v>
      </c>
      <c r="C746" s="8" t="s">
        <v>36</v>
      </c>
      <c r="D746" s="7" t="s">
        <v>46</v>
      </c>
      <c r="E746" s="7" t="s">
        <v>47</v>
      </c>
      <c r="F746" s="13"/>
      <c r="G746" s="59"/>
      <c r="H746" s="6">
        <f>15000/5</f>
        <v>3000</v>
      </c>
      <c r="I746" s="6">
        <f t="shared" si="54"/>
        <v>295.18413597733712</v>
      </c>
      <c r="J746" s="2" t="s">
        <v>850</v>
      </c>
      <c r="K746" s="2">
        <v>7.06</v>
      </c>
      <c r="L746" s="2" t="s">
        <v>694</v>
      </c>
      <c r="M746" s="2" t="s">
        <v>1101</v>
      </c>
      <c r="N746" s="2" t="s">
        <v>2776</v>
      </c>
      <c r="O746" s="56">
        <v>2084</v>
      </c>
      <c r="P746" s="2" t="s">
        <v>564</v>
      </c>
      <c r="Q746" s="2" t="s">
        <v>2777</v>
      </c>
      <c r="R746" s="2" t="s">
        <v>1866</v>
      </c>
      <c r="S746" s="2" t="s">
        <v>627</v>
      </c>
      <c r="T746" s="2" t="s">
        <v>2302</v>
      </c>
      <c r="U746" s="2" t="s">
        <v>2778</v>
      </c>
      <c r="V746" s="2" t="s">
        <v>1218</v>
      </c>
      <c r="W746" s="2" t="s">
        <v>2779</v>
      </c>
      <c r="X746" s="2" t="s">
        <v>2780</v>
      </c>
      <c r="Y746" s="2" t="s">
        <v>2781</v>
      </c>
      <c r="Z746" s="2" t="s">
        <v>800</v>
      </c>
      <c r="AA746" s="2" t="s">
        <v>548</v>
      </c>
      <c r="AB746" s="2" t="s">
        <v>2782</v>
      </c>
    </row>
    <row r="747" spans="1:28" x14ac:dyDescent="0.3">
      <c r="A747" s="4">
        <v>46238</v>
      </c>
      <c r="B747" s="8" t="s">
        <v>2681</v>
      </c>
      <c r="C747" s="8" t="s">
        <v>36</v>
      </c>
      <c r="D747" s="8" t="s">
        <v>48</v>
      </c>
      <c r="E747" s="7" t="s">
        <v>38</v>
      </c>
      <c r="F747" s="13">
        <v>5197</v>
      </c>
      <c r="G747" s="59"/>
      <c r="H747" s="6">
        <f>24000/7</f>
        <v>3428.5714285714284</v>
      </c>
      <c r="I747" s="6">
        <f t="shared" si="54"/>
        <v>823.85496183206101</v>
      </c>
      <c r="J747" s="2" t="s">
        <v>1011</v>
      </c>
      <c r="K747" s="2">
        <v>10.48</v>
      </c>
      <c r="L747" s="2" t="s">
        <v>561</v>
      </c>
      <c r="M747" s="2" t="s">
        <v>2783</v>
      </c>
      <c r="N747" s="2" t="s">
        <v>2784</v>
      </c>
      <c r="O747" s="56">
        <v>8634</v>
      </c>
      <c r="P747" s="2" t="s">
        <v>2785</v>
      </c>
      <c r="Q747" s="2" t="s">
        <v>1435</v>
      </c>
      <c r="R747" s="2" t="s">
        <v>2786</v>
      </c>
      <c r="S747" s="2" t="s">
        <v>839</v>
      </c>
      <c r="T747" s="2" t="s">
        <v>2787</v>
      </c>
      <c r="U747" s="2" t="s">
        <v>2788</v>
      </c>
      <c r="V747" s="2" t="s">
        <v>2789</v>
      </c>
      <c r="W747" s="2" t="s">
        <v>2790</v>
      </c>
      <c r="X747" s="2" t="s">
        <v>2791</v>
      </c>
      <c r="Y747" s="2" t="s">
        <v>2792</v>
      </c>
      <c r="Z747" s="2" t="s">
        <v>548</v>
      </c>
      <c r="AA747" s="2" t="s">
        <v>548</v>
      </c>
      <c r="AB747" s="2" t="s">
        <v>2657</v>
      </c>
    </row>
    <row r="748" spans="1:28" hidden="1" x14ac:dyDescent="0.3">
      <c r="A748" s="4">
        <v>46238</v>
      </c>
      <c r="B748" s="8" t="s">
        <v>2681</v>
      </c>
      <c r="C748" s="8" t="s">
        <v>36</v>
      </c>
      <c r="D748" s="8" t="s">
        <v>49</v>
      </c>
      <c r="E748" s="8" t="s">
        <v>47</v>
      </c>
      <c r="F748" s="13"/>
      <c r="G748" s="59"/>
      <c r="H748" s="6">
        <f>15000/5</f>
        <v>3000</v>
      </c>
      <c r="I748" s="6">
        <f t="shared" si="54"/>
        <v>457.52941176470586</v>
      </c>
      <c r="J748" s="2" t="s">
        <v>1575</v>
      </c>
      <c r="K748" s="2">
        <v>8.5</v>
      </c>
      <c r="L748" s="2" t="s">
        <v>636</v>
      </c>
      <c r="M748" s="2" t="s">
        <v>2545</v>
      </c>
      <c r="N748" s="2" t="s">
        <v>2793</v>
      </c>
      <c r="O748" s="56">
        <v>3889</v>
      </c>
      <c r="P748" s="2" t="s">
        <v>1389</v>
      </c>
      <c r="Q748" s="2" t="s">
        <v>2794</v>
      </c>
      <c r="R748" s="2" t="s">
        <v>2795</v>
      </c>
      <c r="S748" s="2" t="s">
        <v>712</v>
      </c>
      <c r="T748" s="2" t="s">
        <v>1447</v>
      </c>
      <c r="U748" s="2" t="s">
        <v>2434</v>
      </c>
      <c r="V748" s="2" t="s">
        <v>2796</v>
      </c>
      <c r="W748" s="2" t="s">
        <v>2797</v>
      </c>
      <c r="X748" s="2" t="s">
        <v>2798</v>
      </c>
      <c r="Y748" s="2" t="s">
        <v>2799</v>
      </c>
      <c r="Z748" s="2" t="s">
        <v>548</v>
      </c>
      <c r="AA748" s="2" t="s">
        <v>548</v>
      </c>
      <c r="AB748" s="2" t="s">
        <v>1231</v>
      </c>
    </row>
    <row r="749" spans="1:28" hidden="1" x14ac:dyDescent="0.3">
      <c r="A749" s="4">
        <v>46239</v>
      </c>
      <c r="B749" s="8" t="s">
        <v>2681</v>
      </c>
      <c r="C749" s="8" t="s">
        <v>36</v>
      </c>
      <c r="D749" s="8" t="s">
        <v>39</v>
      </c>
      <c r="E749" s="8" t="s">
        <v>47</v>
      </c>
      <c r="F749" s="13"/>
      <c r="G749" s="59"/>
      <c r="H749" s="6">
        <f t="shared" ref="H749:H754" si="55">15000/7</f>
        <v>2142.8571428571427</v>
      </c>
      <c r="I749" s="6">
        <f t="shared" si="54"/>
        <v>372.47474747474746</v>
      </c>
      <c r="J749" s="2" t="s">
        <v>2800</v>
      </c>
      <c r="K749" s="2">
        <v>7.92</v>
      </c>
      <c r="L749" s="2" t="s">
        <v>561</v>
      </c>
      <c r="M749" s="2" t="s">
        <v>2801</v>
      </c>
      <c r="N749" s="2" t="s">
        <v>2802</v>
      </c>
      <c r="O749" s="56">
        <v>2950</v>
      </c>
      <c r="P749" s="2" t="s">
        <v>2057</v>
      </c>
      <c r="Q749" s="2" t="s">
        <v>2803</v>
      </c>
      <c r="R749" s="2" t="s">
        <v>1266</v>
      </c>
      <c r="S749" s="2" t="s">
        <v>749</v>
      </c>
      <c r="T749" s="2" t="s">
        <v>1833</v>
      </c>
      <c r="U749" s="2" t="s">
        <v>870</v>
      </c>
      <c r="V749" s="2" t="s">
        <v>1279</v>
      </c>
      <c r="W749" s="2" t="s">
        <v>2804</v>
      </c>
      <c r="X749" s="2" t="s">
        <v>2805</v>
      </c>
      <c r="Y749" s="2" t="s">
        <v>2806</v>
      </c>
      <c r="Z749" s="2" t="s">
        <v>580</v>
      </c>
      <c r="AA749" s="2" t="s">
        <v>548</v>
      </c>
      <c r="AB749" s="2" t="s">
        <v>2807</v>
      </c>
    </row>
    <row r="750" spans="1:28" hidden="1" x14ac:dyDescent="0.3">
      <c r="A750" s="4">
        <v>46239</v>
      </c>
      <c r="B750" s="8" t="s">
        <v>2681</v>
      </c>
      <c r="C750" s="8" t="s">
        <v>36</v>
      </c>
      <c r="D750" s="8" t="s">
        <v>43</v>
      </c>
      <c r="E750" s="8" t="s">
        <v>47</v>
      </c>
      <c r="F750" s="13"/>
      <c r="G750" s="59"/>
      <c r="H750" s="6">
        <f t="shared" si="55"/>
        <v>2142.8571428571427</v>
      </c>
      <c r="I750" s="6">
        <f t="shared" si="54"/>
        <v>52.950075642965203</v>
      </c>
      <c r="J750" s="2" t="s">
        <v>2808</v>
      </c>
      <c r="K750" s="2">
        <v>13.22</v>
      </c>
      <c r="L750" s="2" t="s">
        <v>1380</v>
      </c>
      <c r="M750" s="2" t="s">
        <v>1741</v>
      </c>
      <c r="N750" s="2" t="s">
        <v>45</v>
      </c>
      <c r="O750" s="56">
        <v>700</v>
      </c>
      <c r="P750" s="2" t="s">
        <v>45</v>
      </c>
      <c r="Q750" s="2" t="s">
        <v>45</v>
      </c>
      <c r="R750" s="2" t="s">
        <v>2583</v>
      </c>
      <c r="S750" s="2" t="s">
        <v>1256</v>
      </c>
      <c r="T750" s="2" t="s">
        <v>685</v>
      </c>
      <c r="U750" s="2" t="s">
        <v>2809</v>
      </c>
      <c r="V750" s="2" t="s">
        <v>2810</v>
      </c>
      <c r="W750" s="2" t="s">
        <v>2811</v>
      </c>
      <c r="X750" s="2" t="s">
        <v>45</v>
      </c>
      <c r="Y750" s="2" t="s">
        <v>45</v>
      </c>
      <c r="Z750" s="2" t="s">
        <v>756</v>
      </c>
      <c r="AA750" s="2" t="s">
        <v>45</v>
      </c>
      <c r="AB750" s="2" t="s">
        <v>2812</v>
      </c>
    </row>
    <row r="751" spans="1:28" hidden="1" x14ac:dyDescent="0.3">
      <c r="A751" s="4">
        <v>46239</v>
      </c>
      <c r="B751" s="8" t="s">
        <v>2681</v>
      </c>
      <c r="C751" s="8" t="s">
        <v>36</v>
      </c>
      <c r="D751" s="8" t="s">
        <v>67</v>
      </c>
      <c r="E751" s="8" t="s">
        <v>47</v>
      </c>
      <c r="F751" s="13"/>
      <c r="G751" s="59"/>
      <c r="H751" s="6">
        <f t="shared" si="55"/>
        <v>2142.8571428571427</v>
      </c>
      <c r="I751" s="6">
        <f t="shared" si="54"/>
        <v>394.23347398030938</v>
      </c>
      <c r="J751" s="2" t="s">
        <v>2813</v>
      </c>
      <c r="K751" s="2">
        <v>7.11</v>
      </c>
      <c r="L751" s="2" t="s">
        <v>777</v>
      </c>
      <c r="M751" s="2" t="s">
        <v>2814</v>
      </c>
      <c r="N751" s="2" t="s">
        <v>2815</v>
      </c>
      <c r="O751" s="56">
        <v>2803</v>
      </c>
      <c r="P751" s="2" t="s">
        <v>1066</v>
      </c>
      <c r="Q751" s="2" t="s">
        <v>2816</v>
      </c>
      <c r="R751" s="2" t="s">
        <v>725</v>
      </c>
      <c r="S751" s="2" t="s">
        <v>567</v>
      </c>
      <c r="T751" s="2" t="s">
        <v>1131</v>
      </c>
      <c r="U751" s="2" t="s">
        <v>2817</v>
      </c>
      <c r="V751" s="2" t="s">
        <v>2818</v>
      </c>
      <c r="W751" s="2" t="s">
        <v>2819</v>
      </c>
      <c r="X751" s="2" t="s">
        <v>2820</v>
      </c>
      <c r="Y751" s="2" t="s">
        <v>2821</v>
      </c>
      <c r="Z751" s="2" t="s">
        <v>579</v>
      </c>
      <c r="AA751" s="2" t="s">
        <v>548</v>
      </c>
      <c r="AB751" s="2" t="s">
        <v>2822</v>
      </c>
    </row>
    <row r="752" spans="1:28" hidden="1" x14ac:dyDescent="0.3">
      <c r="A752" s="4">
        <v>46239</v>
      </c>
      <c r="B752" s="8" t="s">
        <v>2681</v>
      </c>
      <c r="C752" s="8" t="s">
        <v>36</v>
      </c>
      <c r="D752" s="8" t="s">
        <v>50</v>
      </c>
      <c r="E752" s="8" t="s">
        <v>47</v>
      </c>
      <c r="F752" s="13"/>
      <c r="G752" s="59"/>
      <c r="H752" s="6">
        <f t="shared" si="55"/>
        <v>2142.8571428571427</v>
      </c>
      <c r="I752" s="6">
        <f t="shared" si="54"/>
        <v>301.35542168674698</v>
      </c>
      <c r="J752" s="2" t="s">
        <v>2823</v>
      </c>
      <c r="K752" s="2">
        <v>6.64</v>
      </c>
      <c r="L752" s="2" t="s">
        <v>817</v>
      </c>
      <c r="M752" s="2" t="s">
        <v>1853</v>
      </c>
      <c r="N752" s="2" t="s">
        <v>2824</v>
      </c>
      <c r="O752" s="56">
        <v>2001</v>
      </c>
      <c r="P752" s="2" t="s">
        <v>2380</v>
      </c>
      <c r="Q752" s="2" t="s">
        <v>2825</v>
      </c>
      <c r="R752" s="2" t="s">
        <v>1130</v>
      </c>
      <c r="S752" s="2" t="s">
        <v>961</v>
      </c>
      <c r="T752" s="2" t="s">
        <v>726</v>
      </c>
      <c r="U752" s="2" t="s">
        <v>2826</v>
      </c>
      <c r="V752" s="2" t="s">
        <v>2827</v>
      </c>
      <c r="W752" s="2" t="s">
        <v>2828</v>
      </c>
      <c r="X752" s="2" t="s">
        <v>2829</v>
      </c>
      <c r="Y752" s="2" t="s">
        <v>2830</v>
      </c>
      <c r="Z752" s="2" t="s">
        <v>621</v>
      </c>
      <c r="AA752" s="2" t="s">
        <v>548</v>
      </c>
      <c r="AB752" s="2" t="s">
        <v>2249</v>
      </c>
    </row>
    <row r="753" spans="1:28" hidden="1" x14ac:dyDescent="0.3">
      <c r="A753" s="4">
        <v>46239</v>
      </c>
      <c r="B753" s="8" t="s">
        <v>2681</v>
      </c>
      <c r="C753" s="8" t="s">
        <v>36</v>
      </c>
      <c r="D753" s="8" t="s">
        <v>52</v>
      </c>
      <c r="E753" s="8" t="s">
        <v>47</v>
      </c>
      <c r="F753" s="13"/>
      <c r="G753" s="59"/>
      <c r="H753" s="6">
        <f t="shared" si="55"/>
        <v>2142.8571428571427</v>
      </c>
      <c r="I753" s="6">
        <f t="shared" si="54"/>
        <v>236.83304647160071</v>
      </c>
      <c r="J753" s="2" t="s">
        <v>2831</v>
      </c>
      <c r="K753" s="2">
        <v>5.81</v>
      </c>
      <c r="L753" s="2" t="s">
        <v>1696</v>
      </c>
      <c r="M753" s="2" t="s">
        <v>2832</v>
      </c>
      <c r="N753" s="2" t="s">
        <v>2833</v>
      </c>
      <c r="O753" s="56">
        <v>1376</v>
      </c>
      <c r="P753" s="2" t="s">
        <v>2410</v>
      </c>
      <c r="Q753" s="2" t="s">
        <v>2834</v>
      </c>
      <c r="R753" s="2" t="s">
        <v>920</v>
      </c>
      <c r="S753" s="2" t="s">
        <v>685</v>
      </c>
      <c r="T753" s="2" t="s">
        <v>685</v>
      </c>
      <c r="U753" s="2" t="s">
        <v>913</v>
      </c>
      <c r="V753" s="2" t="s">
        <v>2835</v>
      </c>
      <c r="W753" s="2" t="s">
        <v>2836</v>
      </c>
      <c r="X753" s="2" t="s">
        <v>2837</v>
      </c>
      <c r="Y753" s="2" t="s">
        <v>2838</v>
      </c>
      <c r="Z753" s="2" t="s">
        <v>652</v>
      </c>
      <c r="AA753" s="2" t="s">
        <v>548</v>
      </c>
      <c r="AB753" s="2" t="s">
        <v>2839</v>
      </c>
    </row>
    <row r="754" spans="1:28" hidden="1" x14ac:dyDescent="0.3">
      <c r="A754" s="4">
        <v>46239</v>
      </c>
      <c r="B754" s="8" t="s">
        <v>2681</v>
      </c>
      <c r="C754" s="8" t="s">
        <v>36</v>
      </c>
      <c r="D754" s="7" t="s">
        <v>46</v>
      </c>
      <c r="E754" s="7" t="s">
        <v>47</v>
      </c>
      <c r="F754" s="13"/>
      <c r="G754" s="59"/>
      <c r="H754" s="6">
        <f t="shared" si="55"/>
        <v>2142.8571428571427</v>
      </c>
      <c r="I754" s="6">
        <f t="shared" si="54"/>
        <v>187.24727838258167</v>
      </c>
      <c r="J754" s="2" t="s">
        <v>2840</v>
      </c>
      <c r="K754" s="2">
        <v>6.43</v>
      </c>
      <c r="L754" s="2" t="s">
        <v>756</v>
      </c>
      <c r="M754" s="2" t="s">
        <v>724</v>
      </c>
      <c r="N754" s="2" t="s">
        <v>2841</v>
      </c>
      <c r="O754" s="56">
        <v>1204</v>
      </c>
      <c r="P754" s="2" t="s">
        <v>592</v>
      </c>
      <c r="Q754" s="2" t="s">
        <v>2842</v>
      </c>
      <c r="R754" s="2" t="s">
        <v>2843</v>
      </c>
      <c r="S754" s="2" t="s">
        <v>712</v>
      </c>
      <c r="T754" s="2" t="s">
        <v>1043</v>
      </c>
      <c r="U754" s="2" t="s">
        <v>1417</v>
      </c>
      <c r="V754" s="2" t="s">
        <v>2844</v>
      </c>
      <c r="W754" s="2" t="s">
        <v>2845</v>
      </c>
      <c r="X754" s="2" t="s">
        <v>2846</v>
      </c>
      <c r="Y754" s="2" t="s">
        <v>2847</v>
      </c>
      <c r="Z754" s="2" t="s">
        <v>580</v>
      </c>
      <c r="AA754" s="2" t="s">
        <v>548</v>
      </c>
      <c r="AB754" s="2" t="s">
        <v>2848</v>
      </c>
    </row>
    <row r="755" spans="1:28" x14ac:dyDescent="0.3">
      <c r="A755" s="4">
        <v>46239</v>
      </c>
      <c r="B755" s="8" t="s">
        <v>2681</v>
      </c>
      <c r="C755" s="8" t="s">
        <v>36</v>
      </c>
      <c r="D755" s="8" t="s">
        <v>48</v>
      </c>
      <c r="E755" s="7" t="s">
        <v>38</v>
      </c>
      <c r="F755" s="13">
        <v>4987</v>
      </c>
      <c r="G755" s="59"/>
      <c r="H755" s="6">
        <f>24000/7</f>
        <v>3428.5714285714284</v>
      </c>
      <c r="I755" s="6">
        <f t="shared" si="54"/>
        <v>514.65428276573789</v>
      </c>
      <c r="J755" s="2" t="s">
        <v>2849</v>
      </c>
      <c r="K755" s="2">
        <v>9.69</v>
      </c>
      <c r="L755" s="2" t="s">
        <v>734</v>
      </c>
      <c r="M755" s="2" t="s">
        <v>2850</v>
      </c>
      <c r="N755" s="2" t="s">
        <v>2851</v>
      </c>
      <c r="O755" s="56">
        <v>4987</v>
      </c>
      <c r="P755" s="2" t="s">
        <v>2852</v>
      </c>
      <c r="Q755" s="2" t="s">
        <v>614</v>
      </c>
      <c r="R755" s="2" t="s">
        <v>2571</v>
      </c>
      <c r="S755" s="2" t="s">
        <v>712</v>
      </c>
      <c r="T755" s="2" t="s">
        <v>584</v>
      </c>
      <c r="U755" s="2" t="s">
        <v>1946</v>
      </c>
      <c r="V755" s="2" t="s">
        <v>2731</v>
      </c>
      <c r="W755" s="2" t="s">
        <v>2853</v>
      </c>
      <c r="X755" s="2" t="s">
        <v>2854</v>
      </c>
      <c r="Y755" s="2" t="s">
        <v>2855</v>
      </c>
      <c r="Z755" s="2" t="s">
        <v>649</v>
      </c>
      <c r="AA755" s="2" t="s">
        <v>548</v>
      </c>
      <c r="AB755" s="2" t="s">
        <v>2856</v>
      </c>
    </row>
    <row r="756" spans="1:28" hidden="1" x14ac:dyDescent="0.3">
      <c r="A756" s="4">
        <v>46239</v>
      </c>
      <c r="B756" s="8" t="s">
        <v>2681</v>
      </c>
      <c r="C756" s="8" t="s">
        <v>36</v>
      </c>
      <c r="D756" s="8" t="s">
        <v>49</v>
      </c>
      <c r="E756" s="8" t="s">
        <v>47</v>
      </c>
      <c r="F756" s="13"/>
      <c r="G756" s="59"/>
      <c r="H756" s="6">
        <f>15000/7</f>
        <v>2142.8571428571427</v>
      </c>
      <c r="I756" s="6">
        <f t="shared" si="54"/>
        <v>491.89189189189187</v>
      </c>
      <c r="J756" s="2" t="s">
        <v>1598</v>
      </c>
      <c r="K756" s="2">
        <v>4.07</v>
      </c>
      <c r="L756" s="2" t="s">
        <v>1064</v>
      </c>
      <c r="M756" s="2" t="s">
        <v>2857</v>
      </c>
      <c r="N756" s="2" t="s">
        <v>2858</v>
      </c>
      <c r="O756" s="56">
        <v>2002</v>
      </c>
      <c r="P756" s="2" t="s">
        <v>1778</v>
      </c>
      <c r="Q756" s="2" t="s">
        <v>2456</v>
      </c>
      <c r="R756" s="2" t="s">
        <v>1006</v>
      </c>
      <c r="S756" s="2" t="s">
        <v>595</v>
      </c>
      <c r="T756" s="2" t="s">
        <v>2859</v>
      </c>
      <c r="U756" s="2" t="s">
        <v>2059</v>
      </c>
      <c r="V756" s="2" t="s">
        <v>2860</v>
      </c>
      <c r="W756" s="2" t="s">
        <v>2861</v>
      </c>
      <c r="X756" s="2" t="s">
        <v>2862</v>
      </c>
      <c r="Y756" s="2" t="s">
        <v>2863</v>
      </c>
      <c r="Z756" s="2" t="s">
        <v>548</v>
      </c>
      <c r="AA756" s="2" t="s">
        <v>548</v>
      </c>
      <c r="AB756" s="2" t="s">
        <v>1231</v>
      </c>
    </row>
    <row r="757" spans="1:28" hidden="1" x14ac:dyDescent="0.3">
      <c r="A757" s="4">
        <v>46240</v>
      </c>
      <c r="B757" s="8" t="s">
        <v>2681</v>
      </c>
      <c r="C757" s="8" t="s">
        <v>36</v>
      </c>
      <c r="D757" s="8" t="s">
        <v>39</v>
      </c>
      <c r="E757" s="8" t="s">
        <v>47</v>
      </c>
      <c r="F757" s="13"/>
      <c r="G757" s="59"/>
      <c r="H757" s="6">
        <f>15000/7</f>
        <v>2142.8571428571427</v>
      </c>
      <c r="I757" s="6">
        <f t="shared" si="54"/>
        <v>529.64042759961137</v>
      </c>
      <c r="J757" s="2" t="s">
        <v>776</v>
      </c>
      <c r="K757" s="2">
        <v>10.29</v>
      </c>
      <c r="L757" s="2" t="s">
        <v>817</v>
      </c>
      <c r="M757" s="2" t="s">
        <v>2864</v>
      </c>
      <c r="N757" s="2" t="s">
        <v>2865</v>
      </c>
      <c r="O757" s="56">
        <v>5450</v>
      </c>
      <c r="P757" s="2" t="s">
        <v>2866</v>
      </c>
      <c r="Q757" s="2" t="s">
        <v>2867</v>
      </c>
      <c r="R757" s="2" t="s">
        <v>1278</v>
      </c>
      <c r="S757" s="2" t="s">
        <v>658</v>
      </c>
      <c r="T757" s="2" t="s">
        <v>1374</v>
      </c>
      <c r="U757" s="2" t="s">
        <v>2868</v>
      </c>
      <c r="V757" s="2" t="s">
        <v>2869</v>
      </c>
      <c r="W757" s="2" t="s">
        <v>2870</v>
      </c>
      <c r="X757" s="2" t="s">
        <v>2871</v>
      </c>
      <c r="Y757" s="2" t="s">
        <v>2872</v>
      </c>
      <c r="Z757" s="2" t="s">
        <v>649</v>
      </c>
      <c r="AA757" s="2" t="s">
        <v>548</v>
      </c>
      <c r="AB757" s="2" t="s">
        <v>2873</v>
      </c>
    </row>
    <row r="758" spans="1:28" hidden="1" x14ac:dyDescent="0.3">
      <c r="A758" s="4">
        <v>46240</v>
      </c>
      <c r="B758" s="8" t="s">
        <v>2681</v>
      </c>
      <c r="C758" s="8" t="s">
        <v>36</v>
      </c>
      <c r="D758" s="8" t="s">
        <v>43</v>
      </c>
      <c r="E758" s="8" t="s">
        <v>47</v>
      </c>
      <c r="F758" s="13"/>
      <c r="G758" s="59"/>
      <c r="H758" s="6">
        <f>15000/7</f>
        <v>2142.8571428571427</v>
      </c>
      <c r="I758" s="6">
        <f t="shared" si="54"/>
        <v>12.88659793814433</v>
      </c>
      <c r="J758" s="2" t="s">
        <v>2874</v>
      </c>
      <c r="K758" s="2">
        <v>7.76</v>
      </c>
      <c r="L758" s="2" t="s">
        <v>1595</v>
      </c>
      <c r="M758" s="2" t="s">
        <v>2875</v>
      </c>
      <c r="N758" s="2" t="s">
        <v>45</v>
      </c>
      <c r="O758" s="56">
        <v>100</v>
      </c>
      <c r="P758" s="2" t="s">
        <v>45</v>
      </c>
      <c r="Q758" s="2" t="s">
        <v>45</v>
      </c>
      <c r="R758" s="2" t="s">
        <v>1530</v>
      </c>
      <c r="S758" s="2" t="s">
        <v>1248</v>
      </c>
      <c r="T758" s="2" t="s">
        <v>1317</v>
      </c>
      <c r="U758" s="2" t="s">
        <v>2876</v>
      </c>
      <c r="V758" s="2" t="s">
        <v>2877</v>
      </c>
      <c r="W758" s="2" t="s">
        <v>2878</v>
      </c>
      <c r="X758" s="2" t="s">
        <v>45</v>
      </c>
      <c r="Y758" s="2" t="s">
        <v>45</v>
      </c>
      <c r="Z758" s="2" t="s">
        <v>1575</v>
      </c>
      <c r="AA758" s="2" t="s">
        <v>45</v>
      </c>
      <c r="AB758" s="2" t="s">
        <v>2879</v>
      </c>
    </row>
    <row r="759" spans="1:28" hidden="1" x14ac:dyDescent="0.3">
      <c r="A759" s="4">
        <v>46240</v>
      </c>
      <c r="B759" s="8" t="s">
        <v>2681</v>
      </c>
      <c r="C759" s="8" t="s">
        <v>36</v>
      </c>
      <c r="D759" s="8" t="s">
        <v>43</v>
      </c>
      <c r="E759" s="8" t="s">
        <v>61</v>
      </c>
      <c r="F759" s="13"/>
      <c r="G759" s="59"/>
      <c r="H759" s="6"/>
      <c r="I759" s="6">
        <f t="shared" si="54"/>
        <v>0</v>
      </c>
      <c r="J759" s="2"/>
      <c r="K759" s="2"/>
      <c r="L759" s="2"/>
      <c r="M759" s="2"/>
      <c r="N759" s="2"/>
      <c r="O759" s="56">
        <v>1100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idden="1" x14ac:dyDescent="0.3">
      <c r="A760" s="4">
        <v>46240</v>
      </c>
      <c r="B760" s="8" t="s">
        <v>2681</v>
      </c>
      <c r="C760" s="8" t="s">
        <v>36</v>
      </c>
      <c r="D760" s="8" t="s">
        <v>67</v>
      </c>
      <c r="E760" s="8" t="s">
        <v>47</v>
      </c>
      <c r="F760" s="13"/>
      <c r="G760" s="59"/>
      <c r="H760" s="6">
        <f>15000/7</f>
        <v>2142.8571428571427</v>
      </c>
      <c r="I760" s="6">
        <f t="shared" si="54"/>
        <v>177.30061349693253</v>
      </c>
      <c r="J760" s="2" t="s">
        <v>1256</v>
      </c>
      <c r="K760" s="2">
        <v>6.52</v>
      </c>
      <c r="L760" s="2" t="s">
        <v>734</v>
      </c>
      <c r="M760" s="2" t="s">
        <v>1655</v>
      </c>
      <c r="N760" s="2" t="s">
        <v>2880</v>
      </c>
      <c r="O760" s="56">
        <v>1156</v>
      </c>
      <c r="P760" s="2" t="s">
        <v>2190</v>
      </c>
      <c r="Q760" s="2" t="s">
        <v>2881</v>
      </c>
      <c r="R760" s="2" t="s">
        <v>2882</v>
      </c>
      <c r="S760" s="2" t="s">
        <v>685</v>
      </c>
      <c r="T760" s="2" t="s">
        <v>2344</v>
      </c>
      <c r="U760" s="2" t="s">
        <v>1375</v>
      </c>
      <c r="V760" s="2" t="s">
        <v>2883</v>
      </c>
      <c r="W760" s="2" t="s">
        <v>2884</v>
      </c>
      <c r="X760" s="2" t="s">
        <v>2885</v>
      </c>
      <c r="Y760" s="2" t="s">
        <v>2886</v>
      </c>
      <c r="Z760" s="2" t="s">
        <v>636</v>
      </c>
      <c r="AA760" s="2" t="s">
        <v>548</v>
      </c>
      <c r="AB760" s="2" t="s">
        <v>2887</v>
      </c>
    </row>
    <row r="761" spans="1:28" hidden="1" x14ac:dyDescent="0.3">
      <c r="A761" s="4">
        <v>46240</v>
      </c>
      <c r="B761" s="8" t="s">
        <v>2681</v>
      </c>
      <c r="C761" s="8" t="s">
        <v>36</v>
      </c>
      <c r="D761" s="8" t="s">
        <v>50</v>
      </c>
      <c r="E761" s="8" t="s">
        <v>47</v>
      </c>
      <c r="F761" s="13"/>
      <c r="G761" s="59"/>
      <c r="H761" s="6">
        <f>15000/7</f>
        <v>2142.8571428571427</v>
      </c>
      <c r="I761" s="6">
        <f t="shared" si="54"/>
        <v>348.28125</v>
      </c>
      <c r="J761" s="2" t="s">
        <v>620</v>
      </c>
      <c r="K761" s="2">
        <v>6.4</v>
      </c>
      <c r="L761" s="2" t="s">
        <v>955</v>
      </c>
      <c r="M761" s="2" t="s">
        <v>2205</v>
      </c>
      <c r="N761" s="2" t="s">
        <v>1699</v>
      </c>
      <c r="O761" s="56">
        <v>2229</v>
      </c>
      <c r="P761" s="2" t="s">
        <v>2888</v>
      </c>
      <c r="Q761" s="2" t="s">
        <v>2889</v>
      </c>
      <c r="R761" s="2" t="s">
        <v>2826</v>
      </c>
      <c r="S761" s="2" t="s">
        <v>839</v>
      </c>
      <c r="T761" s="2" t="s">
        <v>685</v>
      </c>
      <c r="U761" s="2" t="s">
        <v>2890</v>
      </c>
      <c r="V761" s="2" t="s">
        <v>2477</v>
      </c>
      <c r="W761" s="2" t="s">
        <v>2891</v>
      </c>
      <c r="X761" s="2" t="s">
        <v>2892</v>
      </c>
      <c r="Y761" s="2" t="s">
        <v>2893</v>
      </c>
      <c r="Z761" s="2" t="s">
        <v>580</v>
      </c>
      <c r="AA761" s="2" t="s">
        <v>548</v>
      </c>
      <c r="AB761" s="2" t="s">
        <v>2894</v>
      </c>
    </row>
    <row r="762" spans="1:28" hidden="1" x14ac:dyDescent="0.3">
      <c r="A762" s="4">
        <v>46240</v>
      </c>
      <c r="B762" s="8" t="s">
        <v>2681</v>
      </c>
      <c r="C762" s="8" t="s">
        <v>36</v>
      </c>
      <c r="D762" s="8" t="s">
        <v>52</v>
      </c>
      <c r="E762" s="8" t="s">
        <v>47</v>
      </c>
      <c r="F762" s="13"/>
      <c r="G762" s="59"/>
      <c r="H762" s="6">
        <f>15000/7</f>
        <v>2142.8571428571427</v>
      </c>
      <c r="I762" s="6">
        <f t="shared" si="54"/>
        <v>242.7682737169518</v>
      </c>
      <c r="J762" s="2" t="s">
        <v>2840</v>
      </c>
      <c r="K762" s="2">
        <v>6.43</v>
      </c>
      <c r="L762" s="2" t="s">
        <v>756</v>
      </c>
      <c r="M762" s="2" t="s">
        <v>724</v>
      </c>
      <c r="N762" s="2" t="s">
        <v>2895</v>
      </c>
      <c r="O762" s="56">
        <v>1561</v>
      </c>
      <c r="P762" s="2" t="s">
        <v>627</v>
      </c>
      <c r="Q762" s="2" t="s">
        <v>2896</v>
      </c>
      <c r="R762" s="2" t="s">
        <v>2897</v>
      </c>
      <c r="S762" s="2" t="s">
        <v>839</v>
      </c>
      <c r="T762" s="2" t="s">
        <v>628</v>
      </c>
      <c r="U762" s="2" t="s">
        <v>2898</v>
      </c>
      <c r="V762" s="2" t="s">
        <v>2899</v>
      </c>
      <c r="W762" s="2" t="s">
        <v>2900</v>
      </c>
      <c r="X762" s="2" t="s">
        <v>2901</v>
      </c>
      <c r="Y762" s="2" t="s">
        <v>2902</v>
      </c>
      <c r="Z762" s="2" t="s">
        <v>580</v>
      </c>
      <c r="AA762" s="2" t="s">
        <v>548</v>
      </c>
      <c r="AB762" s="2" t="s">
        <v>2903</v>
      </c>
    </row>
    <row r="763" spans="1:28" hidden="1" x14ac:dyDescent="0.3">
      <c r="A763" s="4">
        <v>46240</v>
      </c>
      <c r="B763" s="8" t="s">
        <v>2681</v>
      </c>
      <c r="C763" s="8" t="s">
        <v>36</v>
      </c>
      <c r="D763" s="7" t="s">
        <v>46</v>
      </c>
      <c r="E763" s="7" t="s">
        <v>47</v>
      </c>
      <c r="F763" s="13"/>
      <c r="G763" s="59"/>
      <c r="H763" s="6">
        <f>15000/7</f>
        <v>2142.8571428571427</v>
      </c>
      <c r="I763" s="6">
        <f t="shared" si="54"/>
        <v>136.70886075949366</v>
      </c>
      <c r="J763" s="2" t="s">
        <v>2447</v>
      </c>
      <c r="K763" s="2">
        <v>7.11</v>
      </c>
      <c r="L763" s="2" t="s">
        <v>1696</v>
      </c>
      <c r="M763" s="2" t="s">
        <v>2493</v>
      </c>
      <c r="N763" s="2" t="s">
        <v>2904</v>
      </c>
      <c r="O763" s="56">
        <f>1047-75</f>
        <v>972</v>
      </c>
      <c r="P763" s="2" t="s">
        <v>2905</v>
      </c>
      <c r="Q763" s="2" t="s">
        <v>887</v>
      </c>
      <c r="R763" s="2" t="s">
        <v>1209</v>
      </c>
      <c r="S763" s="2" t="s">
        <v>658</v>
      </c>
      <c r="T763" s="2" t="s">
        <v>658</v>
      </c>
      <c r="U763" s="2" t="s">
        <v>1150</v>
      </c>
      <c r="V763" s="2" t="s">
        <v>2906</v>
      </c>
      <c r="W763" s="2" t="s">
        <v>2907</v>
      </c>
      <c r="X763" s="2" t="s">
        <v>2908</v>
      </c>
      <c r="Y763" s="2" t="s">
        <v>2909</v>
      </c>
      <c r="Z763" s="2" t="s">
        <v>800</v>
      </c>
      <c r="AA763" s="2" t="s">
        <v>548</v>
      </c>
      <c r="AB763" s="2" t="s">
        <v>2910</v>
      </c>
    </row>
    <row r="764" spans="1:28" hidden="1" x14ac:dyDescent="0.3">
      <c r="A764" s="4">
        <v>46240</v>
      </c>
      <c r="B764" s="8" t="s">
        <v>2681</v>
      </c>
      <c r="C764" s="8" t="s">
        <v>36</v>
      </c>
      <c r="D764" s="7" t="s">
        <v>46</v>
      </c>
      <c r="E764" s="8" t="s">
        <v>61</v>
      </c>
      <c r="F764" s="13"/>
      <c r="G764" s="59"/>
      <c r="H764" s="6"/>
      <c r="I764" s="6">
        <f t="shared" si="54"/>
        <v>0</v>
      </c>
      <c r="J764" s="2"/>
      <c r="K764" s="2"/>
      <c r="L764" s="2"/>
      <c r="M764" s="2"/>
      <c r="N764" s="2"/>
      <c r="O764" s="56">
        <f>3*25</f>
        <v>75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3">
      <c r="A765" s="4">
        <v>46240</v>
      </c>
      <c r="B765" s="8" t="s">
        <v>2681</v>
      </c>
      <c r="C765" s="8" t="s">
        <v>36</v>
      </c>
      <c r="D765" s="8" t="s">
        <v>48</v>
      </c>
      <c r="E765" s="7" t="s">
        <v>38</v>
      </c>
      <c r="F765" s="13">
        <v>2838</v>
      </c>
      <c r="G765" s="59"/>
      <c r="H765" s="6">
        <f>24000/7</f>
        <v>3428.5714285714284</v>
      </c>
      <c r="I765" s="6">
        <f t="shared" si="54"/>
        <v>476.66263603385732</v>
      </c>
      <c r="J765" s="2" t="s">
        <v>843</v>
      </c>
      <c r="K765" s="2">
        <v>8.27</v>
      </c>
      <c r="L765" s="2" t="s">
        <v>621</v>
      </c>
      <c r="M765" s="2" t="s">
        <v>738</v>
      </c>
      <c r="N765" s="2" t="s">
        <v>2911</v>
      </c>
      <c r="O765" s="56">
        <v>3942</v>
      </c>
      <c r="P765" s="2" t="s">
        <v>2912</v>
      </c>
      <c r="Q765" s="2" t="s">
        <v>2913</v>
      </c>
      <c r="R765" s="2" t="s">
        <v>1889</v>
      </c>
      <c r="S765" s="2" t="s">
        <v>595</v>
      </c>
      <c r="T765" s="2" t="s">
        <v>737</v>
      </c>
      <c r="U765" s="2" t="s">
        <v>2914</v>
      </c>
      <c r="V765" s="2" t="s">
        <v>2915</v>
      </c>
      <c r="W765" s="2" t="s">
        <v>2916</v>
      </c>
      <c r="X765" s="2" t="s">
        <v>2917</v>
      </c>
      <c r="Y765" s="2" t="s">
        <v>2918</v>
      </c>
      <c r="Z765" s="2" t="s">
        <v>649</v>
      </c>
      <c r="AA765" s="2" t="s">
        <v>548</v>
      </c>
      <c r="AB765" s="2" t="s">
        <v>2919</v>
      </c>
    </row>
    <row r="766" spans="1:28" hidden="1" x14ac:dyDescent="0.3">
      <c r="A766" s="4">
        <v>46240</v>
      </c>
      <c r="B766" s="8" t="s">
        <v>2681</v>
      </c>
      <c r="C766" s="8" t="s">
        <v>36</v>
      </c>
      <c r="D766" s="8" t="s">
        <v>49</v>
      </c>
      <c r="E766" s="8" t="s">
        <v>47</v>
      </c>
      <c r="F766" s="13"/>
      <c r="G766" s="59"/>
      <c r="H766" s="6">
        <f>15000/7</f>
        <v>2142.8571428571427</v>
      </c>
      <c r="I766" s="6">
        <f t="shared" si="54"/>
        <v>0</v>
      </c>
      <c r="J766" s="2" t="s">
        <v>2920</v>
      </c>
      <c r="K766" s="2" t="s">
        <v>1227</v>
      </c>
      <c r="L766" s="2" t="s">
        <v>784</v>
      </c>
      <c r="M766" s="2" t="s">
        <v>2921</v>
      </c>
      <c r="N766" s="2" t="s">
        <v>2922</v>
      </c>
      <c r="O766" s="56">
        <v>1515</v>
      </c>
      <c r="P766" s="2" t="s">
        <v>2923</v>
      </c>
      <c r="Q766" s="2" t="s">
        <v>733</v>
      </c>
      <c r="R766" s="2" t="s">
        <v>2924</v>
      </c>
      <c r="S766" s="2" t="s">
        <v>902</v>
      </c>
      <c r="T766" s="2" t="s">
        <v>903</v>
      </c>
      <c r="U766" s="2" t="s">
        <v>629</v>
      </c>
      <c r="V766" s="2" t="s">
        <v>2925</v>
      </c>
      <c r="W766" s="2" t="s">
        <v>2926</v>
      </c>
      <c r="X766" s="2" t="s">
        <v>2927</v>
      </c>
      <c r="Y766" s="2" t="s">
        <v>2928</v>
      </c>
      <c r="Z766" s="2" t="s">
        <v>548</v>
      </c>
      <c r="AA766" s="2" t="s">
        <v>548</v>
      </c>
      <c r="AB766" s="2" t="s">
        <v>1231</v>
      </c>
    </row>
    <row r="767" spans="1:28" hidden="1" x14ac:dyDescent="0.3">
      <c r="A767" s="4">
        <v>46241</v>
      </c>
      <c r="B767" s="8" t="s">
        <v>2681</v>
      </c>
      <c r="C767" s="8" t="s">
        <v>36</v>
      </c>
      <c r="D767" s="8" t="s">
        <v>39</v>
      </c>
      <c r="E767" s="8" t="s">
        <v>47</v>
      </c>
      <c r="F767" s="13"/>
      <c r="G767" s="59"/>
      <c r="H767" s="6">
        <f>15000/6</f>
        <v>2500</v>
      </c>
      <c r="I767" s="6">
        <f t="shared" si="54"/>
        <v>352.76073619631904</v>
      </c>
      <c r="J767" s="2">
        <v>11.18</v>
      </c>
      <c r="K767" s="2">
        <v>9.7799999999999994</v>
      </c>
      <c r="L767" s="2">
        <v>1.4</v>
      </c>
      <c r="M767" s="2">
        <v>12.52</v>
      </c>
      <c r="N767" s="2" t="s">
        <v>2929</v>
      </c>
      <c r="O767" s="56">
        <v>3450</v>
      </c>
      <c r="P767" s="2">
        <v>1.79</v>
      </c>
      <c r="Q767" s="2">
        <v>10.46</v>
      </c>
      <c r="R767" s="2">
        <v>198.73</v>
      </c>
      <c r="S767" s="2">
        <v>6.15</v>
      </c>
      <c r="T767" s="2">
        <v>4.3899999999999997</v>
      </c>
      <c r="U767" s="2">
        <v>192.58</v>
      </c>
      <c r="V767" s="2">
        <v>19.690000000000001</v>
      </c>
      <c r="W767" s="2">
        <v>9289.7900000000009</v>
      </c>
      <c r="X767" s="2" t="s">
        <v>2930</v>
      </c>
      <c r="Y767" s="2" t="s">
        <v>2931</v>
      </c>
      <c r="Z767" s="2">
        <v>0.2</v>
      </c>
      <c r="AA767" s="2" t="s">
        <v>548</v>
      </c>
      <c r="AB767" s="2">
        <v>291.5</v>
      </c>
    </row>
    <row r="768" spans="1:28" hidden="1" x14ac:dyDescent="0.3">
      <c r="A768" s="4">
        <v>46241</v>
      </c>
      <c r="B768" s="8" t="s">
        <v>2681</v>
      </c>
      <c r="C768" s="8" t="s">
        <v>36</v>
      </c>
      <c r="D768" s="8" t="s">
        <v>43</v>
      </c>
      <c r="E768" s="8" t="s">
        <v>47</v>
      </c>
      <c r="F768" s="13"/>
      <c r="G768" s="59"/>
      <c r="H768" s="6">
        <f>15000/6</f>
        <v>2500</v>
      </c>
      <c r="I768" s="6">
        <f t="shared" si="54"/>
        <v>0</v>
      </c>
      <c r="J768" s="2">
        <v>5.94</v>
      </c>
      <c r="K768" s="2">
        <v>4.09</v>
      </c>
      <c r="L768" s="2">
        <v>1.85</v>
      </c>
      <c r="M768" s="2">
        <v>31.15</v>
      </c>
      <c r="N768" s="2" t="s">
        <v>45</v>
      </c>
      <c r="O768" s="56" t="s">
        <v>42</v>
      </c>
      <c r="P768" s="2" t="s">
        <v>45</v>
      </c>
      <c r="Q768" s="2" t="s">
        <v>45</v>
      </c>
      <c r="R768" s="2">
        <v>83.28</v>
      </c>
      <c r="S768" s="2">
        <v>7.57</v>
      </c>
      <c r="T768" s="2">
        <v>4.09</v>
      </c>
      <c r="U768" s="2">
        <v>75.709999999999994</v>
      </c>
      <c r="V768" s="2">
        <v>18.52</v>
      </c>
      <c r="W768" s="2">
        <v>8894.02</v>
      </c>
      <c r="X768" s="2" t="s">
        <v>45</v>
      </c>
      <c r="Y768" s="2" t="s">
        <v>45</v>
      </c>
      <c r="Z768" s="2" t="s">
        <v>1380</v>
      </c>
      <c r="AA768" s="2" t="s">
        <v>45</v>
      </c>
      <c r="AB768" s="2" t="s">
        <v>2932</v>
      </c>
    </row>
    <row r="769" spans="1:28" hidden="1" x14ac:dyDescent="0.3">
      <c r="A769" s="4">
        <v>46241</v>
      </c>
      <c r="B769" s="8" t="s">
        <v>2681</v>
      </c>
      <c r="C769" s="8" t="s">
        <v>36</v>
      </c>
      <c r="D769" s="8" t="s">
        <v>67</v>
      </c>
      <c r="E769" s="8" t="s">
        <v>47</v>
      </c>
      <c r="F769" s="13"/>
      <c r="G769" s="59"/>
      <c r="H769" s="6">
        <f>15000/6</f>
        <v>2500</v>
      </c>
      <c r="I769" s="6">
        <f t="shared" si="54"/>
        <v>237.98955613577024</v>
      </c>
      <c r="J769" s="2">
        <v>8.7100000000000009</v>
      </c>
      <c r="K769" s="2">
        <v>7.66</v>
      </c>
      <c r="L769" s="2">
        <v>1.05</v>
      </c>
      <c r="M769" s="2">
        <v>12.05</v>
      </c>
      <c r="N769" s="2" t="s">
        <v>2933</v>
      </c>
      <c r="O769" s="56">
        <v>1823</v>
      </c>
      <c r="P769" s="2">
        <v>1.66</v>
      </c>
      <c r="Q769" s="2">
        <v>13.24</v>
      </c>
      <c r="R769" s="2">
        <v>137.69</v>
      </c>
      <c r="S769" s="2">
        <v>3.79</v>
      </c>
      <c r="T769" s="2">
        <v>3.61</v>
      </c>
      <c r="U769" s="2">
        <v>133.91</v>
      </c>
      <c r="V769" s="2">
        <v>17.47</v>
      </c>
      <c r="W769" s="2">
        <v>678.48</v>
      </c>
      <c r="X769" s="2" t="s">
        <v>2934</v>
      </c>
      <c r="Y769" s="2" t="s">
        <v>2935</v>
      </c>
      <c r="Z769" s="2">
        <v>1.2</v>
      </c>
      <c r="AA769" s="2" t="s">
        <v>548</v>
      </c>
      <c r="AB769" s="2">
        <v>64.8</v>
      </c>
    </row>
    <row r="770" spans="1:28" hidden="1" x14ac:dyDescent="0.3">
      <c r="A770" s="4">
        <v>46241</v>
      </c>
      <c r="B770" s="8" t="s">
        <v>2681</v>
      </c>
      <c r="C770" s="8" t="s">
        <v>36</v>
      </c>
      <c r="D770" s="8" t="s">
        <v>50</v>
      </c>
      <c r="E770" s="8" t="s">
        <v>47</v>
      </c>
      <c r="F770" s="13"/>
      <c r="G770" s="59"/>
      <c r="H770" s="6">
        <f>15000/6</f>
        <v>2500</v>
      </c>
      <c r="I770" s="6">
        <f t="shared" si="54"/>
        <v>258.14977973568284</v>
      </c>
      <c r="J770" s="2">
        <v>7.46</v>
      </c>
      <c r="K770" s="2">
        <v>6.81</v>
      </c>
      <c r="L770" s="2">
        <v>0.65</v>
      </c>
      <c r="M770" s="2">
        <v>8.7100000000000009</v>
      </c>
      <c r="N770" s="2" t="s">
        <v>2936</v>
      </c>
      <c r="O770" s="56">
        <v>1758</v>
      </c>
      <c r="P770" s="2">
        <v>1.93</v>
      </c>
      <c r="Q770" s="2">
        <v>12.55</v>
      </c>
      <c r="R770" s="2">
        <v>140.06</v>
      </c>
      <c r="S770" s="2">
        <v>2.84</v>
      </c>
      <c r="T770" s="2">
        <v>4.37</v>
      </c>
      <c r="U770" s="2">
        <v>137.22</v>
      </c>
      <c r="V770" s="2">
        <v>20.14</v>
      </c>
      <c r="W770" s="2">
        <v>2542.71</v>
      </c>
      <c r="X770" s="2" t="s">
        <v>2937</v>
      </c>
      <c r="Y770" s="2" t="s">
        <v>2938</v>
      </c>
      <c r="Z770" s="2">
        <v>0.4</v>
      </c>
      <c r="AA770" s="2" t="s">
        <v>548</v>
      </c>
      <c r="AB770" s="2">
        <v>329.7</v>
      </c>
    </row>
    <row r="771" spans="1:28" hidden="1" x14ac:dyDescent="0.3">
      <c r="A771" s="4">
        <v>46241</v>
      </c>
      <c r="B771" s="8" t="s">
        <v>2681</v>
      </c>
      <c r="C771" s="8" t="s">
        <v>36</v>
      </c>
      <c r="D771" s="8" t="s">
        <v>52</v>
      </c>
      <c r="E771" s="8" t="s">
        <v>47</v>
      </c>
      <c r="F771" s="13"/>
      <c r="G771" s="59"/>
      <c r="H771" s="6">
        <f>15000/6</f>
        <v>2500</v>
      </c>
      <c r="I771" s="6">
        <f t="shared" si="54"/>
        <v>98</v>
      </c>
      <c r="J771" s="2">
        <v>6.6</v>
      </c>
      <c r="K771" s="2">
        <v>4.5</v>
      </c>
      <c r="L771" s="2">
        <v>2.1</v>
      </c>
      <c r="M771" s="2">
        <v>31.8</v>
      </c>
      <c r="N771" s="2" t="s">
        <v>2812</v>
      </c>
      <c r="O771" s="56">
        <v>441</v>
      </c>
      <c r="P771" s="2">
        <v>1.76</v>
      </c>
      <c r="Q771" s="2">
        <v>6.47</v>
      </c>
      <c r="R771" s="2">
        <v>68.14</v>
      </c>
      <c r="S771" s="2">
        <v>8.0399999999999991</v>
      </c>
      <c r="T771" s="2">
        <v>3.83</v>
      </c>
      <c r="U771" s="2">
        <v>60.09</v>
      </c>
      <c r="V771" s="2">
        <v>13.34</v>
      </c>
      <c r="W771" s="2">
        <v>1119.58</v>
      </c>
      <c r="X771" s="2" t="s">
        <v>2939</v>
      </c>
      <c r="Y771" s="2" t="s">
        <v>2940</v>
      </c>
      <c r="Z771" s="2" t="s">
        <v>548</v>
      </c>
      <c r="AA771" s="2" t="s">
        <v>548</v>
      </c>
      <c r="AB771" s="2">
        <v>119.1</v>
      </c>
    </row>
    <row r="772" spans="1:28" hidden="1" x14ac:dyDescent="0.3">
      <c r="A772" s="4">
        <v>46241</v>
      </c>
      <c r="B772" s="8" t="s">
        <v>2681</v>
      </c>
      <c r="C772" s="8" t="s">
        <v>36</v>
      </c>
      <c r="D772" s="7" t="s">
        <v>46</v>
      </c>
      <c r="E772" s="8" t="s">
        <v>61</v>
      </c>
      <c r="F772" s="13"/>
      <c r="G772" s="59"/>
      <c r="H772" s="6"/>
      <c r="I772" s="6">
        <f t="shared" si="54"/>
        <v>155.94594594594594</v>
      </c>
      <c r="J772" s="2">
        <v>8.1</v>
      </c>
      <c r="K772" s="2">
        <v>7.4</v>
      </c>
      <c r="L772" s="2">
        <v>0.7</v>
      </c>
      <c r="M772" s="2">
        <v>8.64</v>
      </c>
      <c r="N772" s="2" t="s">
        <v>2941</v>
      </c>
      <c r="O772" s="56">
        <v>1154</v>
      </c>
      <c r="P772" s="2">
        <v>2.06</v>
      </c>
      <c r="Q772" s="2">
        <v>5.05</v>
      </c>
      <c r="R772" s="2">
        <v>228.54</v>
      </c>
      <c r="S772" s="2">
        <v>3.31</v>
      </c>
      <c r="T772" s="2">
        <v>4.7300000000000004</v>
      </c>
      <c r="U772" s="2">
        <v>225.23</v>
      </c>
      <c r="V772" s="2">
        <v>30.44</v>
      </c>
      <c r="W772" s="2">
        <v>8098.18</v>
      </c>
      <c r="X772" s="2" t="s">
        <v>2942</v>
      </c>
      <c r="Y772" s="2" t="s">
        <v>2943</v>
      </c>
      <c r="Z772" s="2">
        <v>0.1</v>
      </c>
      <c r="AA772" s="2" t="s">
        <v>548</v>
      </c>
      <c r="AB772" s="2">
        <v>254.5</v>
      </c>
    </row>
    <row r="773" spans="1:28" x14ac:dyDescent="0.3">
      <c r="A773" s="4">
        <v>46241</v>
      </c>
      <c r="B773" s="8" t="s">
        <v>2681</v>
      </c>
      <c r="C773" s="8" t="s">
        <v>36</v>
      </c>
      <c r="D773" s="8" t="s">
        <v>48</v>
      </c>
      <c r="E773" s="7" t="s">
        <v>38</v>
      </c>
      <c r="F773" s="13">
        <v>3038</v>
      </c>
      <c r="G773" s="59"/>
      <c r="H773" s="6">
        <f>24000/7</f>
        <v>3428.5714285714284</v>
      </c>
      <c r="I773" s="6">
        <f t="shared" si="54"/>
        <v>643.75</v>
      </c>
      <c r="J773" s="2">
        <v>6.79</v>
      </c>
      <c r="K773" s="2">
        <v>6.24</v>
      </c>
      <c r="L773" s="2">
        <v>0.55000000000000004</v>
      </c>
      <c r="M773" s="2">
        <v>8.1</v>
      </c>
      <c r="N773" s="2" t="s">
        <v>2944</v>
      </c>
      <c r="O773" s="56">
        <v>4017</v>
      </c>
      <c r="P773" s="2">
        <v>5.17</v>
      </c>
      <c r="Q773" s="2">
        <v>16.14</v>
      </c>
      <c r="R773" s="2">
        <v>248.89</v>
      </c>
      <c r="S773" s="2">
        <v>3.31</v>
      </c>
      <c r="T773" s="2">
        <v>6.02</v>
      </c>
      <c r="U773" s="2">
        <v>245.58</v>
      </c>
      <c r="V773" s="2">
        <v>39.340000000000003</v>
      </c>
      <c r="W773" s="2">
        <v>6697.84</v>
      </c>
      <c r="X773" s="2" t="s">
        <v>2945</v>
      </c>
      <c r="Y773" s="2" t="s">
        <v>2946</v>
      </c>
      <c r="Z773" s="2" t="s">
        <v>548</v>
      </c>
      <c r="AA773" s="2" t="s">
        <v>548</v>
      </c>
      <c r="AB773" s="2">
        <v>49.3</v>
      </c>
    </row>
    <row r="774" spans="1:28" hidden="1" x14ac:dyDescent="0.3">
      <c r="A774" s="4">
        <v>46241</v>
      </c>
      <c r="B774" s="8" t="s">
        <v>2681</v>
      </c>
      <c r="C774" s="8" t="s">
        <v>36</v>
      </c>
      <c r="D774" s="8" t="s">
        <v>49</v>
      </c>
      <c r="E774" s="8" t="s">
        <v>47</v>
      </c>
      <c r="F774" s="13"/>
      <c r="G774" s="59"/>
      <c r="H774" s="6">
        <f>15000/6</f>
        <v>2500</v>
      </c>
      <c r="I774" s="6">
        <f t="shared" si="54"/>
        <v>579.30056710775045</v>
      </c>
      <c r="J774" s="2">
        <v>12.98</v>
      </c>
      <c r="K774" s="2">
        <v>10.58</v>
      </c>
      <c r="L774" s="2">
        <v>2.4</v>
      </c>
      <c r="M774" s="2">
        <v>18.489999999999998</v>
      </c>
      <c r="N774" s="2" t="s">
        <v>2947</v>
      </c>
      <c r="O774" s="56">
        <v>6129</v>
      </c>
      <c r="P774" s="2">
        <v>3.93</v>
      </c>
      <c r="Q774" s="2">
        <v>13.99</v>
      </c>
      <c r="R774" s="2">
        <v>438.16</v>
      </c>
      <c r="S774" s="2">
        <v>10.41</v>
      </c>
      <c r="T774" s="2">
        <v>4.34</v>
      </c>
      <c r="U774" s="2">
        <v>427.75</v>
      </c>
      <c r="V774" s="2">
        <v>40.43</v>
      </c>
      <c r="W774" s="2">
        <v>2058.87</v>
      </c>
      <c r="X774" s="2" t="s">
        <v>2948</v>
      </c>
      <c r="Y774" s="2" t="s">
        <v>2949</v>
      </c>
      <c r="Z774" s="2" t="s">
        <v>548</v>
      </c>
      <c r="AA774" s="2" t="s">
        <v>548</v>
      </c>
      <c r="AB774" s="2">
        <v>5.5</v>
      </c>
    </row>
    <row r="775" spans="1:28" hidden="1" x14ac:dyDescent="0.3">
      <c r="A775" s="4">
        <v>46242</v>
      </c>
      <c r="B775" s="8" t="s">
        <v>2681</v>
      </c>
      <c r="C775" s="8" t="s">
        <v>36</v>
      </c>
      <c r="D775" s="8" t="s">
        <v>39</v>
      </c>
      <c r="E775" s="8" t="s">
        <v>47</v>
      </c>
      <c r="F775" s="13"/>
      <c r="G775" s="59"/>
      <c r="H775" s="6">
        <f>15000/5</f>
        <v>3000</v>
      </c>
      <c r="I775" s="6">
        <f t="shared" si="54"/>
        <v>490.99836333878886</v>
      </c>
      <c r="J775" s="2">
        <v>6.86</v>
      </c>
      <c r="K775" s="2">
        <v>6.11</v>
      </c>
      <c r="L775" s="2">
        <v>0.75</v>
      </c>
      <c r="M775" s="2">
        <v>10.93</v>
      </c>
      <c r="N775" s="2" t="s">
        <v>2035</v>
      </c>
      <c r="O775" s="56">
        <v>3000</v>
      </c>
      <c r="P775" s="2">
        <v>1.96</v>
      </c>
      <c r="Q775" s="2">
        <v>15.19</v>
      </c>
      <c r="R775" s="2">
        <v>125.39</v>
      </c>
      <c r="S775" s="2">
        <v>2.37</v>
      </c>
      <c r="T775" s="2">
        <v>3.15</v>
      </c>
      <c r="U775" s="2">
        <v>123.03</v>
      </c>
      <c r="V775" s="2">
        <v>20.14</v>
      </c>
      <c r="W775" s="2">
        <v>9296.65</v>
      </c>
      <c r="X775" s="2" t="s">
        <v>2950</v>
      </c>
      <c r="Y775" s="2" t="s">
        <v>2951</v>
      </c>
      <c r="Z775" s="2">
        <v>0.1</v>
      </c>
      <c r="AA775" s="2" t="s">
        <v>548</v>
      </c>
      <c r="AB775" s="2">
        <v>291.60000000000002</v>
      </c>
    </row>
    <row r="776" spans="1:28" hidden="1" x14ac:dyDescent="0.3">
      <c r="A776" s="4">
        <v>46242</v>
      </c>
      <c r="B776" s="8" t="s">
        <v>2681</v>
      </c>
      <c r="C776" s="8" t="s">
        <v>36</v>
      </c>
      <c r="D776" s="8" t="s">
        <v>43</v>
      </c>
      <c r="E776" s="8" t="s">
        <v>61</v>
      </c>
      <c r="F776" s="13"/>
      <c r="G776" s="59"/>
      <c r="H776" s="6"/>
      <c r="I776" s="6">
        <f t="shared" si="54"/>
        <v>0</v>
      </c>
      <c r="J776" s="2">
        <v>3.12</v>
      </c>
      <c r="K776" s="2">
        <v>2.72</v>
      </c>
      <c r="L776" s="2">
        <v>0.4</v>
      </c>
      <c r="M776" s="2">
        <v>12.84</v>
      </c>
      <c r="N776" s="2" t="s">
        <v>45</v>
      </c>
      <c r="O776" s="56">
        <v>0</v>
      </c>
      <c r="P776" s="2" t="s">
        <v>45</v>
      </c>
      <c r="Q776" s="2" t="s">
        <v>45</v>
      </c>
      <c r="R776" s="2">
        <v>45.42</v>
      </c>
      <c r="S776" s="2">
        <v>1.42</v>
      </c>
      <c r="T776" s="2">
        <v>3.55</v>
      </c>
      <c r="U776" s="2">
        <v>44.01</v>
      </c>
      <c r="V776" s="2">
        <v>16.2</v>
      </c>
      <c r="W776" s="2">
        <v>8897.2199999999993</v>
      </c>
      <c r="X776" s="2" t="s">
        <v>45</v>
      </c>
      <c r="Y776" s="2" t="s">
        <v>45</v>
      </c>
      <c r="Z776" s="2">
        <v>0.2</v>
      </c>
      <c r="AA776" s="2" t="s">
        <v>45</v>
      </c>
      <c r="AB776" s="2">
        <v>263.2</v>
      </c>
    </row>
    <row r="777" spans="1:28" hidden="1" x14ac:dyDescent="0.3">
      <c r="A777" s="4">
        <v>46242</v>
      </c>
      <c r="B777" s="8" t="s">
        <v>2681</v>
      </c>
      <c r="C777" s="8" t="s">
        <v>36</v>
      </c>
      <c r="D777" s="8" t="s">
        <v>67</v>
      </c>
      <c r="E777" s="8" t="s">
        <v>47</v>
      </c>
      <c r="F777" s="13"/>
      <c r="G777" s="59"/>
      <c r="H777" s="6">
        <f>15000/5</f>
        <v>3000</v>
      </c>
      <c r="I777" s="6">
        <f t="shared" si="54"/>
        <v>208.21643286573146</v>
      </c>
      <c r="J777" s="2">
        <v>6.64</v>
      </c>
      <c r="K777" s="2">
        <v>4.99</v>
      </c>
      <c r="L777" s="2">
        <v>1.65</v>
      </c>
      <c r="M777" s="2">
        <v>24.86</v>
      </c>
      <c r="N777" s="2" t="s">
        <v>2952</v>
      </c>
      <c r="O777" s="56">
        <f>1564-525</f>
        <v>1039</v>
      </c>
      <c r="P777" s="2">
        <v>2.15</v>
      </c>
      <c r="Q777" s="2">
        <v>14.82</v>
      </c>
      <c r="R777" s="2">
        <v>105.52</v>
      </c>
      <c r="S777" s="2">
        <v>5.2</v>
      </c>
      <c r="T777" s="2">
        <v>3.15</v>
      </c>
      <c r="U777" s="2">
        <v>100.31</v>
      </c>
      <c r="V777" s="2">
        <v>20.12</v>
      </c>
      <c r="W777" s="2">
        <v>685.12</v>
      </c>
      <c r="X777" s="2" t="s">
        <v>2953</v>
      </c>
      <c r="Y777" s="2" t="s">
        <v>2954</v>
      </c>
      <c r="Z777" s="2">
        <v>1.1000000000000001</v>
      </c>
      <c r="AA777" s="2" t="s">
        <v>548</v>
      </c>
      <c r="AB777" s="2">
        <v>66.2</v>
      </c>
    </row>
    <row r="778" spans="1:28" hidden="1" x14ac:dyDescent="0.3">
      <c r="A778" s="4">
        <v>46242</v>
      </c>
      <c r="B778" s="8" t="s">
        <v>2681</v>
      </c>
      <c r="C778" s="8" t="s">
        <v>36</v>
      </c>
      <c r="D778" s="8" t="s">
        <v>67</v>
      </c>
      <c r="E778" s="8" t="s">
        <v>61</v>
      </c>
      <c r="F778" s="13"/>
      <c r="G778" s="59"/>
      <c r="H778" s="6"/>
      <c r="I778" s="6">
        <f t="shared" si="54"/>
        <v>0</v>
      </c>
      <c r="J778" s="2"/>
      <c r="K778" s="2"/>
      <c r="L778" s="2"/>
      <c r="M778" s="2"/>
      <c r="N778" s="2"/>
      <c r="O778" s="79">
        <f>21*25</f>
        <v>525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idden="1" x14ac:dyDescent="0.3">
      <c r="A779" s="4">
        <v>46242</v>
      </c>
      <c r="B779" s="8" t="s">
        <v>2681</v>
      </c>
      <c r="C779" s="8" t="s">
        <v>36</v>
      </c>
      <c r="D779" s="8" t="s">
        <v>50</v>
      </c>
      <c r="E779" s="8" t="s">
        <v>61</v>
      </c>
      <c r="F779" s="13"/>
      <c r="G779" s="59"/>
      <c r="H779" s="6"/>
      <c r="I779" s="6">
        <f t="shared" si="54"/>
        <v>249.1329479768786</v>
      </c>
      <c r="J779" s="2">
        <v>7.14</v>
      </c>
      <c r="K779" s="2">
        <v>5.19</v>
      </c>
      <c r="L779" s="2">
        <v>1.95</v>
      </c>
      <c r="M779" s="2">
        <v>27.3</v>
      </c>
      <c r="N779" s="2" t="s">
        <v>2955</v>
      </c>
      <c r="O779" s="79">
        <v>1293</v>
      </c>
      <c r="P779" s="2">
        <v>1.61</v>
      </c>
      <c r="Q779" s="2">
        <v>11.68</v>
      </c>
      <c r="R779" s="2">
        <v>110.72</v>
      </c>
      <c r="S779" s="2">
        <v>7.1</v>
      </c>
      <c r="T779" s="2">
        <v>3.64</v>
      </c>
      <c r="U779" s="2">
        <v>103.63</v>
      </c>
      <c r="V779" s="2">
        <v>19.95</v>
      </c>
      <c r="W779" s="2">
        <v>2549.86</v>
      </c>
      <c r="X779" s="2" t="s">
        <v>2956</v>
      </c>
      <c r="Y779" s="2" t="s">
        <v>2957</v>
      </c>
      <c r="Z779" s="2">
        <v>1.8</v>
      </c>
      <c r="AA779" s="2" t="s">
        <v>548</v>
      </c>
      <c r="AB779" s="2">
        <v>331.5</v>
      </c>
    </row>
    <row r="780" spans="1:28" hidden="1" x14ac:dyDescent="0.3">
      <c r="A780" s="4">
        <v>46242</v>
      </c>
      <c r="B780" s="8" t="s">
        <v>2681</v>
      </c>
      <c r="C780" s="8" t="s">
        <v>36</v>
      </c>
      <c r="D780" s="8" t="s">
        <v>52</v>
      </c>
      <c r="E780" s="8" t="s">
        <v>47</v>
      </c>
      <c r="F780" s="13"/>
      <c r="G780" s="59"/>
      <c r="H780" s="6">
        <f>15000/5</f>
        <v>3000</v>
      </c>
      <c r="I780" s="6">
        <f t="shared" si="54"/>
        <v>292.11324570273001</v>
      </c>
      <c r="J780" s="2">
        <v>11.84</v>
      </c>
      <c r="K780" s="2">
        <v>9.89</v>
      </c>
      <c r="L780" s="2">
        <v>1.95</v>
      </c>
      <c r="M780" s="2">
        <v>16.46</v>
      </c>
      <c r="N780" s="2" t="s">
        <v>2958</v>
      </c>
      <c r="O780" s="79">
        <v>2889</v>
      </c>
      <c r="P780" s="2">
        <v>2.21</v>
      </c>
      <c r="Q780" s="2">
        <v>13.78</v>
      </c>
      <c r="R780" s="2">
        <v>209.62</v>
      </c>
      <c r="S780" s="2">
        <v>7.1</v>
      </c>
      <c r="T780" s="2">
        <v>3.64</v>
      </c>
      <c r="U780" s="2">
        <v>202.52</v>
      </c>
      <c r="V780" s="2">
        <v>20.47</v>
      </c>
      <c r="W780" s="2">
        <v>1131.42</v>
      </c>
      <c r="X780" s="2" t="s">
        <v>2959</v>
      </c>
      <c r="Y780" s="2" t="s">
        <v>2960</v>
      </c>
      <c r="Z780" s="2">
        <v>0.2</v>
      </c>
      <c r="AA780" s="2" t="s">
        <v>548</v>
      </c>
      <c r="AB780" s="2">
        <v>119.3</v>
      </c>
    </row>
    <row r="781" spans="1:28" hidden="1" x14ac:dyDescent="0.3">
      <c r="A781" s="4">
        <v>46242</v>
      </c>
      <c r="B781" s="8" t="s">
        <v>2681</v>
      </c>
      <c r="C781" s="8" t="s">
        <v>36</v>
      </c>
      <c r="D781" s="7" t="s">
        <v>46</v>
      </c>
      <c r="E781" s="8" t="s">
        <v>61</v>
      </c>
      <c r="F781" s="13"/>
      <c r="G781" s="59"/>
      <c r="H781" s="6"/>
      <c r="I781" s="6">
        <f t="shared" si="54"/>
        <v>268.64864864864865</v>
      </c>
      <c r="J781" s="2">
        <v>6.15</v>
      </c>
      <c r="K781" s="2">
        <v>5.55</v>
      </c>
      <c r="L781" s="2">
        <v>0.6</v>
      </c>
      <c r="M781" s="2">
        <v>9.75</v>
      </c>
      <c r="N781" s="2" t="s">
        <v>2961</v>
      </c>
      <c r="O781" s="79">
        <v>1491</v>
      </c>
      <c r="P781" s="2">
        <v>2.76</v>
      </c>
      <c r="Q781" s="2">
        <v>8.73</v>
      </c>
      <c r="R781" s="2">
        <v>170.82</v>
      </c>
      <c r="S781" s="2">
        <v>3.79</v>
      </c>
      <c r="T781" s="2">
        <v>6.31</v>
      </c>
      <c r="U781" s="2">
        <v>167.03</v>
      </c>
      <c r="V781" s="2">
        <v>30.09</v>
      </c>
      <c r="W781" s="2">
        <v>8104.33</v>
      </c>
      <c r="X781" s="2" t="s">
        <v>2962</v>
      </c>
      <c r="Y781" s="2" t="s">
        <v>2963</v>
      </c>
      <c r="Z781" s="2">
        <v>0.1</v>
      </c>
      <c r="AA781" s="2" t="s">
        <v>548</v>
      </c>
      <c r="AB781" s="2">
        <v>254.6</v>
      </c>
    </row>
    <row r="782" spans="1:28" x14ac:dyDescent="0.3">
      <c r="A782" s="4">
        <v>46242</v>
      </c>
      <c r="B782" s="8" t="s">
        <v>2681</v>
      </c>
      <c r="C782" s="8" t="s">
        <v>36</v>
      </c>
      <c r="D782" s="8" t="s">
        <v>48</v>
      </c>
      <c r="E782" s="7" t="s">
        <v>38</v>
      </c>
      <c r="F782" s="13">
        <v>5749</v>
      </c>
      <c r="G782" s="59"/>
      <c r="H782" s="6">
        <f>24000/7</f>
        <v>3428.5714285714284</v>
      </c>
      <c r="I782" s="6">
        <f t="shared" si="54"/>
        <v>507.41394527802294</v>
      </c>
      <c r="J782" s="2">
        <v>12.33</v>
      </c>
      <c r="K782" s="2">
        <v>11.33</v>
      </c>
      <c r="L782" s="2" t="s">
        <v>1696</v>
      </c>
      <c r="M782" s="2">
        <v>8.11</v>
      </c>
      <c r="N782" s="2" t="s">
        <v>2964</v>
      </c>
      <c r="O782" s="79">
        <v>5749</v>
      </c>
      <c r="P782" s="2">
        <v>5.3</v>
      </c>
      <c r="Q782" s="2">
        <v>17.18</v>
      </c>
      <c r="R782" s="2" t="s">
        <v>2965</v>
      </c>
      <c r="S782" s="2">
        <v>6.15</v>
      </c>
      <c r="T782" s="2">
        <v>6.15</v>
      </c>
      <c r="U782" s="2">
        <v>434.85</v>
      </c>
      <c r="V782" s="2">
        <v>38.380000000000003</v>
      </c>
      <c r="W782" s="2">
        <v>6710.17</v>
      </c>
      <c r="X782" s="2" t="s">
        <v>2966</v>
      </c>
      <c r="Y782" s="2" t="s">
        <v>2967</v>
      </c>
      <c r="Z782" s="2" t="s">
        <v>548</v>
      </c>
      <c r="AA782" s="2" t="s">
        <v>548</v>
      </c>
      <c r="AB782" s="2">
        <v>49.3</v>
      </c>
    </row>
    <row r="783" spans="1:28" hidden="1" x14ac:dyDescent="0.3">
      <c r="A783" s="4">
        <v>46242</v>
      </c>
      <c r="B783" s="8" t="s">
        <v>2681</v>
      </c>
      <c r="C783" s="8" t="s">
        <v>36</v>
      </c>
      <c r="D783" s="8" t="s">
        <v>49</v>
      </c>
      <c r="E783" s="8" t="s">
        <v>47</v>
      </c>
      <c r="F783" s="13"/>
      <c r="G783" s="59"/>
      <c r="H783" s="6">
        <f>15000/5</f>
        <v>3000</v>
      </c>
      <c r="I783" s="6">
        <f t="shared" si="54"/>
        <v>520.3767123287671</v>
      </c>
      <c r="J783" s="2">
        <v>7.69</v>
      </c>
      <c r="K783" s="2">
        <v>5.84</v>
      </c>
      <c r="L783" s="2">
        <v>1.85</v>
      </c>
      <c r="M783" s="2">
        <v>24.05</v>
      </c>
      <c r="N783" s="2" t="s">
        <v>2968</v>
      </c>
      <c r="O783" s="79">
        <v>3039</v>
      </c>
      <c r="P783" s="2">
        <v>3.84</v>
      </c>
      <c r="Q783" s="2">
        <v>12.82</v>
      </c>
      <c r="R783" s="2">
        <v>237.06</v>
      </c>
      <c r="S783" s="2">
        <v>8.0399999999999991</v>
      </c>
      <c r="T783" s="2">
        <v>4.3499999999999996</v>
      </c>
      <c r="U783" s="2">
        <v>229.02</v>
      </c>
      <c r="V783" s="2">
        <v>39.200000000000003</v>
      </c>
      <c r="W783" s="2">
        <v>2066.5700000000002</v>
      </c>
      <c r="X783" s="2" t="s">
        <v>2969</v>
      </c>
      <c r="Y783" s="2" t="s">
        <v>2970</v>
      </c>
      <c r="Z783" s="2">
        <v>0.1</v>
      </c>
      <c r="AA783" s="2" t="s">
        <v>548</v>
      </c>
      <c r="AB783" s="2">
        <v>5.6</v>
      </c>
    </row>
    <row r="784" spans="1:28" hidden="1" x14ac:dyDescent="0.3">
      <c r="A784" s="14">
        <v>46242</v>
      </c>
      <c r="B784" s="14" t="s">
        <v>2681</v>
      </c>
      <c r="C784" s="14" t="s">
        <v>36</v>
      </c>
      <c r="D784" s="42"/>
      <c r="E784" s="42" t="s">
        <v>47</v>
      </c>
      <c r="F784" s="43"/>
      <c r="G784" s="60"/>
      <c r="H784" s="44">
        <v>3000</v>
      </c>
      <c r="I784" s="6">
        <f t="shared" si="54"/>
        <v>0</v>
      </c>
      <c r="J784" s="42"/>
      <c r="K784" s="42"/>
      <c r="L784" s="42"/>
      <c r="M784" s="42"/>
      <c r="N784" s="42"/>
      <c r="O784" s="60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spans="1:28" hidden="1" x14ac:dyDescent="0.3">
      <c r="A785" s="4">
        <v>46243</v>
      </c>
      <c r="B785" s="8" t="s">
        <v>55</v>
      </c>
      <c r="C785" s="8" t="s">
        <v>56</v>
      </c>
      <c r="D785" s="8" t="s">
        <v>39</v>
      </c>
      <c r="E785" s="8" t="s">
        <v>47</v>
      </c>
      <c r="F785" s="13"/>
      <c r="G785" s="59"/>
      <c r="H785" s="6"/>
      <c r="I785" s="6">
        <f t="shared" si="54"/>
        <v>0</v>
      </c>
      <c r="J785" s="2" t="s">
        <v>548</v>
      </c>
      <c r="K785" s="2" t="s">
        <v>548</v>
      </c>
      <c r="L785" s="2" t="s">
        <v>548</v>
      </c>
      <c r="M785" s="2" t="s">
        <v>45</v>
      </c>
      <c r="N785" s="2" t="s">
        <v>548</v>
      </c>
      <c r="O785" s="56">
        <v>0</v>
      </c>
      <c r="P785" s="2" t="s">
        <v>45</v>
      </c>
      <c r="Q785" s="2" t="s">
        <v>45</v>
      </c>
      <c r="R785" s="2" t="s">
        <v>548</v>
      </c>
      <c r="S785" s="2" t="s">
        <v>548</v>
      </c>
      <c r="T785" s="2" t="s">
        <v>45</v>
      </c>
      <c r="U785" s="2" t="s">
        <v>548</v>
      </c>
      <c r="V785" s="2" t="s">
        <v>45</v>
      </c>
      <c r="W785" s="2">
        <v>9296.65</v>
      </c>
      <c r="X785" s="2" t="s">
        <v>2950</v>
      </c>
      <c r="Y785" s="2" t="s">
        <v>2951</v>
      </c>
      <c r="Z785" s="2" t="s">
        <v>548</v>
      </c>
      <c r="AA785" s="2" t="s">
        <v>45</v>
      </c>
      <c r="AB785" s="2">
        <v>291.60000000000002</v>
      </c>
    </row>
    <row r="786" spans="1:28" hidden="1" x14ac:dyDescent="0.3">
      <c r="A786" s="4">
        <v>46243</v>
      </c>
      <c r="B786" s="8" t="s">
        <v>55</v>
      </c>
      <c r="C786" s="8" t="s">
        <v>56</v>
      </c>
      <c r="D786" s="8" t="s">
        <v>43</v>
      </c>
      <c r="E786" s="8" t="s">
        <v>47</v>
      </c>
      <c r="F786" s="13"/>
      <c r="G786" s="59"/>
      <c r="H786" s="6"/>
      <c r="I786" s="6">
        <f t="shared" si="54"/>
        <v>0</v>
      </c>
      <c r="J786" s="2" t="s">
        <v>548</v>
      </c>
      <c r="K786" s="2" t="s">
        <v>548</v>
      </c>
      <c r="L786" s="2" t="s">
        <v>548</v>
      </c>
      <c r="M786" s="2" t="s">
        <v>45</v>
      </c>
      <c r="N786" s="2" t="s">
        <v>45</v>
      </c>
      <c r="O786" s="56">
        <v>0</v>
      </c>
      <c r="P786" s="2" t="s">
        <v>45</v>
      </c>
      <c r="Q786" s="2" t="s">
        <v>45</v>
      </c>
      <c r="R786" s="2" t="s">
        <v>548</v>
      </c>
      <c r="S786" s="2" t="s">
        <v>548</v>
      </c>
      <c r="T786" s="2" t="s">
        <v>45</v>
      </c>
      <c r="U786" s="2" t="s">
        <v>548</v>
      </c>
      <c r="V786" s="2" t="s">
        <v>45</v>
      </c>
      <c r="W786" s="2">
        <v>8897.2199999999993</v>
      </c>
      <c r="X786" s="2" t="s">
        <v>45</v>
      </c>
      <c r="Y786" s="2" t="s">
        <v>45</v>
      </c>
      <c r="Z786" s="2" t="s">
        <v>548</v>
      </c>
      <c r="AA786" s="2" t="s">
        <v>45</v>
      </c>
      <c r="AB786" s="2">
        <v>263.2</v>
      </c>
    </row>
    <row r="787" spans="1:28" hidden="1" x14ac:dyDescent="0.3">
      <c r="A787" s="4">
        <v>46243</v>
      </c>
      <c r="B787" s="8" t="s">
        <v>55</v>
      </c>
      <c r="C787" s="8" t="s">
        <v>56</v>
      </c>
      <c r="D787" s="8" t="s">
        <v>67</v>
      </c>
      <c r="E787" s="8" t="s">
        <v>47</v>
      </c>
      <c r="F787" s="13"/>
      <c r="G787" s="59"/>
      <c r="H787" s="6"/>
      <c r="I787" s="6">
        <f t="shared" si="54"/>
        <v>0</v>
      </c>
      <c r="J787" s="2" t="s">
        <v>45</v>
      </c>
      <c r="K787" s="2" t="s">
        <v>45</v>
      </c>
      <c r="L787" s="2" t="s">
        <v>45</v>
      </c>
      <c r="M787" s="2" t="s">
        <v>45</v>
      </c>
      <c r="N787" s="2" t="s">
        <v>45</v>
      </c>
      <c r="O787" s="56" t="s">
        <v>45</v>
      </c>
      <c r="P787" s="2" t="s">
        <v>45</v>
      </c>
      <c r="Q787" s="2" t="s">
        <v>45</v>
      </c>
      <c r="R787" s="2" t="s">
        <v>45</v>
      </c>
      <c r="S787" s="2" t="s">
        <v>45</v>
      </c>
      <c r="T787" s="2" t="s">
        <v>45</v>
      </c>
      <c r="U787" s="2" t="s">
        <v>45</v>
      </c>
      <c r="V787" s="2" t="s">
        <v>45</v>
      </c>
      <c r="W787" s="2" t="s">
        <v>45</v>
      </c>
      <c r="X787" s="2" t="s">
        <v>45</v>
      </c>
      <c r="Y787" s="2" t="s">
        <v>45</v>
      </c>
      <c r="Z787" s="2" t="s">
        <v>45</v>
      </c>
      <c r="AA787" s="2" t="s">
        <v>45</v>
      </c>
      <c r="AB787" s="2" t="s">
        <v>45</v>
      </c>
    </row>
    <row r="788" spans="1:28" hidden="1" x14ac:dyDescent="0.3">
      <c r="A788" s="4">
        <v>46243</v>
      </c>
      <c r="B788" s="8" t="s">
        <v>55</v>
      </c>
      <c r="C788" s="8" t="s">
        <v>56</v>
      </c>
      <c r="D788" s="8" t="s">
        <v>50</v>
      </c>
      <c r="E788" s="8" t="s">
        <v>47</v>
      </c>
      <c r="F788" s="13"/>
      <c r="G788" s="59"/>
      <c r="H788" s="6"/>
      <c r="I788" s="6">
        <f t="shared" si="54"/>
        <v>0</v>
      </c>
      <c r="J788" s="2" t="s">
        <v>548</v>
      </c>
      <c r="K788" s="2" t="s">
        <v>548</v>
      </c>
      <c r="L788" s="2" t="s">
        <v>548</v>
      </c>
      <c r="M788" s="2" t="s">
        <v>45</v>
      </c>
      <c r="N788" s="2" t="s">
        <v>548</v>
      </c>
      <c r="O788" s="79">
        <v>0</v>
      </c>
      <c r="P788" s="2" t="s">
        <v>45</v>
      </c>
      <c r="Q788" s="2" t="s">
        <v>45</v>
      </c>
      <c r="R788" s="2" t="s">
        <v>548</v>
      </c>
      <c r="S788" s="2" t="s">
        <v>548</v>
      </c>
      <c r="T788" s="2" t="s">
        <v>45</v>
      </c>
      <c r="U788" s="2" t="s">
        <v>548</v>
      </c>
      <c r="V788" s="2" t="s">
        <v>45</v>
      </c>
      <c r="W788" s="2">
        <v>2549.86</v>
      </c>
      <c r="X788" s="2" t="s">
        <v>2956</v>
      </c>
      <c r="Y788" s="2" t="s">
        <v>2957</v>
      </c>
      <c r="Z788" s="2" t="s">
        <v>548</v>
      </c>
      <c r="AA788" s="2" t="s">
        <v>45</v>
      </c>
      <c r="AB788" s="2">
        <v>331.5</v>
      </c>
    </row>
    <row r="789" spans="1:28" hidden="1" x14ac:dyDescent="0.3">
      <c r="A789" s="4">
        <v>46243</v>
      </c>
      <c r="B789" s="8" t="s">
        <v>55</v>
      </c>
      <c r="C789" s="8" t="s">
        <v>56</v>
      </c>
      <c r="D789" s="8" t="s">
        <v>52</v>
      </c>
      <c r="E789" s="8" t="s">
        <v>47</v>
      </c>
      <c r="F789" s="13"/>
      <c r="G789" s="59"/>
      <c r="H789" s="6"/>
      <c r="I789" s="6">
        <f t="shared" si="54"/>
        <v>0</v>
      </c>
      <c r="J789" s="2" t="s">
        <v>45</v>
      </c>
      <c r="K789" s="2" t="s">
        <v>45</v>
      </c>
      <c r="L789" s="2" t="s">
        <v>45</v>
      </c>
      <c r="M789" s="2" t="s">
        <v>45</v>
      </c>
      <c r="N789" s="2" t="s">
        <v>45</v>
      </c>
      <c r="O789" s="79" t="s">
        <v>45</v>
      </c>
      <c r="P789" s="2" t="s">
        <v>45</v>
      </c>
      <c r="Q789" s="2" t="s">
        <v>45</v>
      </c>
      <c r="R789" s="2" t="s">
        <v>45</v>
      </c>
      <c r="S789" s="2" t="s">
        <v>45</v>
      </c>
      <c r="T789" s="2" t="s">
        <v>45</v>
      </c>
      <c r="U789" s="2" t="s">
        <v>45</v>
      </c>
      <c r="V789" s="2" t="s">
        <v>45</v>
      </c>
      <c r="W789" s="2" t="s">
        <v>45</v>
      </c>
      <c r="X789" s="2" t="s">
        <v>45</v>
      </c>
      <c r="Y789" s="2" t="s">
        <v>45</v>
      </c>
      <c r="Z789" s="2" t="s">
        <v>45</v>
      </c>
      <c r="AA789" s="2" t="s">
        <v>45</v>
      </c>
      <c r="AB789" s="2" t="s">
        <v>45</v>
      </c>
    </row>
    <row r="790" spans="1:28" hidden="1" x14ac:dyDescent="0.3">
      <c r="A790" s="4">
        <v>46243</v>
      </c>
      <c r="B790" s="8" t="s">
        <v>55</v>
      </c>
      <c r="C790" s="8" t="s">
        <v>56</v>
      </c>
      <c r="D790" s="7" t="s">
        <v>46</v>
      </c>
      <c r="E790" s="7" t="s">
        <v>47</v>
      </c>
      <c r="F790" s="13"/>
      <c r="G790" s="59"/>
      <c r="H790" s="6"/>
      <c r="I790" s="6">
        <f t="shared" si="54"/>
        <v>0</v>
      </c>
      <c r="J790" s="2" t="s">
        <v>548</v>
      </c>
      <c r="K790" s="2" t="s">
        <v>548</v>
      </c>
      <c r="L790" s="2" t="s">
        <v>548</v>
      </c>
      <c r="M790" s="2" t="s">
        <v>45</v>
      </c>
      <c r="N790" s="2" t="s">
        <v>548</v>
      </c>
      <c r="O790" s="79">
        <v>0</v>
      </c>
      <c r="P790" s="2" t="s">
        <v>45</v>
      </c>
      <c r="Q790" s="2" t="s">
        <v>45</v>
      </c>
      <c r="R790" s="2" t="s">
        <v>548</v>
      </c>
      <c r="S790" s="2" t="s">
        <v>548</v>
      </c>
      <c r="T790" s="2" t="s">
        <v>45</v>
      </c>
      <c r="U790" s="2" t="s">
        <v>548</v>
      </c>
      <c r="V790" s="2" t="s">
        <v>45</v>
      </c>
      <c r="W790" s="2">
        <v>8104.33</v>
      </c>
      <c r="X790" s="2" t="s">
        <v>2962</v>
      </c>
      <c r="Y790" s="2" t="s">
        <v>2963</v>
      </c>
      <c r="Z790" s="2" t="s">
        <v>548</v>
      </c>
      <c r="AA790" s="2" t="s">
        <v>45</v>
      </c>
      <c r="AB790" s="2">
        <v>254.6</v>
      </c>
    </row>
    <row r="791" spans="1:28" x14ac:dyDescent="0.3">
      <c r="A791" s="4">
        <v>46243</v>
      </c>
      <c r="B791" s="8" t="s">
        <v>2681</v>
      </c>
      <c r="C791" s="8" t="s">
        <v>36</v>
      </c>
      <c r="D791" s="8" t="s">
        <v>48</v>
      </c>
      <c r="E791" s="7" t="s">
        <v>38</v>
      </c>
      <c r="F791" s="13">
        <v>4650</v>
      </c>
      <c r="G791" s="59"/>
      <c r="H791" s="6">
        <f>24000/7</f>
        <v>3428.5714285714284</v>
      </c>
      <c r="I791" s="6">
        <f t="shared" si="54"/>
        <v>764.8026315789474</v>
      </c>
      <c r="J791" s="2">
        <v>6.93</v>
      </c>
      <c r="K791" s="2">
        <v>6.08</v>
      </c>
      <c r="L791" s="2">
        <v>0.85</v>
      </c>
      <c r="M791" s="2">
        <v>12.27</v>
      </c>
      <c r="N791" s="2" t="s">
        <v>2971</v>
      </c>
      <c r="O791" s="79">
        <v>4650</v>
      </c>
      <c r="P791" s="2">
        <v>5.64</v>
      </c>
      <c r="Q791" s="2">
        <v>19.77</v>
      </c>
      <c r="R791" s="2">
        <v>235.17</v>
      </c>
      <c r="S791" s="2">
        <v>5.2</v>
      </c>
      <c r="T791" s="2">
        <v>6.12</v>
      </c>
      <c r="U791" s="2">
        <v>229.96</v>
      </c>
      <c r="V791" s="2">
        <v>37.83</v>
      </c>
      <c r="W791" s="2">
        <v>6717.1</v>
      </c>
      <c r="X791" s="2" t="s">
        <v>2972</v>
      </c>
      <c r="Y791" s="2" t="s">
        <v>2973</v>
      </c>
      <c r="Z791" s="2" t="s">
        <v>548</v>
      </c>
      <c r="AA791" s="2" t="s">
        <v>548</v>
      </c>
      <c r="AB791" s="2">
        <v>49.3</v>
      </c>
    </row>
    <row r="792" spans="1:28" hidden="1" x14ac:dyDescent="0.3">
      <c r="A792" s="4">
        <v>46243</v>
      </c>
      <c r="B792" s="8" t="s">
        <v>55</v>
      </c>
      <c r="C792" s="8" t="s">
        <v>56</v>
      </c>
      <c r="D792" s="8" t="s">
        <v>49</v>
      </c>
      <c r="E792" s="8" t="s">
        <v>47</v>
      </c>
      <c r="F792" s="13"/>
      <c r="G792" s="59"/>
      <c r="H792" s="6"/>
      <c r="I792" s="6">
        <f t="shared" si="54"/>
        <v>0</v>
      </c>
      <c r="J792" s="2" t="s">
        <v>45</v>
      </c>
      <c r="K792" s="2" t="s">
        <v>45</v>
      </c>
      <c r="L792" s="2" t="s">
        <v>45</v>
      </c>
      <c r="M792" s="2" t="s">
        <v>45</v>
      </c>
      <c r="N792" s="2" t="s">
        <v>45</v>
      </c>
      <c r="O792" s="79" t="s">
        <v>45</v>
      </c>
      <c r="P792" s="2" t="s">
        <v>45</v>
      </c>
      <c r="Q792" s="2" t="s">
        <v>45</v>
      </c>
      <c r="R792" s="2" t="s">
        <v>45</v>
      </c>
      <c r="S792" s="2" t="s">
        <v>45</v>
      </c>
      <c r="T792" s="2" t="s">
        <v>45</v>
      </c>
      <c r="U792" s="2" t="s">
        <v>45</v>
      </c>
      <c r="V792" s="2" t="s">
        <v>45</v>
      </c>
      <c r="W792" s="2" t="s">
        <v>45</v>
      </c>
      <c r="X792" s="2" t="s">
        <v>45</v>
      </c>
      <c r="Y792" s="2" t="s">
        <v>45</v>
      </c>
      <c r="Z792" s="2" t="s">
        <v>45</v>
      </c>
      <c r="AA792" s="2" t="s">
        <v>45</v>
      </c>
      <c r="AB792" s="2" t="s">
        <v>45</v>
      </c>
    </row>
    <row r="793" spans="1:28" hidden="1" x14ac:dyDescent="0.3">
      <c r="A793" s="4">
        <v>46244</v>
      </c>
      <c r="B793" s="8" t="s">
        <v>2974</v>
      </c>
      <c r="C793" s="8" t="s">
        <v>36</v>
      </c>
      <c r="D793" s="8" t="s">
        <v>39</v>
      </c>
      <c r="E793" s="8" t="s">
        <v>47</v>
      </c>
      <c r="F793" s="13"/>
      <c r="G793" s="59"/>
      <c r="H793" s="6">
        <f>15000/7</f>
        <v>2142.8571428571427</v>
      </c>
      <c r="I793" s="6">
        <f t="shared" si="54"/>
        <v>331.76943699731902</v>
      </c>
      <c r="J793" s="2">
        <v>8.86</v>
      </c>
      <c r="K793" s="2">
        <v>7.46</v>
      </c>
      <c r="L793" s="2">
        <v>1.4</v>
      </c>
      <c r="M793" s="2">
        <v>15.81</v>
      </c>
      <c r="N793" s="2" t="s">
        <v>2975</v>
      </c>
      <c r="O793" s="56">
        <v>2475</v>
      </c>
      <c r="P793" s="2">
        <v>1.58</v>
      </c>
      <c r="Q793" s="2">
        <v>9.84</v>
      </c>
      <c r="R793" s="2">
        <v>150.94</v>
      </c>
      <c r="S793" s="2">
        <v>6.15</v>
      </c>
      <c r="T793" s="2">
        <v>4.3899999999999997</v>
      </c>
      <c r="U793" s="2">
        <v>144.79</v>
      </c>
      <c r="V793" s="2">
        <v>19.420000000000002</v>
      </c>
      <c r="W793" s="2">
        <v>9305.5</v>
      </c>
      <c r="X793" s="2" t="s">
        <v>2976</v>
      </c>
      <c r="Y793" s="2" t="s">
        <v>2977</v>
      </c>
      <c r="Z793" s="2">
        <v>0.2</v>
      </c>
      <c r="AA793" s="2" t="s">
        <v>548</v>
      </c>
      <c r="AB793" s="2">
        <v>291.8</v>
      </c>
    </row>
    <row r="794" spans="1:28" hidden="1" x14ac:dyDescent="0.3">
      <c r="A794" s="4">
        <v>46244</v>
      </c>
      <c r="B794" s="8" t="s">
        <v>2974</v>
      </c>
      <c r="C794" s="8" t="s">
        <v>36</v>
      </c>
      <c r="D794" s="8" t="s">
        <v>43</v>
      </c>
      <c r="E794" s="8" t="s">
        <v>47</v>
      </c>
      <c r="F794" s="13"/>
      <c r="G794" s="59"/>
      <c r="H794" s="6">
        <f>15000/7</f>
        <v>2142.8571428571427</v>
      </c>
      <c r="I794" s="6">
        <f t="shared" si="54"/>
        <v>37.313432835820898</v>
      </c>
      <c r="J794" s="2">
        <v>2.46</v>
      </c>
      <c r="K794" s="2">
        <v>2.0099999999999998</v>
      </c>
      <c r="L794" s="2">
        <v>0.45</v>
      </c>
      <c r="M794" s="2">
        <v>18.309999999999999</v>
      </c>
      <c r="N794" s="2" t="s">
        <v>45</v>
      </c>
      <c r="O794" s="56">
        <v>75</v>
      </c>
      <c r="P794" s="2" t="s">
        <v>45</v>
      </c>
      <c r="Q794" s="2" t="s">
        <v>45</v>
      </c>
      <c r="R794" s="2">
        <v>35.49</v>
      </c>
      <c r="S794" s="2">
        <v>1.42</v>
      </c>
      <c r="T794" s="2">
        <v>3.15</v>
      </c>
      <c r="U794" s="2">
        <v>34.07</v>
      </c>
      <c r="V794" s="2">
        <v>16.97</v>
      </c>
      <c r="W794" s="2">
        <v>8899.67</v>
      </c>
      <c r="X794" s="2" t="s">
        <v>45</v>
      </c>
      <c r="Y794" s="2" t="s">
        <v>45</v>
      </c>
      <c r="Z794" s="2">
        <v>0.4</v>
      </c>
      <c r="AA794" s="2" t="s">
        <v>45</v>
      </c>
      <c r="AB794" s="2">
        <v>263.60000000000002</v>
      </c>
    </row>
    <row r="795" spans="1:28" hidden="1" x14ac:dyDescent="0.3">
      <c r="A795" s="4">
        <v>46244</v>
      </c>
      <c r="B795" s="8" t="s">
        <v>2974</v>
      </c>
      <c r="C795" s="8" t="s">
        <v>36</v>
      </c>
      <c r="D795" s="8" t="s">
        <v>67</v>
      </c>
      <c r="E795" s="8" t="s">
        <v>47</v>
      </c>
      <c r="F795" s="13"/>
      <c r="G795" s="59"/>
      <c r="H795" s="6">
        <f>15000/7</f>
        <v>2142.8571428571427</v>
      </c>
      <c r="I795" s="6">
        <f t="shared" si="54"/>
        <v>258.160237388724</v>
      </c>
      <c r="J795" s="2">
        <v>8.94</v>
      </c>
      <c r="K795" s="2">
        <v>6.74</v>
      </c>
      <c r="L795" s="2">
        <v>2.2000000000000002</v>
      </c>
      <c r="M795" s="2">
        <v>24.62</v>
      </c>
      <c r="N795" s="2" t="s">
        <v>2978</v>
      </c>
      <c r="O795" s="56">
        <f>2665-O796</f>
        <v>1740</v>
      </c>
      <c r="P795" s="2">
        <v>2.1800000000000002</v>
      </c>
      <c r="Q795" s="2">
        <v>17.82</v>
      </c>
      <c r="R795" s="2">
        <v>149.52000000000001</v>
      </c>
      <c r="S795" s="2">
        <v>8.0399999999999991</v>
      </c>
      <c r="T795" s="2">
        <v>3.66</v>
      </c>
      <c r="U795" s="2">
        <v>141.47999999999999</v>
      </c>
      <c r="V795" s="2">
        <v>21.01</v>
      </c>
      <c r="W795" s="2">
        <v>694.05</v>
      </c>
      <c r="X795" s="2" t="s">
        <v>2979</v>
      </c>
      <c r="Y795" s="2" t="s">
        <v>2980</v>
      </c>
      <c r="Z795" s="2">
        <v>0.8</v>
      </c>
      <c r="AA795" s="2" t="s">
        <v>548</v>
      </c>
      <c r="AB795" s="2">
        <v>67.599999999999994</v>
      </c>
    </row>
    <row r="796" spans="1:28" hidden="1" x14ac:dyDescent="0.3">
      <c r="A796" s="4">
        <v>46244</v>
      </c>
      <c r="B796" s="8" t="s">
        <v>2974</v>
      </c>
      <c r="C796" s="8" t="s">
        <v>36</v>
      </c>
      <c r="D796" s="8" t="s">
        <v>67</v>
      </c>
      <c r="E796" s="8" t="s">
        <v>61</v>
      </c>
      <c r="F796" s="13"/>
      <c r="G796" s="59"/>
      <c r="H796" s="6"/>
      <c r="I796" s="6"/>
      <c r="J796" s="2"/>
      <c r="K796" s="2"/>
      <c r="L796" s="2"/>
      <c r="M796" s="2"/>
      <c r="N796" s="2"/>
      <c r="O796" s="56">
        <f>37*25</f>
        <v>925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idden="1" x14ac:dyDescent="0.3">
      <c r="A797" s="4">
        <v>46244</v>
      </c>
      <c r="B797" s="8" t="s">
        <v>2974</v>
      </c>
      <c r="C797" s="8" t="s">
        <v>36</v>
      </c>
      <c r="D797" s="8" t="s">
        <v>50</v>
      </c>
      <c r="E797" s="8" t="s">
        <v>47</v>
      </c>
      <c r="F797" s="13"/>
      <c r="G797" s="59"/>
      <c r="H797" s="6">
        <f>15000/7</f>
        <v>2142.8571428571427</v>
      </c>
      <c r="I797" s="6">
        <f t="shared" ref="I797:I804" si="56">IFERROR(O797/K797,)</f>
        <v>0</v>
      </c>
      <c r="J797" s="2">
        <v>1.36</v>
      </c>
      <c r="K797" s="2">
        <v>0.66</v>
      </c>
      <c r="L797" s="2">
        <v>0.7</v>
      </c>
      <c r="M797" s="2">
        <v>51.39</v>
      </c>
      <c r="N797" s="2" t="s">
        <v>548</v>
      </c>
      <c r="O797" s="56">
        <v>0</v>
      </c>
      <c r="P797" s="2" t="s">
        <v>45</v>
      </c>
      <c r="Q797" s="2" t="s">
        <v>548</v>
      </c>
      <c r="R797" s="2">
        <v>10.88</v>
      </c>
      <c r="S797" s="2">
        <v>2.37</v>
      </c>
      <c r="T797" s="2">
        <v>3.38</v>
      </c>
      <c r="U797" s="2">
        <v>8.52</v>
      </c>
      <c r="V797" s="2">
        <v>12.86</v>
      </c>
      <c r="W797" s="2">
        <v>2551.2199999999998</v>
      </c>
      <c r="X797" s="2" t="s">
        <v>2956</v>
      </c>
      <c r="Y797" s="2" t="s">
        <v>2957</v>
      </c>
      <c r="Z797" s="2">
        <v>0.3</v>
      </c>
      <c r="AA797" s="2" t="s">
        <v>45</v>
      </c>
      <c r="AB797" s="2">
        <v>331.8</v>
      </c>
    </row>
    <row r="798" spans="1:28" hidden="1" x14ac:dyDescent="0.3">
      <c r="A798" s="4">
        <v>46244</v>
      </c>
      <c r="B798" s="8" t="s">
        <v>2974</v>
      </c>
      <c r="C798" s="8" t="s">
        <v>36</v>
      </c>
      <c r="D798" s="8" t="s">
        <v>52</v>
      </c>
      <c r="E798" s="8" t="s">
        <v>47</v>
      </c>
      <c r="F798" s="13"/>
      <c r="G798" s="59"/>
      <c r="H798" s="6">
        <f>15000/7</f>
        <v>2142.8571428571427</v>
      </c>
      <c r="I798" s="6">
        <f t="shared" si="56"/>
        <v>144.85049833887044</v>
      </c>
      <c r="J798" s="2">
        <v>10.73</v>
      </c>
      <c r="K798" s="2">
        <v>9.0299999999999994</v>
      </c>
      <c r="L798" s="2">
        <v>1.7</v>
      </c>
      <c r="M798" s="2">
        <v>15.85</v>
      </c>
      <c r="N798" s="2" t="s">
        <v>2981</v>
      </c>
      <c r="O798" s="56">
        <v>1308</v>
      </c>
      <c r="P798" s="2">
        <v>1.65</v>
      </c>
      <c r="Q798" s="2">
        <v>6.79</v>
      </c>
      <c r="R798" s="2">
        <v>192.58</v>
      </c>
      <c r="S798" s="2">
        <v>6.15</v>
      </c>
      <c r="T798" s="2">
        <v>3.62</v>
      </c>
      <c r="U798" s="2">
        <v>186.43</v>
      </c>
      <c r="V798" s="2">
        <v>20.65</v>
      </c>
      <c r="W798" s="2">
        <v>1142.1500000000001</v>
      </c>
      <c r="X798" s="2" t="s">
        <v>2982</v>
      </c>
      <c r="Y798" s="2" t="s">
        <v>2983</v>
      </c>
      <c r="Z798" s="2">
        <v>0.5</v>
      </c>
      <c r="AA798" s="2" t="s">
        <v>548</v>
      </c>
      <c r="AB798" s="2">
        <v>119.8</v>
      </c>
    </row>
    <row r="799" spans="1:28" hidden="1" x14ac:dyDescent="0.3">
      <c r="A799" s="4">
        <v>46244</v>
      </c>
      <c r="B799" s="8" t="s">
        <v>2974</v>
      </c>
      <c r="C799" s="8" t="s">
        <v>36</v>
      </c>
      <c r="D799" s="7" t="s">
        <v>46</v>
      </c>
      <c r="E799" s="8" t="s">
        <v>47</v>
      </c>
      <c r="F799" s="13"/>
      <c r="G799" s="59"/>
      <c r="H799" s="6">
        <f>15000/7</f>
        <v>2142.8571428571427</v>
      </c>
      <c r="I799" s="6">
        <f t="shared" si="56"/>
        <v>337.05953827460507</v>
      </c>
      <c r="J799" s="2">
        <v>8.7799999999999994</v>
      </c>
      <c r="K799" s="2">
        <v>8.23</v>
      </c>
      <c r="L799" s="2">
        <v>0.55000000000000004</v>
      </c>
      <c r="M799" s="2">
        <v>6.26</v>
      </c>
      <c r="N799" s="2" t="s">
        <v>2984</v>
      </c>
      <c r="O799" s="56">
        <v>2774</v>
      </c>
      <c r="P799" s="2">
        <v>2.94</v>
      </c>
      <c r="Q799" s="2">
        <v>10.74</v>
      </c>
      <c r="R799" s="2">
        <v>258.35000000000002</v>
      </c>
      <c r="S799" s="2">
        <v>3.31</v>
      </c>
      <c r="T799" s="2">
        <v>6.02</v>
      </c>
      <c r="U799" s="2">
        <v>255.04</v>
      </c>
      <c r="V799" s="2">
        <v>30.98</v>
      </c>
      <c r="W799" s="2">
        <v>8113.11</v>
      </c>
      <c r="X799" s="2" t="s">
        <v>2985</v>
      </c>
      <c r="Y799" s="2" t="s">
        <v>2986</v>
      </c>
      <c r="Z799" s="2">
        <v>0.5</v>
      </c>
      <c r="AA799" s="2" t="s">
        <v>548</v>
      </c>
      <c r="AB799" s="2">
        <v>255.1</v>
      </c>
    </row>
    <row r="800" spans="1:28" x14ac:dyDescent="0.3">
      <c r="A800" s="4">
        <v>46244</v>
      </c>
      <c r="B800" s="8" t="s">
        <v>2974</v>
      </c>
      <c r="C800" s="8" t="s">
        <v>36</v>
      </c>
      <c r="D800" s="8" t="s">
        <v>48</v>
      </c>
      <c r="E800" s="7" t="s">
        <v>38</v>
      </c>
      <c r="F800" s="13">
        <v>6365</v>
      </c>
      <c r="G800" s="59"/>
      <c r="H800" s="6">
        <f>24000/6</f>
        <v>4000</v>
      </c>
      <c r="I800" s="6">
        <f t="shared" si="56"/>
        <v>601.03871576959398</v>
      </c>
      <c r="J800" s="2">
        <v>11.74</v>
      </c>
      <c r="K800" s="2">
        <v>10.59</v>
      </c>
      <c r="L800" s="2">
        <v>1.1499999999999999</v>
      </c>
      <c r="M800" s="2">
        <v>9.8000000000000007</v>
      </c>
      <c r="N800" s="2" t="s">
        <v>2388</v>
      </c>
      <c r="O800" s="56">
        <v>6365</v>
      </c>
      <c r="P800" s="2">
        <v>5.47</v>
      </c>
      <c r="Q800" s="2">
        <v>15.53</v>
      </c>
      <c r="R800" s="2">
        <v>409.77</v>
      </c>
      <c r="S800" s="2">
        <v>7.57</v>
      </c>
      <c r="T800" s="2">
        <v>6.58</v>
      </c>
      <c r="U800" s="2">
        <v>402.2</v>
      </c>
      <c r="V800" s="2">
        <v>37.99</v>
      </c>
      <c r="W800" s="2">
        <v>6728.83</v>
      </c>
      <c r="X800" s="2" t="s">
        <v>2987</v>
      </c>
      <c r="Y800" s="2" t="s">
        <v>2988</v>
      </c>
      <c r="Z800" s="2">
        <v>0.1</v>
      </c>
      <c r="AA800" s="2" t="s">
        <v>548</v>
      </c>
      <c r="AB800" s="2">
        <v>49.4</v>
      </c>
    </row>
    <row r="801" spans="1:28" hidden="1" x14ac:dyDescent="0.3">
      <c r="A801" s="4">
        <v>46244</v>
      </c>
      <c r="B801" s="8" t="s">
        <v>2974</v>
      </c>
      <c r="C801" s="8" t="s">
        <v>36</v>
      </c>
      <c r="D801" s="8" t="s">
        <v>49</v>
      </c>
      <c r="E801" s="8" t="s">
        <v>47</v>
      </c>
      <c r="F801" s="13"/>
      <c r="G801" s="59"/>
      <c r="H801" s="6">
        <f>15000/7</f>
        <v>2142.8571428571427</v>
      </c>
      <c r="I801" s="6">
        <f t="shared" si="56"/>
        <v>359.55882352941171</v>
      </c>
      <c r="J801" s="2">
        <v>1.96</v>
      </c>
      <c r="K801" s="2">
        <v>1.36</v>
      </c>
      <c r="L801" s="2">
        <v>0.6</v>
      </c>
      <c r="M801" s="2">
        <v>30.64</v>
      </c>
      <c r="N801" s="2" t="s">
        <v>2989</v>
      </c>
      <c r="O801" s="56">
        <v>489</v>
      </c>
      <c r="P801" s="2">
        <v>3.15</v>
      </c>
      <c r="Q801" s="2">
        <v>8.99</v>
      </c>
      <c r="R801" s="2">
        <v>54.42</v>
      </c>
      <c r="S801" s="2">
        <v>3.79</v>
      </c>
      <c r="T801" s="2">
        <v>6.31</v>
      </c>
      <c r="U801" s="2">
        <v>50.63</v>
      </c>
      <c r="V801" s="2">
        <v>37.270000000000003</v>
      </c>
      <c r="W801" s="2">
        <v>2068.52</v>
      </c>
      <c r="X801" s="2" t="s">
        <v>2990</v>
      </c>
      <c r="Y801" s="2" t="s">
        <v>2991</v>
      </c>
      <c r="Z801" s="2" t="s">
        <v>548</v>
      </c>
      <c r="AA801" s="2" t="s">
        <v>548</v>
      </c>
      <c r="AB801" s="2">
        <v>5.6</v>
      </c>
    </row>
    <row r="802" spans="1:28" hidden="1" x14ac:dyDescent="0.3">
      <c r="A802" s="4">
        <v>46245</v>
      </c>
      <c r="B802" s="8" t="s">
        <v>2974</v>
      </c>
      <c r="C802" s="8" t="s">
        <v>36</v>
      </c>
      <c r="D802" s="8" t="s">
        <v>39</v>
      </c>
      <c r="E802" s="8" t="s">
        <v>47</v>
      </c>
      <c r="F802" s="13"/>
      <c r="G802" s="59"/>
      <c r="H802" s="6">
        <f>15000/5</f>
        <v>3000</v>
      </c>
      <c r="I802" s="6">
        <f t="shared" si="56"/>
        <v>247.074122236671</v>
      </c>
      <c r="J802" s="2">
        <v>8.24</v>
      </c>
      <c r="K802" s="2">
        <v>7.69</v>
      </c>
      <c r="L802" s="2">
        <v>0.55000000000000004</v>
      </c>
      <c r="M802" s="2">
        <v>6.68</v>
      </c>
      <c r="N802" s="2" t="s">
        <v>1975</v>
      </c>
      <c r="O802" s="56">
        <v>1900</v>
      </c>
      <c r="P802" s="2">
        <v>1.59</v>
      </c>
      <c r="Q802" s="2">
        <v>11.53</v>
      </c>
      <c r="R802" s="2">
        <v>151.41999999999999</v>
      </c>
      <c r="S802" s="2">
        <v>2.37</v>
      </c>
      <c r="T802" s="2">
        <v>4.3</v>
      </c>
      <c r="U802" s="2">
        <v>149.05000000000001</v>
      </c>
      <c r="V802" s="2">
        <v>19.39</v>
      </c>
      <c r="W802" s="2">
        <v>9313.74</v>
      </c>
      <c r="X802" s="2" t="s">
        <v>2992</v>
      </c>
      <c r="Y802" s="2" t="s">
        <v>2993</v>
      </c>
      <c r="Z802" s="2" t="s">
        <v>548</v>
      </c>
      <c r="AA802" s="2" t="s">
        <v>548</v>
      </c>
      <c r="AB802" s="2">
        <v>291.8</v>
      </c>
    </row>
    <row r="803" spans="1:28" hidden="1" x14ac:dyDescent="0.3">
      <c r="A803" s="4">
        <v>46245</v>
      </c>
      <c r="B803" s="8" t="s">
        <v>2974</v>
      </c>
      <c r="C803" s="8" t="s">
        <v>36</v>
      </c>
      <c r="D803" s="8" t="s">
        <v>43</v>
      </c>
      <c r="E803" s="8" t="s">
        <v>2994</v>
      </c>
      <c r="F803" s="13"/>
      <c r="G803" s="59"/>
      <c r="H803" s="6"/>
      <c r="I803" s="6">
        <f t="shared" si="56"/>
        <v>0</v>
      </c>
      <c r="J803" s="2" t="s">
        <v>45</v>
      </c>
      <c r="K803" s="2" t="s">
        <v>45</v>
      </c>
      <c r="L803" s="2" t="s">
        <v>45</v>
      </c>
      <c r="M803" s="2" t="s">
        <v>45</v>
      </c>
      <c r="N803" s="2" t="s">
        <v>45</v>
      </c>
      <c r="O803" s="56">
        <v>450</v>
      </c>
      <c r="P803" s="2" t="s">
        <v>45</v>
      </c>
      <c r="Q803" s="2" t="s">
        <v>45</v>
      </c>
      <c r="R803" s="2" t="s">
        <v>45</v>
      </c>
      <c r="S803" s="2" t="s">
        <v>45</v>
      </c>
      <c r="T803" s="2" t="s">
        <v>45</v>
      </c>
      <c r="U803" s="2" t="s">
        <v>45</v>
      </c>
      <c r="V803" s="2" t="s">
        <v>45</v>
      </c>
      <c r="W803" s="2" t="s">
        <v>45</v>
      </c>
      <c r="X803" s="2" t="s">
        <v>45</v>
      </c>
      <c r="Y803" s="2" t="s">
        <v>45</v>
      </c>
      <c r="Z803" s="2" t="s">
        <v>45</v>
      </c>
      <c r="AA803" s="2" t="s">
        <v>45</v>
      </c>
      <c r="AB803" s="2" t="s">
        <v>45</v>
      </c>
    </row>
    <row r="804" spans="1:28" hidden="1" x14ac:dyDescent="0.3">
      <c r="A804" s="4">
        <v>46245</v>
      </c>
      <c r="B804" s="8" t="s">
        <v>2974</v>
      </c>
      <c r="C804" s="8" t="s">
        <v>36</v>
      </c>
      <c r="D804" s="8" t="s">
        <v>67</v>
      </c>
      <c r="E804" s="8" t="s">
        <v>61</v>
      </c>
      <c r="F804" s="13"/>
      <c r="G804" s="59"/>
      <c r="H804" s="6"/>
      <c r="I804" s="6">
        <f t="shared" si="56"/>
        <v>307.66045548654245</v>
      </c>
      <c r="J804" s="2">
        <v>13.16</v>
      </c>
      <c r="K804" s="2">
        <v>9.66</v>
      </c>
      <c r="L804" s="2">
        <v>3.5</v>
      </c>
      <c r="M804" s="2">
        <v>26.59</v>
      </c>
      <c r="N804" s="2" t="s">
        <v>2995</v>
      </c>
      <c r="O804" s="56">
        <f>3872-O805</f>
        <v>2972</v>
      </c>
      <c r="P804" s="2">
        <v>2.42</v>
      </c>
      <c r="Q804" s="2">
        <v>18.18</v>
      </c>
      <c r="R804" s="2">
        <v>212.93</v>
      </c>
      <c r="S804" s="2">
        <v>11.36</v>
      </c>
      <c r="T804" s="2">
        <v>3.24</v>
      </c>
      <c r="U804" s="2">
        <v>201.57</v>
      </c>
      <c r="V804" s="2">
        <v>20.86</v>
      </c>
      <c r="W804" s="2">
        <v>707.22</v>
      </c>
      <c r="X804" s="2" t="s">
        <v>2996</v>
      </c>
      <c r="Y804" s="2" t="s">
        <v>2997</v>
      </c>
      <c r="Z804" s="2">
        <v>0.6</v>
      </c>
      <c r="AA804" s="2" t="s">
        <v>548</v>
      </c>
      <c r="AB804" s="2">
        <v>68.2</v>
      </c>
    </row>
    <row r="805" spans="1:28" hidden="1" x14ac:dyDescent="0.3">
      <c r="A805" s="4">
        <v>46245</v>
      </c>
      <c r="B805" s="8" t="s">
        <v>2974</v>
      </c>
      <c r="C805" s="8" t="s">
        <v>36</v>
      </c>
      <c r="D805" s="8" t="s">
        <v>67</v>
      </c>
      <c r="E805" s="8" t="s">
        <v>47</v>
      </c>
      <c r="F805" s="13"/>
      <c r="G805" s="59"/>
      <c r="H805" s="6">
        <f>15000/5</f>
        <v>3000</v>
      </c>
      <c r="I805" s="6"/>
      <c r="J805" s="2"/>
      <c r="K805" s="2"/>
      <c r="L805" s="2"/>
      <c r="M805" s="2"/>
      <c r="N805" s="2"/>
      <c r="O805" s="56">
        <f>36*25</f>
        <v>900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idden="1" x14ac:dyDescent="0.3">
      <c r="A806" s="4">
        <v>46245</v>
      </c>
      <c r="B806" s="8" t="s">
        <v>2974</v>
      </c>
      <c r="C806" s="8" t="s">
        <v>36</v>
      </c>
      <c r="D806" s="8" t="s">
        <v>50</v>
      </c>
      <c r="E806" s="8" t="s">
        <v>61</v>
      </c>
      <c r="F806" s="13"/>
      <c r="G806" s="59"/>
      <c r="H806" s="6"/>
      <c r="I806" s="6">
        <f>IFERROR(O806/K806,)</f>
        <v>372.95285359801488</v>
      </c>
      <c r="J806" s="2">
        <v>5.58</v>
      </c>
      <c r="K806" s="2">
        <v>4.03</v>
      </c>
      <c r="L806" s="2">
        <v>1.55</v>
      </c>
      <c r="M806" s="2">
        <v>27.76</v>
      </c>
      <c r="N806" s="2" t="s">
        <v>2998</v>
      </c>
      <c r="O806" s="56">
        <v>1503</v>
      </c>
      <c r="P806" s="2">
        <v>2.14</v>
      </c>
      <c r="Q806" s="2">
        <v>16.12</v>
      </c>
      <c r="R806" s="2">
        <v>93.22</v>
      </c>
      <c r="S806" s="2">
        <v>6.15</v>
      </c>
      <c r="T806" s="2">
        <v>3.97</v>
      </c>
      <c r="U806" s="2">
        <v>87.06</v>
      </c>
      <c r="V806" s="2">
        <v>21.59</v>
      </c>
      <c r="W806" s="2">
        <v>2556.8000000000002</v>
      </c>
      <c r="X806" s="2" t="s">
        <v>2999</v>
      </c>
      <c r="Y806" s="2" t="s">
        <v>3000</v>
      </c>
      <c r="Z806" s="2">
        <v>1.5</v>
      </c>
      <c r="AA806" s="2" t="s">
        <v>548</v>
      </c>
      <c r="AB806" s="2">
        <v>333.3</v>
      </c>
    </row>
    <row r="807" spans="1:28" hidden="1" x14ac:dyDescent="0.3">
      <c r="A807" s="4">
        <v>46245</v>
      </c>
      <c r="B807" s="8" t="s">
        <v>2974</v>
      </c>
      <c r="C807" s="8" t="s">
        <v>36</v>
      </c>
      <c r="D807" s="8" t="s">
        <v>52</v>
      </c>
      <c r="E807" s="8" t="s">
        <v>47</v>
      </c>
      <c r="F807" s="13"/>
      <c r="G807" s="59"/>
      <c r="H807" s="6">
        <f>15000/5</f>
        <v>3000</v>
      </c>
      <c r="I807" s="6">
        <f>IFERROR(O807/K807,)</f>
        <v>108.52618757612666</v>
      </c>
      <c r="J807" s="2">
        <v>9.4600000000000009</v>
      </c>
      <c r="K807" s="2">
        <v>8.2100000000000009</v>
      </c>
      <c r="L807" s="2">
        <v>1.25</v>
      </c>
      <c r="M807" s="2">
        <v>13.22</v>
      </c>
      <c r="N807" s="2" t="s">
        <v>3001</v>
      </c>
      <c r="O807" s="56">
        <f>1491-O808</f>
        <v>891</v>
      </c>
      <c r="P807" s="2">
        <v>1.78</v>
      </c>
      <c r="Q807" s="2">
        <v>10.4</v>
      </c>
      <c r="R807" s="2">
        <v>143.37</v>
      </c>
      <c r="S807" s="2">
        <v>5.2</v>
      </c>
      <c r="T807" s="2">
        <v>4.16</v>
      </c>
      <c r="U807" s="2">
        <v>138.16999999999999</v>
      </c>
      <c r="V807" s="2">
        <v>16.829999999999998</v>
      </c>
      <c r="W807" s="2">
        <v>1151.94</v>
      </c>
      <c r="X807" s="2" t="s">
        <v>3002</v>
      </c>
      <c r="Y807" s="2" t="s">
        <v>3003</v>
      </c>
      <c r="Z807" s="2">
        <v>0.6</v>
      </c>
      <c r="AA807" s="2" t="s">
        <v>548</v>
      </c>
      <c r="AB807" s="2">
        <v>120.4</v>
      </c>
    </row>
    <row r="808" spans="1:28" hidden="1" x14ac:dyDescent="0.3">
      <c r="A808" s="4">
        <v>46245</v>
      </c>
      <c r="B808" s="8" t="s">
        <v>2974</v>
      </c>
      <c r="C808" s="8" t="s">
        <v>36</v>
      </c>
      <c r="D808" s="8" t="s">
        <v>52</v>
      </c>
      <c r="E808" s="8" t="s">
        <v>61</v>
      </c>
      <c r="F808" s="13"/>
      <c r="G808" s="59"/>
      <c r="H808" s="6"/>
      <c r="I808" s="6"/>
      <c r="J808" s="2"/>
      <c r="K808" s="2"/>
      <c r="L808" s="2"/>
      <c r="M808" s="2"/>
      <c r="N808" s="2"/>
      <c r="O808" s="56">
        <f>24*25</f>
        <v>600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idden="1" x14ac:dyDescent="0.3">
      <c r="A809" s="4">
        <v>46245</v>
      </c>
      <c r="B809" s="8" t="s">
        <v>2974</v>
      </c>
      <c r="C809" s="8" t="s">
        <v>36</v>
      </c>
      <c r="D809" s="7" t="s">
        <v>46</v>
      </c>
      <c r="E809" s="8" t="s">
        <v>47</v>
      </c>
      <c r="F809" s="13"/>
      <c r="G809" s="59"/>
      <c r="H809" s="6">
        <f>15000/5</f>
        <v>3000</v>
      </c>
      <c r="I809" s="6">
        <f t="shared" ref="I809:I814" si="57">IFERROR(O809/K809,)</f>
        <v>285.69206842923796</v>
      </c>
      <c r="J809" s="2">
        <v>7.03</v>
      </c>
      <c r="K809" s="2">
        <v>6.43</v>
      </c>
      <c r="L809" s="2">
        <v>0.6</v>
      </c>
      <c r="M809" s="2">
        <v>8.5299999999999994</v>
      </c>
      <c r="N809" s="2" t="s">
        <v>3004</v>
      </c>
      <c r="O809" s="56">
        <v>1837</v>
      </c>
      <c r="P809" s="2">
        <v>2.77</v>
      </c>
      <c r="Q809" s="2">
        <v>8.9</v>
      </c>
      <c r="R809" s="2">
        <v>206.3</v>
      </c>
      <c r="S809" s="2">
        <v>2.84</v>
      </c>
      <c r="T809" s="2">
        <v>4.7300000000000004</v>
      </c>
      <c r="U809" s="2">
        <v>203.47</v>
      </c>
      <c r="V809" s="2">
        <v>31.64</v>
      </c>
      <c r="W809" s="2">
        <v>8120.14</v>
      </c>
      <c r="X809" s="2" t="s">
        <v>3005</v>
      </c>
      <c r="Y809" s="2" t="s">
        <v>3006</v>
      </c>
      <c r="Z809" s="2">
        <v>0.4</v>
      </c>
      <c r="AA809" s="2" t="s">
        <v>548</v>
      </c>
      <c r="AB809" s="2">
        <v>255.5</v>
      </c>
    </row>
    <row r="810" spans="1:28" x14ac:dyDescent="0.3">
      <c r="A810" s="4">
        <v>46245</v>
      </c>
      <c r="B810" s="8" t="s">
        <v>2974</v>
      </c>
      <c r="C810" s="8" t="s">
        <v>36</v>
      </c>
      <c r="D810" s="8" t="s">
        <v>48</v>
      </c>
      <c r="E810" s="7" t="s">
        <v>38</v>
      </c>
      <c r="F810" s="13">
        <v>4460</v>
      </c>
      <c r="G810" s="59"/>
      <c r="H810" s="6">
        <f>24000/6</f>
        <v>4000</v>
      </c>
      <c r="I810" s="6">
        <f t="shared" si="57"/>
        <v>803.60360360360357</v>
      </c>
      <c r="J810" s="2">
        <v>6.1</v>
      </c>
      <c r="K810" s="2">
        <v>5.55</v>
      </c>
      <c r="L810" s="2">
        <v>0.55000000000000004</v>
      </c>
      <c r="M810" s="2">
        <v>9.01</v>
      </c>
      <c r="N810" s="2" t="s">
        <v>2955</v>
      </c>
      <c r="O810" s="56">
        <v>4460</v>
      </c>
      <c r="P810" s="2">
        <v>5.57</v>
      </c>
      <c r="Q810" s="2">
        <v>20.399999999999999</v>
      </c>
      <c r="R810" s="2">
        <v>218.61</v>
      </c>
      <c r="S810" s="2">
        <v>3.31</v>
      </c>
      <c r="T810" s="2">
        <v>6.02</v>
      </c>
      <c r="U810" s="2">
        <v>215.3</v>
      </c>
      <c r="V810" s="2">
        <v>38.76</v>
      </c>
      <c r="W810" s="2">
        <v>6734.94</v>
      </c>
      <c r="X810" s="2" t="s">
        <v>3007</v>
      </c>
      <c r="Y810" s="2" t="s">
        <v>3008</v>
      </c>
      <c r="Z810" s="2" t="s">
        <v>548</v>
      </c>
      <c r="AA810" s="2" t="s">
        <v>548</v>
      </c>
      <c r="AB810" s="2">
        <v>49.4</v>
      </c>
    </row>
    <row r="811" spans="1:28" hidden="1" x14ac:dyDescent="0.3">
      <c r="A811" s="4">
        <v>46245</v>
      </c>
      <c r="B811" s="8" t="s">
        <v>2974</v>
      </c>
      <c r="C811" s="8" t="s">
        <v>36</v>
      </c>
      <c r="D811" s="8" t="s">
        <v>49</v>
      </c>
      <c r="E811" s="8" t="s">
        <v>47</v>
      </c>
      <c r="F811" s="13"/>
      <c r="G811" s="59"/>
      <c r="H811" s="6">
        <f>15000/5</f>
        <v>3000</v>
      </c>
      <c r="I811" s="6">
        <f t="shared" si="57"/>
        <v>74.683544303797461</v>
      </c>
      <c r="J811" s="2">
        <v>1.0900000000000001</v>
      </c>
      <c r="K811" s="2">
        <v>0.79</v>
      </c>
      <c r="L811" s="2">
        <v>0.3</v>
      </c>
      <c r="M811" s="2">
        <v>27.54</v>
      </c>
      <c r="N811" s="2" t="s">
        <v>3009</v>
      </c>
      <c r="O811" s="56">
        <v>59</v>
      </c>
      <c r="P811" s="2">
        <v>2.36</v>
      </c>
      <c r="Q811" s="2">
        <v>2.97</v>
      </c>
      <c r="R811" s="2">
        <v>19.87</v>
      </c>
      <c r="S811" s="2">
        <v>0.95</v>
      </c>
      <c r="T811" s="2">
        <v>3.15</v>
      </c>
      <c r="U811" s="2">
        <v>18.93</v>
      </c>
      <c r="V811" s="2">
        <v>23.98</v>
      </c>
      <c r="W811" s="2">
        <v>2069.61</v>
      </c>
      <c r="X811" s="2" t="s">
        <v>3010</v>
      </c>
      <c r="Y811" s="2" t="s">
        <v>3011</v>
      </c>
      <c r="Z811" s="2" t="s">
        <v>548</v>
      </c>
      <c r="AA811" s="2" t="s">
        <v>548</v>
      </c>
      <c r="AB811" s="2">
        <v>5.6</v>
      </c>
    </row>
    <row r="812" spans="1:28" hidden="1" x14ac:dyDescent="0.3">
      <c r="A812" s="4">
        <v>46246</v>
      </c>
      <c r="B812" s="8" t="s">
        <v>2974</v>
      </c>
      <c r="C812" s="8" t="s">
        <v>36</v>
      </c>
      <c r="D812" s="8" t="s">
        <v>39</v>
      </c>
      <c r="E812" s="8" t="s">
        <v>47</v>
      </c>
      <c r="F812" s="13"/>
      <c r="G812" s="59"/>
      <c r="H812" s="6">
        <f>15000/6</f>
        <v>2500</v>
      </c>
      <c r="I812" s="6">
        <f t="shared" si="57"/>
        <v>234.87773487773489</v>
      </c>
      <c r="J812" s="2">
        <v>8.57</v>
      </c>
      <c r="K812" s="2">
        <v>7.77</v>
      </c>
      <c r="L812" s="2">
        <v>0.8</v>
      </c>
      <c r="M812" s="2">
        <v>9.33</v>
      </c>
      <c r="N812" s="2" t="s">
        <v>3012</v>
      </c>
      <c r="O812" s="56">
        <v>1825</v>
      </c>
      <c r="P812" s="2">
        <v>1.46</v>
      </c>
      <c r="Q812" s="2">
        <v>8.6999999999999993</v>
      </c>
      <c r="R812" s="2">
        <v>148.58000000000001</v>
      </c>
      <c r="S812" s="2">
        <v>3.31</v>
      </c>
      <c r="T812" s="2">
        <v>4.1399999999999997</v>
      </c>
      <c r="U812" s="2">
        <v>145.27000000000001</v>
      </c>
      <c r="V812" s="2">
        <v>18.690000000000001</v>
      </c>
      <c r="W812" s="2">
        <v>9322.31</v>
      </c>
      <c r="X812" s="2" t="s">
        <v>3013</v>
      </c>
      <c r="Y812" s="2" t="s">
        <v>3014</v>
      </c>
      <c r="Z812" s="2">
        <v>0.4</v>
      </c>
      <c r="AA812" s="2" t="s">
        <v>548</v>
      </c>
      <c r="AB812" s="2">
        <v>292.2</v>
      </c>
    </row>
    <row r="813" spans="1:28" hidden="1" x14ac:dyDescent="0.3">
      <c r="A813" s="4">
        <v>46246</v>
      </c>
      <c r="B813" s="8" t="s">
        <v>2974</v>
      </c>
      <c r="C813" s="8" t="s">
        <v>36</v>
      </c>
      <c r="D813" s="8" t="s">
        <v>43</v>
      </c>
      <c r="E813" s="8" t="s">
        <v>2994</v>
      </c>
      <c r="F813" s="13"/>
      <c r="G813" s="59"/>
      <c r="H813" s="6"/>
      <c r="I813" s="6">
        <f t="shared" si="57"/>
        <v>0</v>
      </c>
      <c r="J813" s="2">
        <v>7.96</v>
      </c>
      <c r="K813" s="2">
        <v>6.76</v>
      </c>
      <c r="L813" s="2">
        <v>1.2</v>
      </c>
      <c r="M813" s="2">
        <v>15.07</v>
      </c>
      <c r="N813" s="2" t="s">
        <v>45</v>
      </c>
      <c r="O813" s="56" t="s">
        <v>42</v>
      </c>
      <c r="P813" s="2" t="s">
        <v>45</v>
      </c>
      <c r="Q813" s="2" t="s">
        <v>45</v>
      </c>
      <c r="R813" s="2">
        <v>151.41999999999999</v>
      </c>
      <c r="S813" s="2">
        <v>5.68</v>
      </c>
      <c r="T813" s="2">
        <v>4.7300000000000004</v>
      </c>
      <c r="U813" s="2">
        <v>145.74</v>
      </c>
      <c r="V813" s="2">
        <v>21.55</v>
      </c>
      <c r="W813" s="2">
        <v>8916.3799999999992</v>
      </c>
      <c r="X813" s="2" t="s">
        <v>45</v>
      </c>
      <c r="Y813" s="2" t="s">
        <v>45</v>
      </c>
      <c r="Z813" s="2">
        <v>0.9</v>
      </c>
      <c r="AA813" s="2" t="s">
        <v>45</v>
      </c>
      <c r="AB813" s="2">
        <v>265.2</v>
      </c>
    </row>
    <row r="814" spans="1:28" hidden="1" x14ac:dyDescent="0.3">
      <c r="A814" s="4">
        <v>46246</v>
      </c>
      <c r="B814" s="8" t="s">
        <v>2974</v>
      </c>
      <c r="C814" s="8" t="s">
        <v>36</v>
      </c>
      <c r="D814" s="8" t="s">
        <v>67</v>
      </c>
      <c r="E814" s="8" t="s">
        <v>47</v>
      </c>
      <c r="F814" s="13"/>
      <c r="G814" s="59"/>
      <c r="H814" s="6">
        <f>15000/6</f>
        <v>2500</v>
      </c>
      <c r="I814" s="6">
        <f t="shared" si="57"/>
        <v>290.70487993803255</v>
      </c>
      <c r="J814" s="2">
        <v>15.56</v>
      </c>
      <c r="K814" s="2">
        <v>12.91</v>
      </c>
      <c r="L814" s="2">
        <v>2.65</v>
      </c>
      <c r="M814" s="2">
        <v>17.03</v>
      </c>
      <c r="N814" s="2" t="s">
        <v>3015</v>
      </c>
      <c r="O814" s="56">
        <f>4928-1175</f>
        <v>3753</v>
      </c>
      <c r="P814" s="2">
        <v>2.31</v>
      </c>
      <c r="Q814" s="2">
        <v>17.77</v>
      </c>
      <c r="R814" s="2">
        <v>277.27999999999997</v>
      </c>
      <c r="S814" s="2">
        <v>7.57</v>
      </c>
      <c r="T814" s="2">
        <v>2.86</v>
      </c>
      <c r="U814" s="2">
        <v>269.70999999999998</v>
      </c>
      <c r="V814" s="2">
        <v>20.88</v>
      </c>
      <c r="W814" s="2">
        <v>722.78</v>
      </c>
      <c r="X814" s="2" t="s">
        <v>3016</v>
      </c>
      <c r="Y814" s="2" t="s">
        <v>3017</v>
      </c>
      <c r="Z814" s="2">
        <v>1.2</v>
      </c>
      <c r="AA814" s="2" t="s">
        <v>548</v>
      </c>
      <c r="AB814" s="2">
        <v>69.400000000000006</v>
      </c>
    </row>
    <row r="815" spans="1:28" hidden="1" x14ac:dyDescent="0.3">
      <c r="A815" s="4">
        <v>46246</v>
      </c>
      <c r="B815" s="8" t="s">
        <v>2974</v>
      </c>
      <c r="C815" s="8" t="s">
        <v>36</v>
      </c>
      <c r="D815" s="8" t="s">
        <v>67</v>
      </c>
      <c r="E815" s="8" t="s">
        <v>61</v>
      </c>
      <c r="F815" s="13"/>
      <c r="G815" s="59"/>
      <c r="H815" s="6"/>
      <c r="I815" s="6"/>
      <c r="J815" s="2"/>
      <c r="K815" s="2"/>
      <c r="L815" s="2"/>
      <c r="M815" s="2"/>
      <c r="N815" s="2"/>
      <c r="O815" s="56">
        <f>47*25</f>
        <v>1175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idden="1" x14ac:dyDescent="0.3">
      <c r="A816" s="4">
        <v>46246</v>
      </c>
      <c r="B816" s="8" t="s">
        <v>2974</v>
      </c>
      <c r="C816" s="8" t="s">
        <v>36</v>
      </c>
      <c r="D816" s="8" t="s">
        <v>50</v>
      </c>
      <c r="E816" s="8" t="s">
        <v>47</v>
      </c>
      <c r="F816" s="13"/>
      <c r="G816" s="59"/>
      <c r="H816" s="6">
        <f>15000/6</f>
        <v>2500</v>
      </c>
      <c r="I816" s="6">
        <f t="shared" ref="I816:I823" si="58">IFERROR(O816/K816,)</f>
        <v>143.33895446880271</v>
      </c>
      <c r="J816" s="2">
        <v>7.38</v>
      </c>
      <c r="K816" s="2">
        <v>5.93</v>
      </c>
      <c r="L816" s="2">
        <v>1.45</v>
      </c>
      <c r="M816" s="2">
        <v>19.66</v>
      </c>
      <c r="N816" s="2" t="s">
        <v>3018</v>
      </c>
      <c r="O816" s="56">
        <v>850</v>
      </c>
      <c r="P816" s="2">
        <v>1.65</v>
      </c>
      <c r="Q816" s="2">
        <v>6.75</v>
      </c>
      <c r="R816" s="2">
        <v>125.86</v>
      </c>
      <c r="S816" s="2">
        <v>4.7300000000000004</v>
      </c>
      <c r="T816" s="2">
        <v>3.26</v>
      </c>
      <c r="U816" s="2">
        <v>121.13</v>
      </c>
      <c r="V816" s="2">
        <v>20.440000000000001</v>
      </c>
      <c r="W816" s="2">
        <v>2564.1799999999998</v>
      </c>
      <c r="X816" s="2" t="s">
        <v>3019</v>
      </c>
      <c r="Y816" s="2" t="s">
        <v>3020</v>
      </c>
      <c r="Z816" s="2">
        <v>2.7</v>
      </c>
      <c r="AA816" s="2">
        <v>0.01</v>
      </c>
      <c r="AB816" s="2" t="s">
        <v>3021</v>
      </c>
    </row>
    <row r="817" spans="1:28" hidden="1" x14ac:dyDescent="0.3">
      <c r="A817" s="4">
        <v>46246</v>
      </c>
      <c r="B817" s="8" t="s">
        <v>2974</v>
      </c>
      <c r="C817" s="8" t="s">
        <v>36</v>
      </c>
      <c r="D817" s="8" t="s">
        <v>52</v>
      </c>
      <c r="E817" s="8" t="s">
        <v>47</v>
      </c>
      <c r="F817" s="13"/>
      <c r="G817" s="59"/>
      <c r="H817" s="6">
        <f>15000/6</f>
        <v>2500</v>
      </c>
      <c r="I817" s="6">
        <f t="shared" si="58"/>
        <v>185.42024013722127</v>
      </c>
      <c r="J817" s="2">
        <v>7.23</v>
      </c>
      <c r="K817" s="2">
        <v>5.83</v>
      </c>
      <c r="L817" s="2">
        <v>1.4</v>
      </c>
      <c r="M817" s="2">
        <v>19.350000000000001</v>
      </c>
      <c r="N817" s="2" t="s">
        <v>3022</v>
      </c>
      <c r="O817" s="56">
        <v>1081</v>
      </c>
      <c r="P817" s="2">
        <v>1.59</v>
      </c>
      <c r="Q817" s="2">
        <v>8.7899999999999991</v>
      </c>
      <c r="R817" s="2">
        <v>123.03</v>
      </c>
      <c r="S817" s="2">
        <v>5.2</v>
      </c>
      <c r="T817" s="2">
        <v>3.72</v>
      </c>
      <c r="U817" s="2">
        <v>117.82</v>
      </c>
      <c r="V817" s="2">
        <v>20.190000000000001</v>
      </c>
      <c r="W817" s="2">
        <v>1159.18</v>
      </c>
      <c r="X817" s="2" t="s">
        <v>3023</v>
      </c>
      <c r="Y817" s="2" t="s">
        <v>3024</v>
      </c>
      <c r="Z817" s="2">
        <v>0.7</v>
      </c>
      <c r="AA817" s="2" t="s">
        <v>548</v>
      </c>
      <c r="AB817" s="2">
        <v>121.1</v>
      </c>
    </row>
    <row r="818" spans="1:28" hidden="1" x14ac:dyDescent="0.3">
      <c r="A818" s="4">
        <v>46246</v>
      </c>
      <c r="B818" s="8" t="s">
        <v>2974</v>
      </c>
      <c r="C818" s="8" t="s">
        <v>36</v>
      </c>
      <c r="D818" s="7" t="s">
        <v>46</v>
      </c>
      <c r="E818" s="8" t="s">
        <v>47</v>
      </c>
      <c r="F818" s="13"/>
      <c r="G818" s="59"/>
      <c r="H818" s="6">
        <f>15000/6</f>
        <v>2500</v>
      </c>
      <c r="I818" s="6">
        <f t="shared" si="58"/>
        <v>259.21717171717171</v>
      </c>
      <c r="J818" s="2">
        <v>8.52</v>
      </c>
      <c r="K818" s="2">
        <v>7.92</v>
      </c>
      <c r="L818" s="2">
        <v>0.6</v>
      </c>
      <c r="M818" s="2">
        <v>7.04</v>
      </c>
      <c r="N818" s="2" t="s">
        <v>3025</v>
      </c>
      <c r="O818" s="56">
        <v>2053</v>
      </c>
      <c r="P818" s="2">
        <v>2.77</v>
      </c>
      <c r="Q818" s="2">
        <v>8.3000000000000007</v>
      </c>
      <c r="R818" s="2">
        <v>247.47</v>
      </c>
      <c r="S818" s="2">
        <v>5.2</v>
      </c>
      <c r="T818" s="2">
        <v>8.67</v>
      </c>
      <c r="U818" s="2">
        <v>242.27</v>
      </c>
      <c r="V818" s="2">
        <v>30.58</v>
      </c>
      <c r="W818" s="2">
        <v>8128.67</v>
      </c>
      <c r="X818" s="2" t="s">
        <v>3026</v>
      </c>
      <c r="Y818" s="2" t="s">
        <v>3027</v>
      </c>
      <c r="Z818" s="2">
        <v>0.4</v>
      </c>
      <c r="AA818" s="2" t="s">
        <v>548</v>
      </c>
      <c r="AB818" s="2">
        <v>255.9</v>
      </c>
    </row>
    <row r="819" spans="1:28" x14ac:dyDescent="0.3">
      <c r="A819" s="4">
        <v>46246</v>
      </c>
      <c r="B819" s="8" t="s">
        <v>2974</v>
      </c>
      <c r="C819" s="8" t="s">
        <v>36</v>
      </c>
      <c r="D819" s="8" t="s">
        <v>48</v>
      </c>
      <c r="E819" s="7" t="s">
        <v>38</v>
      </c>
      <c r="F819" s="13">
        <v>3706</v>
      </c>
      <c r="G819" s="59"/>
      <c r="H819" s="6">
        <f>24000/6</f>
        <v>4000</v>
      </c>
      <c r="I819" s="6">
        <f t="shared" si="58"/>
        <v>459.02636916835701</v>
      </c>
      <c r="J819" s="2">
        <v>11.01</v>
      </c>
      <c r="K819" s="2">
        <v>9.86</v>
      </c>
      <c r="L819" s="2">
        <v>1.1499999999999999</v>
      </c>
      <c r="M819" s="2">
        <v>10.45</v>
      </c>
      <c r="N819" s="2" t="s">
        <v>1699</v>
      </c>
      <c r="O819" s="56">
        <v>4526</v>
      </c>
      <c r="P819" s="2">
        <v>4.41</v>
      </c>
      <c r="Q819" s="2">
        <v>11.94</v>
      </c>
      <c r="R819" s="2">
        <v>379.01</v>
      </c>
      <c r="S819" s="2">
        <v>7.1</v>
      </c>
      <c r="T819" s="2">
        <v>6.17</v>
      </c>
      <c r="U819" s="2">
        <v>371.92</v>
      </c>
      <c r="V819" s="2">
        <v>37.72</v>
      </c>
      <c r="W819" s="2">
        <v>6745.94</v>
      </c>
      <c r="X819" s="2" t="s">
        <v>3028</v>
      </c>
      <c r="Y819" s="2" t="s">
        <v>3029</v>
      </c>
      <c r="Z819" s="2">
        <v>0.1</v>
      </c>
      <c r="AA819" s="2" t="s">
        <v>548</v>
      </c>
      <c r="AB819" s="2">
        <v>49.5</v>
      </c>
    </row>
    <row r="820" spans="1:28" hidden="1" x14ac:dyDescent="0.3">
      <c r="A820" s="4">
        <v>46246</v>
      </c>
      <c r="B820" s="8" t="s">
        <v>2974</v>
      </c>
      <c r="C820" s="8" t="s">
        <v>36</v>
      </c>
      <c r="D820" s="8" t="s">
        <v>49</v>
      </c>
      <c r="E820" s="8" t="s">
        <v>47</v>
      </c>
      <c r="F820" s="13"/>
      <c r="G820" s="59"/>
      <c r="H820" s="6">
        <f>15000/6</f>
        <v>2500</v>
      </c>
      <c r="I820" s="6">
        <f t="shared" si="58"/>
        <v>415.22435897435895</v>
      </c>
      <c r="J820" s="2">
        <v>7.74</v>
      </c>
      <c r="K820" s="2">
        <v>6.24</v>
      </c>
      <c r="L820" s="2">
        <v>1.5</v>
      </c>
      <c r="M820" s="2">
        <v>19.39</v>
      </c>
      <c r="N820" s="2" t="s">
        <v>1935</v>
      </c>
      <c r="O820" s="56">
        <v>2591</v>
      </c>
      <c r="P820" s="2">
        <v>2.39</v>
      </c>
      <c r="Q820" s="2">
        <v>9.73</v>
      </c>
      <c r="R820" s="2">
        <v>266.39999999999998</v>
      </c>
      <c r="S820" s="2">
        <v>7.57</v>
      </c>
      <c r="T820" s="2">
        <v>5.05</v>
      </c>
      <c r="U820" s="2">
        <v>258.83</v>
      </c>
      <c r="V820" s="2">
        <v>41.51</v>
      </c>
      <c r="W820" s="2">
        <v>2077.35</v>
      </c>
      <c r="X820" s="2" t="s">
        <v>3030</v>
      </c>
      <c r="Y820" s="2" t="s">
        <v>3031</v>
      </c>
      <c r="Z820" s="2" t="s">
        <v>548</v>
      </c>
      <c r="AA820" s="2" t="s">
        <v>548</v>
      </c>
      <c r="AB820" s="2">
        <v>5.6</v>
      </c>
    </row>
    <row r="821" spans="1:28" hidden="1" x14ac:dyDescent="0.3">
      <c r="A821" s="4">
        <v>46247</v>
      </c>
      <c r="B821" s="8" t="s">
        <v>2974</v>
      </c>
      <c r="C821" s="8" t="s">
        <v>36</v>
      </c>
      <c r="D821" s="8" t="s">
        <v>39</v>
      </c>
      <c r="E821" s="8" t="s">
        <v>47</v>
      </c>
      <c r="F821" s="13"/>
      <c r="G821" s="59"/>
      <c r="H821" s="6">
        <f>15000/6</f>
        <v>2500</v>
      </c>
      <c r="I821" s="6">
        <f t="shared" si="58"/>
        <v>278.53260869565219</v>
      </c>
      <c r="J821" s="2">
        <v>8.36</v>
      </c>
      <c r="K821" s="2">
        <v>7.36</v>
      </c>
      <c r="L821" s="2" t="s">
        <v>1696</v>
      </c>
      <c r="M821" s="2">
        <v>11.96</v>
      </c>
      <c r="N821" s="2" t="s">
        <v>2984</v>
      </c>
      <c r="O821" s="56">
        <v>2050</v>
      </c>
      <c r="P821" s="2">
        <v>1.36</v>
      </c>
      <c r="Q821" s="2">
        <v>9.25</v>
      </c>
      <c r="R821" s="2">
        <v>138.63999999999999</v>
      </c>
      <c r="S821" s="2">
        <v>4.26</v>
      </c>
      <c r="T821" s="2">
        <v>4.26</v>
      </c>
      <c r="U821" s="2">
        <v>134.38</v>
      </c>
      <c r="V821" s="2">
        <v>18.260000000000002</v>
      </c>
      <c r="W821" s="2">
        <v>9330.67</v>
      </c>
      <c r="X821" s="2" t="s">
        <v>3032</v>
      </c>
      <c r="Y821" s="2" t="s">
        <v>3033</v>
      </c>
      <c r="Z821" s="2">
        <v>0.1</v>
      </c>
      <c r="AA821" s="2" t="s">
        <v>548</v>
      </c>
      <c r="AB821" s="2">
        <v>292.3</v>
      </c>
    </row>
    <row r="822" spans="1:28" hidden="1" x14ac:dyDescent="0.3">
      <c r="A822" s="4">
        <v>46247</v>
      </c>
      <c r="B822" s="8" t="s">
        <v>2974</v>
      </c>
      <c r="C822" s="8" t="s">
        <v>36</v>
      </c>
      <c r="D822" s="8" t="s">
        <v>43</v>
      </c>
      <c r="E822" s="8" t="s">
        <v>2994</v>
      </c>
      <c r="F822" s="13"/>
      <c r="G822" s="59"/>
      <c r="H822" s="6"/>
      <c r="I822" s="6">
        <f t="shared" si="58"/>
        <v>0</v>
      </c>
      <c r="J822" s="2">
        <v>7.08</v>
      </c>
      <c r="K822" s="2">
        <v>5.13</v>
      </c>
      <c r="L822" s="2">
        <v>1.95</v>
      </c>
      <c r="M822" s="2">
        <v>27.53</v>
      </c>
      <c r="N822" s="2" t="s">
        <v>45</v>
      </c>
      <c r="O822" s="56" t="s">
        <v>42</v>
      </c>
      <c r="P822" s="2" t="s">
        <v>45</v>
      </c>
      <c r="Q822" s="2" t="s">
        <v>45</v>
      </c>
      <c r="R822" s="2">
        <v>105.52</v>
      </c>
      <c r="S822" s="2">
        <v>8.0399999999999991</v>
      </c>
      <c r="T822" s="2">
        <v>4.13</v>
      </c>
      <c r="U822" s="2">
        <v>97.47</v>
      </c>
      <c r="V822" s="2">
        <v>18.989999999999998</v>
      </c>
      <c r="W822" s="2">
        <v>8923.4699999999993</v>
      </c>
      <c r="X822" s="2" t="s">
        <v>45</v>
      </c>
      <c r="Y822" s="2" t="s">
        <v>45</v>
      </c>
      <c r="Z822" s="2">
        <v>0.1</v>
      </c>
      <c r="AA822" s="2" t="s">
        <v>45</v>
      </c>
      <c r="AB822" s="2">
        <v>265.3</v>
      </c>
    </row>
    <row r="823" spans="1:28" hidden="1" x14ac:dyDescent="0.3">
      <c r="A823" s="4">
        <v>46247</v>
      </c>
      <c r="B823" s="8" t="s">
        <v>2974</v>
      </c>
      <c r="C823" s="8" t="s">
        <v>36</v>
      </c>
      <c r="D823" s="8" t="s">
        <v>67</v>
      </c>
      <c r="E823" s="8" t="s">
        <v>47</v>
      </c>
      <c r="F823" s="13"/>
      <c r="G823" s="59"/>
      <c r="H823" s="6">
        <f>15000/6</f>
        <v>2500</v>
      </c>
      <c r="I823" s="6">
        <f t="shared" si="58"/>
        <v>335.17823639774861</v>
      </c>
      <c r="J823" s="2">
        <v>15.76</v>
      </c>
      <c r="K823" s="2">
        <v>10.66</v>
      </c>
      <c r="L823" s="2">
        <v>5.0999999999999996</v>
      </c>
      <c r="M823" s="2">
        <v>32.36</v>
      </c>
      <c r="N823" s="2" t="s">
        <v>3034</v>
      </c>
      <c r="O823" s="56">
        <f>4048-475</f>
        <v>3573</v>
      </c>
      <c r="P823" s="2">
        <v>2.27</v>
      </c>
      <c r="Q823" s="2">
        <v>17.600000000000001</v>
      </c>
      <c r="R823" s="2">
        <v>229.96</v>
      </c>
      <c r="S823" s="2">
        <v>16.09</v>
      </c>
      <c r="T823" s="2">
        <v>3.15</v>
      </c>
      <c r="U823" s="2">
        <v>213.88</v>
      </c>
      <c r="V823" s="2">
        <v>20.059999999999999</v>
      </c>
      <c r="W823" s="2">
        <v>738.54</v>
      </c>
      <c r="X823" s="2" t="s">
        <v>3035</v>
      </c>
      <c r="Y823" s="2" t="s">
        <v>3036</v>
      </c>
      <c r="Z823" s="2">
        <v>1.6</v>
      </c>
      <c r="AA823" s="2" t="s">
        <v>548</v>
      </c>
      <c r="AB823" s="2" t="s">
        <v>3037</v>
      </c>
    </row>
    <row r="824" spans="1:28" hidden="1" x14ac:dyDescent="0.3">
      <c r="A824" s="4">
        <v>46247</v>
      </c>
      <c r="B824" s="8" t="s">
        <v>2974</v>
      </c>
      <c r="C824" s="8" t="s">
        <v>36</v>
      </c>
      <c r="D824" s="8" t="s">
        <v>67</v>
      </c>
      <c r="E824" s="8" t="s">
        <v>61</v>
      </c>
      <c r="F824" s="13"/>
      <c r="G824" s="59"/>
      <c r="H824" s="6"/>
      <c r="I824" s="6"/>
      <c r="J824" s="2"/>
      <c r="K824" s="2"/>
      <c r="L824" s="2"/>
      <c r="M824" s="2"/>
      <c r="N824" s="2"/>
      <c r="O824" s="56">
        <f>19*25</f>
        <v>475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idden="1" x14ac:dyDescent="0.3">
      <c r="A825" s="4">
        <v>46247</v>
      </c>
      <c r="B825" s="8" t="s">
        <v>2974</v>
      </c>
      <c r="C825" s="8" t="s">
        <v>36</v>
      </c>
      <c r="D825" s="8" t="s">
        <v>50</v>
      </c>
      <c r="E825" s="8" t="s">
        <v>47</v>
      </c>
      <c r="F825" s="13"/>
      <c r="G825" s="59"/>
      <c r="H825" s="6">
        <f>15000/6</f>
        <v>2500</v>
      </c>
      <c r="I825" s="6">
        <f>IFERROR(O825/K825,)</f>
        <v>248.64433811802235</v>
      </c>
      <c r="J825" s="2">
        <v>7.02</v>
      </c>
      <c r="K825" s="2">
        <v>6.27</v>
      </c>
      <c r="L825" s="2">
        <v>0.75</v>
      </c>
      <c r="M825" s="2">
        <v>10.68</v>
      </c>
      <c r="N825" s="2" t="s">
        <v>3038</v>
      </c>
      <c r="O825" s="56">
        <v>1559</v>
      </c>
      <c r="P825" s="2">
        <v>2.2200000000000002</v>
      </c>
      <c r="Q825" s="2">
        <v>12.2</v>
      </c>
      <c r="R825" s="2">
        <v>127.76</v>
      </c>
      <c r="S825" s="2">
        <v>3.31</v>
      </c>
      <c r="T825" s="2">
        <v>4.42</v>
      </c>
      <c r="U825" s="2">
        <v>124.45</v>
      </c>
      <c r="V825" s="2">
        <v>19.850000000000001</v>
      </c>
      <c r="W825" s="2">
        <v>2571.1999999999998</v>
      </c>
      <c r="X825" s="2" t="s">
        <v>3039</v>
      </c>
      <c r="Y825" s="2" t="s">
        <v>3040</v>
      </c>
      <c r="Z825" s="2">
        <v>0.4</v>
      </c>
      <c r="AA825" s="2" t="s">
        <v>548</v>
      </c>
      <c r="AB825" s="2">
        <v>336.4</v>
      </c>
    </row>
    <row r="826" spans="1:28" hidden="1" x14ac:dyDescent="0.3">
      <c r="A826" s="4">
        <v>46247</v>
      </c>
      <c r="B826" s="8" t="s">
        <v>2974</v>
      </c>
      <c r="C826" s="8" t="s">
        <v>36</v>
      </c>
      <c r="D826" s="8" t="s">
        <v>52</v>
      </c>
      <c r="E826" s="8" t="s">
        <v>47</v>
      </c>
      <c r="F826" s="13"/>
      <c r="G826" s="59"/>
      <c r="H826" s="6">
        <f>15000/6</f>
        <v>2500</v>
      </c>
      <c r="I826" s="6">
        <f>IFERROR(O826/K826,)</f>
        <v>242.2110552763819</v>
      </c>
      <c r="J826" s="2">
        <v>8.61</v>
      </c>
      <c r="K826" s="2">
        <v>7.96</v>
      </c>
      <c r="L826" s="2">
        <v>0.65</v>
      </c>
      <c r="M826" s="2">
        <v>7.55</v>
      </c>
      <c r="N826" s="2" t="s">
        <v>3041</v>
      </c>
      <c r="O826" s="56">
        <v>1928</v>
      </c>
      <c r="P826" s="2">
        <v>1.72</v>
      </c>
      <c r="Q826" s="2">
        <v>10.98</v>
      </c>
      <c r="R826" s="2">
        <v>175.55</v>
      </c>
      <c r="S826" s="2">
        <v>2.37</v>
      </c>
      <c r="T826" s="2">
        <v>3.64</v>
      </c>
      <c r="U826" s="2">
        <v>173.18</v>
      </c>
      <c r="V826" s="2">
        <v>21.76</v>
      </c>
      <c r="W826" s="2">
        <v>1167.79</v>
      </c>
      <c r="X826" s="2" t="s">
        <v>3042</v>
      </c>
      <c r="Y826" s="2" t="s">
        <v>3043</v>
      </c>
      <c r="Z826" s="2" t="s">
        <v>548</v>
      </c>
      <c r="AA826" s="2" t="s">
        <v>548</v>
      </c>
      <c r="AB826" s="2">
        <v>121.1</v>
      </c>
    </row>
    <row r="827" spans="1:28" hidden="1" x14ac:dyDescent="0.3">
      <c r="A827" s="4">
        <v>46247</v>
      </c>
      <c r="B827" s="8" t="s">
        <v>2974</v>
      </c>
      <c r="C827" s="8" t="s">
        <v>36</v>
      </c>
      <c r="D827" s="7" t="s">
        <v>46</v>
      </c>
      <c r="E827" s="8" t="s">
        <v>47</v>
      </c>
      <c r="F827" s="13"/>
      <c r="G827" s="59"/>
      <c r="H827" s="6">
        <f>15000/6</f>
        <v>2500</v>
      </c>
      <c r="I827" s="6">
        <f>IFERROR(O827/K827,)</f>
        <v>283.26612903225805</v>
      </c>
      <c r="J827" s="2">
        <v>5.41</v>
      </c>
      <c r="K827" s="2">
        <v>4.96</v>
      </c>
      <c r="L827" s="2">
        <v>0.45</v>
      </c>
      <c r="M827" s="2">
        <v>8.32</v>
      </c>
      <c r="N827" s="2" t="s">
        <v>3044</v>
      </c>
      <c r="O827" s="56">
        <v>1405</v>
      </c>
      <c r="P827" s="2">
        <v>3.24</v>
      </c>
      <c r="Q827" s="2">
        <v>9.0299999999999994</v>
      </c>
      <c r="R827" s="2">
        <v>155.68</v>
      </c>
      <c r="S827" s="2">
        <v>2.84</v>
      </c>
      <c r="T827" s="2">
        <v>6.31</v>
      </c>
      <c r="U827" s="2">
        <v>152.84</v>
      </c>
      <c r="V827" s="2">
        <v>30.82</v>
      </c>
      <c r="W827" s="2">
        <v>8134.08</v>
      </c>
      <c r="X827" s="2" t="s">
        <v>3045</v>
      </c>
      <c r="Y827" s="2" t="s">
        <v>3046</v>
      </c>
      <c r="Z827" s="2">
        <v>0.2</v>
      </c>
      <c r="AA827" s="2" t="s">
        <v>548</v>
      </c>
      <c r="AB827" s="2">
        <v>256.10000000000002</v>
      </c>
    </row>
    <row r="828" spans="1:28" x14ac:dyDescent="0.3">
      <c r="A828" s="4">
        <v>46247</v>
      </c>
      <c r="B828" s="8" t="s">
        <v>2974</v>
      </c>
      <c r="C828" s="8" t="s">
        <v>36</v>
      </c>
      <c r="D828" s="8" t="s">
        <v>48</v>
      </c>
      <c r="E828" s="7" t="s">
        <v>38</v>
      </c>
      <c r="F828" s="13">
        <v>4252</v>
      </c>
      <c r="G828" s="59"/>
      <c r="H828" s="6">
        <f>24000/6</f>
        <v>4000</v>
      </c>
      <c r="I828" s="6">
        <f>IFERROR(O828/K828,)</f>
        <v>483.49328214971212</v>
      </c>
      <c r="J828" s="2">
        <v>11.18</v>
      </c>
      <c r="K828" s="2">
        <v>10.42</v>
      </c>
      <c r="L828" s="2">
        <v>0.75</v>
      </c>
      <c r="M828" s="2">
        <v>6.71</v>
      </c>
      <c r="N828" s="2" t="s">
        <v>3047</v>
      </c>
      <c r="O828" s="56">
        <v>5038</v>
      </c>
      <c r="P828" s="2">
        <v>4.62</v>
      </c>
      <c r="Q828" s="2">
        <v>12.41</v>
      </c>
      <c r="R828" s="2">
        <v>405.99</v>
      </c>
      <c r="S828" s="2">
        <v>5.2</v>
      </c>
      <c r="T828" s="2">
        <v>6.94</v>
      </c>
      <c r="U828" s="2">
        <v>400.78</v>
      </c>
      <c r="V828" s="2">
        <v>38.44</v>
      </c>
      <c r="W828" s="2">
        <v>6757.12</v>
      </c>
      <c r="X828" s="2" t="s">
        <v>3048</v>
      </c>
      <c r="Y828" s="2" t="s">
        <v>3049</v>
      </c>
      <c r="Z828" s="2">
        <v>0.1</v>
      </c>
      <c r="AA828" s="2" t="s">
        <v>548</v>
      </c>
      <c r="AB828" s="2">
        <v>49.6</v>
      </c>
    </row>
    <row r="829" spans="1:28" hidden="1" x14ac:dyDescent="0.3">
      <c r="A829" s="4">
        <v>46247</v>
      </c>
      <c r="B829" s="8" t="s">
        <v>2974</v>
      </c>
      <c r="C829" s="8" t="s">
        <v>36</v>
      </c>
      <c r="D829" s="8" t="s">
        <v>49</v>
      </c>
      <c r="E829" s="8" t="s">
        <v>47</v>
      </c>
      <c r="F829" s="13"/>
      <c r="G829" s="59"/>
      <c r="H829" s="6">
        <f>15000/6</f>
        <v>2500</v>
      </c>
      <c r="I829" s="6">
        <f>IFERROR(O829/K829,)</f>
        <v>276.89393939393938</v>
      </c>
      <c r="J829" s="2">
        <v>10.72</v>
      </c>
      <c r="K829" s="2">
        <v>7.92</v>
      </c>
      <c r="L829" s="2">
        <v>2.8</v>
      </c>
      <c r="M829" s="2">
        <v>26.12</v>
      </c>
      <c r="N829" s="2" t="s">
        <v>3050</v>
      </c>
      <c r="O829" s="56">
        <f>3443-1250</f>
        <v>2193</v>
      </c>
      <c r="P829" s="2">
        <v>3.76</v>
      </c>
      <c r="Q829" s="2">
        <v>11.09</v>
      </c>
      <c r="R829" s="2">
        <v>310.39999999999998</v>
      </c>
      <c r="S829" s="2">
        <v>12.3</v>
      </c>
      <c r="T829" s="2">
        <v>4.3899999999999997</v>
      </c>
      <c r="U829" s="2">
        <v>298.10000000000002</v>
      </c>
      <c r="V829" s="2">
        <v>37.64</v>
      </c>
      <c r="W829" s="2">
        <v>2088.0700000000002</v>
      </c>
      <c r="X829" s="2" t="s">
        <v>3051</v>
      </c>
      <c r="Y829" s="2" t="s">
        <v>3052</v>
      </c>
      <c r="Z829" s="2" t="s">
        <v>548</v>
      </c>
      <c r="AA829" s="2" t="s">
        <v>548</v>
      </c>
      <c r="AB829" s="2">
        <v>5.6</v>
      </c>
    </row>
    <row r="830" spans="1:28" hidden="1" x14ac:dyDescent="0.3">
      <c r="A830" s="4">
        <v>46247</v>
      </c>
      <c r="B830" s="8" t="s">
        <v>2974</v>
      </c>
      <c r="C830" s="8" t="s">
        <v>36</v>
      </c>
      <c r="D830" s="8" t="s">
        <v>49</v>
      </c>
      <c r="E830" s="8" t="s">
        <v>61</v>
      </c>
      <c r="F830" s="13"/>
      <c r="G830" s="59"/>
      <c r="H830" s="6"/>
      <c r="I830" s="6"/>
      <c r="J830" s="2"/>
      <c r="K830" s="2"/>
      <c r="L830" s="2"/>
      <c r="M830" s="2"/>
      <c r="N830" s="2"/>
      <c r="O830" s="56">
        <f>50*25</f>
        <v>1250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idden="1" x14ac:dyDescent="0.3">
      <c r="A831" s="4">
        <v>46248</v>
      </c>
      <c r="B831" s="8" t="s">
        <v>2974</v>
      </c>
      <c r="C831" s="8" t="s">
        <v>36</v>
      </c>
      <c r="D831" s="8" t="s">
        <v>39</v>
      </c>
      <c r="E831" s="8" t="s">
        <v>47</v>
      </c>
      <c r="F831" s="13"/>
      <c r="G831" s="59"/>
      <c r="H831" s="6">
        <f>15000/6</f>
        <v>2500</v>
      </c>
      <c r="I831" s="6">
        <f t="shared" ref="I831:I862" si="59">IFERROR(O831/K831,)</f>
        <v>206.18556701030928</v>
      </c>
      <c r="J831" s="2">
        <v>8.44</v>
      </c>
      <c r="K831" s="2">
        <v>6.79</v>
      </c>
      <c r="L831" s="2">
        <v>1.65</v>
      </c>
      <c r="M831" s="2">
        <v>19.55</v>
      </c>
      <c r="N831" s="2" t="s">
        <v>2081</v>
      </c>
      <c r="O831" s="56">
        <v>1400</v>
      </c>
      <c r="P831" s="2">
        <v>1.46</v>
      </c>
      <c r="Q831" s="2">
        <v>8.86</v>
      </c>
      <c r="R831" s="2">
        <v>132.02000000000001</v>
      </c>
      <c r="S831" s="2">
        <v>6.62</v>
      </c>
      <c r="T831" s="2">
        <v>4.01</v>
      </c>
      <c r="U831" s="2">
        <v>125.39</v>
      </c>
      <c r="V831" s="2">
        <v>18.46</v>
      </c>
      <c r="W831" s="2">
        <v>9339.11</v>
      </c>
      <c r="X831" s="2" t="s">
        <v>3053</v>
      </c>
      <c r="Y831" s="2" t="s">
        <v>3054</v>
      </c>
      <c r="Z831" s="2" t="s">
        <v>548</v>
      </c>
      <c r="AA831" s="2" t="s">
        <v>548</v>
      </c>
      <c r="AB831" s="2">
        <v>292.3</v>
      </c>
    </row>
    <row r="832" spans="1:28" hidden="1" x14ac:dyDescent="0.3">
      <c r="A832" s="4">
        <v>46248</v>
      </c>
      <c r="B832" s="8" t="s">
        <v>2974</v>
      </c>
      <c r="C832" s="8" t="s">
        <v>36</v>
      </c>
      <c r="D832" s="8" t="s">
        <v>43</v>
      </c>
      <c r="E832" s="8" t="s">
        <v>2994</v>
      </c>
      <c r="F832" s="13"/>
      <c r="G832" s="59"/>
      <c r="H832" s="6"/>
      <c r="I832" s="6">
        <f t="shared" si="59"/>
        <v>0</v>
      </c>
      <c r="J832" s="2">
        <v>7.29</v>
      </c>
      <c r="K832" s="2">
        <v>4.3899999999999997</v>
      </c>
      <c r="L832" s="2">
        <v>2.9</v>
      </c>
      <c r="M832" s="2">
        <v>39.770000000000003</v>
      </c>
      <c r="N832" s="2" t="s">
        <v>45</v>
      </c>
      <c r="O832" s="56" t="s">
        <v>45</v>
      </c>
      <c r="P832" s="2" t="s">
        <v>45</v>
      </c>
      <c r="Q832" s="2" t="s">
        <v>45</v>
      </c>
      <c r="R832" s="2">
        <v>90.38</v>
      </c>
      <c r="S832" s="2">
        <v>11.83</v>
      </c>
      <c r="T832" s="2">
        <v>4.08</v>
      </c>
      <c r="U832" s="2">
        <v>78.55</v>
      </c>
      <c r="V832" s="2">
        <v>17.89</v>
      </c>
      <c r="W832" s="2">
        <v>8930.76</v>
      </c>
      <c r="X832" s="2" t="s">
        <v>45</v>
      </c>
      <c r="Y832" s="2" t="s">
        <v>45</v>
      </c>
      <c r="Z832" s="2">
        <v>0.1</v>
      </c>
      <c r="AA832" s="2" t="s">
        <v>45</v>
      </c>
      <c r="AB832" s="2">
        <v>265.39999999999998</v>
      </c>
    </row>
    <row r="833" spans="1:28" hidden="1" x14ac:dyDescent="0.3">
      <c r="A833" s="4">
        <v>46248</v>
      </c>
      <c r="B833" s="8" t="s">
        <v>2974</v>
      </c>
      <c r="C833" s="8" t="s">
        <v>36</v>
      </c>
      <c r="D833" s="8" t="s">
        <v>67</v>
      </c>
      <c r="E833" s="8" t="s">
        <v>47</v>
      </c>
      <c r="F833" s="13"/>
      <c r="G833" s="59"/>
      <c r="H833" s="6">
        <f>15000/6</f>
        <v>2500</v>
      </c>
      <c r="I833" s="6">
        <f t="shared" si="59"/>
        <v>335.66433566433568</v>
      </c>
      <c r="J833" s="2">
        <v>11.48</v>
      </c>
      <c r="K833" s="2">
        <v>8.58</v>
      </c>
      <c r="L833" s="2">
        <v>2.9</v>
      </c>
      <c r="M833" s="2">
        <v>25.25</v>
      </c>
      <c r="N833" s="2" t="s">
        <v>3055</v>
      </c>
      <c r="O833" s="56">
        <v>2880</v>
      </c>
      <c r="P833" s="2">
        <v>1.93</v>
      </c>
      <c r="Q833" s="2">
        <v>15.65</v>
      </c>
      <c r="R833" s="2">
        <v>184.07</v>
      </c>
      <c r="S833" s="2">
        <v>8.99</v>
      </c>
      <c r="T833" s="2">
        <v>3.1</v>
      </c>
      <c r="U833" s="2">
        <v>175.08</v>
      </c>
      <c r="V833" s="2">
        <v>20.39</v>
      </c>
      <c r="W833" s="2">
        <v>750.02</v>
      </c>
      <c r="X833" s="2" t="s">
        <v>3056</v>
      </c>
      <c r="Y833" s="2" t="s">
        <v>3057</v>
      </c>
      <c r="Z833" s="2">
        <v>1.3</v>
      </c>
      <c r="AA833" s="2" t="s">
        <v>548</v>
      </c>
      <c r="AB833" s="2">
        <v>72.3</v>
      </c>
    </row>
    <row r="834" spans="1:28" hidden="1" x14ac:dyDescent="0.3">
      <c r="A834" s="4">
        <v>46248</v>
      </c>
      <c r="B834" s="8" t="s">
        <v>2974</v>
      </c>
      <c r="C834" s="8" t="s">
        <v>36</v>
      </c>
      <c r="D834" s="8" t="s">
        <v>50</v>
      </c>
      <c r="E834" s="8" t="s">
        <v>47</v>
      </c>
      <c r="F834" s="13"/>
      <c r="G834" s="59"/>
      <c r="H834" s="6">
        <f>15000/6</f>
        <v>2500</v>
      </c>
      <c r="I834" s="6">
        <f t="shared" si="59"/>
        <v>35.971223021582738</v>
      </c>
      <c r="J834" s="2">
        <v>5.82</v>
      </c>
      <c r="K834" s="2">
        <v>4.17</v>
      </c>
      <c r="L834" s="2">
        <v>1.65</v>
      </c>
      <c r="M834" s="2">
        <v>28.35</v>
      </c>
      <c r="N834" s="2" t="s">
        <v>3058</v>
      </c>
      <c r="O834" s="56">
        <v>150</v>
      </c>
      <c r="P834" s="2">
        <v>1.01</v>
      </c>
      <c r="Q834" s="2">
        <v>2.0099999999999998</v>
      </c>
      <c r="R834" s="2">
        <v>74.760000000000005</v>
      </c>
      <c r="S834" s="2">
        <v>5.68</v>
      </c>
      <c r="T834" s="2">
        <v>3.44</v>
      </c>
      <c r="U834" s="2">
        <v>69.08</v>
      </c>
      <c r="V834" s="2">
        <v>16.57</v>
      </c>
      <c r="W834" s="2">
        <v>2577.02</v>
      </c>
      <c r="X834" s="2" t="s">
        <v>3059</v>
      </c>
      <c r="Y834" s="2" t="s">
        <v>3060</v>
      </c>
      <c r="Z834" s="2" t="s">
        <v>1696</v>
      </c>
      <c r="AA834" s="2">
        <v>0.01</v>
      </c>
      <c r="AB834" s="2">
        <v>337.4</v>
      </c>
    </row>
    <row r="835" spans="1:28" hidden="1" x14ac:dyDescent="0.3">
      <c r="A835" s="4">
        <v>46248</v>
      </c>
      <c r="B835" s="8" t="s">
        <v>2974</v>
      </c>
      <c r="C835" s="8" t="s">
        <v>36</v>
      </c>
      <c r="D835" s="8" t="s">
        <v>52</v>
      </c>
      <c r="E835" s="8" t="s">
        <v>47</v>
      </c>
      <c r="F835" s="13"/>
      <c r="G835" s="59"/>
      <c r="H835" s="6">
        <f>15000/6</f>
        <v>2500</v>
      </c>
      <c r="I835" s="6">
        <f t="shared" si="59"/>
        <v>243.23308270676691</v>
      </c>
      <c r="J835" s="2">
        <v>8.83</v>
      </c>
      <c r="K835" s="2">
        <v>7.98</v>
      </c>
      <c r="L835" s="2">
        <v>0.85</v>
      </c>
      <c r="M835" s="2">
        <v>9.6300000000000008</v>
      </c>
      <c r="N835" s="2" t="s">
        <v>3061</v>
      </c>
      <c r="O835" s="56">
        <v>1941</v>
      </c>
      <c r="P835" s="2">
        <v>1.87</v>
      </c>
      <c r="Q835" s="2">
        <v>11.12</v>
      </c>
      <c r="R835" s="2">
        <v>174.6</v>
      </c>
      <c r="S835" s="2">
        <v>3.31</v>
      </c>
      <c r="T835" s="2">
        <v>3.9</v>
      </c>
      <c r="U835" s="2">
        <v>171.29</v>
      </c>
      <c r="V835" s="2">
        <v>21.47</v>
      </c>
      <c r="W835" s="2">
        <v>1176.6199999999999</v>
      </c>
      <c r="X835" s="2" t="s">
        <v>3062</v>
      </c>
      <c r="Y835" s="2" t="s">
        <v>3063</v>
      </c>
      <c r="Z835" s="2" t="s">
        <v>548</v>
      </c>
      <c r="AA835" s="2" t="s">
        <v>548</v>
      </c>
      <c r="AB835" s="2">
        <v>121.1</v>
      </c>
    </row>
    <row r="836" spans="1:28" hidden="1" x14ac:dyDescent="0.3">
      <c r="A836" s="4">
        <v>46248</v>
      </c>
      <c r="B836" s="8" t="s">
        <v>2974</v>
      </c>
      <c r="C836" s="8" t="s">
        <v>36</v>
      </c>
      <c r="D836" s="7" t="s">
        <v>46</v>
      </c>
      <c r="E836" s="8" t="s">
        <v>47</v>
      </c>
      <c r="F836" s="13"/>
      <c r="G836" s="59"/>
      <c r="H836" s="6">
        <f>15000/6</f>
        <v>2500</v>
      </c>
      <c r="I836" s="6">
        <f t="shared" si="59"/>
        <v>309.63244613434728</v>
      </c>
      <c r="J836" s="2">
        <v>9.44</v>
      </c>
      <c r="K836" s="2">
        <v>7.89</v>
      </c>
      <c r="L836" s="2">
        <v>1.55</v>
      </c>
      <c r="M836" s="2">
        <v>16.41</v>
      </c>
      <c r="N836" s="2" t="s">
        <v>3064</v>
      </c>
      <c r="O836" s="56">
        <v>2443</v>
      </c>
      <c r="P836" s="2">
        <v>3.2</v>
      </c>
      <c r="Q836" s="2">
        <v>10.47</v>
      </c>
      <c r="R836" s="2">
        <v>233.28</v>
      </c>
      <c r="S836" s="2">
        <v>8.99</v>
      </c>
      <c r="T836" s="2">
        <v>5.8</v>
      </c>
      <c r="U836" s="2">
        <v>224.29</v>
      </c>
      <c r="V836" s="2">
        <v>28.41</v>
      </c>
      <c r="W836" s="2">
        <v>8143.52</v>
      </c>
      <c r="X836" s="2" t="s">
        <v>3065</v>
      </c>
      <c r="Y836" s="2" t="s">
        <v>3066</v>
      </c>
      <c r="Z836" s="2">
        <v>0.1</v>
      </c>
      <c r="AA836" s="2" t="s">
        <v>548</v>
      </c>
      <c r="AB836" s="2">
        <v>256.2</v>
      </c>
    </row>
    <row r="837" spans="1:28" x14ac:dyDescent="0.3">
      <c r="A837" s="4">
        <v>46248</v>
      </c>
      <c r="B837" s="8" t="s">
        <v>2974</v>
      </c>
      <c r="C837" s="8" t="s">
        <v>36</v>
      </c>
      <c r="D837" s="8" t="s">
        <v>48</v>
      </c>
      <c r="E837" s="7" t="s">
        <v>38</v>
      </c>
      <c r="F837" s="13">
        <v>2904</v>
      </c>
      <c r="G837" s="59"/>
      <c r="H837" s="6">
        <f>24000/6</f>
        <v>4000</v>
      </c>
      <c r="I837" s="6">
        <f t="shared" si="59"/>
        <v>497.11155378486058</v>
      </c>
      <c r="J837" s="2">
        <v>11.29</v>
      </c>
      <c r="K837" s="2">
        <v>10.039999999999999</v>
      </c>
      <c r="L837" s="2">
        <v>1.25</v>
      </c>
      <c r="M837" s="2">
        <v>11.07</v>
      </c>
      <c r="N837" s="2" t="s">
        <v>2569</v>
      </c>
      <c r="O837" s="56">
        <v>4991</v>
      </c>
      <c r="P837" s="2">
        <v>4.33</v>
      </c>
      <c r="Q837" s="2">
        <v>12.71</v>
      </c>
      <c r="R837" s="2">
        <v>392.74</v>
      </c>
      <c r="S837" s="2">
        <v>7.57</v>
      </c>
      <c r="T837" s="2">
        <v>6.06</v>
      </c>
      <c r="U837" s="2">
        <v>385.17</v>
      </c>
      <c r="V837" s="2">
        <v>38.35</v>
      </c>
      <c r="W837" s="2">
        <v>6768.41</v>
      </c>
      <c r="X837" s="2" t="s">
        <v>3067</v>
      </c>
      <c r="Y837" s="2" t="s">
        <v>3068</v>
      </c>
      <c r="Z837" s="2" t="s">
        <v>548</v>
      </c>
      <c r="AA837" s="2" t="s">
        <v>548</v>
      </c>
      <c r="AB837" s="2">
        <v>49.6</v>
      </c>
    </row>
    <row r="838" spans="1:28" hidden="1" x14ac:dyDescent="0.3">
      <c r="A838" s="4">
        <v>46248</v>
      </c>
      <c r="B838" s="8" t="s">
        <v>2974</v>
      </c>
      <c r="C838" s="8" t="s">
        <v>36</v>
      </c>
      <c r="D838" s="8" t="s">
        <v>49</v>
      </c>
      <c r="E838" s="8" t="s">
        <v>47</v>
      </c>
      <c r="F838" s="13"/>
      <c r="G838" s="59"/>
      <c r="H838" s="6">
        <f>15000/6</f>
        <v>2500</v>
      </c>
      <c r="I838" s="6">
        <f t="shared" si="59"/>
        <v>482.26466575716233</v>
      </c>
      <c r="J838" s="2">
        <v>10.38</v>
      </c>
      <c r="K838" s="2">
        <v>7.33</v>
      </c>
      <c r="L838" s="2">
        <v>3.05</v>
      </c>
      <c r="M838" s="2">
        <v>29.39</v>
      </c>
      <c r="N838" s="2" t="s">
        <v>2936</v>
      </c>
      <c r="O838" s="56">
        <v>3535</v>
      </c>
      <c r="P838" s="2">
        <v>3.88</v>
      </c>
      <c r="Q838" s="2">
        <v>12.15</v>
      </c>
      <c r="R838" s="2" t="s">
        <v>3069</v>
      </c>
      <c r="S838" s="2">
        <v>11.83</v>
      </c>
      <c r="T838" s="2">
        <v>3.88</v>
      </c>
      <c r="U838" s="2">
        <v>279.17</v>
      </c>
      <c r="V838" s="2">
        <v>38.11</v>
      </c>
      <c r="W838" s="2">
        <v>2098.44</v>
      </c>
      <c r="X838" s="2" t="s">
        <v>3070</v>
      </c>
      <c r="Y838" s="2" t="s">
        <v>3071</v>
      </c>
      <c r="Z838" s="2" t="s">
        <v>548</v>
      </c>
      <c r="AA838" s="2" t="s">
        <v>548</v>
      </c>
      <c r="AB838" s="2">
        <v>5.6</v>
      </c>
    </row>
    <row r="839" spans="1:28" hidden="1" x14ac:dyDescent="0.3">
      <c r="A839" s="4">
        <v>46249</v>
      </c>
      <c r="B839" s="8" t="s">
        <v>55</v>
      </c>
      <c r="C839" s="8" t="s">
        <v>56</v>
      </c>
      <c r="D839" s="8" t="s">
        <v>39</v>
      </c>
      <c r="E839" s="8" t="s">
        <v>47</v>
      </c>
      <c r="F839" s="13"/>
      <c r="G839" s="59" t="s">
        <v>146</v>
      </c>
      <c r="H839" s="6"/>
      <c r="I839" s="6">
        <f t="shared" si="59"/>
        <v>0</v>
      </c>
      <c r="J839" s="2">
        <v>0.6</v>
      </c>
      <c r="K839" s="2">
        <v>0.45</v>
      </c>
      <c r="L839" s="2">
        <v>0.15</v>
      </c>
      <c r="M839" s="2">
        <v>25.1</v>
      </c>
      <c r="N839" s="2" t="s">
        <v>1380</v>
      </c>
      <c r="O839" s="56">
        <v>0</v>
      </c>
      <c r="P839" s="2" t="s">
        <v>548</v>
      </c>
      <c r="Q839" s="2" t="s">
        <v>548</v>
      </c>
      <c r="R839" s="2">
        <v>3.79</v>
      </c>
      <c r="S839" s="2">
        <v>0.47</v>
      </c>
      <c r="T839" s="2">
        <v>3.15</v>
      </c>
      <c r="U839" s="2">
        <v>3.31</v>
      </c>
      <c r="V839" s="2">
        <v>7.4</v>
      </c>
      <c r="W839" s="2">
        <v>9339.7099999999991</v>
      </c>
      <c r="X839" s="2" t="s">
        <v>3072</v>
      </c>
      <c r="Y839" s="2" t="s">
        <v>3054</v>
      </c>
      <c r="Z839" s="2">
        <v>0.1</v>
      </c>
      <c r="AA839" s="2">
        <v>0.05</v>
      </c>
      <c r="AB839" s="2">
        <v>292.39999999999998</v>
      </c>
    </row>
    <row r="840" spans="1:28" hidden="1" x14ac:dyDescent="0.3">
      <c r="A840" s="4">
        <v>46249</v>
      </c>
      <c r="B840" s="8" t="s">
        <v>2974</v>
      </c>
      <c r="C840" s="8" t="s">
        <v>36</v>
      </c>
      <c r="D840" s="8" t="s">
        <v>43</v>
      </c>
      <c r="E840" s="8" t="s">
        <v>2994</v>
      </c>
      <c r="F840" s="13"/>
      <c r="G840" s="59"/>
      <c r="H840" s="6"/>
      <c r="I840" s="6">
        <f t="shared" si="59"/>
        <v>0</v>
      </c>
      <c r="J840" s="2">
        <v>5.75</v>
      </c>
      <c r="K840" s="2">
        <v>3.15</v>
      </c>
      <c r="L840" s="2">
        <v>2.6</v>
      </c>
      <c r="M840" s="2">
        <v>45.24</v>
      </c>
      <c r="N840" s="2" t="s">
        <v>45</v>
      </c>
      <c r="O840" s="56" t="s">
        <v>45</v>
      </c>
      <c r="P840" s="2" t="s">
        <v>45</v>
      </c>
      <c r="Q840" s="2" t="s">
        <v>45</v>
      </c>
      <c r="R840" s="2">
        <v>69.08</v>
      </c>
      <c r="S840" s="2">
        <v>9.94</v>
      </c>
      <c r="T840" s="2">
        <v>3.82</v>
      </c>
      <c r="U840" s="2">
        <v>59.15</v>
      </c>
      <c r="V840" s="2">
        <v>18.79</v>
      </c>
      <c r="W840" s="2">
        <v>8936.51</v>
      </c>
      <c r="X840" s="2" t="s">
        <v>45</v>
      </c>
      <c r="Y840" s="2" t="s">
        <v>45</v>
      </c>
      <c r="Z840" s="2">
        <v>0.4</v>
      </c>
      <c r="AA840" s="2" t="s">
        <v>45</v>
      </c>
      <c r="AB840" s="2">
        <v>265.8</v>
      </c>
    </row>
    <row r="841" spans="1:28" hidden="1" x14ac:dyDescent="0.3">
      <c r="A841" s="4">
        <v>46249</v>
      </c>
      <c r="B841" s="8" t="s">
        <v>2974</v>
      </c>
      <c r="C841" s="8" t="s">
        <v>36</v>
      </c>
      <c r="D841" s="8" t="s">
        <v>67</v>
      </c>
      <c r="E841" s="8" t="s">
        <v>47</v>
      </c>
      <c r="F841" s="13"/>
      <c r="G841" s="59"/>
      <c r="H841" s="6">
        <f>15000/5</f>
        <v>3000</v>
      </c>
      <c r="I841" s="6">
        <f t="shared" si="59"/>
        <v>260.33519553072625</v>
      </c>
      <c r="J841" s="2">
        <v>5.97</v>
      </c>
      <c r="K841" s="2">
        <v>5.37</v>
      </c>
      <c r="L841" s="2">
        <v>0.6</v>
      </c>
      <c r="M841" s="2">
        <v>10.050000000000001</v>
      </c>
      <c r="N841" s="2" t="s">
        <v>3073</v>
      </c>
      <c r="O841" s="56">
        <v>1398</v>
      </c>
      <c r="P841" s="2">
        <v>2.21</v>
      </c>
      <c r="Q841" s="2">
        <v>17.18</v>
      </c>
      <c r="R841" s="2">
        <v>81.39</v>
      </c>
      <c r="S841" s="2">
        <v>2.37</v>
      </c>
      <c r="T841" s="2">
        <v>3.94</v>
      </c>
      <c r="U841" s="2">
        <v>79.02</v>
      </c>
      <c r="V841" s="2">
        <v>14.72</v>
      </c>
      <c r="W841" s="2">
        <v>755.99</v>
      </c>
      <c r="X841" s="2" t="s">
        <v>3074</v>
      </c>
      <c r="Y841" s="2" t="s">
        <v>3075</v>
      </c>
      <c r="Z841" s="2" t="s">
        <v>548</v>
      </c>
      <c r="AA841" s="2" t="s">
        <v>548</v>
      </c>
      <c r="AB841" s="2">
        <v>72.3</v>
      </c>
    </row>
    <row r="842" spans="1:28" hidden="1" x14ac:dyDescent="0.3">
      <c r="A842" s="4">
        <v>46249</v>
      </c>
      <c r="B842" s="8" t="s">
        <v>2974</v>
      </c>
      <c r="C842" s="8" t="s">
        <v>36</v>
      </c>
      <c r="D842" s="8" t="s">
        <v>50</v>
      </c>
      <c r="E842" s="8" t="s">
        <v>47</v>
      </c>
      <c r="F842" s="13"/>
      <c r="G842" s="59"/>
      <c r="H842" s="6">
        <f>15000/5</f>
        <v>3000</v>
      </c>
      <c r="I842" s="6">
        <f t="shared" si="59"/>
        <v>278.55072463768113</v>
      </c>
      <c r="J842" s="2">
        <v>7.5</v>
      </c>
      <c r="K842" s="2">
        <v>6.9</v>
      </c>
      <c r="L842" s="2">
        <v>0.6</v>
      </c>
      <c r="M842" s="2" t="s">
        <v>3076</v>
      </c>
      <c r="N842" s="2" t="s">
        <v>3077</v>
      </c>
      <c r="O842" s="56">
        <v>1922</v>
      </c>
      <c r="P842" s="2">
        <v>1.85</v>
      </c>
      <c r="Q842" s="2">
        <v>13.32</v>
      </c>
      <c r="R842" s="2">
        <v>144.32</v>
      </c>
      <c r="S842" s="2">
        <v>3.31</v>
      </c>
      <c r="T842" s="2">
        <v>5.52</v>
      </c>
      <c r="U842" s="2">
        <v>141.01</v>
      </c>
      <c r="V842" s="2">
        <v>20.43</v>
      </c>
      <c r="W842" s="2">
        <v>2584.52</v>
      </c>
      <c r="X842" s="2" t="s">
        <v>3078</v>
      </c>
      <c r="Y842" s="2" t="s">
        <v>3079</v>
      </c>
      <c r="Z842" s="2" t="s">
        <v>548</v>
      </c>
      <c r="AA842" s="2" t="s">
        <v>548</v>
      </c>
      <c r="AB842" s="2">
        <v>337.4</v>
      </c>
    </row>
    <row r="843" spans="1:28" hidden="1" x14ac:dyDescent="0.3">
      <c r="A843" s="4">
        <v>46249</v>
      </c>
      <c r="B843" s="8" t="s">
        <v>2974</v>
      </c>
      <c r="C843" s="8" t="s">
        <v>36</v>
      </c>
      <c r="D843" s="8" t="s">
        <v>52</v>
      </c>
      <c r="E843" s="8" t="s">
        <v>47</v>
      </c>
      <c r="F843" s="13"/>
      <c r="G843" s="59"/>
      <c r="H843" s="6">
        <f>15000/5</f>
        <v>3000</v>
      </c>
      <c r="I843" s="6">
        <f t="shared" si="59"/>
        <v>205.72519083969465</v>
      </c>
      <c r="J843" s="2">
        <v>3.42</v>
      </c>
      <c r="K843" s="2">
        <v>2.62</v>
      </c>
      <c r="L843" s="2">
        <v>0.8</v>
      </c>
      <c r="M843" s="2">
        <v>23.43</v>
      </c>
      <c r="N843" s="2" t="s">
        <v>3080</v>
      </c>
      <c r="O843" s="56">
        <v>539</v>
      </c>
      <c r="P843" s="2">
        <v>1.79</v>
      </c>
      <c r="Q843" s="2">
        <v>10.36</v>
      </c>
      <c r="R843" s="2">
        <v>52.05</v>
      </c>
      <c r="S843" s="2">
        <v>3.31</v>
      </c>
      <c r="T843" s="2">
        <v>4.1399999999999997</v>
      </c>
      <c r="U843" s="2">
        <v>48.74</v>
      </c>
      <c r="V843" s="2">
        <v>18.64</v>
      </c>
      <c r="W843" s="2">
        <v>1180.03</v>
      </c>
      <c r="X843" s="2" t="s">
        <v>3081</v>
      </c>
      <c r="Y843" s="2" t="s">
        <v>3082</v>
      </c>
      <c r="Z843" s="2">
        <v>0.3</v>
      </c>
      <c r="AA843" s="2" t="s">
        <v>548</v>
      </c>
      <c r="AB843" s="2">
        <v>121.4</v>
      </c>
    </row>
    <row r="844" spans="1:28" hidden="1" x14ac:dyDescent="0.3">
      <c r="A844" s="4">
        <v>46249</v>
      </c>
      <c r="B844" s="8" t="s">
        <v>2974</v>
      </c>
      <c r="C844" s="8" t="s">
        <v>36</v>
      </c>
      <c r="D844" s="7" t="s">
        <v>46</v>
      </c>
      <c r="E844" s="8" t="s">
        <v>47</v>
      </c>
      <c r="F844" s="13"/>
      <c r="G844" s="59"/>
      <c r="H844" s="6">
        <f>15000/5</f>
        <v>3000</v>
      </c>
      <c r="I844" s="6">
        <f t="shared" si="59"/>
        <v>328.14992025518342</v>
      </c>
      <c r="J844" s="2">
        <v>14.54</v>
      </c>
      <c r="K844" s="2">
        <v>12.54</v>
      </c>
      <c r="L844" s="2" t="s">
        <v>1380</v>
      </c>
      <c r="M844" s="2">
        <v>13.75</v>
      </c>
      <c r="N844" s="2" t="s">
        <v>3083</v>
      </c>
      <c r="O844" s="56">
        <v>4115</v>
      </c>
      <c r="P844" s="2">
        <v>3.18</v>
      </c>
      <c r="Q844" s="2">
        <v>10.87</v>
      </c>
      <c r="R844" s="2">
        <v>378.54</v>
      </c>
      <c r="S844" s="2">
        <v>12.78</v>
      </c>
      <c r="T844" s="2">
        <v>6.39</v>
      </c>
      <c r="U844" s="2">
        <v>365.77</v>
      </c>
      <c r="V844" s="2">
        <v>29.16</v>
      </c>
      <c r="W844" s="2">
        <v>8158.06</v>
      </c>
      <c r="X844" s="2" t="s">
        <v>3084</v>
      </c>
      <c r="Y844" s="2" t="s">
        <v>3085</v>
      </c>
      <c r="Z844" s="2">
        <v>0.2</v>
      </c>
      <c r="AA844" s="2" t="s">
        <v>548</v>
      </c>
      <c r="AB844" s="2">
        <v>256.39999999999998</v>
      </c>
    </row>
    <row r="845" spans="1:28" x14ac:dyDescent="0.3">
      <c r="A845" s="4">
        <v>46249</v>
      </c>
      <c r="B845" s="8" t="s">
        <v>2974</v>
      </c>
      <c r="C845" s="8" t="s">
        <v>36</v>
      </c>
      <c r="D845" s="8" t="s">
        <v>48</v>
      </c>
      <c r="E845" s="7" t="s">
        <v>38</v>
      </c>
      <c r="F845" s="13">
        <v>2575</v>
      </c>
      <c r="G845" s="59"/>
      <c r="H845" s="6">
        <f>24000/6</f>
        <v>4000</v>
      </c>
      <c r="I845" s="6">
        <f t="shared" si="59"/>
        <v>692.09302325581393</v>
      </c>
      <c r="J845" s="2">
        <v>5.05</v>
      </c>
      <c r="K845" s="2">
        <v>4.3</v>
      </c>
      <c r="L845" s="2">
        <v>0.75</v>
      </c>
      <c r="M845" s="2">
        <v>14.85</v>
      </c>
      <c r="N845" s="2" t="s">
        <v>3086</v>
      </c>
      <c r="O845" s="56">
        <v>2976</v>
      </c>
      <c r="P845" s="2">
        <v>4.9800000000000004</v>
      </c>
      <c r="Q845" s="2">
        <v>17.77</v>
      </c>
      <c r="R845" s="2">
        <v>167.5</v>
      </c>
      <c r="S845" s="2">
        <v>4.7300000000000004</v>
      </c>
      <c r="T845" s="2">
        <v>6.31</v>
      </c>
      <c r="U845" s="2">
        <v>162.77000000000001</v>
      </c>
      <c r="V845" s="2">
        <v>37.85</v>
      </c>
      <c r="W845" s="2">
        <v>6773.46</v>
      </c>
      <c r="X845" s="2" t="s">
        <v>3087</v>
      </c>
      <c r="Y845" s="2" t="s">
        <v>3088</v>
      </c>
      <c r="Z845" s="2" t="s">
        <v>548</v>
      </c>
      <c r="AA845" s="2" t="s">
        <v>548</v>
      </c>
      <c r="AB845" s="2">
        <v>49.6</v>
      </c>
    </row>
    <row r="846" spans="1:28" hidden="1" x14ac:dyDescent="0.3">
      <c r="A846" s="4">
        <v>46249</v>
      </c>
      <c r="B846" s="8" t="s">
        <v>2974</v>
      </c>
      <c r="C846" s="8" t="s">
        <v>36</v>
      </c>
      <c r="D846" s="8" t="s">
        <v>49</v>
      </c>
      <c r="E846" s="8" t="s">
        <v>47</v>
      </c>
      <c r="F846" s="13"/>
      <c r="G846" s="59"/>
      <c r="H846" s="6">
        <f>15000/5</f>
        <v>3000</v>
      </c>
      <c r="I846" s="6">
        <f t="shared" si="59"/>
        <v>504.6913580246914</v>
      </c>
      <c r="J846" s="2">
        <v>5.65</v>
      </c>
      <c r="K846" s="2">
        <v>4.05</v>
      </c>
      <c r="L846" s="2">
        <v>1.6</v>
      </c>
      <c r="M846" s="2">
        <v>28.31</v>
      </c>
      <c r="N846" s="2" t="s">
        <v>3089</v>
      </c>
      <c r="O846" s="56">
        <v>2044</v>
      </c>
      <c r="P846" s="2">
        <v>3.96</v>
      </c>
      <c r="Q846" s="2">
        <v>12.67</v>
      </c>
      <c r="R846" s="2">
        <v>161.35</v>
      </c>
      <c r="S846" s="2">
        <v>7.57</v>
      </c>
      <c r="T846" s="2">
        <v>4.7300000000000004</v>
      </c>
      <c r="U846" s="2">
        <v>153.78</v>
      </c>
      <c r="V846" s="2">
        <v>37.96</v>
      </c>
      <c r="W846" s="2">
        <v>2104.1</v>
      </c>
      <c r="X846" s="2" t="s">
        <v>3090</v>
      </c>
      <c r="Y846" s="2" t="s">
        <v>3091</v>
      </c>
      <c r="Z846" s="2">
        <v>0.1</v>
      </c>
      <c r="AA846" s="2" t="s">
        <v>548</v>
      </c>
      <c r="AB846" s="2">
        <v>5.7</v>
      </c>
    </row>
    <row r="847" spans="1:28" hidden="1" x14ac:dyDescent="0.3">
      <c r="A847" s="4">
        <v>46250</v>
      </c>
      <c r="B847" s="8" t="s">
        <v>55</v>
      </c>
      <c r="C847" s="8" t="s">
        <v>56</v>
      </c>
      <c r="D847" s="8" t="s">
        <v>39</v>
      </c>
      <c r="E847" s="8" t="s">
        <v>47</v>
      </c>
      <c r="F847" s="13"/>
      <c r="G847" s="59"/>
      <c r="H847" s="6"/>
      <c r="I847" s="6">
        <f t="shared" si="59"/>
        <v>0</v>
      </c>
      <c r="J847" s="2" t="s">
        <v>548</v>
      </c>
      <c r="K847" s="2" t="s">
        <v>548</v>
      </c>
      <c r="L847" s="2" t="s">
        <v>548</v>
      </c>
      <c r="M847" s="2" t="s">
        <v>45</v>
      </c>
      <c r="N847" s="2" t="s">
        <v>548</v>
      </c>
      <c r="O847" s="56">
        <v>0</v>
      </c>
      <c r="P847" s="2" t="s">
        <v>45</v>
      </c>
      <c r="Q847" s="2" t="s">
        <v>45</v>
      </c>
      <c r="R847" s="2" t="s">
        <v>548</v>
      </c>
      <c r="S847" s="2" t="s">
        <v>548</v>
      </c>
      <c r="T847" s="2" t="s">
        <v>45</v>
      </c>
      <c r="U847" s="2" t="s">
        <v>548</v>
      </c>
      <c r="V847" s="2" t="s">
        <v>45</v>
      </c>
      <c r="W847" s="2">
        <v>9339.7099999999991</v>
      </c>
      <c r="X847" s="2" t="s">
        <v>3072</v>
      </c>
      <c r="Y847" s="2" t="s">
        <v>3054</v>
      </c>
      <c r="Z847" s="2" t="s">
        <v>548</v>
      </c>
      <c r="AA847" s="2" t="s">
        <v>45</v>
      </c>
      <c r="AB847" s="2">
        <v>292.39999999999998</v>
      </c>
    </row>
    <row r="848" spans="1:28" hidden="1" x14ac:dyDescent="0.3">
      <c r="A848" s="4">
        <v>46250</v>
      </c>
      <c r="B848" s="8" t="s">
        <v>55</v>
      </c>
      <c r="C848" s="8" t="s">
        <v>56</v>
      </c>
      <c r="D848" s="8" t="s">
        <v>43</v>
      </c>
      <c r="E848" s="8" t="s">
        <v>47</v>
      </c>
      <c r="F848" s="13"/>
      <c r="G848" s="59"/>
      <c r="H848" s="6"/>
      <c r="I848" s="6">
        <f t="shared" si="59"/>
        <v>0</v>
      </c>
      <c r="J848" s="2" t="s">
        <v>548</v>
      </c>
      <c r="K848" s="2" t="s">
        <v>548</v>
      </c>
      <c r="L848" s="2" t="s">
        <v>548</v>
      </c>
      <c r="M848" s="2" t="s">
        <v>45</v>
      </c>
      <c r="N848" s="2" t="s">
        <v>45</v>
      </c>
      <c r="O848" s="56" t="s">
        <v>45</v>
      </c>
      <c r="P848" s="2" t="s">
        <v>45</v>
      </c>
      <c r="Q848" s="2" t="s">
        <v>45</v>
      </c>
      <c r="R848" s="2" t="s">
        <v>548</v>
      </c>
      <c r="S848" s="2" t="s">
        <v>548</v>
      </c>
      <c r="T848" s="2" t="s">
        <v>45</v>
      </c>
      <c r="U848" s="2" t="s">
        <v>548</v>
      </c>
      <c r="V848" s="2" t="s">
        <v>45</v>
      </c>
      <c r="W848" s="2">
        <v>8936.51</v>
      </c>
      <c r="X848" s="2" t="s">
        <v>45</v>
      </c>
      <c r="Y848" s="2" t="s">
        <v>45</v>
      </c>
      <c r="Z848" s="2" t="s">
        <v>548</v>
      </c>
      <c r="AA848" s="2" t="s">
        <v>45</v>
      </c>
      <c r="AB848" s="2">
        <v>265.8</v>
      </c>
    </row>
    <row r="849" spans="1:28" hidden="1" x14ac:dyDescent="0.3">
      <c r="A849" s="4">
        <v>46250</v>
      </c>
      <c r="B849" s="8" t="s">
        <v>55</v>
      </c>
      <c r="C849" s="8" t="s">
        <v>56</v>
      </c>
      <c r="D849" s="8" t="s">
        <v>67</v>
      </c>
      <c r="E849" s="8" t="s">
        <v>47</v>
      </c>
      <c r="F849" s="13"/>
      <c r="G849" s="59"/>
      <c r="H849" s="6"/>
      <c r="I849" s="6">
        <f t="shared" si="59"/>
        <v>0</v>
      </c>
      <c r="J849" s="2" t="s">
        <v>45</v>
      </c>
      <c r="K849" s="2" t="s">
        <v>45</v>
      </c>
      <c r="L849" s="2" t="s">
        <v>45</v>
      </c>
      <c r="M849" s="2" t="s">
        <v>45</v>
      </c>
      <c r="N849" s="2" t="s">
        <v>45</v>
      </c>
      <c r="O849" s="56" t="s">
        <v>45</v>
      </c>
      <c r="P849" s="2" t="s">
        <v>45</v>
      </c>
      <c r="Q849" s="2" t="s">
        <v>45</v>
      </c>
      <c r="R849" s="2" t="s">
        <v>45</v>
      </c>
      <c r="S849" s="2" t="s">
        <v>45</v>
      </c>
      <c r="T849" s="2" t="s">
        <v>45</v>
      </c>
      <c r="U849" s="2" t="s">
        <v>45</v>
      </c>
      <c r="V849" s="2" t="s">
        <v>45</v>
      </c>
      <c r="W849" s="2" t="s">
        <v>45</v>
      </c>
      <c r="X849" s="2" t="s">
        <v>45</v>
      </c>
      <c r="Y849" s="2" t="s">
        <v>45</v>
      </c>
      <c r="Z849" s="2" t="s">
        <v>45</v>
      </c>
      <c r="AA849" s="2" t="s">
        <v>45</v>
      </c>
      <c r="AB849" s="2" t="s">
        <v>45</v>
      </c>
    </row>
    <row r="850" spans="1:28" hidden="1" x14ac:dyDescent="0.3">
      <c r="A850" s="4">
        <v>46250</v>
      </c>
      <c r="B850" s="8" t="s">
        <v>55</v>
      </c>
      <c r="C850" s="8" t="s">
        <v>56</v>
      </c>
      <c r="D850" s="8" t="s">
        <v>50</v>
      </c>
      <c r="E850" s="8" t="s">
        <v>47</v>
      </c>
      <c r="F850" s="13"/>
      <c r="G850" s="59"/>
      <c r="H850" s="6"/>
      <c r="I850" s="6">
        <f t="shared" si="59"/>
        <v>0</v>
      </c>
      <c r="J850" s="2">
        <v>0.17</v>
      </c>
      <c r="K850" s="2">
        <v>7.0000000000000007E-2</v>
      </c>
      <c r="L850" s="2">
        <v>0.1</v>
      </c>
      <c r="M850" s="2">
        <v>60.31</v>
      </c>
      <c r="N850" s="2" t="s">
        <v>1380</v>
      </c>
      <c r="O850" s="56">
        <v>0</v>
      </c>
      <c r="P850" s="2" t="s">
        <v>1380</v>
      </c>
      <c r="Q850" s="2">
        <v>2.11</v>
      </c>
      <c r="R850" s="2">
        <v>1.89</v>
      </c>
      <c r="S850" s="2">
        <v>0.47</v>
      </c>
      <c r="T850" s="2">
        <v>4.7300000000000004</v>
      </c>
      <c r="U850" s="2">
        <v>1.42</v>
      </c>
      <c r="V850" s="2">
        <v>21.57</v>
      </c>
      <c r="W850" s="2">
        <v>2584.69</v>
      </c>
      <c r="X850" s="2" t="s">
        <v>3092</v>
      </c>
      <c r="Y850" s="2" t="s">
        <v>3093</v>
      </c>
      <c r="Z850" s="2" t="s">
        <v>548</v>
      </c>
      <c r="AA850" s="2" t="s">
        <v>548</v>
      </c>
      <c r="AB850" s="2">
        <v>337.4</v>
      </c>
    </row>
    <row r="851" spans="1:28" hidden="1" x14ac:dyDescent="0.3">
      <c r="A851" s="4">
        <v>46250</v>
      </c>
      <c r="B851" s="8" t="s">
        <v>55</v>
      </c>
      <c r="C851" s="8" t="s">
        <v>56</v>
      </c>
      <c r="D851" s="8" t="s">
        <v>52</v>
      </c>
      <c r="E851" s="8" t="s">
        <v>47</v>
      </c>
      <c r="F851" s="13"/>
      <c r="G851" s="59"/>
      <c r="H851" s="6"/>
      <c r="I851" s="6">
        <f t="shared" si="59"/>
        <v>0</v>
      </c>
      <c r="J851" s="2" t="s">
        <v>45</v>
      </c>
      <c r="K851" s="2" t="s">
        <v>45</v>
      </c>
      <c r="L851" s="2" t="s">
        <v>45</v>
      </c>
      <c r="M851" s="2" t="s">
        <v>45</v>
      </c>
      <c r="N851" s="2" t="s">
        <v>45</v>
      </c>
      <c r="O851" s="56" t="s">
        <v>45</v>
      </c>
      <c r="P851" s="2" t="s">
        <v>45</v>
      </c>
      <c r="Q851" s="2" t="s">
        <v>45</v>
      </c>
      <c r="R851" s="2" t="s">
        <v>45</v>
      </c>
      <c r="S851" s="2" t="s">
        <v>45</v>
      </c>
      <c r="T851" s="2" t="s">
        <v>45</v>
      </c>
      <c r="U851" s="2" t="s">
        <v>45</v>
      </c>
      <c r="V851" s="2" t="s">
        <v>45</v>
      </c>
      <c r="W851" s="2" t="s">
        <v>45</v>
      </c>
      <c r="X851" s="2" t="s">
        <v>45</v>
      </c>
      <c r="Y851" s="2" t="s">
        <v>45</v>
      </c>
      <c r="Z851" s="2" t="s">
        <v>45</v>
      </c>
      <c r="AA851" s="2" t="s">
        <v>45</v>
      </c>
      <c r="AB851" s="2" t="s">
        <v>45</v>
      </c>
    </row>
    <row r="852" spans="1:28" hidden="1" x14ac:dyDescent="0.3">
      <c r="A852" s="4">
        <v>46250</v>
      </c>
      <c r="B852" s="8" t="s">
        <v>55</v>
      </c>
      <c r="C852" s="8" t="s">
        <v>56</v>
      </c>
      <c r="D852" s="7" t="s">
        <v>46</v>
      </c>
      <c r="E852" s="8" t="s">
        <v>47</v>
      </c>
      <c r="F852" s="13"/>
      <c r="G852" s="59"/>
      <c r="H852" s="6"/>
      <c r="I852" s="6">
        <f t="shared" si="59"/>
        <v>0</v>
      </c>
      <c r="J852" s="2" t="s">
        <v>548</v>
      </c>
      <c r="K852" s="2" t="s">
        <v>548</v>
      </c>
      <c r="L852" s="2" t="s">
        <v>548</v>
      </c>
      <c r="M852" s="2" t="s">
        <v>45</v>
      </c>
      <c r="N852" s="2" t="s">
        <v>548</v>
      </c>
      <c r="O852" s="56">
        <v>0</v>
      </c>
      <c r="P852" s="2" t="s">
        <v>45</v>
      </c>
      <c r="Q852" s="2" t="s">
        <v>45</v>
      </c>
      <c r="R852" s="2" t="s">
        <v>548</v>
      </c>
      <c r="S852" s="2" t="s">
        <v>548</v>
      </c>
      <c r="T852" s="2" t="s">
        <v>45</v>
      </c>
      <c r="U852" s="2" t="s">
        <v>548</v>
      </c>
      <c r="V852" s="2" t="s">
        <v>45</v>
      </c>
      <c r="W852" s="2">
        <v>8158.06</v>
      </c>
      <c r="X852" s="2" t="s">
        <v>3084</v>
      </c>
      <c r="Y852" s="2" t="s">
        <v>3085</v>
      </c>
      <c r="Z852" s="2" t="s">
        <v>548</v>
      </c>
      <c r="AA852" s="2" t="s">
        <v>45</v>
      </c>
      <c r="AB852" s="2">
        <v>256.39999999999998</v>
      </c>
    </row>
    <row r="853" spans="1:28" x14ac:dyDescent="0.3">
      <c r="A853" s="4">
        <v>46250</v>
      </c>
      <c r="B853" s="8" t="s">
        <v>55</v>
      </c>
      <c r="C853" s="8" t="s">
        <v>56</v>
      </c>
      <c r="D853" s="8" t="s">
        <v>48</v>
      </c>
      <c r="E853" s="7" t="s">
        <v>38</v>
      </c>
      <c r="F853" s="13"/>
      <c r="G853" s="59"/>
      <c r="H853" s="6"/>
      <c r="I853" s="6">
        <f t="shared" si="59"/>
        <v>0</v>
      </c>
      <c r="J853" s="2" t="s">
        <v>548</v>
      </c>
      <c r="K853" s="2" t="s">
        <v>548</v>
      </c>
      <c r="L853" s="2" t="s">
        <v>548</v>
      </c>
      <c r="M853" s="2" t="s">
        <v>45</v>
      </c>
      <c r="N853" s="2" t="s">
        <v>548</v>
      </c>
      <c r="O853" s="56">
        <v>0</v>
      </c>
      <c r="P853" s="2" t="s">
        <v>45</v>
      </c>
      <c r="Q853" s="2" t="s">
        <v>45</v>
      </c>
      <c r="R853" s="2" t="s">
        <v>548</v>
      </c>
      <c r="S853" s="2" t="s">
        <v>548</v>
      </c>
      <c r="T853" s="2" t="s">
        <v>45</v>
      </c>
      <c r="U853" s="2" t="s">
        <v>548</v>
      </c>
      <c r="V853" s="2" t="s">
        <v>45</v>
      </c>
      <c r="W853" s="2">
        <v>6773.46</v>
      </c>
      <c r="X853" s="2" t="s">
        <v>3087</v>
      </c>
      <c r="Y853" s="2" t="s">
        <v>3088</v>
      </c>
      <c r="Z853" s="2" t="s">
        <v>548</v>
      </c>
      <c r="AA853" s="2" t="s">
        <v>45</v>
      </c>
      <c r="AB853" s="2">
        <v>49.6</v>
      </c>
    </row>
    <row r="854" spans="1:28" hidden="1" x14ac:dyDescent="0.3">
      <c r="A854" s="4">
        <v>46250</v>
      </c>
      <c r="B854" s="8" t="s">
        <v>55</v>
      </c>
      <c r="C854" s="8" t="s">
        <v>56</v>
      </c>
      <c r="D854" s="8" t="s">
        <v>49</v>
      </c>
      <c r="E854" s="8" t="s">
        <v>47</v>
      </c>
      <c r="F854" s="13"/>
      <c r="G854" s="59"/>
      <c r="H854" s="6"/>
      <c r="I854" s="6">
        <f t="shared" si="59"/>
        <v>0</v>
      </c>
      <c r="J854" s="2" t="s">
        <v>45</v>
      </c>
      <c r="K854" s="2" t="s">
        <v>45</v>
      </c>
      <c r="L854" s="2" t="s">
        <v>45</v>
      </c>
      <c r="M854" s="2" t="s">
        <v>45</v>
      </c>
      <c r="N854" s="2" t="s">
        <v>45</v>
      </c>
      <c r="O854" s="56" t="s">
        <v>45</v>
      </c>
      <c r="P854" s="2" t="s">
        <v>45</v>
      </c>
      <c r="Q854" s="2" t="s">
        <v>45</v>
      </c>
      <c r="R854" s="2" t="s">
        <v>45</v>
      </c>
      <c r="S854" s="2" t="s">
        <v>45</v>
      </c>
      <c r="T854" s="2" t="s">
        <v>45</v>
      </c>
      <c r="U854" s="2" t="s">
        <v>45</v>
      </c>
      <c r="V854" s="2" t="s">
        <v>45</v>
      </c>
      <c r="W854" s="2" t="s">
        <v>45</v>
      </c>
      <c r="X854" s="2" t="s">
        <v>45</v>
      </c>
      <c r="Y854" s="2" t="s">
        <v>45</v>
      </c>
      <c r="Z854" s="2" t="s">
        <v>45</v>
      </c>
      <c r="AA854" s="2" t="s">
        <v>45</v>
      </c>
      <c r="AB854" s="2" t="s">
        <v>45</v>
      </c>
    </row>
    <row r="855" spans="1:28" hidden="1" x14ac:dyDescent="0.3">
      <c r="A855" s="4">
        <v>46251</v>
      </c>
      <c r="B855" s="8" t="s">
        <v>3094</v>
      </c>
      <c r="C855" s="8" t="s">
        <v>36</v>
      </c>
      <c r="D855" s="8" t="s">
        <v>39</v>
      </c>
      <c r="E855" s="8" t="s">
        <v>47</v>
      </c>
      <c r="F855" s="13"/>
      <c r="G855" s="59"/>
      <c r="H855" s="6">
        <f>15000/6</f>
        <v>2500</v>
      </c>
      <c r="I855" s="6">
        <f t="shared" si="59"/>
        <v>323.36578581363</v>
      </c>
      <c r="J855" s="2">
        <v>8.2899999999999991</v>
      </c>
      <c r="K855" s="2">
        <v>7.19</v>
      </c>
      <c r="L855" s="2">
        <v>1.1000000000000001</v>
      </c>
      <c r="M855" s="2">
        <v>13.27</v>
      </c>
      <c r="N855" s="2" t="s">
        <v>3095</v>
      </c>
      <c r="O855" s="56">
        <v>2325</v>
      </c>
      <c r="P855" s="2">
        <v>1.21</v>
      </c>
      <c r="Q855" s="2">
        <v>6.99</v>
      </c>
      <c r="R855" s="2">
        <v>138.16999999999999</v>
      </c>
      <c r="S855" s="2">
        <v>4.26</v>
      </c>
      <c r="T855" s="2">
        <v>3.87</v>
      </c>
      <c r="U855" s="2">
        <v>133.91</v>
      </c>
      <c r="V855" s="2">
        <v>18.63</v>
      </c>
      <c r="W855" s="2" t="s">
        <v>3096</v>
      </c>
      <c r="X855" s="2" t="s">
        <v>3097</v>
      </c>
      <c r="Y855" s="2" t="s">
        <v>3098</v>
      </c>
      <c r="Z855" s="2">
        <v>0.4</v>
      </c>
      <c r="AA855" s="2" t="s">
        <v>548</v>
      </c>
      <c r="AB855" s="2">
        <v>292.8</v>
      </c>
    </row>
    <row r="856" spans="1:28" hidden="1" x14ac:dyDescent="0.3">
      <c r="A856" s="4">
        <v>46251</v>
      </c>
      <c r="B856" s="8" t="s">
        <v>3094</v>
      </c>
      <c r="C856" s="8" t="s">
        <v>36</v>
      </c>
      <c r="D856" s="8" t="s">
        <v>43</v>
      </c>
      <c r="E856" s="8" t="s">
        <v>2994</v>
      </c>
      <c r="F856" s="13"/>
      <c r="G856" s="59"/>
      <c r="H856" s="6"/>
      <c r="I856" s="6">
        <f t="shared" si="59"/>
        <v>0</v>
      </c>
      <c r="J856" s="2">
        <v>2.1800000000000002</v>
      </c>
      <c r="K856" s="2">
        <v>1.48</v>
      </c>
      <c r="L856" s="2">
        <v>0.7</v>
      </c>
      <c r="M856" s="2">
        <v>32.18</v>
      </c>
      <c r="N856" s="2" t="s">
        <v>45</v>
      </c>
      <c r="O856" s="56" t="s">
        <v>45</v>
      </c>
      <c r="P856" s="2" t="s">
        <v>45</v>
      </c>
      <c r="Q856" s="2" t="s">
        <v>45</v>
      </c>
      <c r="R856" s="2">
        <v>29.34</v>
      </c>
      <c r="S856" s="2">
        <v>3.31</v>
      </c>
      <c r="T856" s="2">
        <v>4.7300000000000004</v>
      </c>
      <c r="U856" s="2">
        <v>26.02</v>
      </c>
      <c r="V856" s="2">
        <v>17.64</v>
      </c>
      <c r="W856" s="2">
        <v>8938.68</v>
      </c>
      <c r="X856" s="2" t="s">
        <v>45</v>
      </c>
      <c r="Y856" s="2" t="s">
        <v>45</v>
      </c>
      <c r="Z856" s="2">
        <v>0.2</v>
      </c>
      <c r="AA856" s="2" t="s">
        <v>45</v>
      </c>
      <c r="AB856" s="2" t="s">
        <v>3099</v>
      </c>
    </row>
    <row r="857" spans="1:28" hidden="1" x14ac:dyDescent="0.3">
      <c r="A857" s="4">
        <v>46251</v>
      </c>
      <c r="B857" s="8" t="s">
        <v>3094</v>
      </c>
      <c r="C857" s="8" t="s">
        <v>36</v>
      </c>
      <c r="D857" s="8" t="s">
        <v>67</v>
      </c>
      <c r="E857" s="8" t="s">
        <v>47</v>
      </c>
      <c r="F857" s="13"/>
      <c r="G857" s="59"/>
      <c r="H857" s="6">
        <f>15000/6</f>
        <v>2500</v>
      </c>
      <c r="I857" s="6">
        <f t="shared" si="59"/>
        <v>343.53826850690086</v>
      </c>
      <c r="J857" s="2">
        <v>8.9700000000000006</v>
      </c>
      <c r="K857" s="2">
        <v>7.97</v>
      </c>
      <c r="L857" s="2" t="s">
        <v>1696</v>
      </c>
      <c r="M857" s="2">
        <v>11.15</v>
      </c>
      <c r="N857" s="2" t="s">
        <v>3100</v>
      </c>
      <c r="O857" s="56">
        <v>2738</v>
      </c>
      <c r="P857" s="2">
        <v>2.27</v>
      </c>
      <c r="Q857" s="2">
        <v>19.420000000000002</v>
      </c>
      <c r="R857" s="2">
        <v>141.01</v>
      </c>
      <c r="S857" s="2">
        <v>3.31</v>
      </c>
      <c r="T857" s="2">
        <v>3.31</v>
      </c>
      <c r="U857" s="2">
        <v>137.69</v>
      </c>
      <c r="V857" s="2">
        <v>17.28</v>
      </c>
      <c r="W857" s="2">
        <v>764.96</v>
      </c>
      <c r="X857" s="2" t="s">
        <v>3101</v>
      </c>
      <c r="Y857" s="2" t="s">
        <v>3102</v>
      </c>
      <c r="Z857" s="2" t="s">
        <v>548</v>
      </c>
      <c r="AA857" s="2" t="s">
        <v>548</v>
      </c>
      <c r="AB857" s="2">
        <v>72.3</v>
      </c>
    </row>
    <row r="858" spans="1:28" hidden="1" x14ac:dyDescent="0.3">
      <c r="A858" s="4">
        <v>46251</v>
      </c>
      <c r="B858" s="8" t="s">
        <v>3094</v>
      </c>
      <c r="C858" s="8" t="s">
        <v>36</v>
      </c>
      <c r="D858" s="8" t="s">
        <v>50</v>
      </c>
      <c r="E858" s="8" t="s">
        <v>47</v>
      </c>
      <c r="F858" s="13"/>
      <c r="G858" s="59"/>
      <c r="H858" s="6">
        <f>15000/6</f>
        <v>2500</v>
      </c>
      <c r="I858" s="6">
        <f t="shared" si="59"/>
        <v>365.1605231866825</v>
      </c>
      <c r="J858" s="2">
        <v>9.16</v>
      </c>
      <c r="K858" s="2">
        <v>8.41</v>
      </c>
      <c r="L858" s="2">
        <v>0.75</v>
      </c>
      <c r="M858" s="2">
        <v>8.19</v>
      </c>
      <c r="N858" s="2" t="s">
        <v>2016</v>
      </c>
      <c r="O858" s="56">
        <v>3071</v>
      </c>
      <c r="P858" s="2">
        <v>2.2000000000000002</v>
      </c>
      <c r="Q858" s="2">
        <v>17.45</v>
      </c>
      <c r="R858" s="2">
        <v>176.02</v>
      </c>
      <c r="S858" s="2">
        <v>2.84</v>
      </c>
      <c r="T858" s="2">
        <v>3.79</v>
      </c>
      <c r="U858" s="2">
        <v>173.18</v>
      </c>
      <c r="V858" s="2">
        <v>20.59</v>
      </c>
      <c r="W858" s="2">
        <v>2593.85</v>
      </c>
      <c r="X858" s="2" t="s">
        <v>3103</v>
      </c>
      <c r="Y858" s="2" t="s">
        <v>3104</v>
      </c>
      <c r="Z858" s="2">
        <v>0.1</v>
      </c>
      <c r="AA858" s="2" t="s">
        <v>548</v>
      </c>
      <c r="AB858" s="2">
        <v>337.5</v>
      </c>
    </row>
    <row r="859" spans="1:28" hidden="1" x14ac:dyDescent="0.3">
      <c r="A859" s="4">
        <v>46251</v>
      </c>
      <c r="B859" s="8" t="s">
        <v>3094</v>
      </c>
      <c r="C859" s="8" t="s">
        <v>36</v>
      </c>
      <c r="D859" s="8" t="s">
        <v>52</v>
      </c>
      <c r="E859" s="8" t="s">
        <v>47</v>
      </c>
      <c r="F859" s="13"/>
      <c r="G859" s="59"/>
      <c r="H859" s="6">
        <f>15000/6</f>
        <v>2500</v>
      </c>
      <c r="I859" s="6">
        <f t="shared" si="59"/>
        <v>276.1194029850746</v>
      </c>
      <c r="J859" s="2">
        <v>12.44</v>
      </c>
      <c r="K859" s="2">
        <v>11.39</v>
      </c>
      <c r="L859" s="2">
        <v>1.05</v>
      </c>
      <c r="M859" s="2">
        <v>8.44</v>
      </c>
      <c r="N859" s="2" t="s">
        <v>3105</v>
      </c>
      <c r="O859" s="56">
        <v>3145</v>
      </c>
      <c r="P859" s="2">
        <v>1.82</v>
      </c>
      <c r="Q859" s="2">
        <v>12.88</v>
      </c>
      <c r="R859" s="2">
        <v>244.16</v>
      </c>
      <c r="S859" s="2">
        <v>3.79</v>
      </c>
      <c r="T859" s="2">
        <v>3.61</v>
      </c>
      <c r="U859" s="2">
        <v>240.37</v>
      </c>
      <c r="V859" s="2">
        <v>21.1</v>
      </c>
      <c r="W859" s="2">
        <v>1192.47</v>
      </c>
      <c r="X859" s="2" t="s">
        <v>3106</v>
      </c>
      <c r="Y859" s="2" t="s">
        <v>3107</v>
      </c>
      <c r="Z859" s="2">
        <v>0.1</v>
      </c>
      <c r="AA859" s="2" t="s">
        <v>548</v>
      </c>
      <c r="AB859" s="2">
        <v>121.5</v>
      </c>
    </row>
    <row r="860" spans="1:28" hidden="1" x14ac:dyDescent="0.3">
      <c r="A860" s="4">
        <v>46251</v>
      </c>
      <c r="B860" s="8" t="s">
        <v>3094</v>
      </c>
      <c r="C860" s="8" t="s">
        <v>36</v>
      </c>
      <c r="D860" s="7" t="s">
        <v>46</v>
      </c>
      <c r="E860" s="8" t="s">
        <v>47</v>
      </c>
      <c r="F860" s="13"/>
      <c r="G860" s="59"/>
      <c r="H860" s="6">
        <f>15000/6</f>
        <v>2500</v>
      </c>
      <c r="I860" s="6">
        <f t="shared" si="59"/>
        <v>344.45479962721339</v>
      </c>
      <c r="J860" s="2">
        <v>12.88</v>
      </c>
      <c r="K860" s="2">
        <v>10.73</v>
      </c>
      <c r="L860" s="2">
        <v>2.15</v>
      </c>
      <c r="M860" s="2">
        <v>16.7</v>
      </c>
      <c r="N860" s="2" t="s">
        <v>3083</v>
      </c>
      <c r="O860" s="56">
        <v>3696</v>
      </c>
      <c r="P860" s="2">
        <v>2.86</v>
      </c>
      <c r="Q860" s="2">
        <v>11.45</v>
      </c>
      <c r="R860" s="2">
        <v>322.70999999999998</v>
      </c>
      <c r="S860" s="2">
        <v>12.3</v>
      </c>
      <c r="T860" s="2">
        <v>5.72</v>
      </c>
      <c r="U860" s="2">
        <v>310.39999999999998</v>
      </c>
      <c r="V860" s="2">
        <v>28.94</v>
      </c>
      <c r="W860" s="2">
        <v>8170.94</v>
      </c>
      <c r="X860" s="2" t="s">
        <v>3108</v>
      </c>
      <c r="Y860" s="2" t="s">
        <v>3109</v>
      </c>
      <c r="Z860" s="2" t="s">
        <v>548</v>
      </c>
      <c r="AA860" s="2" t="s">
        <v>548</v>
      </c>
      <c r="AB860" s="2">
        <v>256.39999999999998</v>
      </c>
    </row>
    <row r="861" spans="1:28" x14ac:dyDescent="0.3">
      <c r="A861" s="4">
        <v>46251</v>
      </c>
      <c r="B861" s="8" t="s">
        <v>3094</v>
      </c>
      <c r="C861" s="8" t="s">
        <v>36</v>
      </c>
      <c r="D861" s="8" t="s">
        <v>48</v>
      </c>
      <c r="E861" s="7" t="s">
        <v>38</v>
      </c>
      <c r="F861" s="13">
        <v>3194</v>
      </c>
      <c r="G861" s="59"/>
      <c r="H861" s="6">
        <f>24000/3</f>
        <v>8000</v>
      </c>
      <c r="I861" s="6">
        <f t="shared" si="59"/>
        <v>567.97546012269936</v>
      </c>
      <c r="J861" s="2">
        <v>9.1999999999999993</v>
      </c>
      <c r="K861" s="2">
        <v>8.15</v>
      </c>
      <c r="L861" s="2">
        <v>1.05</v>
      </c>
      <c r="M861" s="2">
        <v>11.42</v>
      </c>
      <c r="N861" s="2" t="s">
        <v>898</v>
      </c>
      <c r="O861" s="56">
        <v>4629</v>
      </c>
      <c r="P861" s="2">
        <v>4.5</v>
      </c>
      <c r="Q861" s="2">
        <v>14.67</v>
      </c>
      <c r="R861" s="2">
        <v>315.61</v>
      </c>
      <c r="S861" s="2">
        <v>6.15</v>
      </c>
      <c r="T861" s="2">
        <v>5.86</v>
      </c>
      <c r="U861" s="2">
        <v>309.45999999999998</v>
      </c>
      <c r="V861" s="2">
        <v>37.979999999999997</v>
      </c>
      <c r="W861" s="2">
        <v>6782.66</v>
      </c>
      <c r="X861" s="2" t="s">
        <v>3110</v>
      </c>
      <c r="Y861" s="2" t="s">
        <v>3111</v>
      </c>
      <c r="Z861" s="2">
        <v>0.1</v>
      </c>
      <c r="AA861" s="2" t="s">
        <v>548</v>
      </c>
      <c r="AB861" s="2">
        <v>49.7</v>
      </c>
    </row>
    <row r="862" spans="1:28" hidden="1" x14ac:dyDescent="0.3">
      <c r="A862" s="4">
        <v>46251</v>
      </c>
      <c r="B862" s="8" t="s">
        <v>3094</v>
      </c>
      <c r="C862" s="8" t="s">
        <v>36</v>
      </c>
      <c r="D862" s="8" t="s">
        <v>49</v>
      </c>
      <c r="E862" s="8" t="s">
        <v>47</v>
      </c>
      <c r="F862" s="13"/>
      <c r="G862" s="59"/>
      <c r="H862" s="6">
        <f>15000/6</f>
        <v>2500</v>
      </c>
      <c r="I862" s="6">
        <f t="shared" si="59"/>
        <v>178.79256965944273</v>
      </c>
      <c r="J862" s="2">
        <v>8.61</v>
      </c>
      <c r="K862" s="2">
        <v>6.46</v>
      </c>
      <c r="L862" s="2">
        <v>2.15</v>
      </c>
      <c r="M862" s="2">
        <v>24.98</v>
      </c>
      <c r="N862" s="2" t="s">
        <v>3112</v>
      </c>
      <c r="O862" s="56">
        <f>2205-1050</f>
        <v>1155</v>
      </c>
      <c r="P862" s="2">
        <v>3.04</v>
      </c>
      <c r="Q862" s="2">
        <v>8.86</v>
      </c>
      <c r="R862" s="2">
        <v>248.89</v>
      </c>
      <c r="S862" s="2">
        <v>9.4600000000000009</v>
      </c>
      <c r="T862" s="2">
        <v>4.4000000000000004</v>
      </c>
      <c r="U862" s="2">
        <v>239.43</v>
      </c>
      <c r="V862" s="2">
        <v>37.07</v>
      </c>
      <c r="W862" s="2">
        <v>2112.6999999999998</v>
      </c>
      <c r="X862" s="2" t="s">
        <v>3113</v>
      </c>
      <c r="Y862" s="2" t="s">
        <v>3114</v>
      </c>
      <c r="Z862" s="2" t="s">
        <v>548</v>
      </c>
      <c r="AA862" s="2" t="s">
        <v>548</v>
      </c>
      <c r="AB862" s="2">
        <v>5.7</v>
      </c>
    </row>
    <row r="863" spans="1:28" hidden="1" x14ac:dyDescent="0.3">
      <c r="A863" s="4">
        <v>46251</v>
      </c>
      <c r="B863" s="8" t="s">
        <v>3094</v>
      </c>
      <c r="C863" s="8" t="s">
        <v>36</v>
      </c>
      <c r="D863" s="8" t="s">
        <v>49</v>
      </c>
      <c r="E863" s="8" t="s">
        <v>61</v>
      </c>
      <c r="F863" s="13"/>
      <c r="G863" s="59"/>
      <c r="H863" s="6"/>
      <c r="I863" s="6">
        <f t="shared" ref="I863:I894" si="60">IFERROR(O863/K863,)</f>
        <v>0</v>
      </c>
      <c r="J863" s="2"/>
      <c r="K863" s="2"/>
      <c r="L863" s="2"/>
      <c r="M863" s="2"/>
      <c r="N863" s="2"/>
      <c r="O863" s="56">
        <f>42*25</f>
        <v>1050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idden="1" x14ac:dyDescent="0.3">
      <c r="A864" s="4">
        <v>46252</v>
      </c>
      <c r="B864" s="8" t="s">
        <v>3094</v>
      </c>
      <c r="C864" s="8" t="s">
        <v>36</v>
      </c>
      <c r="D864" s="8" t="s">
        <v>39</v>
      </c>
      <c r="E864" s="8" t="s">
        <v>47</v>
      </c>
      <c r="F864" s="13"/>
      <c r="G864" s="59"/>
      <c r="H864" s="6">
        <f>15000/6</f>
        <v>2500</v>
      </c>
      <c r="I864" s="6">
        <f t="shared" si="60"/>
        <v>297.37206085753803</v>
      </c>
      <c r="J864" s="2">
        <v>8.3800000000000008</v>
      </c>
      <c r="K864" s="2">
        <v>7.23</v>
      </c>
      <c r="L864" s="2">
        <v>1.1499999999999999</v>
      </c>
      <c r="M864" s="2">
        <v>13.72</v>
      </c>
      <c r="N864" s="2" t="s">
        <v>638</v>
      </c>
      <c r="O864" s="56">
        <v>2150</v>
      </c>
      <c r="P864" s="2">
        <v>1.44</v>
      </c>
      <c r="Q864" s="2">
        <v>10.220000000000001</v>
      </c>
      <c r="R864" s="2">
        <v>144.32</v>
      </c>
      <c r="S864" s="2">
        <v>4.7300000000000004</v>
      </c>
      <c r="T864" s="2">
        <v>4.1100000000000003</v>
      </c>
      <c r="U864" s="2">
        <v>139.59</v>
      </c>
      <c r="V864" s="2">
        <v>19.29</v>
      </c>
      <c r="W864" s="2">
        <v>9356.3799999999992</v>
      </c>
      <c r="X864" s="2" t="s">
        <v>3115</v>
      </c>
      <c r="Y864" s="2" t="s">
        <v>3116</v>
      </c>
      <c r="Z864" s="2" t="s">
        <v>548</v>
      </c>
      <c r="AA864" s="2" t="s">
        <v>548</v>
      </c>
      <c r="AB864" s="2">
        <v>292.8</v>
      </c>
    </row>
    <row r="865" spans="1:28" hidden="1" x14ac:dyDescent="0.3">
      <c r="A865" s="4">
        <v>46252</v>
      </c>
      <c r="B865" s="8" t="s">
        <v>55</v>
      </c>
      <c r="C865" s="8" t="s">
        <v>56</v>
      </c>
      <c r="D865" s="8" t="s">
        <v>43</v>
      </c>
      <c r="E865" s="8" t="s">
        <v>2994</v>
      </c>
      <c r="F865" s="13"/>
      <c r="G865" s="59" t="s">
        <v>146</v>
      </c>
      <c r="H865" s="6"/>
      <c r="I865" s="6">
        <f t="shared" si="60"/>
        <v>0</v>
      </c>
      <c r="J865" s="2" t="s">
        <v>45</v>
      </c>
      <c r="K865" s="2" t="s">
        <v>45</v>
      </c>
      <c r="L865" s="2" t="s">
        <v>45</v>
      </c>
      <c r="M865" s="2" t="s">
        <v>45</v>
      </c>
      <c r="N865" s="2" t="s">
        <v>45</v>
      </c>
      <c r="O865" s="56" t="s">
        <v>45</v>
      </c>
      <c r="P865" s="2" t="s">
        <v>45</v>
      </c>
      <c r="Q865" s="2" t="s">
        <v>45</v>
      </c>
      <c r="R865" s="2" t="s">
        <v>45</v>
      </c>
      <c r="S865" s="2" t="s">
        <v>45</v>
      </c>
      <c r="T865" s="2" t="s">
        <v>45</v>
      </c>
      <c r="U865" s="2" t="s">
        <v>45</v>
      </c>
      <c r="V865" s="2" t="s">
        <v>45</v>
      </c>
      <c r="W865" s="2" t="s">
        <v>45</v>
      </c>
      <c r="X865" s="2" t="s">
        <v>45</v>
      </c>
      <c r="Y865" s="2" t="s">
        <v>45</v>
      </c>
      <c r="Z865" s="2" t="s">
        <v>45</v>
      </c>
      <c r="AA865" s="2" t="s">
        <v>45</v>
      </c>
      <c r="AB865" s="2" t="s">
        <v>45</v>
      </c>
    </row>
    <row r="866" spans="1:28" hidden="1" x14ac:dyDescent="0.3">
      <c r="A866" s="4">
        <v>46252</v>
      </c>
      <c r="B866" s="8" t="s">
        <v>3094</v>
      </c>
      <c r="C866" s="8" t="s">
        <v>36</v>
      </c>
      <c r="D866" s="8" t="s">
        <v>67</v>
      </c>
      <c r="E866" s="8" t="s">
        <v>47</v>
      </c>
      <c r="F866" s="13"/>
      <c r="G866" s="6"/>
      <c r="H866" s="6">
        <f>15000/6</f>
        <v>2500</v>
      </c>
      <c r="I866" s="6">
        <f t="shared" si="60"/>
        <v>200.42857142857142</v>
      </c>
      <c r="J866" s="2">
        <v>9.15</v>
      </c>
      <c r="K866" s="2" t="s">
        <v>3117</v>
      </c>
      <c r="L866" s="2">
        <v>2.15</v>
      </c>
      <c r="M866" s="2">
        <v>23.5</v>
      </c>
      <c r="N866" s="2" t="s">
        <v>3118</v>
      </c>
      <c r="O866" s="56">
        <f>1578-175</f>
        <v>1403</v>
      </c>
      <c r="P866" s="2">
        <v>1.56</v>
      </c>
      <c r="Q866" s="2">
        <v>10.69</v>
      </c>
      <c r="R866" s="2">
        <v>147.63</v>
      </c>
      <c r="S866" s="2">
        <v>7.1</v>
      </c>
      <c r="T866" s="2">
        <v>3.3</v>
      </c>
      <c r="U866" s="2">
        <v>140.53</v>
      </c>
      <c r="V866" s="2">
        <v>20.079999999999998</v>
      </c>
      <c r="W866" s="2">
        <v>774.11</v>
      </c>
      <c r="X866" s="2" t="s">
        <v>3119</v>
      </c>
      <c r="Y866" s="2" t="s">
        <v>3120</v>
      </c>
      <c r="Z866" s="2">
        <v>0.7</v>
      </c>
      <c r="AA866" s="2" t="s">
        <v>548</v>
      </c>
      <c r="AB866" s="2" t="s">
        <v>3121</v>
      </c>
    </row>
    <row r="867" spans="1:28" hidden="1" x14ac:dyDescent="0.3">
      <c r="A867" s="4">
        <v>46252</v>
      </c>
      <c r="B867" s="8" t="s">
        <v>3094</v>
      </c>
      <c r="C867" s="8" t="s">
        <v>36</v>
      </c>
      <c r="D867" s="8" t="s">
        <v>67</v>
      </c>
      <c r="E867" s="8" t="s">
        <v>61</v>
      </c>
      <c r="F867" s="13"/>
      <c r="G867" s="59"/>
      <c r="H867" s="6"/>
      <c r="I867" s="6">
        <f t="shared" si="60"/>
        <v>0</v>
      </c>
      <c r="J867" s="2"/>
      <c r="K867" s="2"/>
      <c r="L867" s="2"/>
      <c r="M867" s="2"/>
      <c r="N867" s="2"/>
      <c r="O867" s="56">
        <f>7*25</f>
        <v>175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idden="1" x14ac:dyDescent="0.3">
      <c r="A868" s="4">
        <v>46252</v>
      </c>
      <c r="B868" s="8" t="s">
        <v>3094</v>
      </c>
      <c r="C868" s="8" t="s">
        <v>36</v>
      </c>
      <c r="D868" s="8" t="s">
        <v>50</v>
      </c>
      <c r="E868" s="8" t="s">
        <v>47</v>
      </c>
      <c r="F868" s="13"/>
      <c r="G868" s="59"/>
      <c r="H868" s="6">
        <f>15000/6</f>
        <v>2500</v>
      </c>
      <c r="I868" s="6">
        <f t="shared" si="60"/>
        <v>328.80523731587562</v>
      </c>
      <c r="J868" s="2">
        <v>8.11</v>
      </c>
      <c r="K868" s="2">
        <v>6.11</v>
      </c>
      <c r="L868" s="2" t="s">
        <v>1380</v>
      </c>
      <c r="M868" s="2">
        <v>24.67</v>
      </c>
      <c r="N868" s="2" t="s">
        <v>3122</v>
      </c>
      <c r="O868" s="56">
        <f>2234-225</f>
        <v>2009</v>
      </c>
      <c r="P868" s="2">
        <v>2.2000000000000002</v>
      </c>
      <c r="Q868" s="2">
        <v>16.739999999999998</v>
      </c>
      <c r="R868" s="2">
        <v>133.44</v>
      </c>
      <c r="S868" s="2">
        <v>7.1</v>
      </c>
      <c r="T868" s="2">
        <v>3.55</v>
      </c>
      <c r="U868" s="2">
        <v>126.34</v>
      </c>
      <c r="V868" s="2">
        <v>20.69</v>
      </c>
      <c r="W868" s="2">
        <v>2601.9499999999998</v>
      </c>
      <c r="X868" s="2" t="s">
        <v>3123</v>
      </c>
      <c r="Y868" s="2" t="s">
        <v>3124</v>
      </c>
      <c r="Z868" s="2">
        <v>0.6</v>
      </c>
      <c r="AA868" s="2" t="s">
        <v>548</v>
      </c>
      <c r="AB868" s="2">
        <v>338.1</v>
      </c>
    </row>
    <row r="869" spans="1:28" hidden="1" x14ac:dyDescent="0.3">
      <c r="A869" s="4">
        <v>46252</v>
      </c>
      <c r="B869" s="8" t="s">
        <v>3094</v>
      </c>
      <c r="C869" s="8" t="s">
        <v>36</v>
      </c>
      <c r="D869" s="8" t="s">
        <v>50</v>
      </c>
      <c r="E869" s="8" t="s">
        <v>61</v>
      </c>
      <c r="F869" s="13"/>
      <c r="G869" s="59"/>
      <c r="H869" s="6"/>
      <c r="I869" s="6">
        <f t="shared" si="60"/>
        <v>0</v>
      </c>
      <c r="J869" s="2"/>
      <c r="K869" s="2"/>
      <c r="L869" s="2"/>
      <c r="M869" s="2"/>
      <c r="N869" s="2"/>
      <c r="O869" s="56">
        <f>9*25</f>
        <v>225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idden="1" x14ac:dyDescent="0.3">
      <c r="A870" s="4">
        <v>46252</v>
      </c>
      <c r="B870" s="8" t="s">
        <v>3094</v>
      </c>
      <c r="C870" s="8" t="s">
        <v>36</v>
      </c>
      <c r="D870" s="8" t="s">
        <v>52</v>
      </c>
      <c r="E870" s="8" t="s">
        <v>47</v>
      </c>
      <c r="F870" s="13"/>
      <c r="G870" s="59"/>
      <c r="H870" s="6">
        <f>15000/6</f>
        <v>2500</v>
      </c>
      <c r="I870" s="6">
        <f t="shared" si="60"/>
        <v>296.30331753554498</v>
      </c>
      <c r="J870" s="2">
        <v>11.65</v>
      </c>
      <c r="K870" s="2">
        <v>10.55</v>
      </c>
      <c r="L870" s="2">
        <v>1.1000000000000001</v>
      </c>
      <c r="M870" s="2">
        <v>9.4499999999999993</v>
      </c>
      <c r="N870" s="2" t="s">
        <v>3125</v>
      </c>
      <c r="O870" s="56">
        <v>3126</v>
      </c>
      <c r="P870" s="2">
        <v>2.17</v>
      </c>
      <c r="Q870" s="2">
        <v>13.71</v>
      </c>
      <c r="R870" s="2">
        <v>228.07</v>
      </c>
      <c r="S870" s="2">
        <v>3.79</v>
      </c>
      <c r="T870" s="2">
        <v>3.44</v>
      </c>
      <c r="U870" s="2">
        <v>224.29</v>
      </c>
      <c r="V870" s="2">
        <v>21.27</v>
      </c>
      <c r="W870" s="2">
        <v>1204.46</v>
      </c>
      <c r="X870" s="2" t="s">
        <v>3126</v>
      </c>
      <c r="Y870" s="2" t="s">
        <v>3127</v>
      </c>
      <c r="Z870" s="2">
        <v>0.1</v>
      </c>
      <c r="AA870" s="2" t="s">
        <v>548</v>
      </c>
      <c r="AB870" s="2">
        <v>121.6</v>
      </c>
    </row>
    <row r="871" spans="1:28" hidden="1" x14ac:dyDescent="0.3">
      <c r="A871" s="4">
        <v>46252</v>
      </c>
      <c r="B871" s="8" t="s">
        <v>3094</v>
      </c>
      <c r="C871" s="8" t="s">
        <v>36</v>
      </c>
      <c r="D871" s="7" t="s">
        <v>46</v>
      </c>
      <c r="E871" s="8" t="s">
        <v>47</v>
      </c>
      <c r="F871" s="13"/>
      <c r="G871" s="59"/>
      <c r="H871" s="6">
        <f>15000/6</f>
        <v>2500</v>
      </c>
      <c r="I871" s="6">
        <f t="shared" si="60"/>
        <v>284.61538461538458</v>
      </c>
      <c r="J871" s="2">
        <v>15.43</v>
      </c>
      <c r="K871" s="2">
        <v>13.13</v>
      </c>
      <c r="L871" s="2">
        <v>2.2999999999999998</v>
      </c>
      <c r="M871" s="2">
        <v>14.91</v>
      </c>
      <c r="N871" s="2" t="s">
        <v>3128</v>
      </c>
      <c r="O871" s="56">
        <v>3737</v>
      </c>
      <c r="P871" s="2" t="s">
        <v>1489</v>
      </c>
      <c r="Q871" s="2">
        <v>9.0500000000000007</v>
      </c>
      <c r="R871" s="2">
        <v>413.08</v>
      </c>
      <c r="S871" s="2">
        <v>13.25</v>
      </c>
      <c r="T871" s="2">
        <v>5.76</v>
      </c>
      <c r="U871" s="2">
        <v>399.83</v>
      </c>
      <c r="V871" s="2">
        <v>30.46</v>
      </c>
      <c r="W871" s="2">
        <v>8186.37</v>
      </c>
      <c r="X871" s="2" t="s">
        <v>3129</v>
      </c>
      <c r="Y871" s="2" t="s">
        <v>3130</v>
      </c>
      <c r="Z871" s="2">
        <v>0.9</v>
      </c>
      <c r="AA871" s="2" t="s">
        <v>548</v>
      </c>
      <c r="AB871" s="2">
        <v>257.3</v>
      </c>
    </row>
    <row r="872" spans="1:28" x14ac:dyDescent="0.3">
      <c r="A872" s="4">
        <v>46252</v>
      </c>
      <c r="B872" s="8" t="s">
        <v>3094</v>
      </c>
      <c r="C872" s="8" t="s">
        <v>36</v>
      </c>
      <c r="D872" s="8" t="s">
        <v>48</v>
      </c>
      <c r="E872" s="7" t="s">
        <v>38</v>
      </c>
      <c r="F872" s="13">
        <v>1408</v>
      </c>
      <c r="G872" s="59"/>
      <c r="H872" s="6">
        <f>24000/3</f>
        <v>8000</v>
      </c>
      <c r="I872" s="6">
        <f t="shared" si="60"/>
        <v>335.31073446327684</v>
      </c>
      <c r="J872" s="2">
        <v>7.63</v>
      </c>
      <c r="K872" s="2">
        <v>7.08</v>
      </c>
      <c r="L872" s="2">
        <v>0.55000000000000004</v>
      </c>
      <c r="M872" s="2">
        <v>7.21</v>
      </c>
      <c r="N872" s="2" t="s">
        <v>1412</v>
      </c>
      <c r="O872" s="56" t="s">
        <v>3131</v>
      </c>
      <c r="P872" s="2" t="s">
        <v>1855</v>
      </c>
      <c r="Q872" s="2">
        <v>8.8000000000000007</v>
      </c>
      <c r="R872" s="2">
        <v>269.70999999999998</v>
      </c>
      <c r="S872" s="2">
        <v>3.31</v>
      </c>
      <c r="T872" s="2">
        <v>6.02</v>
      </c>
      <c r="U872" s="2">
        <v>266.39999999999998</v>
      </c>
      <c r="V872" s="2">
        <v>37.65</v>
      </c>
      <c r="W872" s="2">
        <v>6790.29</v>
      </c>
      <c r="X872" s="2" t="s">
        <v>3132</v>
      </c>
      <c r="Y872" s="2" t="s">
        <v>3133</v>
      </c>
      <c r="Z872" s="2" t="s">
        <v>548</v>
      </c>
      <c r="AA872" s="2" t="s">
        <v>548</v>
      </c>
      <c r="AB872" s="2">
        <v>49.7</v>
      </c>
    </row>
    <row r="873" spans="1:28" hidden="1" x14ac:dyDescent="0.3">
      <c r="A873" s="4">
        <v>46252</v>
      </c>
      <c r="B873" s="8" t="s">
        <v>3094</v>
      </c>
      <c r="C873" s="8" t="s">
        <v>36</v>
      </c>
      <c r="D873" s="8" t="s">
        <v>49</v>
      </c>
      <c r="E873" s="8" t="s">
        <v>47</v>
      </c>
      <c r="F873" s="13"/>
      <c r="G873" s="59"/>
      <c r="H873" s="6">
        <f>15000/6</f>
        <v>2500</v>
      </c>
      <c r="I873" s="6">
        <f t="shared" si="60"/>
        <v>426.77824267782427</v>
      </c>
      <c r="J873" s="69">
        <v>7.08</v>
      </c>
      <c r="K873" s="69">
        <v>4.78</v>
      </c>
      <c r="L873" s="69">
        <v>2.2999999999999998</v>
      </c>
      <c r="M873" s="69">
        <v>32.47</v>
      </c>
      <c r="N873" s="69">
        <v>602</v>
      </c>
      <c r="O873" s="56">
        <v>2040</v>
      </c>
      <c r="P873" s="69">
        <v>3.39</v>
      </c>
      <c r="Q873" s="69">
        <v>10.1</v>
      </c>
      <c r="R873" s="69">
        <v>202.05</v>
      </c>
      <c r="S873" s="69">
        <v>9.94</v>
      </c>
      <c r="T873" s="69">
        <v>4.32</v>
      </c>
      <c r="U873" s="69">
        <v>192.11</v>
      </c>
      <c r="V873" s="69">
        <v>40.17</v>
      </c>
      <c r="W873" s="69">
        <v>2119.79</v>
      </c>
      <c r="X873" s="69">
        <v>208348</v>
      </c>
      <c r="Y873" s="69">
        <v>701087</v>
      </c>
      <c r="Z873" s="69">
        <v>0</v>
      </c>
      <c r="AA873" s="69">
        <v>0</v>
      </c>
      <c r="AB873" s="69">
        <v>5.7</v>
      </c>
    </row>
    <row r="874" spans="1:28" hidden="1" x14ac:dyDescent="0.3">
      <c r="A874" s="4">
        <v>46253</v>
      </c>
      <c r="B874" s="8" t="s">
        <v>3094</v>
      </c>
      <c r="C874" s="8" t="s">
        <v>36</v>
      </c>
      <c r="D874" s="8" t="s">
        <v>39</v>
      </c>
      <c r="E874" s="8" t="s">
        <v>47</v>
      </c>
      <c r="F874" s="13"/>
      <c r="G874" s="59"/>
      <c r="H874" s="6">
        <f>15000/6</f>
        <v>2500</v>
      </c>
      <c r="I874" s="6">
        <f t="shared" si="60"/>
        <v>164.60905349794237</v>
      </c>
      <c r="J874" s="2">
        <v>6.36</v>
      </c>
      <c r="K874" s="2">
        <v>4.8600000000000003</v>
      </c>
      <c r="L874" s="2">
        <v>1.5</v>
      </c>
      <c r="M874" s="2">
        <v>23.57</v>
      </c>
      <c r="N874" s="2" t="s">
        <v>3134</v>
      </c>
      <c r="O874" s="56">
        <v>800</v>
      </c>
      <c r="P874" s="2">
        <v>1.48</v>
      </c>
      <c r="Q874" s="2">
        <v>8.56</v>
      </c>
      <c r="R874" s="2">
        <v>92.74</v>
      </c>
      <c r="S874" s="2">
        <v>6.15</v>
      </c>
      <c r="T874" s="2">
        <v>4.0999999999999996</v>
      </c>
      <c r="U874" s="2">
        <v>86.59</v>
      </c>
      <c r="V874" s="2">
        <v>17.8</v>
      </c>
      <c r="W874" s="2">
        <v>9362.75</v>
      </c>
      <c r="X874" s="2" t="s">
        <v>3135</v>
      </c>
      <c r="Y874" s="2" t="s">
        <v>3136</v>
      </c>
      <c r="Z874" s="2">
        <v>0.1</v>
      </c>
      <c r="AA874" s="2" t="s">
        <v>548</v>
      </c>
      <c r="AB874" s="2">
        <v>292.89999999999998</v>
      </c>
    </row>
    <row r="875" spans="1:28" hidden="1" x14ac:dyDescent="0.3">
      <c r="A875" s="4">
        <v>46253</v>
      </c>
      <c r="B875" s="8" t="s">
        <v>55</v>
      </c>
      <c r="C875" s="8" t="s">
        <v>56</v>
      </c>
      <c r="D875" s="8" t="s">
        <v>43</v>
      </c>
      <c r="E875" s="8" t="s">
        <v>2994</v>
      </c>
      <c r="F875" s="13"/>
      <c r="G875" s="59" t="s">
        <v>146</v>
      </c>
      <c r="H875" s="6"/>
      <c r="I875" s="6">
        <f t="shared" si="60"/>
        <v>0</v>
      </c>
      <c r="J875" s="2">
        <v>7.0000000000000007E-2</v>
      </c>
      <c r="K875" s="2">
        <v>0.02</v>
      </c>
      <c r="L875" s="2">
        <v>0.05</v>
      </c>
      <c r="M875" s="2">
        <v>68.400000000000006</v>
      </c>
      <c r="N875" s="2" t="s">
        <v>45</v>
      </c>
      <c r="O875" s="56" t="s">
        <v>45</v>
      </c>
      <c r="P875" s="2" t="s">
        <v>45</v>
      </c>
      <c r="Q875" s="2" t="s">
        <v>45</v>
      </c>
      <c r="R875" s="2">
        <v>0.47</v>
      </c>
      <c r="S875" s="2" t="s">
        <v>548</v>
      </c>
      <c r="T875" s="2" t="s">
        <v>548</v>
      </c>
      <c r="U875" s="2">
        <v>0.47</v>
      </c>
      <c r="V875" s="2">
        <v>20.48</v>
      </c>
      <c r="W875" s="2">
        <v>8939.2199999999993</v>
      </c>
      <c r="X875" s="2" t="s">
        <v>45</v>
      </c>
      <c r="Y875" s="2" t="s">
        <v>45</v>
      </c>
      <c r="Z875" s="2" t="s">
        <v>548</v>
      </c>
      <c r="AA875" s="2" t="s">
        <v>45</v>
      </c>
      <c r="AB875" s="2" t="s">
        <v>3099</v>
      </c>
    </row>
    <row r="876" spans="1:28" hidden="1" x14ac:dyDescent="0.3">
      <c r="A876" s="4">
        <v>46253</v>
      </c>
      <c r="B876" s="8" t="s">
        <v>3094</v>
      </c>
      <c r="C876" s="8" t="s">
        <v>36</v>
      </c>
      <c r="D876" s="8" t="s">
        <v>67</v>
      </c>
      <c r="E876" s="8" t="s">
        <v>47</v>
      </c>
      <c r="F876" s="13"/>
      <c r="G876" s="6"/>
      <c r="H876" s="6">
        <f>15000/6</f>
        <v>2500</v>
      </c>
      <c r="I876" s="6">
        <f t="shared" si="60"/>
        <v>70.260869565217391</v>
      </c>
      <c r="J876" s="2">
        <v>8.25</v>
      </c>
      <c r="K876" s="2">
        <v>5.75</v>
      </c>
      <c r="L876" s="2">
        <v>2.5</v>
      </c>
      <c r="M876" s="2">
        <v>30.29</v>
      </c>
      <c r="N876" s="2" t="s">
        <v>3137</v>
      </c>
      <c r="O876" s="56">
        <v>404</v>
      </c>
      <c r="P876" s="2">
        <v>1.7</v>
      </c>
      <c r="Q876" s="2">
        <v>10.64</v>
      </c>
      <c r="R876" s="2">
        <v>120.66</v>
      </c>
      <c r="S876" s="2">
        <v>8.52</v>
      </c>
      <c r="T876" s="2">
        <v>3.41</v>
      </c>
      <c r="U876" s="2">
        <v>112.14</v>
      </c>
      <c r="V876" s="2">
        <v>19.489999999999998</v>
      </c>
      <c r="W876" s="2">
        <v>782.36</v>
      </c>
      <c r="X876" s="2" t="s">
        <v>3138</v>
      </c>
      <c r="Y876" s="2" t="s">
        <v>3139</v>
      </c>
      <c r="Z876" s="2">
        <v>1.5</v>
      </c>
      <c r="AA876" s="2" t="s">
        <v>548</v>
      </c>
      <c r="AB876" s="2">
        <v>74.5</v>
      </c>
    </row>
    <row r="877" spans="1:28" hidden="1" x14ac:dyDescent="0.3">
      <c r="A877" s="4">
        <v>46253</v>
      </c>
      <c r="B877" s="8" t="s">
        <v>3094</v>
      </c>
      <c r="C877" s="8" t="s">
        <v>36</v>
      </c>
      <c r="D877" s="8" t="s">
        <v>67</v>
      </c>
      <c r="E877" s="8" t="s">
        <v>61</v>
      </c>
      <c r="F877" s="13"/>
      <c r="G877" s="6"/>
      <c r="H877" s="6"/>
      <c r="I877" s="6">
        <f t="shared" si="60"/>
        <v>0</v>
      </c>
      <c r="J877" s="2"/>
      <c r="K877" s="2"/>
      <c r="L877" s="2"/>
      <c r="M877" s="2"/>
      <c r="N877" s="2"/>
      <c r="O877" s="56">
        <v>880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idden="1" x14ac:dyDescent="0.3">
      <c r="A878" s="4">
        <v>46253</v>
      </c>
      <c r="B878" s="8" t="s">
        <v>3094</v>
      </c>
      <c r="C878" s="8" t="s">
        <v>36</v>
      </c>
      <c r="D878" s="8" t="s">
        <v>50</v>
      </c>
      <c r="E878" s="8" t="s">
        <v>47</v>
      </c>
      <c r="F878" s="13"/>
      <c r="G878" s="6"/>
      <c r="H878" s="6">
        <f>15000/6</f>
        <v>2500</v>
      </c>
      <c r="I878" s="6">
        <f t="shared" si="60"/>
        <v>411.92368839427661</v>
      </c>
      <c r="J878" s="2">
        <v>7.14</v>
      </c>
      <c r="K878" s="2">
        <v>6.29</v>
      </c>
      <c r="L878" s="2">
        <v>0.85</v>
      </c>
      <c r="M878" s="2">
        <v>11.91</v>
      </c>
      <c r="N878" s="2" t="s">
        <v>3100</v>
      </c>
      <c r="O878" s="56">
        <v>2591</v>
      </c>
      <c r="P878" s="2">
        <v>2.15</v>
      </c>
      <c r="Q878" s="2">
        <v>18.88</v>
      </c>
      <c r="R878" s="2">
        <v>137.22</v>
      </c>
      <c r="S878" s="2">
        <v>3.31</v>
      </c>
      <c r="T878" s="2">
        <v>3.9</v>
      </c>
      <c r="U878" s="2">
        <v>133.91</v>
      </c>
      <c r="V878" s="2">
        <v>21.31</v>
      </c>
      <c r="W878" s="2">
        <v>2609.09</v>
      </c>
      <c r="X878" s="2" t="s">
        <v>3140</v>
      </c>
      <c r="Y878" s="2" t="s">
        <v>3141</v>
      </c>
      <c r="Z878" s="2">
        <v>0.1</v>
      </c>
      <c r="AA878" s="2" t="s">
        <v>548</v>
      </c>
      <c r="AB878" s="2">
        <v>338.2</v>
      </c>
    </row>
    <row r="879" spans="1:28" hidden="1" x14ac:dyDescent="0.3">
      <c r="A879" s="4">
        <v>46253</v>
      </c>
      <c r="B879" s="8" t="s">
        <v>3094</v>
      </c>
      <c r="C879" s="8" t="s">
        <v>36</v>
      </c>
      <c r="D879" s="8" t="s">
        <v>52</v>
      </c>
      <c r="E879" s="8" t="s">
        <v>47</v>
      </c>
      <c r="F879" s="13"/>
      <c r="G879" s="6"/>
      <c r="H879" s="6">
        <f>15000/6</f>
        <v>2500</v>
      </c>
      <c r="I879" s="6">
        <f t="shared" si="60"/>
        <v>240.96989966555182</v>
      </c>
      <c r="J879" s="2">
        <v>13.56</v>
      </c>
      <c r="K879" s="2">
        <v>11.96</v>
      </c>
      <c r="L879" s="2">
        <v>1.6</v>
      </c>
      <c r="M879" s="2">
        <v>11.8</v>
      </c>
      <c r="N879" s="2" t="s">
        <v>3142</v>
      </c>
      <c r="O879" s="56">
        <v>2882</v>
      </c>
      <c r="P879" s="2">
        <v>1.95</v>
      </c>
      <c r="Q879" s="2">
        <v>11.47</v>
      </c>
      <c r="R879" s="2">
        <v>251.26</v>
      </c>
      <c r="S879" s="2">
        <v>6.15</v>
      </c>
      <c r="T879" s="2">
        <v>3.84</v>
      </c>
      <c r="U879" s="2">
        <v>245.11</v>
      </c>
      <c r="V879" s="2">
        <v>20.49</v>
      </c>
      <c r="W879" s="2">
        <v>1218.02</v>
      </c>
      <c r="X879" s="2" t="s">
        <v>3143</v>
      </c>
      <c r="Y879" s="2" t="s">
        <v>3144</v>
      </c>
      <c r="Z879" s="2">
        <v>3.4</v>
      </c>
      <c r="AA879" s="2" t="s">
        <v>548</v>
      </c>
      <c r="AB879" s="2" t="s">
        <v>3145</v>
      </c>
    </row>
    <row r="880" spans="1:28" hidden="1" x14ac:dyDescent="0.3">
      <c r="A880" s="4">
        <v>46253</v>
      </c>
      <c r="B880" s="8" t="s">
        <v>3094</v>
      </c>
      <c r="C880" s="8" t="s">
        <v>36</v>
      </c>
      <c r="D880" s="7" t="s">
        <v>46</v>
      </c>
      <c r="E880" s="8" t="s">
        <v>47</v>
      </c>
      <c r="F880" s="13"/>
      <c r="G880" s="6"/>
      <c r="H880" s="6">
        <f>15000/6</f>
        <v>2500</v>
      </c>
      <c r="I880" s="6">
        <f t="shared" si="60"/>
        <v>347.3047304730473</v>
      </c>
      <c r="J880" s="2">
        <v>10.44</v>
      </c>
      <c r="K880" s="2">
        <v>9.09</v>
      </c>
      <c r="L880" s="2">
        <v>1.35</v>
      </c>
      <c r="M880" s="2">
        <v>12.93</v>
      </c>
      <c r="N880" s="2" t="s">
        <v>3146</v>
      </c>
      <c r="O880" s="56">
        <v>3157</v>
      </c>
      <c r="P880" s="2">
        <v>3.2</v>
      </c>
      <c r="Q880" s="2">
        <v>11.1</v>
      </c>
      <c r="R880" s="2">
        <v>284.38</v>
      </c>
      <c r="S880" s="2">
        <v>7.57</v>
      </c>
      <c r="T880" s="2">
        <v>5.61</v>
      </c>
      <c r="U880" s="2">
        <v>276.81</v>
      </c>
      <c r="V880" s="2">
        <v>30.44</v>
      </c>
      <c r="W880" s="2">
        <v>8196.81</v>
      </c>
      <c r="X880" s="2" t="s">
        <v>3147</v>
      </c>
      <c r="Y880" s="2" t="s">
        <v>3148</v>
      </c>
      <c r="Z880" s="2">
        <v>0.5</v>
      </c>
      <c r="AA880" s="2" t="s">
        <v>548</v>
      </c>
      <c r="AB880" s="2">
        <v>257.8</v>
      </c>
    </row>
    <row r="881" spans="1:28" x14ac:dyDescent="0.3">
      <c r="A881" s="4">
        <v>46253</v>
      </c>
      <c r="B881" s="8" t="s">
        <v>3094</v>
      </c>
      <c r="C881" s="8" t="s">
        <v>36</v>
      </c>
      <c r="D881" s="8" t="s">
        <v>48</v>
      </c>
      <c r="E881" s="7" t="s">
        <v>38</v>
      </c>
      <c r="F881" s="13">
        <v>2485</v>
      </c>
      <c r="G881" s="6"/>
      <c r="H881" s="6">
        <f>24000/3</f>
        <v>8000</v>
      </c>
      <c r="I881" s="6">
        <f t="shared" si="60"/>
        <v>462.04986149584488</v>
      </c>
      <c r="J881" s="2">
        <v>7.86</v>
      </c>
      <c r="K881" s="2">
        <v>7.22</v>
      </c>
      <c r="L881" s="2">
        <v>0.65</v>
      </c>
      <c r="M881" s="2">
        <v>8.26</v>
      </c>
      <c r="N881" s="2" t="s">
        <v>3137</v>
      </c>
      <c r="O881" s="56">
        <v>3336</v>
      </c>
      <c r="P881" s="2">
        <v>4.42</v>
      </c>
      <c r="Q881" s="2">
        <v>11.99</v>
      </c>
      <c r="R881" s="2">
        <v>278.23</v>
      </c>
      <c r="S881" s="2">
        <v>4.7300000000000004</v>
      </c>
      <c r="T881" s="2">
        <v>7.28</v>
      </c>
      <c r="U881" s="2">
        <v>273.5</v>
      </c>
      <c r="V881" s="2">
        <v>37.909999999999997</v>
      </c>
      <c r="W881" s="2">
        <v>6798.15</v>
      </c>
      <c r="X881" s="2" t="s">
        <v>3149</v>
      </c>
      <c r="Y881" s="2" t="s">
        <v>3150</v>
      </c>
      <c r="Z881" s="2" t="s">
        <v>548</v>
      </c>
      <c r="AA881" s="2" t="s">
        <v>548</v>
      </c>
      <c r="AB881" s="2">
        <v>49.7</v>
      </c>
    </row>
    <row r="882" spans="1:28" hidden="1" x14ac:dyDescent="0.3">
      <c r="A882" s="4">
        <v>46253</v>
      </c>
      <c r="B882" s="8" t="s">
        <v>3094</v>
      </c>
      <c r="C882" s="8" t="s">
        <v>36</v>
      </c>
      <c r="D882" s="8" t="s">
        <v>49</v>
      </c>
      <c r="E882" s="8" t="s">
        <v>47</v>
      </c>
      <c r="F882" s="13"/>
      <c r="G882" s="59"/>
      <c r="H882" s="6">
        <f>15000/6</f>
        <v>2500</v>
      </c>
      <c r="I882" s="6">
        <f t="shared" si="60"/>
        <v>559.96784565916403</v>
      </c>
      <c r="J882" s="2">
        <v>7.82</v>
      </c>
      <c r="K882" s="2">
        <v>6.22</v>
      </c>
      <c r="L882" s="2">
        <v>1.6</v>
      </c>
      <c r="M882" s="2">
        <v>20.47</v>
      </c>
      <c r="N882" s="2" t="s">
        <v>3151</v>
      </c>
      <c r="O882" s="56">
        <v>3483</v>
      </c>
      <c r="P882" s="2">
        <v>3.64</v>
      </c>
      <c r="Q882" s="2">
        <v>13.22</v>
      </c>
      <c r="R882" s="2">
        <v>263.56</v>
      </c>
      <c r="S882" s="2">
        <v>8.0399999999999991</v>
      </c>
      <c r="T882" s="2">
        <v>5.03</v>
      </c>
      <c r="U882" s="2">
        <v>255.52</v>
      </c>
      <c r="V882" s="2">
        <v>41.1</v>
      </c>
      <c r="W882" s="2">
        <v>2127.6</v>
      </c>
      <c r="X882" s="2" t="s">
        <v>3152</v>
      </c>
      <c r="Y882" s="2" t="s">
        <v>3153</v>
      </c>
      <c r="Z882" s="2" t="s">
        <v>548</v>
      </c>
      <c r="AA882" s="2" t="s">
        <v>548</v>
      </c>
      <c r="AB882" s="2">
        <v>5.7</v>
      </c>
    </row>
    <row r="883" spans="1:28" hidden="1" x14ac:dyDescent="0.3">
      <c r="A883" s="4">
        <v>46254</v>
      </c>
      <c r="B883" s="8" t="s">
        <v>3094</v>
      </c>
      <c r="C883" s="8" t="s">
        <v>36</v>
      </c>
      <c r="D883" s="8" t="s">
        <v>39</v>
      </c>
      <c r="E883" s="8" t="s">
        <v>47</v>
      </c>
      <c r="F883" s="13"/>
      <c r="G883" s="59"/>
      <c r="H883" s="6">
        <f>15000/6</f>
        <v>2500</v>
      </c>
      <c r="I883" s="6">
        <f t="shared" si="60"/>
        <v>264.22764227642278</v>
      </c>
      <c r="J883" s="2">
        <v>3.11</v>
      </c>
      <c r="K883" s="2">
        <v>2.46</v>
      </c>
      <c r="L883" s="2">
        <v>0.65</v>
      </c>
      <c r="M883" s="2">
        <v>20.91</v>
      </c>
      <c r="N883" s="2" t="s">
        <v>3080</v>
      </c>
      <c r="O883" s="56">
        <v>650</v>
      </c>
      <c r="P883" s="2">
        <v>1.62</v>
      </c>
      <c r="Q883" s="2">
        <v>10.31</v>
      </c>
      <c r="R883" s="2">
        <v>47.32</v>
      </c>
      <c r="S883" s="2">
        <v>2.37</v>
      </c>
      <c r="T883" s="2">
        <v>3.64</v>
      </c>
      <c r="U883" s="2">
        <v>44.95</v>
      </c>
      <c r="V883" s="2">
        <v>18.28</v>
      </c>
      <c r="W883" s="2">
        <v>9365.85</v>
      </c>
      <c r="X883" s="2" t="s">
        <v>3154</v>
      </c>
      <c r="Y883" s="2" t="s">
        <v>3155</v>
      </c>
      <c r="Z883" s="2" t="s">
        <v>548</v>
      </c>
      <c r="AA883" s="2" t="s">
        <v>548</v>
      </c>
      <c r="AB883" s="2">
        <v>292.89999999999998</v>
      </c>
    </row>
    <row r="884" spans="1:28" hidden="1" x14ac:dyDescent="0.3">
      <c r="A884" s="4">
        <v>46254</v>
      </c>
      <c r="B884" s="8" t="s">
        <v>55</v>
      </c>
      <c r="C884" s="8" t="s">
        <v>56</v>
      </c>
      <c r="D884" s="8" t="s">
        <v>43</v>
      </c>
      <c r="E884" s="8" t="s">
        <v>2994</v>
      </c>
      <c r="F884" s="13"/>
      <c r="G884" s="59" t="s">
        <v>146</v>
      </c>
      <c r="H884" s="6"/>
      <c r="I884" s="6">
        <f t="shared" si="60"/>
        <v>0</v>
      </c>
      <c r="J884" s="2" t="s">
        <v>45</v>
      </c>
      <c r="K884" s="2" t="s">
        <v>45</v>
      </c>
      <c r="L884" s="2" t="s">
        <v>45</v>
      </c>
      <c r="M884" s="2" t="s">
        <v>45</v>
      </c>
      <c r="N884" s="2" t="s">
        <v>45</v>
      </c>
      <c r="O884" s="56" t="s">
        <v>45</v>
      </c>
      <c r="P884" s="2" t="s">
        <v>45</v>
      </c>
      <c r="Q884" s="2" t="s">
        <v>45</v>
      </c>
      <c r="R884" s="2" t="s">
        <v>45</v>
      </c>
      <c r="S884" s="2" t="s">
        <v>45</v>
      </c>
      <c r="T884" s="2" t="s">
        <v>45</v>
      </c>
      <c r="U884" s="2" t="s">
        <v>45</v>
      </c>
      <c r="V884" s="2" t="s">
        <v>45</v>
      </c>
      <c r="W884" s="2" t="s">
        <v>45</v>
      </c>
      <c r="X884" s="2" t="s">
        <v>45</v>
      </c>
      <c r="Y884" s="2" t="s">
        <v>45</v>
      </c>
      <c r="Z884" s="2" t="s">
        <v>45</v>
      </c>
      <c r="AA884" s="2" t="s">
        <v>45</v>
      </c>
      <c r="AB884" s="2" t="s">
        <v>45</v>
      </c>
    </row>
    <row r="885" spans="1:28" hidden="1" x14ac:dyDescent="0.3">
      <c r="A885" s="4">
        <v>46254</v>
      </c>
      <c r="B885" s="8" t="s">
        <v>3094</v>
      </c>
      <c r="C885" s="8" t="s">
        <v>36</v>
      </c>
      <c r="D885" s="8" t="s">
        <v>67</v>
      </c>
      <c r="E885" s="8" t="s">
        <v>47</v>
      </c>
      <c r="F885" s="13"/>
      <c r="G885" s="6"/>
      <c r="H885" s="6">
        <f>15000/6</f>
        <v>2500</v>
      </c>
      <c r="I885" s="6">
        <f t="shared" si="60"/>
        <v>69.664902998236329</v>
      </c>
      <c r="J885" s="2">
        <v>7.72</v>
      </c>
      <c r="K885" s="2">
        <v>5.67</v>
      </c>
      <c r="L885" s="2">
        <v>2.0499999999999998</v>
      </c>
      <c r="M885" s="2">
        <v>26.57</v>
      </c>
      <c r="N885" s="2" t="s">
        <v>3156</v>
      </c>
      <c r="O885" s="56">
        <v>395</v>
      </c>
      <c r="P885" s="2">
        <v>1.25</v>
      </c>
      <c r="Q885" s="2">
        <v>8.06</v>
      </c>
      <c r="R885" s="2">
        <v>95.58</v>
      </c>
      <c r="S885" s="2">
        <v>7.1</v>
      </c>
      <c r="T885" s="2">
        <v>3.46</v>
      </c>
      <c r="U885" s="2">
        <v>88.48</v>
      </c>
      <c r="V885" s="2">
        <v>15.62</v>
      </c>
      <c r="W885" s="2">
        <v>790.08</v>
      </c>
      <c r="X885" s="2" t="s">
        <v>3157</v>
      </c>
      <c r="Y885" s="2" t="s">
        <v>3158</v>
      </c>
      <c r="Z885" s="2" t="s">
        <v>1380</v>
      </c>
      <c r="AA885" s="2" t="s">
        <v>548</v>
      </c>
      <c r="AB885" s="2">
        <v>76.5</v>
      </c>
    </row>
    <row r="886" spans="1:28" hidden="1" x14ac:dyDescent="0.3">
      <c r="A886" s="4">
        <v>46254</v>
      </c>
      <c r="B886" s="8" t="s">
        <v>3094</v>
      </c>
      <c r="C886" s="8" t="s">
        <v>36</v>
      </c>
      <c r="D886" s="8" t="s">
        <v>67</v>
      </c>
      <c r="E886" s="8" t="s">
        <v>61</v>
      </c>
      <c r="F886" s="13"/>
      <c r="G886" s="6"/>
      <c r="H886" s="6"/>
      <c r="I886" s="6">
        <f t="shared" si="60"/>
        <v>0</v>
      </c>
      <c r="J886" s="2"/>
      <c r="K886" s="2"/>
      <c r="L886" s="2"/>
      <c r="M886" s="2"/>
      <c r="N886" s="2"/>
      <c r="O886" s="56">
        <v>375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idden="1" x14ac:dyDescent="0.3">
      <c r="A887" s="4">
        <v>46254</v>
      </c>
      <c r="B887" s="8" t="s">
        <v>3094</v>
      </c>
      <c r="C887" s="8" t="s">
        <v>36</v>
      </c>
      <c r="D887" s="8" t="s">
        <v>50</v>
      </c>
      <c r="E887" s="8" t="s">
        <v>47</v>
      </c>
      <c r="F887" s="13"/>
      <c r="G887" s="6"/>
      <c r="H887" s="6">
        <f>15000/6</f>
        <v>2500</v>
      </c>
      <c r="I887" s="6">
        <f t="shared" si="60"/>
        <v>250.1547987616099</v>
      </c>
      <c r="J887" s="2">
        <v>7.91</v>
      </c>
      <c r="K887" s="2">
        <v>6.46</v>
      </c>
      <c r="L887" s="2">
        <v>1.45</v>
      </c>
      <c r="M887" s="2">
        <v>18.34</v>
      </c>
      <c r="N887" s="2" t="s">
        <v>3159</v>
      </c>
      <c r="O887" s="56">
        <v>1616</v>
      </c>
      <c r="P887" s="2">
        <v>1.81</v>
      </c>
      <c r="Q887" s="2">
        <v>11.27</v>
      </c>
      <c r="R887" s="2">
        <v>143.37</v>
      </c>
      <c r="S887" s="2">
        <v>6.15</v>
      </c>
      <c r="T887" s="2">
        <v>4.24</v>
      </c>
      <c r="U887" s="2">
        <v>137.22</v>
      </c>
      <c r="V887" s="2">
        <v>21.25</v>
      </c>
      <c r="W887" s="2" t="s">
        <v>3160</v>
      </c>
      <c r="X887" s="2" t="s">
        <v>3161</v>
      </c>
      <c r="Y887" s="2" t="s">
        <v>3162</v>
      </c>
      <c r="Z887" s="2">
        <v>0.9</v>
      </c>
      <c r="AA887" s="2" t="s">
        <v>548</v>
      </c>
      <c r="AB887" s="2">
        <v>339.1</v>
      </c>
    </row>
    <row r="888" spans="1:28" hidden="1" x14ac:dyDescent="0.3">
      <c r="A888" s="4">
        <v>46254</v>
      </c>
      <c r="B888" s="8" t="s">
        <v>3094</v>
      </c>
      <c r="C888" s="8" t="s">
        <v>36</v>
      </c>
      <c r="D888" s="8" t="s">
        <v>52</v>
      </c>
      <c r="E888" s="8" t="s">
        <v>47</v>
      </c>
      <c r="F888" s="13"/>
      <c r="G888" s="6"/>
      <c r="H888" s="6">
        <f>15000/6</f>
        <v>2500</v>
      </c>
      <c r="I888" s="6">
        <f t="shared" si="60"/>
        <v>275.103734439834</v>
      </c>
      <c r="J888" s="2">
        <v>9.0299999999999994</v>
      </c>
      <c r="K888" s="2">
        <v>7.23</v>
      </c>
      <c r="L888" s="2">
        <v>1.8</v>
      </c>
      <c r="M888" s="2">
        <v>19.93</v>
      </c>
      <c r="N888" s="2" t="s">
        <v>3163</v>
      </c>
      <c r="O888" s="56">
        <v>1989</v>
      </c>
      <c r="P888" s="2">
        <v>1.99</v>
      </c>
      <c r="Q888" s="2">
        <v>12.51</v>
      </c>
      <c r="R888" s="2">
        <v>158.99</v>
      </c>
      <c r="S888" s="2">
        <v>6.62</v>
      </c>
      <c r="T888" s="2">
        <v>3.68</v>
      </c>
      <c r="U888" s="2">
        <v>152.36000000000001</v>
      </c>
      <c r="V888" s="2">
        <v>21.07</v>
      </c>
      <c r="W888" s="2">
        <v>1227.05</v>
      </c>
      <c r="X888" s="2" t="s">
        <v>3164</v>
      </c>
      <c r="Y888" s="2" t="s">
        <v>3165</v>
      </c>
      <c r="Z888" s="2" t="s">
        <v>548</v>
      </c>
      <c r="AA888" s="2" t="s">
        <v>548</v>
      </c>
      <c r="AB888" s="2" t="s">
        <v>3145</v>
      </c>
    </row>
    <row r="889" spans="1:28" hidden="1" x14ac:dyDescent="0.3">
      <c r="A889" s="4">
        <v>46254</v>
      </c>
      <c r="B889" s="8" t="s">
        <v>3094</v>
      </c>
      <c r="C889" s="8" t="s">
        <v>36</v>
      </c>
      <c r="D889" s="7" t="s">
        <v>46</v>
      </c>
      <c r="E889" s="8" t="s">
        <v>47</v>
      </c>
      <c r="F889" s="13"/>
      <c r="G889" s="6"/>
      <c r="H889" s="6">
        <f>15000/6</f>
        <v>2500</v>
      </c>
      <c r="I889" s="6">
        <f t="shared" si="60"/>
        <v>239.33054393305437</v>
      </c>
      <c r="J889" s="2">
        <v>11.86</v>
      </c>
      <c r="K889" s="2">
        <v>9.56</v>
      </c>
      <c r="L889" s="2">
        <v>2.2999999999999998</v>
      </c>
      <c r="M889" s="2">
        <v>19.399999999999999</v>
      </c>
      <c r="N889" s="2" t="s">
        <v>3166</v>
      </c>
      <c r="O889" s="56">
        <v>2288</v>
      </c>
      <c r="P889" s="2">
        <v>2.5299999999999998</v>
      </c>
      <c r="Q889" s="2">
        <v>7.84</v>
      </c>
      <c r="R889" s="2">
        <v>291.95</v>
      </c>
      <c r="S889" s="2">
        <v>12.78</v>
      </c>
      <c r="T889" s="2">
        <v>5.55</v>
      </c>
      <c r="U889" s="2">
        <v>279.17</v>
      </c>
      <c r="V889" s="2">
        <v>29.21</v>
      </c>
      <c r="W889" s="2">
        <v>8208.67</v>
      </c>
      <c r="X889" s="2" t="s">
        <v>3167</v>
      </c>
      <c r="Y889" s="2" t="s">
        <v>3168</v>
      </c>
      <c r="Z889" s="2">
        <v>1.1000000000000001</v>
      </c>
      <c r="AA889" s="2" t="s">
        <v>548</v>
      </c>
      <c r="AB889" s="2">
        <v>258.89999999999998</v>
      </c>
    </row>
    <row r="890" spans="1:28" x14ac:dyDescent="0.3">
      <c r="A890" s="4">
        <v>46254</v>
      </c>
      <c r="B890" s="8" t="s">
        <v>3094</v>
      </c>
      <c r="C890" s="8" t="s">
        <v>36</v>
      </c>
      <c r="D890" s="8" t="s">
        <v>48</v>
      </c>
      <c r="E890" s="7" t="s">
        <v>38</v>
      </c>
      <c r="F890" s="13"/>
      <c r="G890" s="59" t="s">
        <v>146</v>
      </c>
      <c r="H890" s="6"/>
      <c r="I890" s="6">
        <f t="shared" si="60"/>
        <v>0</v>
      </c>
      <c r="J890" s="2">
        <v>0.94</v>
      </c>
      <c r="K890" s="2">
        <v>0.28999999999999998</v>
      </c>
      <c r="L890" s="2">
        <v>0.65</v>
      </c>
      <c r="M890" s="2">
        <v>69.459999999999994</v>
      </c>
      <c r="N890" s="2" t="s">
        <v>548</v>
      </c>
      <c r="O890" s="56">
        <v>0</v>
      </c>
      <c r="P890" s="2" t="s">
        <v>45</v>
      </c>
      <c r="Q890" s="2" t="s">
        <v>548</v>
      </c>
      <c r="R890" s="2">
        <v>10.88</v>
      </c>
      <c r="S890" s="2">
        <v>3.31</v>
      </c>
      <c r="T890" s="2">
        <v>5.0999999999999996</v>
      </c>
      <c r="U890" s="2">
        <v>7.57</v>
      </c>
      <c r="V890" s="2">
        <v>26.49</v>
      </c>
      <c r="W890" s="2">
        <v>6799.09</v>
      </c>
      <c r="X890" s="2" t="s">
        <v>3149</v>
      </c>
      <c r="Y890" s="2" t="s">
        <v>3150</v>
      </c>
      <c r="Z890" s="2" t="s">
        <v>548</v>
      </c>
      <c r="AA890" s="2" t="s">
        <v>45</v>
      </c>
      <c r="AB890" s="2">
        <v>49.7</v>
      </c>
    </row>
    <row r="891" spans="1:28" hidden="1" x14ac:dyDescent="0.3">
      <c r="A891" s="4">
        <v>46254</v>
      </c>
      <c r="B891" s="8" t="s">
        <v>3094</v>
      </c>
      <c r="C891" s="8" t="s">
        <v>36</v>
      </c>
      <c r="D891" s="8" t="s">
        <v>49</v>
      </c>
      <c r="E891" s="8" t="s">
        <v>47</v>
      </c>
      <c r="F891" s="13"/>
      <c r="G891" s="59"/>
      <c r="H891" s="6">
        <f>15000/6</f>
        <v>2500</v>
      </c>
      <c r="I891" s="6">
        <f t="shared" si="60"/>
        <v>477.03549060542798</v>
      </c>
      <c r="J891" s="2">
        <v>6.79</v>
      </c>
      <c r="K891" s="2">
        <v>4.79</v>
      </c>
      <c r="L891" s="2" t="s">
        <v>1380</v>
      </c>
      <c r="M891" s="2">
        <v>29.44</v>
      </c>
      <c r="N891" s="2" t="s">
        <v>3169</v>
      </c>
      <c r="O891" s="56">
        <v>2285</v>
      </c>
      <c r="P891" s="2">
        <v>3.27</v>
      </c>
      <c r="Q891" s="2">
        <v>11.15</v>
      </c>
      <c r="R891" s="2">
        <v>204.89</v>
      </c>
      <c r="S891" s="2">
        <v>8.99</v>
      </c>
      <c r="T891" s="2">
        <v>4.5</v>
      </c>
      <c r="U891" s="2">
        <v>195.89</v>
      </c>
      <c r="V891" s="2">
        <v>40.869999999999997</v>
      </c>
      <c r="W891" s="2">
        <v>2134.4</v>
      </c>
      <c r="X891" s="2" t="s">
        <v>3170</v>
      </c>
      <c r="Y891" s="2" t="s">
        <v>3171</v>
      </c>
      <c r="Z891" s="2" t="s">
        <v>548</v>
      </c>
      <c r="AA891" s="2" t="s">
        <v>548</v>
      </c>
      <c r="AB891" s="2">
        <v>5.7</v>
      </c>
    </row>
    <row r="892" spans="1:28" hidden="1" x14ac:dyDescent="0.3">
      <c r="A892" s="4">
        <v>46255</v>
      </c>
      <c r="B892" s="8" t="s">
        <v>3094</v>
      </c>
      <c r="C892" s="8" t="s">
        <v>36</v>
      </c>
      <c r="D892" s="8" t="s">
        <v>39</v>
      </c>
      <c r="E892" s="8" t="s">
        <v>47</v>
      </c>
      <c r="F892" s="13"/>
      <c r="G892" s="59"/>
      <c r="H892" s="6">
        <f>15000/6</f>
        <v>2500</v>
      </c>
      <c r="I892" s="6">
        <f t="shared" si="60"/>
        <v>241.4364640883978</v>
      </c>
      <c r="J892" s="2">
        <v>7.68</v>
      </c>
      <c r="K892" s="2">
        <v>5.43</v>
      </c>
      <c r="L892" s="2">
        <v>2.25</v>
      </c>
      <c r="M892" s="2">
        <v>29.3</v>
      </c>
      <c r="N892" s="2" t="s">
        <v>3172</v>
      </c>
      <c r="O892" s="56">
        <v>1311</v>
      </c>
      <c r="P892" s="2">
        <v>1.62</v>
      </c>
      <c r="Q892" s="2">
        <v>12.42</v>
      </c>
      <c r="R892" s="2">
        <v>105.52</v>
      </c>
      <c r="S892" s="2">
        <v>8.99</v>
      </c>
      <c r="T892" s="2" t="s">
        <v>1855</v>
      </c>
      <c r="U892" s="2">
        <v>96.53</v>
      </c>
      <c r="V892" s="2">
        <v>17.78</v>
      </c>
      <c r="W892" s="2">
        <v>9373.5300000000007</v>
      </c>
      <c r="X892" s="2" t="s">
        <v>3173</v>
      </c>
      <c r="Y892" s="2" t="s">
        <v>3174</v>
      </c>
      <c r="Z892" s="2" t="s">
        <v>548</v>
      </c>
      <c r="AA892" s="2" t="s">
        <v>548</v>
      </c>
      <c r="AB892" s="2">
        <v>292.89999999999998</v>
      </c>
    </row>
    <row r="893" spans="1:28" hidden="1" x14ac:dyDescent="0.3">
      <c r="A893" s="4">
        <v>46255</v>
      </c>
      <c r="B893" s="8" t="s">
        <v>55</v>
      </c>
      <c r="C893" s="8" t="s">
        <v>56</v>
      </c>
      <c r="D893" s="8" t="s">
        <v>43</v>
      </c>
      <c r="E893" s="8" t="s">
        <v>2994</v>
      </c>
      <c r="F893" s="13"/>
      <c r="G893" s="59" t="s">
        <v>146</v>
      </c>
      <c r="H893" s="6"/>
      <c r="I893" s="6">
        <f t="shared" si="60"/>
        <v>0</v>
      </c>
      <c r="J893" s="2" t="s">
        <v>45</v>
      </c>
      <c r="K893" s="2" t="s">
        <v>45</v>
      </c>
      <c r="L893" s="2" t="s">
        <v>45</v>
      </c>
      <c r="M893" s="2" t="s">
        <v>45</v>
      </c>
      <c r="N893" s="2" t="s">
        <v>45</v>
      </c>
      <c r="O893" s="56" t="s">
        <v>45</v>
      </c>
      <c r="P893" s="2" t="s">
        <v>45</v>
      </c>
      <c r="Q893" s="2" t="s">
        <v>45</v>
      </c>
      <c r="R893" s="2" t="s">
        <v>45</v>
      </c>
      <c r="S893" s="2" t="s">
        <v>45</v>
      </c>
      <c r="T893" s="2" t="s">
        <v>45</v>
      </c>
      <c r="U893" s="2" t="s">
        <v>45</v>
      </c>
      <c r="V893" s="2" t="s">
        <v>45</v>
      </c>
      <c r="W893" s="2" t="s">
        <v>45</v>
      </c>
      <c r="X893" s="2" t="s">
        <v>45</v>
      </c>
      <c r="Y893" s="2" t="s">
        <v>45</v>
      </c>
      <c r="Z893" s="2" t="s">
        <v>45</v>
      </c>
      <c r="AA893" s="2" t="s">
        <v>45</v>
      </c>
      <c r="AB893" s="2" t="s">
        <v>45</v>
      </c>
    </row>
    <row r="894" spans="1:28" hidden="1" x14ac:dyDescent="0.3">
      <c r="A894" s="4">
        <v>46255</v>
      </c>
      <c r="B894" s="8" t="s">
        <v>3094</v>
      </c>
      <c r="C894" s="8" t="s">
        <v>36</v>
      </c>
      <c r="D894" s="8" t="s">
        <v>67</v>
      </c>
      <c r="E894" s="8" t="s">
        <v>47</v>
      </c>
      <c r="F894" s="13"/>
      <c r="G894" s="59"/>
      <c r="H894" s="6">
        <f>15000/6</f>
        <v>2500</v>
      </c>
      <c r="I894" s="6">
        <f t="shared" si="60"/>
        <v>111.86943620178042</v>
      </c>
      <c r="J894" s="2">
        <v>7.54</v>
      </c>
      <c r="K894" s="2">
        <v>6.74</v>
      </c>
      <c r="L894" s="2">
        <v>0.8</v>
      </c>
      <c r="M894" s="2">
        <v>10.6</v>
      </c>
      <c r="N894" s="2" t="s">
        <v>3175</v>
      </c>
      <c r="O894" s="56">
        <f>1504-750</f>
        <v>754</v>
      </c>
      <c r="P894" s="2">
        <v>1.55</v>
      </c>
      <c r="Q894" s="2">
        <v>10.32</v>
      </c>
      <c r="R894" s="2">
        <v>145.74</v>
      </c>
      <c r="S894" s="2">
        <v>2.84</v>
      </c>
      <c r="T894" s="2">
        <v>3.55</v>
      </c>
      <c r="U894" s="2">
        <v>142.9</v>
      </c>
      <c r="V894" s="2">
        <v>21.19</v>
      </c>
      <c r="W894" s="2">
        <v>797.62</v>
      </c>
      <c r="X894" s="2" t="s">
        <v>3176</v>
      </c>
      <c r="Y894" s="2" t="s">
        <v>3177</v>
      </c>
      <c r="Z894" s="2">
        <v>1.4</v>
      </c>
      <c r="AA894" s="2" t="s">
        <v>548</v>
      </c>
      <c r="AB894" s="2">
        <v>78.2</v>
      </c>
    </row>
    <row r="895" spans="1:28" hidden="1" x14ac:dyDescent="0.3">
      <c r="A895" s="4">
        <v>46255</v>
      </c>
      <c r="B895" s="8" t="s">
        <v>3094</v>
      </c>
      <c r="C895" s="8" t="s">
        <v>36</v>
      </c>
      <c r="D895" s="8" t="s">
        <v>67</v>
      </c>
      <c r="E895" s="8" t="s">
        <v>61</v>
      </c>
      <c r="F895" s="13"/>
      <c r="G895" s="59"/>
      <c r="H895" s="6"/>
      <c r="I895" s="6"/>
      <c r="J895" s="2"/>
      <c r="K895" s="2"/>
      <c r="L895" s="2"/>
      <c r="M895" s="2"/>
      <c r="N895" s="2"/>
      <c r="O895" s="56">
        <f>30*25</f>
        <v>750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idden="1" x14ac:dyDescent="0.3">
      <c r="A896" s="4">
        <v>46255</v>
      </c>
      <c r="B896" s="8" t="s">
        <v>3094</v>
      </c>
      <c r="C896" s="8" t="s">
        <v>36</v>
      </c>
      <c r="D896" s="8" t="s">
        <v>50</v>
      </c>
      <c r="E896" s="8" t="s">
        <v>47</v>
      </c>
      <c r="F896" s="13"/>
      <c r="G896" s="59"/>
      <c r="H896" s="6">
        <f>15000/6</f>
        <v>2500</v>
      </c>
      <c r="I896" s="6">
        <f t="shared" ref="I896:I930" si="61">IFERROR(O896/K896,)</f>
        <v>361.41078838174269</v>
      </c>
      <c r="J896" s="2">
        <v>8.58</v>
      </c>
      <c r="K896" s="2">
        <v>7.23</v>
      </c>
      <c r="L896" s="2">
        <v>1.35</v>
      </c>
      <c r="M896" s="2">
        <v>15.74</v>
      </c>
      <c r="N896" s="2" t="s">
        <v>3178</v>
      </c>
      <c r="O896" s="56">
        <v>2613</v>
      </c>
      <c r="P896" s="2">
        <v>2.0099999999999998</v>
      </c>
      <c r="Q896" s="2">
        <v>16.989999999999998</v>
      </c>
      <c r="R896" s="2">
        <v>153.78</v>
      </c>
      <c r="S896" s="2">
        <v>4.26</v>
      </c>
      <c r="T896" s="2">
        <v>3.15</v>
      </c>
      <c r="U896" s="2">
        <v>149.52000000000001</v>
      </c>
      <c r="V896" s="2">
        <v>20.68</v>
      </c>
      <c r="W896" s="2">
        <v>2625.58</v>
      </c>
      <c r="X896" s="2" t="s">
        <v>3179</v>
      </c>
      <c r="Y896" s="2" t="s">
        <v>3180</v>
      </c>
      <c r="Z896" s="2">
        <v>0.5</v>
      </c>
      <c r="AA896" s="2" t="s">
        <v>548</v>
      </c>
      <c r="AB896" s="2">
        <v>339.6</v>
      </c>
    </row>
    <row r="897" spans="1:28" hidden="1" x14ac:dyDescent="0.3">
      <c r="A897" s="4">
        <v>46255</v>
      </c>
      <c r="B897" s="8" t="s">
        <v>3094</v>
      </c>
      <c r="C897" s="8" t="s">
        <v>36</v>
      </c>
      <c r="D897" s="8" t="s">
        <v>52</v>
      </c>
      <c r="E897" s="8" t="s">
        <v>47</v>
      </c>
      <c r="F897" s="13"/>
      <c r="G897" s="59"/>
      <c r="H897" s="6">
        <f>15000/6</f>
        <v>2500</v>
      </c>
      <c r="I897" s="6">
        <f t="shared" si="61"/>
        <v>171.15942028985506</v>
      </c>
      <c r="J897" s="2">
        <v>8.3000000000000007</v>
      </c>
      <c r="K897" s="2">
        <v>6.9</v>
      </c>
      <c r="L897" s="2">
        <v>1.4</v>
      </c>
      <c r="M897" s="2">
        <v>16.87</v>
      </c>
      <c r="N897" s="2" t="s">
        <v>3181</v>
      </c>
      <c r="O897" s="56">
        <v>1181</v>
      </c>
      <c r="P897" s="2">
        <v>2.09</v>
      </c>
      <c r="Q897" s="2">
        <v>9.8699999999999992</v>
      </c>
      <c r="R897" s="2">
        <v>119.71</v>
      </c>
      <c r="S897" s="2">
        <v>5.2</v>
      </c>
      <c r="T897" s="2">
        <v>3.72</v>
      </c>
      <c r="U897" s="2">
        <v>114.51</v>
      </c>
      <c r="V897" s="2">
        <v>16.600000000000001</v>
      </c>
      <c r="W897" s="2">
        <v>1235.3499999999999</v>
      </c>
      <c r="X897" s="2" t="s">
        <v>3182</v>
      </c>
      <c r="Y897" s="2" t="s">
        <v>3183</v>
      </c>
      <c r="Z897" s="2">
        <v>0.2</v>
      </c>
      <c r="AA897" s="2" t="s">
        <v>548</v>
      </c>
      <c r="AB897" s="2">
        <v>125.2</v>
      </c>
    </row>
    <row r="898" spans="1:28" hidden="1" x14ac:dyDescent="0.3">
      <c r="A898" s="4">
        <v>46255</v>
      </c>
      <c r="B898" s="8" t="s">
        <v>3094</v>
      </c>
      <c r="C898" s="8" t="s">
        <v>36</v>
      </c>
      <c r="D898" s="7" t="s">
        <v>46</v>
      </c>
      <c r="E898" s="8" t="s">
        <v>47</v>
      </c>
      <c r="F898" s="13"/>
      <c r="G898" s="59"/>
      <c r="H898" s="6">
        <f>15000/6</f>
        <v>2500</v>
      </c>
      <c r="I898" s="6">
        <f t="shared" si="61"/>
        <v>442.66994266994266</v>
      </c>
      <c r="J898" s="2">
        <v>15.01</v>
      </c>
      <c r="K898" s="2">
        <v>12.21</v>
      </c>
      <c r="L898" s="2">
        <v>2.8</v>
      </c>
      <c r="M898" s="2">
        <v>18.66</v>
      </c>
      <c r="N898" s="2" t="s">
        <v>3184</v>
      </c>
      <c r="O898" s="56">
        <v>5405</v>
      </c>
      <c r="P898" s="2">
        <v>3.57</v>
      </c>
      <c r="Q898" s="2">
        <v>13.88</v>
      </c>
      <c r="R898" s="2">
        <v>389.42</v>
      </c>
      <c r="S898" s="2">
        <v>16.09</v>
      </c>
      <c r="T898" s="2">
        <v>5.75</v>
      </c>
      <c r="U898" s="2">
        <v>373.34</v>
      </c>
      <c r="V898" s="2">
        <v>30.58</v>
      </c>
      <c r="W898" s="2">
        <v>8223.67</v>
      </c>
      <c r="X898" s="2" t="s">
        <v>3185</v>
      </c>
      <c r="Y898" s="2" t="s">
        <v>3186</v>
      </c>
      <c r="Z898" s="2">
        <v>0.1</v>
      </c>
      <c r="AA898" s="2" t="s">
        <v>548</v>
      </c>
      <c r="AB898" s="2" t="s">
        <v>3187</v>
      </c>
    </row>
    <row r="899" spans="1:28" x14ac:dyDescent="0.3">
      <c r="A899" s="4">
        <v>46255</v>
      </c>
      <c r="B899" s="8" t="s">
        <v>3094</v>
      </c>
      <c r="C899" s="8" t="s">
        <v>36</v>
      </c>
      <c r="D899" s="8" t="s">
        <v>48</v>
      </c>
      <c r="E899" s="8" t="s">
        <v>2994</v>
      </c>
      <c r="F899" s="13"/>
      <c r="G899" s="59"/>
      <c r="H899" s="6"/>
      <c r="I899" s="6">
        <f t="shared" si="61"/>
        <v>209.11602209944752</v>
      </c>
      <c r="J899" s="2">
        <v>5.37</v>
      </c>
      <c r="K899" s="2">
        <v>3.62</v>
      </c>
      <c r="L899" s="2">
        <v>1.75</v>
      </c>
      <c r="M899" s="2">
        <v>32.6</v>
      </c>
      <c r="N899" s="2" t="s">
        <v>3188</v>
      </c>
      <c r="O899" s="56">
        <v>757</v>
      </c>
      <c r="P899" s="2">
        <v>4.09</v>
      </c>
      <c r="Q899" s="2">
        <v>6.2</v>
      </c>
      <c r="R899" s="2">
        <v>122.08</v>
      </c>
      <c r="S899" s="2">
        <v>8.99</v>
      </c>
      <c r="T899" s="2">
        <v>5.14</v>
      </c>
      <c r="U899" s="2">
        <v>113.09</v>
      </c>
      <c r="V899" s="2">
        <v>31.26</v>
      </c>
      <c r="W899" s="2">
        <v>6804.46</v>
      </c>
      <c r="X899" s="2" t="s">
        <v>3189</v>
      </c>
      <c r="Y899" s="2" t="s">
        <v>3190</v>
      </c>
      <c r="Z899" s="2" t="s">
        <v>548</v>
      </c>
      <c r="AA899" s="2" t="s">
        <v>548</v>
      </c>
      <c r="AB899" s="2">
        <v>49.7</v>
      </c>
    </row>
    <row r="900" spans="1:28" hidden="1" x14ac:dyDescent="0.3">
      <c r="A900" s="4">
        <v>46255</v>
      </c>
      <c r="B900" s="8" t="s">
        <v>3094</v>
      </c>
      <c r="C900" s="8" t="s">
        <v>36</v>
      </c>
      <c r="D900" s="8" t="s">
        <v>49</v>
      </c>
      <c r="E900" s="8" t="s">
        <v>47</v>
      </c>
      <c r="F900" s="13"/>
      <c r="G900" s="59"/>
      <c r="H900" s="6">
        <f>15000/6</f>
        <v>2500</v>
      </c>
      <c r="I900" s="6">
        <f t="shared" si="61"/>
        <v>523.05389221556891</v>
      </c>
      <c r="J900" s="2">
        <v>5.24</v>
      </c>
      <c r="K900" s="2">
        <v>3.34</v>
      </c>
      <c r="L900" s="2">
        <v>1.9</v>
      </c>
      <c r="M900" s="2">
        <v>36.22</v>
      </c>
      <c r="N900" s="2" t="s">
        <v>607</v>
      </c>
      <c r="O900" s="56">
        <v>1747</v>
      </c>
      <c r="P900" s="2">
        <v>3.65</v>
      </c>
      <c r="Q900" s="2">
        <v>12.11</v>
      </c>
      <c r="R900" s="2">
        <v>144.32</v>
      </c>
      <c r="S900" s="2">
        <v>8.99</v>
      </c>
      <c r="T900" s="2">
        <v>4.7300000000000004</v>
      </c>
      <c r="U900" s="2">
        <v>135.33000000000001</v>
      </c>
      <c r="V900" s="2">
        <v>40.46</v>
      </c>
      <c r="W900" s="2">
        <v>2139.64</v>
      </c>
      <c r="X900" s="2" t="s">
        <v>3191</v>
      </c>
      <c r="Y900" s="2" t="s">
        <v>3192</v>
      </c>
      <c r="Z900" s="2" t="s">
        <v>548</v>
      </c>
      <c r="AA900" s="2" t="s">
        <v>548</v>
      </c>
      <c r="AB900" s="2">
        <v>5.7</v>
      </c>
    </row>
    <row r="901" spans="1:28" hidden="1" x14ac:dyDescent="0.3">
      <c r="A901" s="4">
        <v>46256</v>
      </c>
      <c r="B901" s="8" t="s">
        <v>3094</v>
      </c>
      <c r="C901" s="8" t="s">
        <v>36</v>
      </c>
      <c r="D901" s="8" t="s">
        <v>39</v>
      </c>
      <c r="E901" s="8" t="s">
        <v>47</v>
      </c>
      <c r="F901" s="13"/>
      <c r="G901" s="59"/>
      <c r="H901" s="6">
        <f>15000/5</f>
        <v>3000</v>
      </c>
      <c r="I901" s="6">
        <f t="shared" si="61"/>
        <v>326.59409020217731</v>
      </c>
      <c r="J901" s="2">
        <v>8.0299999999999994</v>
      </c>
      <c r="K901" s="2">
        <v>6.43</v>
      </c>
      <c r="L901" s="2">
        <v>1.6</v>
      </c>
      <c r="M901" s="2">
        <v>19.93</v>
      </c>
      <c r="N901" s="2" t="s">
        <v>1739</v>
      </c>
      <c r="O901" s="56">
        <v>2100</v>
      </c>
      <c r="P901" s="2">
        <v>1.72</v>
      </c>
      <c r="Q901" s="2">
        <v>13.5</v>
      </c>
      <c r="R901" s="2">
        <v>120.19</v>
      </c>
      <c r="S901" s="2">
        <v>6.62</v>
      </c>
      <c r="T901" s="2">
        <v>4.1399999999999997</v>
      </c>
      <c r="U901" s="2">
        <v>113.56</v>
      </c>
      <c r="V901" s="2">
        <v>17.670000000000002</v>
      </c>
      <c r="W901" s="2">
        <v>9381.56</v>
      </c>
      <c r="X901" s="2" t="s">
        <v>3193</v>
      </c>
      <c r="Y901" s="2" t="s">
        <v>3194</v>
      </c>
      <c r="Z901" s="2">
        <v>0.1</v>
      </c>
      <c r="AA901" s="2" t="s">
        <v>548</v>
      </c>
      <c r="AB901" s="2" t="s">
        <v>3195</v>
      </c>
    </row>
    <row r="902" spans="1:28" hidden="1" x14ac:dyDescent="0.3">
      <c r="A902" s="4">
        <v>46256</v>
      </c>
      <c r="B902" s="8" t="s">
        <v>55</v>
      </c>
      <c r="C902" s="8" t="s">
        <v>56</v>
      </c>
      <c r="D902" s="8" t="s">
        <v>43</v>
      </c>
      <c r="E902" s="8" t="s">
        <v>2994</v>
      </c>
      <c r="F902" s="13"/>
      <c r="G902" s="59" t="s">
        <v>146</v>
      </c>
      <c r="H902" s="6"/>
      <c r="I902" s="6">
        <f t="shared" si="61"/>
        <v>0</v>
      </c>
      <c r="J902" s="2" t="s">
        <v>45</v>
      </c>
      <c r="K902" s="2" t="s">
        <v>45</v>
      </c>
      <c r="L902" s="2" t="s">
        <v>45</v>
      </c>
      <c r="M902" s="2" t="s">
        <v>45</v>
      </c>
      <c r="N902" s="2" t="s">
        <v>45</v>
      </c>
      <c r="O902" s="56" t="s">
        <v>45</v>
      </c>
      <c r="P902" s="2" t="s">
        <v>45</v>
      </c>
      <c r="Q902" s="2" t="s">
        <v>45</v>
      </c>
      <c r="R902" s="2" t="s">
        <v>45</v>
      </c>
      <c r="S902" s="2" t="s">
        <v>45</v>
      </c>
      <c r="T902" s="2" t="s">
        <v>45</v>
      </c>
      <c r="U902" s="2" t="s">
        <v>45</v>
      </c>
      <c r="V902" s="2" t="s">
        <v>45</v>
      </c>
      <c r="W902" s="2" t="s">
        <v>45</v>
      </c>
      <c r="X902" s="2" t="s">
        <v>45</v>
      </c>
      <c r="Y902" s="2" t="s">
        <v>45</v>
      </c>
      <c r="Z902" s="2" t="s">
        <v>45</v>
      </c>
      <c r="AA902" s="2" t="s">
        <v>45</v>
      </c>
      <c r="AB902" s="2" t="s">
        <v>45</v>
      </c>
    </row>
    <row r="903" spans="1:28" hidden="1" x14ac:dyDescent="0.3">
      <c r="A903" s="4">
        <v>46256</v>
      </c>
      <c r="B903" s="8" t="s">
        <v>3094</v>
      </c>
      <c r="C903" s="8" t="s">
        <v>36</v>
      </c>
      <c r="D903" s="8" t="s">
        <v>67</v>
      </c>
      <c r="E903" s="8" t="s">
        <v>61</v>
      </c>
      <c r="F903" s="13"/>
      <c r="G903" s="59"/>
      <c r="H903" s="6"/>
      <c r="I903" s="6">
        <f t="shared" si="61"/>
        <v>139.19308357348703</v>
      </c>
      <c r="J903" s="2">
        <v>8.39</v>
      </c>
      <c r="K903" s="2">
        <v>6.94</v>
      </c>
      <c r="L903" s="2">
        <v>1.45</v>
      </c>
      <c r="M903" s="2">
        <v>17.28</v>
      </c>
      <c r="N903" s="2" t="s">
        <v>2289</v>
      </c>
      <c r="O903" s="56">
        <v>966</v>
      </c>
      <c r="P903" s="2">
        <v>1.58</v>
      </c>
      <c r="Q903" s="2">
        <v>8.5399999999999991</v>
      </c>
      <c r="R903" s="2">
        <v>113.09</v>
      </c>
      <c r="S903" s="2">
        <v>5.2</v>
      </c>
      <c r="T903" s="2">
        <v>3.59</v>
      </c>
      <c r="U903" s="2">
        <v>107.88</v>
      </c>
      <c r="V903" s="2">
        <v>15.54</v>
      </c>
      <c r="W903" s="2">
        <v>806.01</v>
      </c>
      <c r="X903" s="2" t="s">
        <v>3196</v>
      </c>
      <c r="Y903" s="2" t="s">
        <v>3197</v>
      </c>
      <c r="Z903" s="2">
        <v>1.3</v>
      </c>
      <c r="AA903" s="2" t="s">
        <v>548</v>
      </c>
      <c r="AB903" s="2">
        <v>79.5</v>
      </c>
    </row>
    <row r="904" spans="1:28" hidden="1" x14ac:dyDescent="0.3">
      <c r="A904" s="4">
        <v>46256</v>
      </c>
      <c r="B904" s="8" t="s">
        <v>3094</v>
      </c>
      <c r="C904" s="8" t="s">
        <v>36</v>
      </c>
      <c r="D904" s="8" t="s">
        <v>50</v>
      </c>
      <c r="E904" s="8" t="s">
        <v>47</v>
      </c>
      <c r="F904" s="13"/>
      <c r="G904" s="59"/>
      <c r="H904" s="6">
        <f>15000/5</f>
        <v>3000</v>
      </c>
      <c r="I904" s="6">
        <f t="shared" si="61"/>
        <v>381.55136268343819</v>
      </c>
      <c r="J904" s="2">
        <v>6.47</v>
      </c>
      <c r="K904" s="2">
        <v>4.7699999999999996</v>
      </c>
      <c r="L904" s="2">
        <v>1.7</v>
      </c>
      <c r="M904" s="2">
        <v>26.29</v>
      </c>
      <c r="N904" s="2" t="s">
        <v>3198</v>
      </c>
      <c r="O904" s="56">
        <v>1820</v>
      </c>
      <c r="P904" s="2">
        <v>2.2000000000000002</v>
      </c>
      <c r="Q904" s="2">
        <v>17.97</v>
      </c>
      <c r="R904" s="2">
        <v>101.26</v>
      </c>
      <c r="S904" s="2">
        <v>6.15</v>
      </c>
      <c r="T904" s="2">
        <v>3.62</v>
      </c>
      <c r="U904" s="2">
        <v>95.11</v>
      </c>
      <c r="V904" s="2">
        <v>19.95</v>
      </c>
      <c r="W904" s="2">
        <v>2632.04</v>
      </c>
      <c r="X904" s="2" t="s">
        <v>3199</v>
      </c>
      <c r="Y904" s="2" t="s">
        <v>3200</v>
      </c>
      <c r="Z904" s="2" t="s">
        <v>548</v>
      </c>
      <c r="AA904" s="2" t="s">
        <v>548</v>
      </c>
      <c r="AB904" s="2">
        <v>339.6</v>
      </c>
    </row>
    <row r="905" spans="1:28" hidden="1" x14ac:dyDescent="0.3">
      <c r="A905" s="4">
        <v>46256</v>
      </c>
      <c r="B905" s="8" t="s">
        <v>3094</v>
      </c>
      <c r="C905" s="8" t="s">
        <v>36</v>
      </c>
      <c r="D905" s="8" t="s">
        <v>52</v>
      </c>
      <c r="E905" s="8" t="s">
        <v>47</v>
      </c>
      <c r="F905" s="13"/>
      <c r="G905" s="59"/>
      <c r="H905" s="6">
        <f>15000/5</f>
        <v>3000</v>
      </c>
      <c r="I905" s="6">
        <f t="shared" si="61"/>
        <v>156.46153846153845</v>
      </c>
      <c r="J905" s="2">
        <v>7.5</v>
      </c>
      <c r="K905" s="2">
        <v>6.5</v>
      </c>
      <c r="L905" s="2" t="s">
        <v>1696</v>
      </c>
      <c r="M905" s="2">
        <v>13.34</v>
      </c>
      <c r="N905" s="2" t="s">
        <v>3201</v>
      </c>
      <c r="O905" s="56">
        <v>1017</v>
      </c>
      <c r="P905" s="2">
        <v>1.65</v>
      </c>
      <c r="Q905" s="2">
        <v>7.12</v>
      </c>
      <c r="R905" s="2">
        <v>142.9</v>
      </c>
      <c r="S905" s="2">
        <v>3.79</v>
      </c>
      <c r="T905" s="2">
        <v>3.79</v>
      </c>
      <c r="U905" s="2">
        <v>139.11000000000001</v>
      </c>
      <c r="V905" s="2">
        <v>21.41</v>
      </c>
      <c r="W905" s="2">
        <v>1242.8499999999999</v>
      </c>
      <c r="X905" s="2" t="s">
        <v>3202</v>
      </c>
      <c r="Y905" s="2" t="s">
        <v>3203</v>
      </c>
      <c r="Z905" s="2">
        <v>0.4</v>
      </c>
      <c r="AA905" s="2" t="s">
        <v>548</v>
      </c>
      <c r="AB905" s="2">
        <v>125.6</v>
      </c>
    </row>
    <row r="906" spans="1:28" hidden="1" x14ac:dyDescent="0.3">
      <c r="A906" s="4">
        <v>46256</v>
      </c>
      <c r="B906" s="8" t="s">
        <v>3094</v>
      </c>
      <c r="C906" s="8" t="s">
        <v>36</v>
      </c>
      <c r="D906" s="7" t="s">
        <v>46</v>
      </c>
      <c r="E906" s="8" t="s">
        <v>47</v>
      </c>
      <c r="F906" s="13"/>
      <c r="G906" s="59"/>
      <c r="H906" s="6">
        <f>15000/5</f>
        <v>3000</v>
      </c>
      <c r="I906" s="6">
        <f t="shared" si="61"/>
        <v>437.74551665243376</v>
      </c>
      <c r="J906" s="2">
        <v>13.86</v>
      </c>
      <c r="K906" s="2">
        <v>11.71</v>
      </c>
      <c r="L906" s="2">
        <v>2.15</v>
      </c>
      <c r="M906" s="2">
        <v>15.51</v>
      </c>
      <c r="N906" s="2" t="s">
        <v>3204</v>
      </c>
      <c r="O906" s="56">
        <v>5126</v>
      </c>
      <c r="P906" s="2">
        <v>3.86</v>
      </c>
      <c r="Q906" s="2">
        <v>14.2</v>
      </c>
      <c r="R906" s="2">
        <v>361.03</v>
      </c>
      <c r="S906" s="2">
        <v>12.78</v>
      </c>
      <c r="T906" s="2">
        <v>5.94</v>
      </c>
      <c r="U906" s="2">
        <v>348.26</v>
      </c>
      <c r="V906" s="2">
        <v>29.74</v>
      </c>
      <c r="W906" s="2">
        <v>8237.5400000000009</v>
      </c>
      <c r="X906" s="2" t="s">
        <v>3205</v>
      </c>
      <c r="Y906" s="2" t="s">
        <v>3206</v>
      </c>
      <c r="Z906" s="2">
        <v>0.1</v>
      </c>
      <c r="AA906" s="2" t="s">
        <v>548</v>
      </c>
      <c r="AB906" s="2">
        <v>259.10000000000002</v>
      </c>
    </row>
    <row r="907" spans="1:28" x14ac:dyDescent="0.3">
      <c r="A907" s="4">
        <v>46256</v>
      </c>
      <c r="B907" s="8" t="s">
        <v>3094</v>
      </c>
      <c r="C907" s="8" t="s">
        <v>36</v>
      </c>
      <c r="D907" s="8" t="s">
        <v>48</v>
      </c>
      <c r="E907" s="8" t="s">
        <v>2994</v>
      </c>
      <c r="F907" s="13"/>
      <c r="G907" s="59"/>
      <c r="H907" s="6"/>
      <c r="I907" s="6">
        <f t="shared" si="61"/>
        <v>127.30263157894737</v>
      </c>
      <c r="J907" s="2">
        <v>5.34</v>
      </c>
      <c r="K907" s="2">
        <v>3.04</v>
      </c>
      <c r="L907" s="2">
        <v>2.2999999999999998</v>
      </c>
      <c r="M907" s="2">
        <v>43.11</v>
      </c>
      <c r="N907" s="2" t="s">
        <v>3207</v>
      </c>
      <c r="O907" s="56">
        <v>387</v>
      </c>
      <c r="P907" s="2">
        <v>3.15</v>
      </c>
      <c r="Q907" s="2">
        <v>3.82</v>
      </c>
      <c r="R907" s="2">
        <v>101.26</v>
      </c>
      <c r="S907" s="2">
        <v>13.25</v>
      </c>
      <c r="T907" s="2">
        <v>5.76</v>
      </c>
      <c r="U907" s="2">
        <v>88.01</v>
      </c>
      <c r="V907" s="2" t="s">
        <v>3208</v>
      </c>
      <c r="W907" s="2">
        <v>6809.79</v>
      </c>
      <c r="X907" s="2" t="s">
        <v>3209</v>
      </c>
      <c r="Y907" s="2" t="s">
        <v>3210</v>
      </c>
      <c r="Z907" s="2">
        <v>0.1</v>
      </c>
      <c r="AA907" s="2" t="s">
        <v>548</v>
      </c>
      <c r="AB907" s="2">
        <v>49.8</v>
      </c>
    </row>
    <row r="908" spans="1:28" hidden="1" x14ac:dyDescent="0.3">
      <c r="A908" s="4">
        <v>46256</v>
      </c>
      <c r="B908" s="8" t="s">
        <v>3094</v>
      </c>
      <c r="C908" s="8" t="s">
        <v>36</v>
      </c>
      <c r="D908" s="8" t="s">
        <v>49</v>
      </c>
      <c r="E908" s="8" t="s">
        <v>47</v>
      </c>
      <c r="F908" s="13"/>
      <c r="G908" s="59"/>
      <c r="H908" s="6">
        <f>15000/5</f>
        <v>3000</v>
      </c>
      <c r="I908" s="6">
        <f t="shared" si="61"/>
        <v>477.53086419753089</v>
      </c>
      <c r="J908" s="2">
        <v>5.65</v>
      </c>
      <c r="K908" s="2">
        <v>4.05</v>
      </c>
      <c r="L908" s="2">
        <v>1.6</v>
      </c>
      <c r="M908" s="2">
        <v>28.33</v>
      </c>
      <c r="N908" s="2" t="s">
        <v>3201</v>
      </c>
      <c r="O908" s="56">
        <v>1934</v>
      </c>
      <c r="P908" s="2">
        <v>3.14</v>
      </c>
      <c r="Q908" s="2">
        <v>11.2</v>
      </c>
      <c r="R908" s="2">
        <v>172.71</v>
      </c>
      <c r="S908" s="2">
        <v>7.1</v>
      </c>
      <c r="T908" s="2">
        <v>4.4400000000000004</v>
      </c>
      <c r="U908" s="2">
        <v>165.61</v>
      </c>
      <c r="V908" s="2">
        <v>40.92</v>
      </c>
      <c r="W908" s="2">
        <v>2145.29</v>
      </c>
      <c r="X908" s="2" t="s">
        <v>3211</v>
      </c>
      <c r="Y908" s="2" t="s">
        <v>3212</v>
      </c>
      <c r="Z908" s="2" t="s">
        <v>548</v>
      </c>
      <c r="AA908" s="2" t="s">
        <v>548</v>
      </c>
      <c r="AB908" s="2">
        <v>5.7</v>
      </c>
    </row>
    <row r="909" spans="1:28" hidden="1" x14ac:dyDescent="0.3">
      <c r="A909" s="4">
        <v>46257</v>
      </c>
      <c r="B909" s="8" t="s">
        <v>55</v>
      </c>
      <c r="C909" s="8" t="s">
        <v>56</v>
      </c>
      <c r="D909" s="8" t="s">
        <v>39</v>
      </c>
      <c r="E909" s="8" t="s">
        <v>47</v>
      </c>
      <c r="F909" s="13"/>
      <c r="G909" s="59"/>
      <c r="H909" s="6"/>
      <c r="I909" s="6">
        <f t="shared" si="61"/>
        <v>0</v>
      </c>
      <c r="J909" s="2" t="s">
        <v>548</v>
      </c>
      <c r="K909" s="2" t="s">
        <v>548</v>
      </c>
      <c r="L909" s="2" t="s">
        <v>548</v>
      </c>
      <c r="M909" s="2" t="s">
        <v>45</v>
      </c>
      <c r="N909" s="2" t="s">
        <v>548</v>
      </c>
      <c r="O909" s="56">
        <v>0</v>
      </c>
      <c r="P909" s="2" t="s">
        <v>45</v>
      </c>
      <c r="Q909" s="2" t="s">
        <v>45</v>
      </c>
      <c r="R909" s="2" t="s">
        <v>548</v>
      </c>
      <c r="S909" s="2" t="s">
        <v>548</v>
      </c>
      <c r="T909" s="2" t="s">
        <v>45</v>
      </c>
      <c r="U909" s="2" t="s">
        <v>548</v>
      </c>
      <c r="V909" s="2" t="s">
        <v>45</v>
      </c>
      <c r="W909" s="2"/>
      <c r="X909" s="2"/>
      <c r="Y909" s="2"/>
      <c r="Z909" s="2"/>
      <c r="AA909" s="2"/>
      <c r="AB909" s="2"/>
    </row>
    <row r="910" spans="1:28" hidden="1" x14ac:dyDescent="0.3">
      <c r="A910" s="4">
        <v>46257</v>
      </c>
      <c r="B910" s="8" t="s">
        <v>55</v>
      </c>
      <c r="C910" s="8" t="s">
        <v>56</v>
      </c>
      <c r="D910" s="8" t="s">
        <v>43</v>
      </c>
      <c r="E910" s="8" t="s">
        <v>47</v>
      </c>
      <c r="F910" s="13"/>
      <c r="G910" s="59"/>
      <c r="H910" s="6"/>
      <c r="I910" s="6">
        <f t="shared" si="61"/>
        <v>0</v>
      </c>
      <c r="J910" s="2" t="s">
        <v>548</v>
      </c>
      <c r="K910" s="2" t="s">
        <v>548</v>
      </c>
      <c r="L910" s="2" t="s">
        <v>548</v>
      </c>
      <c r="M910" s="2" t="s">
        <v>45</v>
      </c>
      <c r="N910" s="2" t="s">
        <v>45</v>
      </c>
      <c r="O910" s="56" t="s">
        <v>45</v>
      </c>
      <c r="P910" s="2" t="s">
        <v>45</v>
      </c>
      <c r="Q910" s="2" t="s">
        <v>45</v>
      </c>
      <c r="R910" s="2" t="s">
        <v>548</v>
      </c>
      <c r="S910" s="2" t="s">
        <v>548</v>
      </c>
      <c r="T910" s="2" t="s">
        <v>45</v>
      </c>
      <c r="U910" s="2" t="s">
        <v>548</v>
      </c>
      <c r="V910" s="2" t="s">
        <v>45</v>
      </c>
      <c r="W910" s="2"/>
      <c r="X910" s="2"/>
      <c r="Y910" s="2"/>
      <c r="Z910" s="2"/>
      <c r="AA910" s="2"/>
      <c r="AB910" s="2"/>
    </row>
    <row r="911" spans="1:28" hidden="1" x14ac:dyDescent="0.3">
      <c r="A911" s="4">
        <v>46257</v>
      </c>
      <c r="B911" s="8" t="s">
        <v>55</v>
      </c>
      <c r="C911" s="8" t="s">
        <v>56</v>
      </c>
      <c r="D911" s="8" t="s">
        <v>67</v>
      </c>
      <c r="E911" s="8" t="s">
        <v>47</v>
      </c>
      <c r="F911" s="13"/>
      <c r="G911" s="59"/>
      <c r="H911" s="6"/>
      <c r="I911" s="6">
        <f t="shared" si="61"/>
        <v>0</v>
      </c>
      <c r="J911" s="2" t="s">
        <v>45</v>
      </c>
      <c r="K911" s="2" t="s">
        <v>45</v>
      </c>
      <c r="L911" s="2" t="s">
        <v>45</v>
      </c>
      <c r="M911" s="2" t="s">
        <v>45</v>
      </c>
      <c r="N911" s="2" t="s">
        <v>45</v>
      </c>
      <c r="O911" s="56" t="s">
        <v>45</v>
      </c>
      <c r="P911" s="2" t="s">
        <v>45</v>
      </c>
      <c r="Q911" s="2" t="s">
        <v>45</v>
      </c>
      <c r="R911" s="2" t="s">
        <v>45</v>
      </c>
      <c r="S911" s="2" t="s">
        <v>45</v>
      </c>
      <c r="T911" s="2" t="s">
        <v>45</v>
      </c>
      <c r="U911" s="2" t="s">
        <v>45</v>
      </c>
      <c r="V911" s="2" t="s">
        <v>45</v>
      </c>
      <c r="W911" s="2" t="s">
        <v>45</v>
      </c>
      <c r="X911" s="2" t="s">
        <v>45</v>
      </c>
      <c r="Y911" s="2" t="s">
        <v>45</v>
      </c>
      <c r="Z911" s="2" t="s">
        <v>45</v>
      </c>
      <c r="AA911" s="2" t="s">
        <v>45</v>
      </c>
      <c r="AB911" s="2" t="s">
        <v>45</v>
      </c>
    </row>
    <row r="912" spans="1:28" hidden="1" x14ac:dyDescent="0.3">
      <c r="A912" s="4">
        <v>46257</v>
      </c>
      <c r="B912" s="8" t="s">
        <v>55</v>
      </c>
      <c r="C912" s="8" t="s">
        <v>56</v>
      </c>
      <c r="D912" s="8" t="s">
        <v>50</v>
      </c>
      <c r="E912" s="8" t="s">
        <v>47</v>
      </c>
      <c r="F912" s="13"/>
      <c r="G912" s="59"/>
      <c r="H912" s="6"/>
      <c r="I912" s="6">
        <f t="shared" si="61"/>
        <v>0</v>
      </c>
      <c r="J912" s="2" t="s">
        <v>548</v>
      </c>
      <c r="K912" s="2" t="s">
        <v>548</v>
      </c>
      <c r="L912" s="2" t="s">
        <v>548</v>
      </c>
      <c r="M912" s="2" t="s">
        <v>45</v>
      </c>
      <c r="N912" s="2" t="s">
        <v>45</v>
      </c>
      <c r="O912" s="56" t="s">
        <v>45</v>
      </c>
      <c r="P912" s="2" t="s">
        <v>45</v>
      </c>
      <c r="Q912" s="2" t="s">
        <v>45</v>
      </c>
      <c r="R912" s="2" t="s">
        <v>548</v>
      </c>
      <c r="S912" s="2" t="s">
        <v>548</v>
      </c>
      <c r="T912" s="2" t="s">
        <v>45</v>
      </c>
      <c r="U912" s="2" t="s">
        <v>548</v>
      </c>
      <c r="V912" s="2" t="s">
        <v>45</v>
      </c>
      <c r="W912" s="2"/>
      <c r="X912" s="2" t="s">
        <v>45</v>
      </c>
      <c r="Y912" s="2" t="s">
        <v>45</v>
      </c>
      <c r="Z912" s="2" t="s">
        <v>548</v>
      </c>
      <c r="AA912" s="2" t="s">
        <v>45</v>
      </c>
      <c r="AB912" s="2"/>
    </row>
    <row r="913" spans="1:28" hidden="1" x14ac:dyDescent="0.3">
      <c r="A913" s="4">
        <v>46257</v>
      </c>
      <c r="B913" s="8" t="s">
        <v>55</v>
      </c>
      <c r="C913" s="8" t="s">
        <v>56</v>
      </c>
      <c r="D913" s="8" t="s">
        <v>52</v>
      </c>
      <c r="E913" s="8" t="s">
        <v>47</v>
      </c>
      <c r="F913" s="13"/>
      <c r="G913" s="59"/>
      <c r="H913" s="6"/>
      <c r="I913" s="6">
        <f t="shared" si="61"/>
        <v>0</v>
      </c>
      <c r="J913" s="2" t="s">
        <v>45</v>
      </c>
      <c r="K913" s="2" t="s">
        <v>45</v>
      </c>
      <c r="L913" s="2" t="s">
        <v>45</v>
      </c>
      <c r="M913" s="2" t="s">
        <v>45</v>
      </c>
      <c r="N913" s="2" t="s">
        <v>45</v>
      </c>
      <c r="O913" s="56" t="s">
        <v>45</v>
      </c>
      <c r="P913" s="2" t="s">
        <v>45</v>
      </c>
      <c r="Q913" s="2" t="s">
        <v>45</v>
      </c>
      <c r="R913" s="2" t="s">
        <v>45</v>
      </c>
      <c r="S913" s="2" t="s">
        <v>45</v>
      </c>
      <c r="T913" s="2" t="s">
        <v>45</v>
      </c>
      <c r="U913" s="2" t="s">
        <v>45</v>
      </c>
      <c r="V913" s="2" t="s">
        <v>45</v>
      </c>
      <c r="W913" s="2" t="s">
        <v>45</v>
      </c>
      <c r="X913" s="2" t="s">
        <v>45</v>
      </c>
      <c r="Y913" s="2" t="s">
        <v>45</v>
      </c>
      <c r="Z913" s="2" t="s">
        <v>45</v>
      </c>
      <c r="AA913" s="2" t="s">
        <v>45</v>
      </c>
      <c r="AB913" s="2" t="s">
        <v>45</v>
      </c>
    </row>
    <row r="914" spans="1:28" hidden="1" x14ac:dyDescent="0.3">
      <c r="A914" s="4">
        <v>46257</v>
      </c>
      <c r="B914" s="8" t="s">
        <v>55</v>
      </c>
      <c r="C914" s="8" t="s">
        <v>56</v>
      </c>
      <c r="D914" s="7" t="s">
        <v>46</v>
      </c>
      <c r="E914" s="8" t="s">
        <v>47</v>
      </c>
      <c r="F914" s="13"/>
      <c r="G914" s="59"/>
      <c r="H914" s="6"/>
      <c r="I914" s="6">
        <f t="shared" si="61"/>
        <v>0</v>
      </c>
      <c r="J914" s="2" t="s">
        <v>548</v>
      </c>
      <c r="K914" s="2" t="s">
        <v>548</v>
      </c>
      <c r="L914" s="2" t="s">
        <v>548</v>
      </c>
      <c r="M914" s="2" t="s">
        <v>45</v>
      </c>
      <c r="N914" s="2" t="s">
        <v>548</v>
      </c>
      <c r="O914" s="56">
        <v>0</v>
      </c>
      <c r="P914" s="2" t="s">
        <v>45</v>
      </c>
      <c r="Q914" s="2" t="s">
        <v>45</v>
      </c>
      <c r="R914" s="2" t="s">
        <v>548</v>
      </c>
      <c r="S914" s="2" t="s">
        <v>548</v>
      </c>
      <c r="T914" s="2" t="s">
        <v>45</v>
      </c>
      <c r="U914" s="2" t="s">
        <v>548</v>
      </c>
      <c r="V914" s="2" t="s">
        <v>45</v>
      </c>
      <c r="W914" s="2"/>
      <c r="X914" s="2"/>
      <c r="Y914" s="2"/>
      <c r="Z914" s="2"/>
      <c r="AA914" s="2"/>
      <c r="AB914" s="2"/>
    </row>
    <row r="915" spans="1:28" x14ac:dyDescent="0.3">
      <c r="A915" s="4">
        <v>46257</v>
      </c>
      <c r="B915" s="8" t="s">
        <v>55</v>
      </c>
      <c r="C915" s="8" t="s">
        <v>56</v>
      </c>
      <c r="D915" s="8" t="s">
        <v>48</v>
      </c>
      <c r="E915" s="7" t="s">
        <v>2994</v>
      </c>
      <c r="F915" s="13"/>
      <c r="G915" s="59"/>
      <c r="H915" s="6"/>
      <c r="I915" s="6">
        <f t="shared" si="61"/>
        <v>0</v>
      </c>
      <c r="J915" s="2" t="s">
        <v>548</v>
      </c>
      <c r="K915" s="2" t="s">
        <v>548</v>
      </c>
      <c r="L915" s="2" t="s">
        <v>548</v>
      </c>
      <c r="M915" s="2" t="s">
        <v>45</v>
      </c>
      <c r="N915" s="2" t="s">
        <v>548</v>
      </c>
      <c r="O915" s="56">
        <v>0</v>
      </c>
      <c r="P915" s="2" t="s">
        <v>45</v>
      </c>
      <c r="Q915" s="2" t="s">
        <v>45</v>
      </c>
      <c r="R915" s="2" t="s">
        <v>548</v>
      </c>
      <c r="S915" s="2" t="s">
        <v>548</v>
      </c>
      <c r="T915" s="2" t="s">
        <v>45</v>
      </c>
      <c r="U915" s="2" t="s">
        <v>548</v>
      </c>
      <c r="V915" s="2" t="s">
        <v>45</v>
      </c>
      <c r="W915" s="2"/>
      <c r="X915" s="2"/>
      <c r="Y915" s="2"/>
      <c r="Z915" s="2"/>
      <c r="AA915" s="2"/>
      <c r="AB915" s="2"/>
    </row>
    <row r="916" spans="1:28" hidden="1" x14ac:dyDescent="0.3">
      <c r="A916" s="4">
        <v>46257</v>
      </c>
      <c r="B916" s="8" t="s">
        <v>55</v>
      </c>
      <c r="C916" s="8" t="s">
        <v>56</v>
      </c>
      <c r="D916" s="8" t="s">
        <v>49</v>
      </c>
      <c r="E916" s="8" t="s">
        <v>47</v>
      </c>
      <c r="F916" s="13"/>
      <c r="G916" s="59"/>
      <c r="H916" s="6"/>
      <c r="I916" s="6">
        <f t="shared" si="61"/>
        <v>0</v>
      </c>
      <c r="J916" s="2" t="s">
        <v>45</v>
      </c>
      <c r="K916" s="2" t="s">
        <v>45</v>
      </c>
      <c r="L916" s="2" t="s">
        <v>45</v>
      </c>
      <c r="M916" s="2" t="s">
        <v>45</v>
      </c>
      <c r="N916" s="2" t="s">
        <v>45</v>
      </c>
      <c r="O916" s="56" t="s">
        <v>45</v>
      </c>
      <c r="P916" s="2" t="s">
        <v>45</v>
      </c>
      <c r="Q916" s="2" t="s">
        <v>45</v>
      </c>
      <c r="R916" s="2" t="s">
        <v>45</v>
      </c>
      <c r="S916" s="2" t="s">
        <v>45</v>
      </c>
      <c r="T916" s="2" t="s">
        <v>45</v>
      </c>
      <c r="U916" s="2" t="s">
        <v>45</v>
      </c>
      <c r="V916" s="2" t="s">
        <v>45</v>
      </c>
      <c r="W916" s="2" t="s">
        <v>45</v>
      </c>
      <c r="X916" s="2" t="s">
        <v>45</v>
      </c>
      <c r="Y916" s="2" t="s">
        <v>45</v>
      </c>
      <c r="Z916" s="2" t="s">
        <v>45</v>
      </c>
      <c r="AA916" s="2" t="s">
        <v>45</v>
      </c>
      <c r="AB916" s="2" t="s">
        <v>45</v>
      </c>
    </row>
    <row r="917" spans="1:28" hidden="1" x14ac:dyDescent="0.3">
      <c r="A917" s="4">
        <v>46258</v>
      </c>
      <c r="B917" s="8" t="s">
        <v>3213</v>
      </c>
      <c r="C917" s="8" t="s">
        <v>36</v>
      </c>
      <c r="D917" s="8" t="s">
        <v>39</v>
      </c>
      <c r="E917" s="8" t="s">
        <v>47</v>
      </c>
      <c r="F917" s="13"/>
      <c r="G917" s="59"/>
      <c r="H917" s="6">
        <f>15000/7</f>
        <v>2142.8571428571427</v>
      </c>
      <c r="I917" s="6">
        <f t="shared" si="61"/>
        <v>175.52083333333334</v>
      </c>
      <c r="J917" s="2">
        <v>4.17</v>
      </c>
      <c r="K917" s="2">
        <v>1.92</v>
      </c>
      <c r="L917" s="2">
        <v>2.25</v>
      </c>
      <c r="M917" s="2" t="s">
        <v>1852</v>
      </c>
      <c r="N917" s="2" t="s">
        <v>3214</v>
      </c>
      <c r="O917" s="56">
        <v>337</v>
      </c>
      <c r="P917" s="2">
        <v>1.55</v>
      </c>
      <c r="Q917" s="2">
        <v>7.58</v>
      </c>
      <c r="R917" s="2">
        <v>44.48</v>
      </c>
      <c r="S917" s="2">
        <v>8.52</v>
      </c>
      <c r="T917" s="2">
        <v>3.79</v>
      </c>
      <c r="U917" s="2">
        <v>35.96</v>
      </c>
      <c r="V917" s="2">
        <v>18.77</v>
      </c>
      <c r="W917" s="2">
        <v>9385.73</v>
      </c>
      <c r="X917" s="2" t="s">
        <v>3215</v>
      </c>
      <c r="Y917" s="2" t="s">
        <v>3216</v>
      </c>
      <c r="Z917" s="2">
        <v>0.1</v>
      </c>
      <c r="AA917" s="2" t="s">
        <v>548</v>
      </c>
      <c r="AB917" s="2">
        <v>293.10000000000002</v>
      </c>
    </row>
    <row r="918" spans="1:28" hidden="1" x14ac:dyDescent="0.3">
      <c r="A918" s="4">
        <v>46258</v>
      </c>
      <c r="B918" s="8" t="s">
        <v>55</v>
      </c>
      <c r="C918" s="8" t="s">
        <v>56</v>
      </c>
      <c r="D918" s="8" t="s">
        <v>43</v>
      </c>
      <c r="E918" s="8" t="s">
        <v>2994</v>
      </c>
      <c r="F918" s="13"/>
      <c r="G918" s="59" t="s">
        <v>146</v>
      </c>
      <c r="H918" s="6"/>
      <c r="I918" s="6">
        <f t="shared" si="61"/>
        <v>0</v>
      </c>
      <c r="J918" s="2" t="s">
        <v>45</v>
      </c>
      <c r="K918" s="2" t="s">
        <v>45</v>
      </c>
      <c r="L918" s="2" t="s">
        <v>45</v>
      </c>
      <c r="M918" s="2" t="s">
        <v>45</v>
      </c>
      <c r="N918" s="2" t="s">
        <v>45</v>
      </c>
      <c r="O918" s="56" t="s">
        <v>45</v>
      </c>
      <c r="P918" s="2" t="s">
        <v>45</v>
      </c>
      <c r="Q918" s="2" t="s">
        <v>45</v>
      </c>
      <c r="R918" s="2" t="s">
        <v>45</v>
      </c>
      <c r="S918" s="2" t="s">
        <v>45</v>
      </c>
      <c r="T918" s="2" t="s">
        <v>45</v>
      </c>
      <c r="U918" s="2" t="s">
        <v>45</v>
      </c>
      <c r="V918" s="2" t="s">
        <v>45</v>
      </c>
      <c r="W918" s="2" t="s">
        <v>45</v>
      </c>
      <c r="X918" s="2" t="s">
        <v>45</v>
      </c>
      <c r="Y918" s="2" t="s">
        <v>45</v>
      </c>
      <c r="Z918" s="2" t="s">
        <v>45</v>
      </c>
      <c r="AA918" s="2" t="s">
        <v>45</v>
      </c>
      <c r="AB918" s="2" t="s">
        <v>45</v>
      </c>
    </row>
    <row r="919" spans="1:28" hidden="1" x14ac:dyDescent="0.3">
      <c r="A919" s="4">
        <v>46258</v>
      </c>
      <c r="B919" s="8" t="s">
        <v>3213</v>
      </c>
      <c r="C919" s="8" t="s">
        <v>36</v>
      </c>
      <c r="D919" s="8" t="s">
        <v>67</v>
      </c>
      <c r="E919" s="8" t="s">
        <v>47</v>
      </c>
      <c r="F919" s="13"/>
      <c r="G919" s="59"/>
      <c r="H919" s="6">
        <f>15000/7</f>
        <v>2142.8571428571427</v>
      </c>
      <c r="I919" s="6">
        <f t="shared" si="61"/>
        <v>109.44881889763781</v>
      </c>
      <c r="J919" s="2">
        <v>8.4</v>
      </c>
      <c r="K919" s="2">
        <v>6.35</v>
      </c>
      <c r="L919" s="2">
        <v>2.0499999999999998</v>
      </c>
      <c r="M919" s="2">
        <v>24.41</v>
      </c>
      <c r="N919" s="2" t="s">
        <v>3217</v>
      </c>
      <c r="O919" s="56">
        <v>695</v>
      </c>
      <c r="P919" s="2">
        <v>1.65</v>
      </c>
      <c r="Q919" s="2">
        <v>7.23</v>
      </c>
      <c r="R919" s="2">
        <v>127.28</v>
      </c>
      <c r="S919" s="2">
        <v>7.1</v>
      </c>
      <c r="T919" s="2">
        <v>3.46</v>
      </c>
      <c r="U919" s="2">
        <v>120.19</v>
      </c>
      <c r="V919" s="2">
        <v>18.93</v>
      </c>
      <c r="W919" s="2">
        <v>814.41</v>
      </c>
      <c r="X919" s="2" t="s">
        <v>3218</v>
      </c>
      <c r="Y919" s="2" t="s">
        <v>3219</v>
      </c>
      <c r="Z919" s="2" t="s">
        <v>1696</v>
      </c>
      <c r="AA919" s="2" t="s">
        <v>548</v>
      </c>
      <c r="AB919" s="2">
        <v>80.5</v>
      </c>
    </row>
    <row r="920" spans="1:28" hidden="1" x14ac:dyDescent="0.3">
      <c r="A920" s="4">
        <v>46258</v>
      </c>
      <c r="B920" s="8" t="s">
        <v>3213</v>
      </c>
      <c r="C920" s="8" t="s">
        <v>36</v>
      </c>
      <c r="D920" s="8" t="s">
        <v>67</v>
      </c>
      <c r="E920" s="8" t="s">
        <v>61</v>
      </c>
      <c r="F920" s="13"/>
      <c r="G920" s="59"/>
      <c r="H920" s="6"/>
      <c r="I920" s="6">
        <f t="shared" si="61"/>
        <v>0</v>
      </c>
      <c r="J920" s="2"/>
      <c r="K920" s="2"/>
      <c r="L920" s="2"/>
      <c r="M920" s="2"/>
      <c r="N920" s="2"/>
      <c r="O920" s="56">
        <v>225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idden="1" x14ac:dyDescent="0.3">
      <c r="A921" s="4">
        <v>46258</v>
      </c>
      <c r="B921" s="8" t="s">
        <v>3213</v>
      </c>
      <c r="C921" s="8" t="s">
        <v>36</v>
      </c>
      <c r="D921" s="8" t="s">
        <v>50</v>
      </c>
      <c r="E921" s="8" t="s">
        <v>47</v>
      </c>
      <c r="F921" s="13"/>
      <c r="G921" s="59"/>
      <c r="H921" s="6">
        <f>15000/7</f>
        <v>2142.8571428571427</v>
      </c>
      <c r="I921" s="6">
        <f t="shared" si="61"/>
        <v>210.57401812688821</v>
      </c>
      <c r="J921" s="2">
        <v>8.07</v>
      </c>
      <c r="K921" s="2">
        <v>6.62</v>
      </c>
      <c r="L921" s="2">
        <v>1.45</v>
      </c>
      <c r="M921" s="2">
        <v>17.97</v>
      </c>
      <c r="N921" s="2" t="s">
        <v>3220</v>
      </c>
      <c r="O921" s="56">
        <v>1394</v>
      </c>
      <c r="P921" s="2">
        <v>1.85</v>
      </c>
      <c r="Q921" s="2">
        <v>10.09</v>
      </c>
      <c r="R921" s="2">
        <v>138.16999999999999</v>
      </c>
      <c r="S921" s="2">
        <v>6.15</v>
      </c>
      <c r="T921" s="2">
        <v>4.24</v>
      </c>
      <c r="U921" s="2">
        <v>132.02000000000001</v>
      </c>
      <c r="V921" s="2">
        <v>19.95</v>
      </c>
      <c r="W921" s="2">
        <v>2640.11</v>
      </c>
      <c r="X921" s="2" t="s">
        <v>3221</v>
      </c>
      <c r="Y921" s="2" t="s">
        <v>3222</v>
      </c>
      <c r="Z921" s="2">
        <v>1.4</v>
      </c>
      <c r="AA921" s="2" t="s">
        <v>548</v>
      </c>
      <c r="AB921" s="2" t="s">
        <v>3223</v>
      </c>
    </row>
    <row r="922" spans="1:28" hidden="1" x14ac:dyDescent="0.3">
      <c r="A922" s="4">
        <v>46258</v>
      </c>
      <c r="B922" s="8" t="s">
        <v>3213</v>
      </c>
      <c r="C922" s="8" t="s">
        <v>36</v>
      </c>
      <c r="D922" s="8" t="s">
        <v>52</v>
      </c>
      <c r="E922" s="8" t="s">
        <v>47</v>
      </c>
      <c r="F922" s="13"/>
      <c r="G922" s="59"/>
      <c r="H922" s="6">
        <f>15000/7</f>
        <v>2142.8571428571427</v>
      </c>
      <c r="I922" s="6">
        <f t="shared" si="61"/>
        <v>297.70992366412213</v>
      </c>
      <c r="J922" s="2">
        <v>13.33</v>
      </c>
      <c r="K922" s="2">
        <v>10.48</v>
      </c>
      <c r="L922" s="2">
        <v>2.85</v>
      </c>
      <c r="M922" s="2">
        <v>21.39</v>
      </c>
      <c r="N922" s="2" t="s">
        <v>3224</v>
      </c>
      <c r="O922" s="56">
        <v>3120</v>
      </c>
      <c r="P922" s="2">
        <v>2.2200000000000002</v>
      </c>
      <c r="Q922" s="2">
        <v>13.54</v>
      </c>
      <c r="R922" s="2">
        <v>230.44</v>
      </c>
      <c r="S922" s="2">
        <v>10.41</v>
      </c>
      <c r="T922" s="2">
        <v>3.65</v>
      </c>
      <c r="U922" s="2">
        <v>220.03</v>
      </c>
      <c r="V922" s="2" t="s">
        <v>2334</v>
      </c>
      <c r="W922" s="2">
        <v>1256.17</v>
      </c>
      <c r="X922" s="2" t="s">
        <v>3225</v>
      </c>
      <c r="Y922" s="2" t="s">
        <v>3226</v>
      </c>
      <c r="Z922" s="2" t="s">
        <v>548</v>
      </c>
      <c r="AA922" s="2" t="s">
        <v>548</v>
      </c>
      <c r="AB922" s="2">
        <v>125.6</v>
      </c>
    </row>
    <row r="923" spans="1:28" hidden="1" x14ac:dyDescent="0.3">
      <c r="A923" s="4">
        <v>46258</v>
      </c>
      <c r="B923" s="8" t="s">
        <v>3213</v>
      </c>
      <c r="C923" s="8" t="s">
        <v>36</v>
      </c>
      <c r="D923" s="7" t="s">
        <v>46</v>
      </c>
      <c r="E923" s="8" t="s">
        <v>47</v>
      </c>
      <c r="F923" s="13"/>
      <c r="G923" s="59"/>
      <c r="H923" s="6">
        <f>15000/7</f>
        <v>2142.8571428571427</v>
      </c>
      <c r="I923" s="6">
        <f t="shared" si="61"/>
        <v>420.24336283185846</v>
      </c>
      <c r="J923" s="2">
        <v>11.59</v>
      </c>
      <c r="K923" s="2">
        <v>9.0399999999999991</v>
      </c>
      <c r="L923" s="2">
        <v>2.5499999999999998</v>
      </c>
      <c r="M923" s="2" t="s">
        <v>3227</v>
      </c>
      <c r="N923" s="2" t="s">
        <v>723</v>
      </c>
      <c r="O923" s="56">
        <v>3799</v>
      </c>
      <c r="P923" s="2">
        <v>3.55</v>
      </c>
      <c r="Q923" s="2">
        <v>12.85</v>
      </c>
      <c r="R923" s="2">
        <v>295.74</v>
      </c>
      <c r="S923" s="2">
        <v>15.61</v>
      </c>
      <c r="T923" s="2">
        <v>6.12</v>
      </c>
      <c r="U923" s="2">
        <v>280.12</v>
      </c>
      <c r="V923" s="2">
        <v>30.99</v>
      </c>
      <c r="W923" s="2">
        <v>8249.1299999999992</v>
      </c>
      <c r="X923" s="2" t="s">
        <v>3228</v>
      </c>
      <c r="Y923" s="2" t="s">
        <v>3229</v>
      </c>
      <c r="Z923" s="2">
        <v>0.1</v>
      </c>
      <c r="AA923" s="2" t="s">
        <v>548</v>
      </c>
      <c r="AB923" s="2">
        <v>259.2</v>
      </c>
    </row>
    <row r="924" spans="1:28" x14ac:dyDescent="0.3">
      <c r="A924" s="4">
        <v>46258</v>
      </c>
      <c r="B924" s="8" t="s">
        <v>3213</v>
      </c>
      <c r="C924" s="8" t="s">
        <v>36</v>
      </c>
      <c r="D924" s="8" t="s">
        <v>48</v>
      </c>
      <c r="E924" s="8" t="s">
        <v>47</v>
      </c>
      <c r="F924" s="13"/>
      <c r="G924" s="59"/>
      <c r="H924" s="6">
        <f>15000/7</f>
        <v>2142.8571428571427</v>
      </c>
      <c r="I924" s="6">
        <f t="shared" si="61"/>
        <v>499.24012158054711</v>
      </c>
      <c r="J924" s="2">
        <v>7.23</v>
      </c>
      <c r="K924" s="2">
        <v>6.58</v>
      </c>
      <c r="L924" s="2">
        <v>0.65</v>
      </c>
      <c r="M924" s="2">
        <v>8.99</v>
      </c>
      <c r="N924" s="2" t="s">
        <v>3025</v>
      </c>
      <c r="O924" s="56">
        <v>3285</v>
      </c>
      <c r="P924" s="2">
        <v>4.43</v>
      </c>
      <c r="Q924" s="2">
        <v>13.12</v>
      </c>
      <c r="R924" s="2">
        <v>250.31</v>
      </c>
      <c r="S924" s="2">
        <v>4.26</v>
      </c>
      <c r="T924" s="2">
        <v>6.55</v>
      </c>
      <c r="U924" s="2">
        <v>246.05</v>
      </c>
      <c r="V924" s="2">
        <v>37.4</v>
      </c>
      <c r="W924" s="2">
        <v>6817.02</v>
      </c>
      <c r="X924" s="2" t="s">
        <v>3230</v>
      </c>
      <c r="Y924" s="2" t="s">
        <v>3231</v>
      </c>
      <c r="Z924" s="2" t="s">
        <v>548</v>
      </c>
      <c r="AA924" s="2" t="s">
        <v>548</v>
      </c>
      <c r="AB924" s="2">
        <v>49.8</v>
      </c>
    </row>
    <row r="925" spans="1:28" hidden="1" x14ac:dyDescent="0.3">
      <c r="A925" s="4">
        <v>46258</v>
      </c>
      <c r="B925" s="8" t="s">
        <v>3213</v>
      </c>
      <c r="C925" s="8" t="s">
        <v>36</v>
      </c>
      <c r="D925" s="8" t="s">
        <v>49</v>
      </c>
      <c r="E925" s="8" t="s">
        <v>47</v>
      </c>
      <c r="F925" s="13"/>
      <c r="G925" s="59"/>
      <c r="H925" s="6">
        <f>15000/7</f>
        <v>2142.8571428571427</v>
      </c>
      <c r="I925" s="6">
        <f t="shared" si="61"/>
        <v>550.64599483204131</v>
      </c>
      <c r="J925" s="2">
        <v>5.77</v>
      </c>
      <c r="K925" s="2">
        <v>3.87</v>
      </c>
      <c r="L925" s="2">
        <v>1.9</v>
      </c>
      <c r="M925" s="2">
        <v>32.92</v>
      </c>
      <c r="N925" s="2" t="s">
        <v>3232</v>
      </c>
      <c r="O925" s="56">
        <v>2131</v>
      </c>
      <c r="P925" s="2">
        <v>3.76</v>
      </c>
      <c r="Q925" s="2">
        <v>12.95</v>
      </c>
      <c r="R925" s="2">
        <v>168.45</v>
      </c>
      <c r="S925" s="2">
        <v>8.52</v>
      </c>
      <c r="T925" s="2">
        <v>4.4800000000000004</v>
      </c>
      <c r="U925" s="2">
        <v>159.93</v>
      </c>
      <c r="V925" s="2">
        <v>41.31</v>
      </c>
      <c r="W925" s="2">
        <v>2151.06</v>
      </c>
      <c r="X925" s="2" t="s">
        <v>3233</v>
      </c>
      <c r="Y925" s="2" t="s">
        <v>3234</v>
      </c>
      <c r="Z925" s="2" t="s">
        <v>548</v>
      </c>
      <c r="AA925" s="2" t="s">
        <v>548</v>
      </c>
      <c r="AB925" s="2">
        <v>5.7</v>
      </c>
    </row>
    <row r="926" spans="1:28" hidden="1" x14ac:dyDescent="0.3">
      <c r="A926" s="4">
        <v>46258</v>
      </c>
      <c r="B926" s="8" t="s">
        <v>3213</v>
      </c>
      <c r="C926" s="8" t="s">
        <v>36</v>
      </c>
      <c r="D926" s="8" t="s">
        <v>49</v>
      </c>
      <c r="E926" s="8" t="s">
        <v>61</v>
      </c>
      <c r="F926" s="13"/>
      <c r="G926" s="59"/>
      <c r="H926" s="6"/>
      <c r="I926" s="6">
        <f t="shared" si="61"/>
        <v>0</v>
      </c>
      <c r="J926" s="2"/>
      <c r="K926" s="2"/>
      <c r="L926" s="2"/>
      <c r="M926" s="2"/>
      <c r="N926" s="2"/>
      <c r="O926" s="56">
        <v>50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idden="1" x14ac:dyDescent="0.3">
      <c r="A927" s="4">
        <v>46259</v>
      </c>
      <c r="B927" s="8" t="s">
        <v>55</v>
      </c>
      <c r="C927" s="8" t="s">
        <v>56</v>
      </c>
      <c r="D927" s="8" t="s">
        <v>39</v>
      </c>
      <c r="E927" s="8" t="s">
        <v>47</v>
      </c>
      <c r="F927" s="13"/>
      <c r="G927" s="59" t="s">
        <v>146</v>
      </c>
      <c r="H927" s="6"/>
      <c r="I927" s="6">
        <f t="shared" si="61"/>
        <v>0</v>
      </c>
      <c r="J927" s="2">
        <v>0.08</v>
      </c>
      <c r="K927" s="2">
        <v>0.03</v>
      </c>
      <c r="L927" s="2">
        <v>0.05</v>
      </c>
      <c r="M927" s="2">
        <v>64.27</v>
      </c>
      <c r="N927" s="2" t="s">
        <v>548</v>
      </c>
      <c r="O927" s="56">
        <v>0</v>
      </c>
      <c r="P927" s="2" t="s">
        <v>45</v>
      </c>
      <c r="Q927" s="2" t="s">
        <v>548</v>
      </c>
      <c r="R927" s="2">
        <v>0.47</v>
      </c>
      <c r="S927" s="2">
        <v>0.47</v>
      </c>
      <c r="T927" s="2">
        <v>9.4600000000000009</v>
      </c>
      <c r="U927" s="2" t="s">
        <v>548</v>
      </c>
      <c r="V927" s="2" t="s">
        <v>548</v>
      </c>
      <c r="W927" s="2">
        <v>9385.7999999999993</v>
      </c>
      <c r="X927" s="2" t="s">
        <v>3215</v>
      </c>
      <c r="Y927" s="2" t="s">
        <v>3216</v>
      </c>
      <c r="Z927" s="2" t="s">
        <v>548</v>
      </c>
      <c r="AA927" s="2" t="s">
        <v>45</v>
      </c>
      <c r="AB927" s="2">
        <v>293.10000000000002</v>
      </c>
    </row>
    <row r="928" spans="1:28" hidden="1" x14ac:dyDescent="0.3">
      <c r="A928" s="4">
        <v>46259</v>
      </c>
      <c r="B928" s="8" t="s">
        <v>55</v>
      </c>
      <c r="C928" s="8" t="s">
        <v>56</v>
      </c>
      <c r="D928" s="8" t="s">
        <v>43</v>
      </c>
      <c r="E928" s="8" t="s">
        <v>2994</v>
      </c>
      <c r="F928" s="13"/>
      <c r="G928" s="59" t="s">
        <v>146</v>
      </c>
      <c r="H928" s="6"/>
      <c r="I928" s="6">
        <f t="shared" si="61"/>
        <v>0</v>
      </c>
      <c r="J928" s="2">
        <v>1.08</v>
      </c>
      <c r="K928" s="2">
        <v>0.57999999999999996</v>
      </c>
      <c r="L928" s="2">
        <v>0.5</v>
      </c>
      <c r="M928" s="2">
        <v>46.3</v>
      </c>
      <c r="N928" s="2" t="s">
        <v>45</v>
      </c>
      <c r="O928" s="56" t="s">
        <v>45</v>
      </c>
      <c r="P928" s="2" t="s">
        <v>45</v>
      </c>
      <c r="Q928" s="2" t="s">
        <v>45</v>
      </c>
      <c r="R928" s="2">
        <v>12.3</v>
      </c>
      <c r="S928" s="2">
        <v>1.89</v>
      </c>
      <c r="T928" s="2">
        <v>3.79</v>
      </c>
      <c r="U928" s="2">
        <v>10.41</v>
      </c>
      <c r="V928" s="2">
        <v>17.95</v>
      </c>
      <c r="W928" s="2">
        <v>8942.2000000000007</v>
      </c>
      <c r="X928" s="2" t="s">
        <v>45</v>
      </c>
      <c r="Y928" s="2" t="s">
        <v>45</v>
      </c>
      <c r="Z928" s="2" t="s">
        <v>548</v>
      </c>
      <c r="AA928" s="2" t="s">
        <v>45</v>
      </c>
      <c r="AB928" s="2">
        <v>266.3</v>
      </c>
    </row>
    <row r="929" spans="1:28" hidden="1" x14ac:dyDescent="0.3">
      <c r="A929" s="4">
        <v>46259</v>
      </c>
      <c r="B929" s="8" t="s">
        <v>3213</v>
      </c>
      <c r="C929" s="8" t="s">
        <v>36</v>
      </c>
      <c r="D929" s="8" t="s">
        <v>67</v>
      </c>
      <c r="E929" s="8" t="s">
        <v>47</v>
      </c>
      <c r="F929" s="13"/>
      <c r="G929" s="59"/>
      <c r="H929" s="6">
        <f>15000/5</f>
        <v>3000</v>
      </c>
      <c r="I929" s="6">
        <f t="shared" si="61"/>
        <v>241.92592592592592</v>
      </c>
      <c r="J929" s="2">
        <v>7.85</v>
      </c>
      <c r="K929" s="2">
        <v>6.75</v>
      </c>
      <c r="L929" s="2">
        <v>1.1000000000000001</v>
      </c>
      <c r="M929" s="2">
        <v>14.02</v>
      </c>
      <c r="N929" s="2" t="s">
        <v>3235</v>
      </c>
      <c r="O929" s="56">
        <v>1633</v>
      </c>
      <c r="P929" s="2">
        <v>1.77</v>
      </c>
      <c r="Q929" s="2">
        <v>13.48</v>
      </c>
      <c r="R929" s="2">
        <v>121.13</v>
      </c>
      <c r="S929" s="2">
        <v>3.79</v>
      </c>
      <c r="T929" s="2">
        <v>3.44</v>
      </c>
      <c r="U929" s="2">
        <v>117.35</v>
      </c>
      <c r="V929" s="2">
        <v>17.39</v>
      </c>
      <c r="W929" s="2">
        <v>822.26</v>
      </c>
      <c r="X929" s="2" t="s">
        <v>3236</v>
      </c>
      <c r="Y929" s="2" t="s">
        <v>3237</v>
      </c>
      <c r="Z929" s="2">
        <v>1.6</v>
      </c>
      <c r="AA929" s="2" t="s">
        <v>548</v>
      </c>
      <c r="AB929" s="2">
        <v>82.3</v>
      </c>
    </row>
    <row r="930" spans="1:28" hidden="1" x14ac:dyDescent="0.3">
      <c r="A930" s="4">
        <v>46259</v>
      </c>
      <c r="B930" s="8" t="s">
        <v>3213</v>
      </c>
      <c r="C930" s="8" t="s">
        <v>36</v>
      </c>
      <c r="D930" s="8" t="s">
        <v>50</v>
      </c>
      <c r="E930" s="8" t="s">
        <v>47</v>
      </c>
      <c r="F930" s="13"/>
      <c r="G930" s="59"/>
      <c r="H930" s="6">
        <f>15000/5</f>
        <v>3000</v>
      </c>
      <c r="I930" s="6">
        <f t="shared" si="61"/>
        <v>303.19888734353265</v>
      </c>
      <c r="J930" s="2">
        <v>8.44</v>
      </c>
      <c r="K930" s="2">
        <v>7.19</v>
      </c>
      <c r="L930" s="2">
        <v>1.25</v>
      </c>
      <c r="M930" s="2">
        <v>14.81</v>
      </c>
      <c r="N930" s="2" t="s">
        <v>3238</v>
      </c>
      <c r="O930" s="56">
        <v>2180</v>
      </c>
      <c r="P930" s="2">
        <v>2.44</v>
      </c>
      <c r="Q930" s="2">
        <v>16.329999999999998</v>
      </c>
      <c r="R930" s="2">
        <v>151.88999999999999</v>
      </c>
      <c r="S930" s="2">
        <v>4.7300000000000004</v>
      </c>
      <c r="T930" s="2">
        <v>3.79</v>
      </c>
      <c r="U930" s="2">
        <v>147.16</v>
      </c>
      <c r="V930" s="2">
        <v>20.46</v>
      </c>
      <c r="W930" s="2">
        <v>2648.55</v>
      </c>
      <c r="X930" s="2" t="s">
        <v>3239</v>
      </c>
      <c r="Y930" s="2" t="s">
        <v>3240</v>
      </c>
      <c r="Z930" s="2">
        <v>0.3</v>
      </c>
      <c r="AA930" s="2" t="s">
        <v>548</v>
      </c>
      <c r="AB930" s="2">
        <v>341.3</v>
      </c>
    </row>
    <row r="931" spans="1:28" hidden="1" x14ac:dyDescent="0.3">
      <c r="A931" s="4">
        <v>46259</v>
      </c>
      <c r="B931" s="8" t="s">
        <v>3213</v>
      </c>
      <c r="C931" s="8" t="s">
        <v>36</v>
      </c>
      <c r="D931" s="8" t="s">
        <v>50</v>
      </c>
      <c r="E931" s="8" t="s">
        <v>61</v>
      </c>
      <c r="F931" s="13"/>
      <c r="G931" s="59"/>
      <c r="H931" s="6"/>
      <c r="I931" s="6"/>
      <c r="J931" s="2"/>
      <c r="K931" s="2"/>
      <c r="L931" s="2"/>
      <c r="M931" s="2"/>
      <c r="N931" s="2"/>
      <c r="O931" s="56">
        <f>12*25</f>
        <v>300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idden="1" x14ac:dyDescent="0.3">
      <c r="A932" s="4">
        <v>46259</v>
      </c>
      <c r="B932" s="8" t="s">
        <v>3213</v>
      </c>
      <c r="C932" s="8" t="s">
        <v>36</v>
      </c>
      <c r="D932" s="8" t="s">
        <v>52</v>
      </c>
      <c r="E932" s="8" t="s">
        <v>47</v>
      </c>
      <c r="F932" s="13"/>
      <c r="G932" s="59"/>
      <c r="H932" s="6">
        <f>15000/5</f>
        <v>3000</v>
      </c>
      <c r="I932" s="6">
        <f t="shared" ref="I932:I963" si="62">IFERROR(O932/K932,)</f>
        <v>158.07926829268294</v>
      </c>
      <c r="J932" s="2">
        <v>8.9600000000000009</v>
      </c>
      <c r="K932" s="2">
        <v>6.56</v>
      </c>
      <c r="L932" s="2">
        <v>2.4</v>
      </c>
      <c r="M932" s="2">
        <v>26.78</v>
      </c>
      <c r="N932" s="2" t="s">
        <v>3241</v>
      </c>
      <c r="O932" s="56">
        <v>1037</v>
      </c>
      <c r="P932" s="2">
        <v>2.42</v>
      </c>
      <c r="Q932" s="2">
        <v>9.65</v>
      </c>
      <c r="R932" s="2">
        <v>107.41</v>
      </c>
      <c r="S932" s="2">
        <v>8.99</v>
      </c>
      <c r="T932" s="2">
        <v>3.75</v>
      </c>
      <c r="U932" s="2">
        <v>98.42</v>
      </c>
      <c r="V932" s="2" t="s">
        <v>2545</v>
      </c>
      <c r="W932" s="2">
        <v>1265.1400000000001</v>
      </c>
      <c r="X932" s="2" t="s">
        <v>3242</v>
      </c>
      <c r="Y932" s="2" t="s">
        <v>3243</v>
      </c>
      <c r="Z932" s="2">
        <v>0.8</v>
      </c>
      <c r="AA932" s="2" t="s">
        <v>548</v>
      </c>
      <c r="AB932" s="2">
        <v>126.4</v>
      </c>
    </row>
    <row r="933" spans="1:28" hidden="1" x14ac:dyDescent="0.3">
      <c r="A933" s="4">
        <v>46259</v>
      </c>
      <c r="B933" s="8" t="s">
        <v>3213</v>
      </c>
      <c r="C933" s="8" t="s">
        <v>36</v>
      </c>
      <c r="D933" s="7" t="s">
        <v>46</v>
      </c>
      <c r="E933" s="8" t="s">
        <v>47</v>
      </c>
      <c r="F933" s="13"/>
      <c r="G933" s="59"/>
      <c r="H933" s="6">
        <f>15000/5</f>
        <v>3000</v>
      </c>
      <c r="I933" s="6">
        <f t="shared" si="62"/>
        <v>415.74212893553226</v>
      </c>
      <c r="J933" s="2">
        <v>16.739999999999998</v>
      </c>
      <c r="K933" s="2">
        <v>13.34</v>
      </c>
      <c r="L933" s="2">
        <v>3.4</v>
      </c>
      <c r="M933" s="2">
        <v>20.309999999999999</v>
      </c>
      <c r="N933" s="2" t="s">
        <v>3244</v>
      </c>
      <c r="O933" s="56">
        <v>5546</v>
      </c>
      <c r="P933" s="2">
        <v>3.82</v>
      </c>
      <c r="Q933" s="2">
        <v>13.29</v>
      </c>
      <c r="R933" s="2">
        <v>417.34</v>
      </c>
      <c r="S933" s="2">
        <v>19.399999999999999</v>
      </c>
      <c r="T933" s="2">
        <v>5.71</v>
      </c>
      <c r="U933" s="2">
        <v>397.94</v>
      </c>
      <c r="V933" s="2">
        <v>29.83</v>
      </c>
      <c r="W933" s="2">
        <v>8265.86</v>
      </c>
      <c r="X933" s="2" t="s">
        <v>3245</v>
      </c>
      <c r="Y933" s="2" t="s">
        <v>3246</v>
      </c>
      <c r="Z933" s="2">
        <v>0.1</v>
      </c>
      <c r="AA933" s="2" t="s">
        <v>548</v>
      </c>
      <c r="AB933" s="2">
        <v>259.3</v>
      </c>
    </row>
    <row r="934" spans="1:28" x14ac:dyDescent="0.3">
      <c r="A934" s="4">
        <v>46259</v>
      </c>
      <c r="B934" s="8" t="s">
        <v>3213</v>
      </c>
      <c r="C934" s="8" t="s">
        <v>36</v>
      </c>
      <c r="D934" s="8" t="s">
        <v>48</v>
      </c>
      <c r="E934" s="7" t="s">
        <v>38</v>
      </c>
      <c r="F934" s="13">
        <v>1899</v>
      </c>
      <c r="G934" s="59"/>
      <c r="H934" s="6">
        <f>24000/6</f>
        <v>4000</v>
      </c>
      <c r="I934" s="6">
        <f t="shared" si="62"/>
        <v>396.38554216867465</v>
      </c>
      <c r="J934" s="2">
        <v>9.1999999999999993</v>
      </c>
      <c r="K934" s="2">
        <v>8.3000000000000007</v>
      </c>
      <c r="L934" s="2">
        <v>0.9</v>
      </c>
      <c r="M934" s="2">
        <v>9.7799999999999994</v>
      </c>
      <c r="N934" s="2" t="s">
        <v>3247</v>
      </c>
      <c r="O934" s="56">
        <v>3290</v>
      </c>
      <c r="P934" s="2">
        <v>3.77</v>
      </c>
      <c r="Q934" s="2">
        <v>10.199999999999999</v>
      </c>
      <c r="R934" s="2">
        <v>322.70999999999998</v>
      </c>
      <c r="S934" s="2">
        <v>5.2</v>
      </c>
      <c r="T934" s="2">
        <v>5.78</v>
      </c>
      <c r="U934" s="2">
        <v>317.5</v>
      </c>
      <c r="V934" s="2">
        <v>38.25</v>
      </c>
      <c r="W934" s="2">
        <v>6826.22</v>
      </c>
      <c r="X934" s="2" t="s">
        <v>3248</v>
      </c>
      <c r="Y934" s="2" t="s">
        <v>3249</v>
      </c>
      <c r="Z934" s="2" t="s">
        <v>548</v>
      </c>
      <c r="AA934" s="2" t="s">
        <v>548</v>
      </c>
      <c r="AB934" s="2">
        <v>49.8</v>
      </c>
    </row>
    <row r="935" spans="1:28" hidden="1" x14ac:dyDescent="0.3">
      <c r="A935" s="4">
        <v>46259</v>
      </c>
      <c r="B935" s="8" t="s">
        <v>3213</v>
      </c>
      <c r="C935" s="8" t="s">
        <v>36</v>
      </c>
      <c r="D935" s="8" t="s">
        <v>49</v>
      </c>
      <c r="E935" s="8" t="s">
        <v>47</v>
      </c>
      <c r="F935" s="13"/>
      <c r="G935" s="59"/>
      <c r="H935" s="6">
        <f>15000/5</f>
        <v>3000</v>
      </c>
      <c r="I935" s="6">
        <f t="shared" si="62"/>
        <v>553.14285714285711</v>
      </c>
      <c r="J935" s="2">
        <v>4.3499999999999996</v>
      </c>
      <c r="K935" s="2">
        <v>3.5</v>
      </c>
      <c r="L935" s="2">
        <v>0.85</v>
      </c>
      <c r="M935" s="2">
        <v>19.559999999999999</v>
      </c>
      <c r="N935" s="2" t="s">
        <v>3250</v>
      </c>
      <c r="O935" s="56">
        <v>1936</v>
      </c>
      <c r="P935" s="2">
        <v>3.7</v>
      </c>
      <c r="Q935" s="2">
        <v>13.87</v>
      </c>
      <c r="R935" s="2">
        <v>139.59</v>
      </c>
      <c r="S935" s="2">
        <v>5.2</v>
      </c>
      <c r="T935" s="2">
        <v>6.12</v>
      </c>
      <c r="U935" s="2">
        <v>134.38</v>
      </c>
      <c r="V935" s="2">
        <v>38.43</v>
      </c>
      <c r="W935" s="2">
        <v>2155.41</v>
      </c>
      <c r="X935" s="2" t="s">
        <v>3251</v>
      </c>
      <c r="Y935" s="2" t="s">
        <v>3252</v>
      </c>
      <c r="Z935" s="2" t="s">
        <v>548</v>
      </c>
      <c r="AA935" s="2" t="s">
        <v>548</v>
      </c>
      <c r="AB935" s="2">
        <v>5.7</v>
      </c>
    </row>
    <row r="936" spans="1:28" hidden="1" x14ac:dyDescent="0.3">
      <c r="A936" s="4">
        <v>46260</v>
      </c>
      <c r="B936" s="8" t="s">
        <v>3213</v>
      </c>
      <c r="C936" s="8" t="s">
        <v>36</v>
      </c>
      <c r="D936" s="8" t="s">
        <v>39</v>
      </c>
      <c r="E936" s="8" t="s">
        <v>47</v>
      </c>
      <c r="F936" s="13"/>
      <c r="G936" s="59"/>
      <c r="H936" s="6">
        <f>15000/6</f>
        <v>2500</v>
      </c>
      <c r="I936" s="6">
        <f t="shared" si="62"/>
        <v>119.78723404255318</v>
      </c>
      <c r="J936" s="2">
        <v>5.5</v>
      </c>
      <c r="K936" s="2">
        <v>4.7</v>
      </c>
      <c r="L936" s="2">
        <v>0.8</v>
      </c>
      <c r="M936" s="2">
        <v>14.54</v>
      </c>
      <c r="N936" s="2" t="s">
        <v>3253</v>
      </c>
      <c r="O936" s="56">
        <v>563</v>
      </c>
      <c r="P936" s="2">
        <v>1.24</v>
      </c>
      <c r="Q936" s="2">
        <v>6.13</v>
      </c>
      <c r="R936" s="2">
        <v>91.8</v>
      </c>
      <c r="S936" s="2">
        <v>3.31</v>
      </c>
      <c r="T936" s="2">
        <v>4.1399999999999997</v>
      </c>
      <c r="U936" s="2">
        <v>88.48</v>
      </c>
      <c r="V936" s="2">
        <v>18.82</v>
      </c>
      <c r="W936" s="2">
        <v>9391.31</v>
      </c>
      <c r="X936" s="2" t="s">
        <v>3254</v>
      </c>
      <c r="Y936" s="2" t="s">
        <v>3255</v>
      </c>
      <c r="Z936" s="2" t="s">
        <v>548</v>
      </c>
      <c r="AA936" s="2" t="s">
        <v>548</v>
      </c>
      <c r="AB936" s="2">
        <v>293.10000000000002</v>
      </c>
    </row>
    <row r="937" spans="1:28" hidden="1" x14ac:dyDescent="0.3">
      <c r="A937" s="4">
        <v>46260</v>
      </c>
      <c r="B937" s="8" t="s">
        <v>3213</v>
      </c>
      <c r="C937" s="8" t="s">
        <v>36</v>
      </c>
      <c r="D937" s="8" t="s">
        <v>43</v>
      </c>
      <c r="E937" s="8" t="s">
        <v>61</v>
      </c>
      <c r="F937" s="13"/>
      <c r="G937" s="59"/>
      <c r="H937" s="6"/>
      <c r="I937" s="6">
        <f t="shared" si="62"/>
        <v>135.13513513513513</v>
      </c>
      <c r="J937" s="2">
        <v>7.97</v>
      </c>
      <c r="K937" s="2">
        <v>5.92</v>
      </c>
      <c r="L937" s="2">
        <v>2.0499999999999998</v>
      </c>
      <c r="M937" s="2">
        <v>25.74</v>
      </c>
      <c r="N937" s="2" t="s">
        <v>45</v>
      </c>
      <c r="O937" s="56">
        <v>800</v>
      </c>
      <c r="P937" s="2" t="s">
        <v>45</v>
      </c>
      <c r="Q937" s="2" t="s">
        <v>45</v>
      </c>
      <c r="R937" s="2">
        <v>130.6</v>
      </c>
      <c r="S937" s="2">
        <v>8.52</v>
      </c>
      <c r="T937" s="2">
        <v>4.1500000000000004</v>
      </c>
      <c r="U937" s="2">
        <v>122.08</v>
      </c>
      <c r="V937" s="2">
        <v>20.64</v>
      </c>
      <c r="W937" s="2">
        <v>8950.25</v>
      </c>
      <c r="X937" s="2" t="s">
        <v>45</v>
      </c>
      <c r="Y937" s="2" t="s">
        <v>45</v>
      </c>
      <c r="Z937" s="2">
        <v>0.2</v>
      </c>
      <c r="AA937" s="2" t="s">
        <v>45</v>
      </c>
      <c r="AB937" s="2">
        <v>266.5</v>
      </c>
    </row>
    <row r="938" spans="1:28" hidden="1" x14ac:dyDescent="0.3">
      <c r="A938" s="4">
        <v>46260</v>
      </c>
      <c r="B938" s="8" t="s">
        <v>3213</v>
      </c>
      <c r="C938" s="8" t="s">
        <v>36</v>
      </c>
      <c r="D938" s="8" t="s">
        <v>67</v>
      </c>
      <c r="E938" s="8" t="s">
        <v>47</v>
      </c>
      <c r="F938" s="13"/>
      <c r="G938" s="59"/>
      <c r="H938" s="6">
        <f>15000/6</f>
        <v>2500</v>
      </c>
      <c r="I938" s="6">
        <f t="shared" si="62"/>
        <v>319.50146627565982</v>
      </c>
      <c r="J938" s="2">
        <v>9.02</v>
      </c>
      <c r="K938" s="2">
        <v>6.82</v>
      </c>
      <c r="L938" s="2">
        <v>2.2000000000000002</v>
      </c>
      <c r="M938" s="2">
        <v>24.38</v>
      </c>
      <c r="N938" s="2" t="s">
        <v>3256</v>
      </c>
      <c r="O938" s="56">
        <v>2179</v>
      </c>
      <c r="P938" s="2">
        <v>1.82</v>
      </c>
      <c r="Q938" s="2">
        <v>14.3</v>
      </c>
      <c r="R938" s="2">
        <v>152.36000000000001</v>
      </c>
      <c r="S938" s="2">
        <v>7.1</v>
      </c>
      <c r="T938" s="2">
        <v>3.23</v>
      </c>
      <c r="U938" s="2">
        <v>145.27000000000001</v>
      </c>
      <c r="V938" s="2">
        <v>21.29</v>
      </c>
      <c r="W938" s="2">
        <v>831.28</v>
      </c>
      <c r="X938" s="2" t="s">
        <v>3257</v>
      </c>
      <c r="Y938" s="2" t="s">
        <v>3258</v>
      </c>
      <c r="Z938" s="2">
        <v>0.4</v>
      </c>
      <c r="AA938" s="2" t="s">
        <v>548</v>
      </c>
      <c r="AB938" s="2">
        <v>82.7</v>
      </c>
    </row>
    <row r="939" spans="1:28" hidden="1" x14ac:dyDescent="0.3">
      <c r="A939" s="4">
        <v>46260</v>
      </c>
      <c r="B939" s="8" t="s">
        <v>3213</v>
      </c>
      <c r="C939" s="8" t="s">
        <v>36</v>
      </c>
      <c r="D939" s="8" t="s">
        <v>50</v>
      </c>
      <c r="E939" s="8" t="s">
        <v>47</v>
      </c>
      <c r="F939" s="13"/>
      <c r="G939" s="59"/>
      <c r="H939" s="6">
        <f>15000/6</f>
        <v>2500</v>
      </c>
      <c r="I939" s="6">
        <f t="shared" si="62"/>
        <v>337.7204884667571</v>
      </c>
      <c r="J939" s="2">
        <v>8.32</v>
      </c>
      <c r="K939" s="2">
        <v>7.37</v>
      </c>
      <c r="L939" s="2">
        <v>0.95</v>
      </c>
      <c r="M939" s="2">
        <v>11.42</v>
      </c>
      <c r="N939" s="2" t="s">
        <v>3259</v>
      </c>
      <c r="O939" s="56">
        <f>2839-350</f>
        <v>2489</v>
      </c>
      <c r="P939" s="2">
        <v>2.3199999999999998</v>
      </c>
      <c r="Q939" s="2">
        <v>17.86</v>
      </c>
      <c r="R939" s="2">
        <v>158.99</v>
      </c>
      <c r="S939" s="2">
        <v>3.79</v>
      </c>
      <c r="T939" s="2">
        <v>3.98</v>
      </c>
      <c r="U939" s="2">
        <v>155.19999999999999</v>
      </c>
      <c r="V939" s="2">
        <v>21.06</v>
      </c>
      <c r="W939" s="2">
        <v>2656.87</v>
      </c>
      <c r="X939" s="2" t="s">
        <v>3260</v>
      </c>
      <c r="Y939" s="2" t="s">
        <v>3261</v>
      </c>
      <c r="Z939" s="2">
        <v>0.1</v>
      </c>
      <c r="AA939" s="2" t="s">
        <v>548</v>
      </c>
      <c r="AB939" s="2">
        <v>341.4</v>
      </c>
    </row>
    <row r="940" spans="1:28" hidden="1" x14ac:dyDescent="0.3">
      <c r="A940" s="4">
        <v>46260</v>
      </c>
      <c r="B940" s="8" t="s">
        <v>3213</v>
      </c>
      <c r="C940" s="8" t="s">
        <v>36</v>
      </c>
      <c r="D940" s="8" t="s">
        <v>50</v>
      </c>
      <c r="E940" s="8" t="s">
        <v>61</v>
      </c>
      <c r="F940" s="13"/>
      <c r="G940" s="59"/>
      <c r="H940" s="6"/>
      <c r="I940" s="6">
        <f t="shared" si="62"/>
        <v>0</v>
      </c>
      <c r="J940" s="2"/>
      <c r="K940" s="2"/>
      <c r="L940" s="2"/>
      <c r="M940" s="2"/>
      <c r="N940" s="2"/>
      <c r="O940" s="56">
        <v>350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idden="1" x14ac:dyDescent="0.3">
      <c r="A941" s="4">
        <v>46260</v>
      </c>
      <c r="B941" s="8" t="s">
        <v>3213</v>
      </c>
      <c r="C941" s="8" t="s">
        <v>36</v>
      </c>
      <c r="D941" s="8" t="s">
        <v>52</v>
      </c>
      <c r="E941" s="8" t="s">
        <v>47</v>
      </c>
      <c r="F941" s="13"/>
      <c r="G941" s="59"/>
      <c r="H941" s="6">
        <f>15000/6</f>
        <v>2500</v>
      </c>
      <c r="I941" s="6">
        <f t="shared" si="62"/>
        <v>96.989528795811523</v>
      </c>
      <c r="J941" s="2">
        <v>9.64</v>
      </c>
      <c r="K941" s="2">
        <v>7.64</v>
      </c>
      <c r="L941" s="2" t="s">
        <v>1380</v>
      </c>
      <c r="M941" s="2">
        <v>20.74</v>
      </c>
      <c r="N941" s="2" t="s">
        <v>3262</v>
      </c>
      <c r="O941" s="56">
        <v>741</v>
      </c>
      <c r="P941" s="2">
        <v>2.08</v>
      </c>
      <c r="Q941" s="2">
        <v>5.67</v>
      </c>
      <c r="R941" s="2">
        <v>130.6</v>
      </c>
      <c r="S941" s="2">
        <v>7.57</v>
      </c>
      <c r="T941" s="2">
        <v>3.79</v>
      </c>
      <c r="U941" s="2">
        <v>123.03</v>
      </c>
      <c r="V941" s="2">
        <v>16.100000000000001</v>
      </c>
      <c r="W941" s="2">
        <v>1274.78</v>
      </c>
      <c r="X941" s="2" t="s">
        <v>3263</v>
      </c>
      <c r="Y941" s="2" t="s">
        <v>3264</v>
      </c>
      <c r="Z941" s="2" t="s">
        <v>548</v>
      </c>
      <c r="AA941" s="2" t="s">
        <v>548</v>
      </c>
      <c r="AB941" s="2">
        <v>126.5</v>
      </c>
    </row>
    <row r="942" spans="1:28" hidden="1" x14ac:dyDescent="0.3">
      <c r="A942" s="4">
        <v>46260</v>
      </c>
      <c r="B942" s="8" t="s">
        <v>3213</v>
      </c>
      <c r="C942" s="8" t="s">
        <v>36</v>
      </c>
      <c r="D942" s="7" t="s">
        <v>46</v>
      </c>
      <c r="E942" s="8" t="s">
        <v>47</v>
      </c>
      <c r="F942" s="13"/>
      <c r="G942" s="59"/>
      <c r="H942" s="6">
        <f>15000/6</f>
        <v>2500</v>
      </c>
      <c r="I942" s="6">
        <f t="shared" si="62"/>
        <v>385.15283842794759</v>
      </c>
      <c r="J942" s="2">
        <v>16.739999999999998</v>
      </c>
      <c r="K942" s="2">
        <v>13.74</v>
      </c>
      <c r="L942" s="2" t="s">
        <v>1489</v>
      </c>
      <c r="M942" s="2">
        <v>17.920000000000002</v>
      </c>
      <c r="N942" s="2" t="s">
        <v>3265</v>
      </c>
      <c r="O942" s="56">
        <v>5292</v>
      </c>
      <c r="P942" s="2">
        <v>3.6</v>
      </c>
      <c r="Q942" s="2">
        <v>12.06</v>
      </c>
      <c r="R942" s="2">
        <v>438.63</v>
      </c>
      <c r="S942" s="2">
        <v>18.45</v>
      </c>
      <c r="T942" s="2">
        <v>6.15</v>
      </c>
      <c r="U942" s="2">
        <v>420.18</v>
      </c>
      <c r="V942" s="2">
        <v>30.57</v>
      </c>
      <c r="W942" s="2">
        <v>8282.61</v>
      </c>
      <c r="X942" s="2" t="s">
        <v>3266</v>
      </c>
      <c r="Y942" s="2" t="s">
        <v>3267</v>
      </c>
      <c r="Z942" s="2">
        <v>0.1</v>
      </c>
      <c r="AA942" s="2" t="s">
        <v>548</v>
      </c>
      <c r="AB942" s="2">
        <v>259.39999999999998</v>
      </c>
    </row>
    <row r="943" spans="1:28" x14ac:dyDescent="0.3">
      <c r="A943" s="4">
        <v>46260</v>
      </c>
      <c r="B943" s="8" t="s">
        <v>3213</v>
      </c>
      <c r="C943" s="8" t="s">
        <v>36</v>
      </c>
      <c r="D943" s="8" t="s">
        <v>48</v>
      </c>
      <c r="E943" s="7" t="s">
        <v>38</v>
      </c>
      <c r="F943" s="13">
        <v>4058</v>
      </c>
      <c r="G943" s="59"/>
      <c r="H943" s="6">
        <f>24000/6</f>
        <v>4000</v>
      </c>
      <c r="I943" s="6">
        <f t="shared" si="62"/>
        <v>524.15130940834138</v>
      </c>
      <c r="J943" s="2">
        <v>11.06</v>
      </c>
      <c r="K943" s="2">
        <v>10.31</v>
      </c>
      <c r="L943" s="2">
        <v>0.75</v>
      </c>
      <c r="M943" s="2">
        <v>6.78</v>
      </c>
      <c r="N943" s="2" t="s">
        <v>3268</v>
      </c>
      <c r="O943" s="56">
        <v>5404</v>
      </c>
      <c r="P943" s="2">
        <v>4.3099999999999996</v>
      </c>
      <c r="Q943" s="2">
        <v>13.08</v>
      </c>
      <c r="R943" s="2">
        <v>413.08</v>
      </c>
      <c r="S943" s="2">
        <v>4.26</v>
      </c>
      <c r="T943" s="2">
        <v>5.68</v>
      </c>
      <c r="U943" s="2">
        <v>408.82</v>
      </c>
      <c r="V943" s="2">
        <v>39.659999999999997</v>
      </c>
      <c r="W943" s="2">
        <v>6837.28</v>
      </c>
      <c r="X943" s="2" t="s">
        <v>3269</v>
      </c>
      <c r="Y943" s="2" t="s">
        <v>3270</v>
      </c>
      <c r="Z943" s="2">
        <v>0.1</v>
      </c>
      <c r="AA943" s="2" t="s">
        <v>548</v>
      </c>
      <c r="AB943" s="2">
        <v>49.9</v>
      </c>
    </row>
    <row r="944" spans="1:28" hidden="1" x14ac:dyDescent="0.3">
      <c r="A944" s="4">
        <v>46260</v>
      </c>
      <c r="B944" s="8" t="s">
        <v>3213</v>
      </c>
      <c r="C944" s="8" t="s">
        <v>36</v>
      </c>
      <c r="D944" s="8" t="s">
        <v>49</v>
      </c>
      <c r="E944" s="8" t="s">
        <v>47</v>
      </c>
      <c r="F944" s="13"/>
      <c r="G944" s="59"/>
      <c r="H944" s="6">
        <f>15000/6</f>
        <v>2500</v>
      </c>
      <c r="I944" s="6">
        <f t="shared" si="62"/>
        <v>416.54501216545009</v>
      </c>
      <c r="J944" s="2">
        <v>4.8099999999999996</v>
      </c>
      <c r="K944" s="2">
        <v>4.1100000000000003</v>
      </c>
      <c r="L944" s="2">
        <v>0.7</v>
      </c>
      <c r="M944" s="2">
        <v>14.55</v>
      </c>
      <c r="N944" s="2" t="s">
        <v>3271</v>
      </c>
      <c r="O944" s="56">
        <v>1712</v>
      </c>
      <c r="P944" s="2">
        <v>3.05</v>
      </c>
      <c r="Q944" s="2">
        <v>10.19</v>
      </c>
      <c r="R944" s="2">
        <v>167.98</v>
      </c>
      <c r="S944" s="2">
        <v>3.31</v>
      </c>
      <c r="T944" s="2">
        <v>4.7300000000000004</v>
      </c>
      <c r="U944" s="2">
        <v>164.67</v>
      </c>
      <c r="V944" s="2">
        <v>40.04</v>
      </c>
      <c r="W944" s="2">
        <v>2160.2199999999998</v>
      </c>
      <c r="X944" s="2" t="s">
        <v>3272</v>
      </c>
      <c r="Y944" s="2" t="s">
        <v>3273</v>
      </c>
      <c r="Z944" s="2" t="s">
        <v>548</v>
      </c>
      <c r="AA944" s="2" t="s">
        <v>548</v>
      </c>
      <c r="AB944" s="2">
        <v>5.7</v>
      </c>
    </row>
    <row r="945" spans="1:28" hidden="1" x14ac:dyDescent="0.3">
      <c r="A945" s="4">
        <v>46261</v>
      </c>
      <c r="B945" s="8" t="s">
        <v>3213</v>
      </c>
      <c r="C945" s="8" t="s">
        <v>36</v>
      </c>
      <c r="D945" s="8" t="s">
        <v>39</v>
      </c>
      <c r="E945" s="8" t="s">
        <v>47</v>
      </c>
      <c r="F945" s="13"/>
      <c r="G945" s="59"/>
      <c r="H945" s="6">
        <f>15000/6</f>
        <v>2500</v>
      </c>
      <c r="I945" s="6">
        <f t="shared" si="62"/>
        <v>312.8621089223638</v>
      </c>
      <c r="J945" s="2">
        <v>9.83</v>
      </c>
      <c r="K945" s="2">
        <v>8.6300000000000008</v>
      </c>
      <c r="L945" s="2">
        <v>1.2</v>
      </c>
      <c r="M945" s="2">
        <v>12.21</v>
      </c>
      <c r="N945" s="2" t="s">
        <v>3274</v>
      </c>
      <c r="O945" s="56">
        <v>2700</v>
      </c>
      <c r="P945" s="2">
        <v>1.33</v>
      </c>
      <c r="Q945" s="2">
        <v>8.4700000000000006</v>
      </c>
      <c r="R945" s="2">
        <v>167.5</v>
      </c>
      <c r="S945" s="2">
        <v>5.2</v>
      </c>
      <c r="T945" s="2">
        <v>4.34</v>
      </c>
      <c r="U945" s="2">
        <v>162.30000000000001</v>
      </c>
      <c r="V945" s="2">
        <v>18.809999999999999</v>
      </c>
      <c r="W945" s="2">
        <v>9401.14</v>
      </c>
      <c r="X945" s="2" t="s">
        <v>3275</v>
      </c>
      <c r="Y945" s="2" t="s">
        <v>3276</v>
      </c>
      <c r="Z945" s="2">
        <v>0.3</v>
      </c>
      <c r="AA945" s="2" t="s">
        <v>548</v>
      </c>
      <c r="AB945" s="2">
        <v>293.39999999999998</v>
      </c>
    </row>
    <row r="946" spans="1:28" hidden="1" x14ac:dyDescent="0.3">
      <c r="A946" s="4">
        <v>46261</v>
      </c>
      <c r="B946" s="8" t="s">
        <v>3213</v>
      </c>
      <c r="C946" s="8" t="s">
        <v>36</v>
      </c>
      <c r="D946" s="8" t="s">
        <v>43</v>
      </c>
      <c r="E946" s="8" t="s">
        <v>61</v>
      </c>
      <c r="F946" s="13"/>
      <c r="G946" s="59"/>
      <c r="H946" s="6"/>
      <c r="I946" s="6">
        <f t="shared" si="62"/>
        <v>137.14733542319749</v>
      </c>
      <c r="J946" s="2">
        <v>8.6300000000000008</v>
      </c>
      <c r="K946" s="2">
        <v>6.38</v>
      </c>
      <c r="L946" s="2">
        <v>2.25</v>
      </c>
      <c r="M946" s="2">
        <v>26.08</v>
      </c>
      <c r="N946" s="2" t="s">
        <v>45</v>
      </c>
      <c r="O946" s="56">
        <v>875</v>
      </c>
      <c r="P946" s="2" t="s">
        <v>45</v>
      </c>
      <c r="Q946" s="2" t="s">
        <v>45</v>
      </c>
      <c r="R946" s="2">
        <v>136.75</v>
      </c>
      <c r="S946" s="2">
        <v>9.4600000000000009</v>
      </c>
      <c r="T946" s="2">
        <v>4.21</v>
      </c>
      <c r="U946" s="2">
        <v>127.28</v>
      </c>
      <c r="V946" s="2">
        <v>19.96</v>
      </c>
      <c r="W946" s="2">
        <v>8958.89</v>
      </c>
      <c r="X946" s="2" t="s">
        <v>45</v>
      </c>
      <c r="Y946" s="2" t="s">
        <v>45</v>
      </c>
      <c r="Z946" s="2">
        <v>0.2</v>
      </c>
      <c r="AA946" s="2" t="s">
        <v>45</v>
      </c>
      <c r="AB946" s="2">
        <v>266.7</v>
      </c>
    </row>
    <row r="947" spans="1:28" hidden="1" x14ac:dyDescent="0.3">
      <c r="A947" s="4">
        <v>46261</v>
      </c>
      <c r="B947" s="8" t="s">
        <v>3213</v>
      </c>
      <c r="C947" s="8" t="s">
        <v>36</v>
      </c>
      <c r="D947" s="8" t="s">
        <v>67</v>
      </c>
      <c r="E947" s="8" t="s">
        <v>47</v>
      </c>
      <c r="F947" s="13"/>
      <c r="G947" s="59"/>
      <c r="H947" s="6">
        <f>15000/6</f>
        <v>2500</v>
      </c>
      <c r="I947" s="6">
        <f t="shared" si="62"/>
        <v>272.93103448275861</v>
      </c>
      <c r="J947" s="2">
        <v>8.4</v>
      </c>
      <c r="K947" s="2">
        <v>5.8</v>
      </c>
      <c r="L947" s="2">
        <v>2.6</v>
      </c>
      <c r="M947" s="2">
        <v>30.95</v>
      </c>
      <c r="N947" s="2" t="s">
        <v>3277</v>
      </c>
      <c r="O947" s="56">
        <v>1583</v>
      </c>
      <c r="P947" s="2">
        <v>2.16</v>
      </c>
      <c r="Q947" s="2">
        <v>16.079999999999998</v>
      </c>
      <c r="R947" s="2">
        <v>98.42</v>
      </c>
      <c r="S947" s="2">
        <v>8.52</v>
      </c>
      <c r="T947" s="2">
        <v>3.28</v>
      </c>
      <c r="U947" s="2">
        <v>89.9</v>
      </c>
      <c r="V947" s="2">
        <v>15.5</v>
      </c>
      <c r="W947" s="2">
        <v>839.68</v>
      </c>
      <c r="X947" s="2" t="s">
        <v>3278</v>
      </c>
      <c r="Y947" s="2" t="s">
        <v>3279</v>
      </c>
      <c r="Z947" s="2">
        <v>0.3</v>
      </c>
      <c r="AA947" s="2" t="s">
        <v>548</v>
      </c>
      <c r="AB947" s="2" t="s">
        <v>3280</v>
      </c>
    </row>
    <row r="948" spans="1:28" hidden="1" x14ac:dyDescent="0.3">
      <c r="A948" s="4">
        <v>46261</v>
      </c>
      <c r="B948" s="8" t="s">
        <v>3213</v>
      </c>
      <c r="C948" s="8" t="s">
        <v>36</v>
      </c>
      <c r="D948" s="8" t="s">
        <v>50</v>
      </c>
      <c r="E948" s="8" t="s">
        <v>47</v>
      </c>
      <c r="F948" s="13"/>
      <c r="G948" s="59"/>
      <c r="H948" s="6">
        <f>15000/6</f>
        <v>2500</v>
      </c>
      <c r="I948" s="6">
        <f t="shared" si="62"/>
        <v>370.64896755162238</v>
      </c>
      <c r="J948" s="2">
        <v>7.78</v>
      </c>
      <c r="K948" s="2">
        <v>6.78</v>
      </c>
      <c r="L948" s="2" t="s">
        <v>1696</v>
      </c>
      <c r="M948" s="2">
        <v>12.86</v>
      </c>
      <c r="N948" s="2" t="s">
        <v>3281</v>
      </c>
      <c r="O948" s="56">
        <v>2513</v>
      </c>
      <c r="P948" s="2">
        <v>2.12</v>
      </c>
      <c r="Q948" s="2">
        <v>16.91</v>
      </c>
      <c r="R948" s="2">
        <v>148.58000000000001</v>
      </c>
      <c r="S948" s="2">
        <v>3.79</v>
      </c>
      <c r="T948" s="2">
        <v>3.79</v>
      </c>
      <c r="U948" s="2">
        <v>144.79</v>
      </c>
      <c r="V948" s="2">
        <v>21.36</v>
      </c>
      <c r="W948" s="2">
        <v>2664.65</v>
      </c>
      <c r="X948" s="2" t="s">
        <v>3282</v>
      </c>
      <c r="Y948" s="2" t="s">
        <v>3283</v>
      </c>
      <c r="Z948" s="2">
        <v>0.4</v>
      </c>
      <c r="AA948" s="2" t="s">
        <v>548</v>
      </c>
      <c r="AB948" s="2">
        <v>341.8</v>
      </c>
    </row>
    <row r="949" spans="1:28" hidden="1" x14ac:dyDescent="0.3">
      <c r="A949" s="4">
        <v>46261</v>
      </c>
      <c r="B949" s="8" t="s">
        <v>3213</v>
      </c>
      <c r="C949" s="8" t="s">
        <v>36</v>
      </c>
      <c r="D949" s="8" t="s">
        <v>52</v>
      </c>
      <c r="E949" s="8" t="s">
        <v>47</v>
      </c>
      <c r="F949" s="13"/>
      <c r="G949" s="59"/>
      <c r="H949" s="6">
        <f>15000/6</f>
        <v>2500</v>
      </c>
      <c r="I949" s="6">
        <f t="shared" si="62"/>
        <v>179.22636103151862</v>
      </c>
      <c r="J949" s="2">
        <v>8.23</v>
      </c>
      <c r="K949" s="2">
        <v>6.98</v>
      </c>
      <c r="L949" s="2">
        <v>1.25</v>
      </c>
      <c r="M949" s="2">
        <v>15.19</v>
      </c>
      <c r="N949" s="2" t="s">
        <v>3284</v>
      </c>
      <c r="O949" s="56">
        <v>1251</v>
      </c>
      <c r="P949" s="2">
        <v>2.2799999999999998</v>
      </c>
      <c r="Q949" s="2">
        <v>11.16</v>
      </c>
      <c r="R949" s="2">
        <v>112.14</v>
      </c>
      <c r="S949" s="2">
        <v>4.7300000000000004</v>
      </c>
      <c r="T949" s="2">
        <v>3.79</v>
      </c>
      <c r="U949" s="2">
        <v>107.41</v>
      </c>
      <c r="V949" s="2">
        <v>15.39</v>
      </c>
      <c r="W949" s="2">
        <v>1283.01</v>
      </c>
      <c r="X949" s="2" t="s">
        <v>3285</v>
      </c>
      <c r="Y949" s="2" t="s">
        <v>3286</v>
      </c>
      <c r="Z949" s="2" t="s">
        <v>548</v>
      </c>
      <c r="AA949" s="2" t="s">
        <v>548</v>
      </c>
      <c r="AB949" s="2">
        <v>126.6</v>
      </c>
    </row>
    <row r="950" spans="1:28" hidden="1" x14ac:dyDescent="0.3">
      <c r="A950" s="4">
        <v>46261</v>
      </c>
      <c r="B950" s="8" t="s">
        <v>3213</v>
      </c>
      <c r="C950" s="8" t="s">
        <v>36</v>
      </c>
      <c r="D950" s="7" t="s">
        <v>46</v>
      </c>
      <c r="E950" s="8" t="s">
        <v>47</v>
      </c>
      <c r="F950" s="13"/>
      <c r="G950" s="59"/>
      <c r="H950" s="6">
        <f>15000/6</f>
        <v>2500</v>
      </c>
      <c r="I950" s="6">
        <f t="shared" si="62"/>
        <v>338.35125448028674</v>
      </c>
      <c r="J950" s="2">
        <v>17.100000000000001</v>
      </c>
      <c r="K950" s="2">
        <v>13.95</v>
      </c>
      <c r="L950" s="2">
        <v>3.15</v>
      </c>
      <c r="M950" s="2">
        <v>18.420000000000002</v>
      </c>
      <c r="N950" s="2" t="s">
        <v>3287</v>
      </c>
      <c r="O950" s="56">
        <v>4720</v>
      </c>
      <c r="P950" s="2">
        <v>3.11</v>
      </c>
      <c r="Q950" s="2">
        <v>10.58</v>
      </c>
      <c r="R950" s="2">
        <v>446.21</v>
      </c>
      <c r="S950" s="2">
        <v>18.45</v>
      </c>
      <c r="T950" s="2">
        <v>5.86</v>
      </c>
      <c r="U950" s="2">
        <v>427.75</v>
      </c>
      <c r="V950" s="2">
        <v>30.66</v>
      </c>
      <c r="W950" s="2">
        <v>8299.7099999999991</v>
      </c>
      <c r="X950" s="2" t="s">
        <v>3288</v>
      </c>
      <c r="Y950" s="2" t="s">
        <v>3289</v>
      </c>
      <c r="Z950" s="2">
        <v>0.1</v>
      </c>
      <c r="AA950" s="2" t="s">
        <v>548</v>
      </c>
      <c r="AB950" s="2">
        <v>259.5</v>
      </c>
    </row>
    <row r="951" spans="1:28" x14ac:dyDescent="0.3">
      <c r="A951" s="4">
        <v>46261</v>
      </c>
      <c r="B951" s="8" t="s">
        <v>3213</v>
      </c>
      <c r="C951" s="8" t="s">
        <v>36</v>
      </c>
      <c r="D951" s="8" t="s">
        <v>48</v>
      </c>
      <c r="E951" s="7" t="s">
        <v>38</v>
      </c>
      <c r="F951" s="13">
        <v>3342</v>
      </c>
      <c r="G951" s="59"/>
      <c r="H951" s="6">
        <f>24000/6</f>
        <v>4000</v>
      </c>
      <c r="I951" s="6">
        <f t="shared" si="62"/>
        <v>446.51162790697674</v>
      </c>
      <c r="J951" s="2">
        <v>9.65</v>
      </c>
      <c r="K951" s="2">
        <v>8.6</v>
      </c>
      <c r="L951" s="2">
        <v>1.05</v>
      </c>
      <c r="M951" s="2">
        <v>10.88</v>
      </c>
      <c r="N951" s="2" t="s">
        <v>3290</v>
      </c>
      <c r="O951" s="56">
        <v>3840</v>
      </c>
      <c r="P951" s="2">
        <v>4.2300000000000004</v>
      </c>
      <c r="Q951" s="2">
        <v>11.56</v>
      </c>
      <c r="R951" s="2">
        <v>332.17</v>
      </c>
      <c r="S951" s="2">
        <v>6.62</v>
      </c>
      <c r="T951" s="2">
        <v>6.31</v>
      </c>
      <c r="U951" s="2">
        <v>325.55</v>
      </c>
      <c r="V951" s="2">
        <v>37.86</v>
      </c>
      <c r="W951" s="2">
        <v>6846.93</v>
      </c>
      <c r="X951" s="2" t="s">
        <v>3291</v>
      </c>
      <c r="Y951" s="2" t="s">
        <v>3292</v>
      </c>
      <c r="Z951" s="2" t="s">
        <v>548</v>
      </c>
      <c r="AA951" s="2" t="s">
        <v>548</v>
      </c>
      <c r="AB951" s="2">
        <v>49.9</v>
      </c>
    </row>
    <row r="952" spans="1:28" hidden="1" x14ac:dyDescent="0.3">
      <c r="A952" s="4">
        <v>46261</v>
      </c>
      <c r="B952" s="8" t="s">
        <v>3213</v>
      </c>
      <c r="C952" s="8" t="s">
        <v>36</v>
      </c>
      <c r="D952" s="8" t="s">
        <v>49</v>
      </c>
      <c r="E952" s="8" t="s">
        <v>47</v>
      </c>
      <c r="F952" s="13"/>
      <c r="G952" s="59"/>
      <c r="H952" s="6">
        <f>15000/6</f>
        <v>2500</v>
      </c>
      <c r="I952" s="6">
        <f t="shared" si="62"/>
        <v>363.08139534883719</v>
      </c>
      <c r="J952" s="2">
        <v>5.89</v>
      </c>
      <c r="K952" s="2">
        <v>3.44</v>
      </c>
      <c r="L952" s="2">
        <v>2.4500000000000002</v>
      </c>
      <c r="M952" s="2">
        <v>41.56</v>
      </c>
      <c r="N952" s="2" t="s">
        <v>3293</v>
      </c>
      <c r="O952" s="56">
        <v>1249</v>
      </c>
      <c r="P952" s="2">
        <v>3.35</v>
      </c>
      <c r="Q952" s="2">
        <v>8.9499999999999993</v>
      </c>
      <c r="R952" s="2">
        <v>139.59</v>
      </c>
      <c r="S952" s="2">
        <v>9.94</v>
      </c>
      <c r="T952" s="2">
        <v>4.0599999999999996</v>
      </c>
      <c r="U952" s="2">
        <v>129.65</v>
      </c>
      <c r="V952" s="2">
        <v>37.64</v>
      </c>
      <c r="W952" s="2">
        <v>2166.11</v>
      </c>
      <c r="X952" s="2" t="s">
        <v>3294</v>
      </c>
      <c r="Y952" s="2" t="s">
        <v>3295</v>
      </c>
      <c r="Z952" s="2">
        <v>0.1</v>
      </c>
      <c r="AA952" s="2" t="s">
        <v>548</v>
      </c>
      <c r="AB952" s="2">
        <v>5.8</v>
      </c>
    </row>
    <row r="953" spans="1:28" hidden="1" x14ac:dyDescent="0.3">
      <c r="A953" s="4">
        <v>46262</v>
      </c>
      <c r="B953" s="8" t="s">
        <v>3213</v>
      </c>
      <c r="C953" s="8" t="s">
        <v>36</v>
      </c>
      <c r="D953" s="8" t="s">
        <v>39</v>
      </c>
      <c r="E953" s="8" t="s">
        <v>47</v>
      </c>
      <c r="F953" s="13"/>
      <c r="G953" s="59"/>
      <c r="H953" s="6">
        <f>15000/6</f>
        <v>2500</v>
      </c>
      <c r="I953" s="6">
        <f t="shared" si="62"/>
        <v>386.3346104725415</v>
      </c>
      <c r="J953" s="2">
        <v>8.98</v>
      </c>
      <c r="K953" s="2">
        <v>7.83</v>
      </c>
      <c r="L953" s="2">
        <v>1.1499999999999999</v>
      </c>
      <c r="M953" s="2">
        <v>12.8</v>
      </c>
      <c r="N953" s="2" t="s">
        <v>3296</v>
      </c>
      <c r="O953" s="56">
        <v>3025</v>
      </c>
      <c r="P953" s="2">
        <v>1.46</v>
      </c>
      <c r="Q953" s="2">
        <v>12.01</v>
      </c>
      <c r="R953" s="2">
        <v>150.94</v>
      </c>
      <c r="S953" s="2">
        <v>4.26</v>
      </c>
      <c r="T953" s="2">
        <v>3.7</v>
      </c>
      <c r="U953" s="2">
        <v>146.68</v>
      </c>
      <c r="V953" s="2">
        <v>18.73</v>
      </c>
      <c r="W953" s="2">
        <v>9410.1200000000008</v>
      </c>
      <c r="X953" s="2" t="s">
        <v>3297</v>
      </c>
      <c r="Y953" s="2" t="s">
        <v>3298</v>
      </c>
      <c r="Z953" s="2">
        <v>0.2</v>
      </c>
      <c r="AA953" s="2" t="s">
        <v>548</v>
      </c>
      <c r="AB953" s="2">
        <v>293.60000000000002</v>
      </c>
    </row>
    <row r="954" spans="1:28" hidden="1" x14ac:dyDescent="0.3">
      <c r="A954" s="4">
        <v>46262</v>
      </c>
      <c r="B954" s="8" t="s">
        <v>3213</v>
      </c>
      <c r="C954" s="8" t="s">
        <v>36</v>
      </c>
      <c r="D954" s="8" t="s">
        <v>43</v>
      </c>
      <c r="E954" s="8" t="s">
        <v>61</v>
      </c>
      <c r="F954" s="13"/>
      <c r="G954" s="59"/>
      <c r="H954" s="6"/>
      <c r="I954" s="6">
        <f t="shared" si="62"/>
        <v>121.29380053908356</v>
      </c>
      <c r="J954" s="2">
        <v>7.51</v>
      </c>
      <c r="K954" s="2">
        <v>3.71</v>
      </c>
      <c r="L954" s="2">
        <v>3.8</v>
      </c>
      <c r="M954" s="2">
        <v>50.57</v>
      </c>
      <c r="N954" s="2" t="s">
        <v>45</v>
      </c>
      <c r="O954" s="56">
        <v>450</v>
      </c>
      <c r="P954" s="2" t="s">
        <v>45</v>
      </c>
      <c r="Q954" s="2" t="s">
        <v>45</v>
      </c>
      <c r="R954" s="2">
        <v>90.85</v>
      </c>
      <c r="S954" s="2">
        <v>16.559999999999999</v>
      </c>
      <c r="T954" s="2">
        <v>4.3600000000000003</v>
      </c>
      <c r="U954" s="2">
        <v>74.290000000000006</v>
      </c>
      <c r="V954" s="2" t="s">
        <v>2117</v>
      </c>
      <c r="W954" s="2">
        <v>8966.43</v>
      </c>
      <c r="X954" s="2" t="s">
        <v>45</v>
      </c>
      <c r="Y954" s="2" t="s">
        <v>45</v>
      </c>
      <c r="Z954" s="2">
        <v>0.1</v>
      </c>
      <c r="AA954" s="2" t="s">
        <v>45</v>
      </c>
      <c r="AB954" s="2">
        <v>266.8</v>
      </c>
    </row>
    <row r="955" spans="1:28" hidden="1" x14ac:dyDescent="0.3">
      <c r="A955" s="4">
        <v>46262</v>
      </c>
      <c r="B955" s="8" t="s">
        <v>3213</v>
      </c>
      <c r="C955" s="8" t="s">
        <v>36</v>
      </c>
      <c r="D955" s="8" t="s">
        <v>67</v>
      </c>
      <c r="E955" s="8" t="s">
        <v>47</v>
      </c>
      <c r="F955" s="13"/>
      <c r="G955" s="59"/>
      <c r="H955" s="6">
        <f>15000/6</f>
        <v>2500</v>
      </c>
      <c r="I955" s="6">
        <f t="shared" si="62"/>
        <v>218.53146853146853</v>
      </c>
      <c r="J955" s="2">
        <v>8.02</v>
      </c>
      <c r="K955" s="2">
        <v>5.72</v>
      </c>
      <c r="L955" s="2">
        <v>2.2999999999999998</v>
      </c>
      <c r="M955" s="2">
        <v>28.67</v>
      </c>
      <c r="N955" s="2" t="s">
        <v>1817</v>
      </c>
      <c r="O955" s="56">
        <v>1250</v>
      </c>
      <c r="P955" s="2">
        <v>1.8</v>
      </c>
      <c r="Q955" s="2">
        <v>9.93</v>
      </c>
      <c r="R955" s="2">
        <v>125.86</v>
      </c>
      <c r="S955" s="2">
        <v>7.57</v>
      </c>
      <c r="T955" s="2">
        <v>3.29</v>
      </c>
      <c r="U955" s="2">
        <v>118.29</v>
      </c>
      <c r="V955" s="2">
        <v>20.68</v>
      </c>
      <c r="W955" s="2">
        <v>847.7</v>
      </c>
      <c r="X955" s="2" t="s">
        <v>3299</v>
      </c>
      <c r="Y955" s="2" t="s">
        <v>3300</v>
      </c>
      <c r="Z955" s="2">
        <v>0.5</v>
      </c>
      <c r="AA955" s="2" t="s">
        <v>548</v>
      </c>
      <c r="AB955" s="2">
        <v>83.5</v>
      </c>
    </row>
    <row r="956" spans="1:28" hidden="1" x14ac:dyDescent="0.3">
      <c r="A956" s="4">
        <v>46262</v>
      </c>
      <c r="B956" s="8" t="s">
        <v>3213</v>
      </c>
      <c r="C956" s="8" t="s">
        <v>36</v>
      </c>
      <c r="D956" s="8" t="s">
        <v>50</v>
      </c>
      <c r="E956" s="8" t="s">
        <v>47</v>
      </c>
      <c r="F956" s="13"/>
      <c r="G956" s="59"/>
      <c r="H956" s="6">
        <f>15000/6</f>
        <v>2500</v>
      </c>
      <c r="I956" s="6">
        <f t="shared" si="62"/>
        <v>143.11512415349887</v>
      </c>
      <c r="J956" s="2">
        <v>5.03</v>
      </c>
      <c r="K956" s="2">
        <v>4.43</v>
      </c>
      <c r="L956" s="2">
        <v>0.6</v>
      </c>
      <c r="M956" s="2">
        <v>11.92</v>
      </c>
      <c r="N956" s="2" t="s">
        <v>3301</v>
      </c>
      <c r="O956" s="56">
        <v>634</v>
      </c>
      <c r="P956" s="2">
        <v>1.86</v>
      </c>
      <c r="Q956" s="2">
        <v>7.7</v>
      </c>
      <c r="R956" s="2">
        <v>82.33</v>
      </c>
      <c r="S956" s="2">
        <v>2.84</v>
      </c>
      <c r="T956" s="2">
        <v>4.7300000000000004</v>
      </c>
      <c r="U956" s="2">
        <v>79.489999999999995</v>
      </c>
      <c r="V956" s="2">
        <v>17.93</v>
      </c>
      <c r="W956" s="2">
        <v>2669.69</v>
      </c>
      <c r="X956" s="2" t="s">
        <v>3302</v>
      </c>
      <c r="Y956" s="2" t="s">
        <v>3303</v>
      </c>
      <c r="Z956" s="2">
        <v>0.3</v>
      </c>
      <c r="AA956" s="2" t="s">
        <v>548</v>
      </c>
      <c r="AB956" s="2">
        <v>342.1</v>
      </c>
    </row>
    <row r="957" spans="1:28" hidden="1" x14ac:dyDescent="0.3">
      <c r="A957" s="4">
        <v>46262</v>
      </c>
      <c r="B957" s="8" t="s">
        <v>3213</v>
      </c>
      <c r="C957" s="8" t="s">
        <v>36</v>
      </c>
      <c r="D957" s="8" t="s">
        <v>52</v>
      </c>
      <c r="E957" s="8" t="s">
        <v>47</v>
      </c>
      <c r="F957" s="13"/>
      <c r="G957" s="59"/>
      <c r="H957" s="6">
        <f>15000/6</f>
        <v>2500</v>
      </c>
      <c r="I957" s="6">
        <f t="shared" si="62"/>
        <v>298.71086556169433</v>
      </c>
      <c r="J957" s="2">
        <v>13.26</v>
      </c>
      <c r="K957" s="2">
        <v>10.86</v>
      </c>
      <c r="L957" s="2">
        <v>2.4</v>
      </c>
      <c r="M957" s="2">
        <v>18.100000000000001</v>
      </c>
      <c r="N957" s="2" t="s">
        <v>3304</v>
      </c>
      <c r="O957" s="56">
        <v>3244</v>
      </c>
      <c r="P957" s="2">
        <v>2.13</v>
      </c>
      <c r="Q957" s="2">
        <v>13.85</v>
      </c>
      <c r="R957" s="2">
        <v>234.22</v>
      </c>
      <c r="S957" s="2">
        <v>9.4600000000000009</v>
      </c>
      <c r="T957" s="2">
        <v>3.94</v>
      </c>
      <c r="U957" s="2">
        <v>224.76</v>
      </c>
      <c r="V957" s="2">
        <v>20.7</v>
      </c>
      <c r="W957" s="2">
        <v>1296.27</v>
      </c>
      <c r="X957" s="2" t="s">
        <v>3305</v>
      </c>
      <c r="Y957" s="2" t="s">
        <v>3306</v>
      </c>
      <c r="Z957" s="2" t="s">
        <v>548</v>
      </c>
      <c r="AA957" s="2" t="s">
        <v>548</v>
      </c>
      <c r="AB957" s="2">
        <v>126.6</v>
      </c>
    </row>
    <row r="958" spans="1:28" hidden="1" x14ac:dyDescent="0.3">
      <c r="A958" s="4">
        <v>46262</v>
      </c>
      <c r="B958" s="8" t="s">
        <v>3213</v>
      </c>
      <c r="C958" s="8" t="s">
        <v>36</v>
      </c>
      <c r="D958" s="7" t="s">
        <v>46</v>
      </c>
      <c r="E958" s="8" t="s">
        <v>47</v>
      </c>
      <c r="F958" s="13"/>
      <c r="G958" s="59"/>
      <c r="H958" s="6">
        <f>15000/6</f>
        <v>2500</v>
      </c>
      <c r="I958" s="6">
        <f t="shared" si="62"/>
        <v>263.98046398046398</v>
      </c>
      <c r="J958" s="2">
        <v>10.24</v>
      </c>
      <c r="K958" s="2">
        <v>8.19</v>
      </c>
      <c r="L958" s="2">
        <v>2.0499999999999998</v>
      </c>
      <c r="M958" s="2">
        <v>20.03</v>
      </c>
      <c r="N958" s="2" t="s">
        <v>3307</v>
      </c>
      <c r="O958" s="56">
        <v>2162</v>
      </c>
      <c r="P958" s="2">
        <v>3.43</v>
      </c>
      <c r="Q958" s="2">
        <v>8.43</v>
      </c>
      <c r="R958" s="2">
        <v>256.45999999999998</v>
      </c>
      <c r="S958" s="2">
        <v>12.78</v>
      </c>
      <c r="T958" s="2">
        <v>6.23</v>
      </c>
      <c r="U958" s="2">
        <v>243.69</v>
      </c>
      <c r="V958" s="2">
        <v>29.77</v>
      </c>
      <c r="W958" s="2">
        <v>8309.94</v>
      </c>
      <c r="X958" s="2" t="s">
        <v>3308</v>
      </c>
      <c r="Y958" s="2" t="s">
        <v>3309</v>
      </c>
      <c r="Z958" s="2">
        <v>0.2</v>
      </c>
      <c r="AA958" s="2" t="s">
        <v>548</v>
      </c>
      <c r="AB958" s="2">
        <v>259.7</v>
      </c>
    </row>
    <row r="959" spans="1:28" x14ac:dyDescent="0.3">
      <c r="A959" s="4">
        <v>46262</v>
      </c>
      <c r="B959" s="8" t="s">
        <v>3213</v>
      </c>
      <c r="C959" s="8" t="s">
        <v>36</v>
      </c>
      <c r="D959" s="8" t="s">
        <v>48</v>
      </c>
      <c r="E959" s="7" t="s">
        <v>38</v>
      </c>
      <c r="F959" s="13">
        <v>3879</v>
      </c>
      <c r="G959" s="59"/>
      <c r="H959" s="6">
        <f>24000/6</f>
        <v>4000</v>
      </c>
      <c r="I959" s="6">
        <f t="shared" si="62"/>
        <v>590.3769841269841</v>
      </c>
      <c r="J959" s="2">
        <v>11.23</v>
      </c>
      <c r="K959" s="2">
        <v>10.08</v>
      </c>
      <c r="L959" s="2">
        <v>1.1499999999999999</v>
      </c>
      <c r="M959" s="2">
        <v>10.24</v>
      </c>
      <c r="N959" s="2" t="s">
        <v>3178</v>
      </c>
      <c r="O959" s="56">
        <v>5951</v>
      </c>
      <c r="P959" s="2">
        <v>4.58</v>
      </c>
      <c r="Q959" s="2">
        <v>15.32</v>
      </c>
      <c r="R959" s="2">
        <v>388.48</v>
      </c>
      <c r="S959" s="2">
        <v>7.1</v>
      </c>
      <c r="T959" s="2">
        <v>6.17</v>
      </c>
      <c r="U959" s="2">
        <v>381.38</v>
      </c>
      <c r="V959" s="2">
        <v>37.83</v>
      </c>
      <c r="W959" s="2">
        <v>6858.16</v>
      </c>
      <c r="X959" s="2" t="s">
        <v>3310</v>
      </c>
      <c r="Y959" s="2" t="s">
        <v>3311</v>
      </c>
      <c r="Z959" s="2" t="s">
        <v>548</v>
      </c>
      <c r="AA959" s="2" t="s">
        <v>548</v>
      </c>
      <c r="AB959" s="2">
        <v>49.9</v>
      </c>
    </row>
    <row r="960" spans="1:28" hidden="1" x14ac:dyDescent="0.3">
      <c r="A960" s="4">
        <v>46262</v>
      </c>
      <c r="B960" s="8" t="s">
        <v>3213</v>
      </c>
      <c r="C960" s="8" t="s">
        <v>36</v>
      </c>
      <c r="D960" s="8" t="s">
        <v>49</v>
      </c>
      <c r="E960" s="8" t="s">
        <v>47</v>
      </c>
      <c r="F960" s="13"/>
      <c r="G960" s="59"/>
      <c r="H960" s="6">
        <f>15000/6</f>
        <v>2500</v>
      </c>
      <c r="I960" s="6">
        <f t="shared" si="62"/>
        <v>445.26315789473688</v>
      </c>
      <c r="J960" s="2">
        <v>4.8</v>
      </c>
      <c r="K960" s="2">
        <v>3.8</v>
      </c>
      <c r="L960" s="2" t="s">
        <v>1696</v>
      </c>
      <c r="M960" s="2">
        <v>20.83</v>
      </c>
      <c r="N960" s="2" t="s">
        <v>3312</v>
      </c>
      <c r="O960" s="56">
        <v>1692</v>
      </c>
      <c r="P960" s="2">
        <v>3.16</v>
      </c>
      <c r="Q960" s="2">
        <v>11.35</v>
      </c>
      <c r="R960" s="2">
        <v>149.05000000000001</v>
      </c>
      <c r="S960" s="2">
        <v>5.2</v>
      </c>
      <c r="T960" s="2">
        <v>5.2</v>
      </c>
      <c r="U960" s="2">
        <v>143.85</v>
      </c>
      <c r="V960" s="2">
        <v>37.85</v>
      </c>
      <c r="W960" s="2">
        <v>2170.91</v>
      </c>
      <c r="X960" s="2" t="s">
        <v>3313</v>
      </c>
      <c r="Y960" s="2" t="s">
        <v>3314</v>
      </c>
      <c r="Z960" s="2" t="s">
        <v>548</v>
      </c>
      <c r="AA960" s="2" t="s">
        <v>548</v>
      </c>
      <c r="AB960" s="2">
        <v>5.8</v>
      </c>
    </row>
    <row r="961" spans="1:28" hidden="1" x14ac:dyDescent="0.3">
      <c r="A961" s="4">
        <v>46263</v>
      </c>
      <c r="B961" s="8" t="s">
        <v>3213</v>
      </c>
      <c r="C961" s="8" t="s">
        <v>36</v>
      </c>
      <c r="D961" s="8" t="s">
        <v>39</v>
      </c>
      <c r="E961" s="8" t="s">
        <v>47</v>
      </c>
      <c r="F961" s="13"/>
      <c r="G961" s="59"/>
      <c r="H961" s="6">
        <f>15000/6</f>
        <v>2500</v>
      </c>
      <c r="I961" s="6">
        <f t="shared" si="62"/>
        <v>274.12008281573497</v>
      </c>
      <c r="J961" s="2">
        <v>6.38</v>
      </c>
      <c r="K961" s="2">
        <v>4.83</v>
      </c>
      <c r="L961" s="2">
        <v>1.55</v>
      </c>
      <c r="M961" s="2">
        <v>24.3</v>
      </c>
      <c r="N961" s="2" t="s">
        <v>3315</v>
      </c>
      <c r="O961" s="56">
        <v>1324</v>
      </c>
      <c r="P961" s="2">
        <v>1.71</v>
      </c>
      <c r="Q961" s="2">
        <v>13.39</v>
      </c>
      <c r="R961" s="2">
        <v>98.89</v>
      </c>
      <c r="S961" s="2">
        <v>6.62</v>
      </c>
      <c r="T961" s="2">
        <v>4.2699999999999996</v>
      </c>
      <c r="U961" s="2">
        <v>92.27</v>
      </c>
      <c r="V961" s="2">
        <v>19.11</v>
      </c>
      <c r="W961" s="2">
        <v>9416.5</v>
      </c>
      <c r="X961" s="2" t="s">
        <v>3316</v>
      </c>
      <c r="Y961" s="2" t="s">
        <v>3317</v>
      </c>
      <c r="Z961" s="2" t="s">
        <v>548</v>
      </c>
      <c r="AA961" s="2" t="s">
        <v>548</v>
      </c>
      <c r="AB961" s="2">
        <v>293.60000000000002</v>
      </c>
    </row>
    <row r="962" spans="1:28" hidden="1" x14ac:dyDescent="0.3">
      <c r="A962" s="4">
        <v>46263</v>
      </c>
      <c r="B962" s="8" t="s">
        <v>3213</v>
      </c>
      <c r="C962" s="8" t="s">
        <v>36</v>
      </c>
      <c r="D962" s="8" t="s">
        <v>43</v>
      </c>
      <c r="E962" s="8" t="s">
        <v>2994</v>
      </c>
      <c r="F962" s="13"/>
      <c r="G962" s="59"/>
      <c r="H962" s="6"/>
      <c r="I962" s="6">
        <f t="shared" si="62"/>
        <v>0</v>
      </c>
      <c r="J962" s="2">
        <v>3.87</v>
      </c>
      <c r="K962" s="2">
        <v>1.82</v>
      </c>
      <c r="L962" s="2">
        <v>2.0499999999999998</v>
      </c>
      <c r="M962" s="2">
        <v>52.98</v>
      </c>
      <c r="N962" s="2" t="s">
        <v>45</v>
      </c>
      <c r="O962" s="56" t="s">
        <v>45</v>
      </c>
      <c r="P962" s="2" t="s">
        <v>45</v>
      </c>
      <c r="Q962" s="2" t="s">
        <v>45</v>
      </c>
      <c r="R962" s="2">
        <v>45.9</v>
      </c>
      <c r="S962" s="2">
        <v>8.0399999999999991</v>
      </c>
      <c r="T962" s="2">
        <v>3.92</v>
      </c>
      <c r="U962" s="2">
        <v>37.85</v>
      </c>
      <c r="V962" s="2">
        <v>20.8</v>
      </c>
      <c r="W962" s="2">
        <v>8970.3700000000008</v>
      </c>
      <c r="X962" s="2" t="s">
        <v>45</v>
      </c>
      <c r="Y962" s="2" t="s">
        <v>45</v>
      </c>
      <c r="Z962" s="2">
        <v>0.9</v>
      </c>
      <c r="AA962" s="2" t="s">
        <v>45</v>
      </c>
      <c r="AB962" s="2">
        <v>267.7</v>
      </c>
    </row>
    <row r="963" spans="1:28" hidden="1" x14ac:dyDescent="0.3">
      <c r="A963" s="4">
        <v>46263</v>
      </c>
      <c r="B963" s="8" t="s">
        <v>3213</v>
      </c>
      <c r="C963" s="8" t="s">
        <v>36</v>
      </c>
      <c r="D963" s="8" t="s">
        <v>67</v>
      </c>
      <c r="E963" s="8" t="s">
        <v>47</v>
      </c>
      <c r="F963" s="13"/>
      <c r="G963" s="59"/>
      <c r="H963" s="6">
        <f>15000/6</f>
        <v>2500</v>
      </c>
      <c r="I963" s="6">
        <f t="shared" si="62"/>
        <v>278.78228782287823</v>
      </c>
      <c r="J963" s="2">
        <v>6.87</v>
      </c>
      <c r="K963" s="2">
        <v>5.42</v>
      </c>
      <c r="L963" s="2">
        <v>1.45</v>
      </c>
      <c r="M963" s="2">
        <v>21.12</v>
      </c>
      <c r="N963" s="2" t="s">
        <v>3318</v>
      </c>
      <c r="O963" s="56">
        <v>1511</v>
      </c>
      <c r="P963" s="2">
        <v>2.12</v>
      </c>
      <c r="Q963" s="2">
        <v>12.19</v>
      </c>
      <c r="R963" s="2">
        <v>123.97</v>
      </c>
      <c r="S963" s="2">
        <v>4.7300000000000004</v>
      </c>
      <c r="T963" s="2">
        <v>3.26</v>
      </c>
      <c r="U963" s="2">
        <v>119.24</v>
      </c>
      <c r="V963" s="2">
        <v>22.02</v>
      </c>
      <c r="W963" s="2">
        <v>854.57</v>
      </c>
      <c r="X963" s="2" t="s">
        <v>3319</v>
      </c>
      <c r="Y963" s="2" t="s">
        <v>3320</v>
      </c>
      <c r="Z963" s="2">
        <v>1.4</v>
      </c>
      <c r="AA963" s="2" t="s">
        <v>548</v>
      </c>
      <c r="AB963" s="2">
        <v>84.9</v>
      </c>
    </row>
    <row r="964" spans="1:28" hidden="1" x14ac:dyDescent="0.3">
      <c r="A964" s="4">
        <v>46263</v>
      </c>
      <c r="B964" s="8" t="s">
        <v>3213</v>
      </c>
      <c r="C964" s="8" t="s">
        <v>36</v>
      </c>
      <c r="D964" s="8" t="s">
        <v>50</v>
      </c>
      <c r="E964" s="8" t="s">
        <v>47</v>
      </c>
      <c r="F964" s="13"/>
      <c r="G964" s="59"/>
      <c r="H964" s="6">
        <f>15000/6</f>
        <v>2500</v>
      </c>
      <c r="I964" s="6">
        <f t="shared" ref="I964:I995" si="63">IFERROR(O964/K964,)</f>
        <v>478.11158798283259</v>
      </c>
      <c r="J964" s="2">
        <v>5.56</v>
      </c>
      <c r="K964" s="2">
        <v>4.66</v>
      </c>
      <c r="L964" s="2">
        <v>0.9</v>
      </c>
      <c r="M964" s="2">
        <v>16.2</v>
      </c>
      <c r="N964" s="2" t="s">
        <v>3321</v>
      </c>
      <c r="O964" s="56">
        <v>2228</v>
      </c>
      <c r="P964" s="2">
        <v>2.2200000000000002</v>
      </c>
      <c r="Q964" s="2">
        <v>21.02</v>
      </c>
      <c r="R964" s="2">
        <v>105.99</v>
      </c>
      <c r="S964" s="2">
        <v>3.31</v>
      </c>
      <c r="T964" s="2">
        <v>3.68</v>
      </c>
      <c r="U964" s="2">
        <v>102.68</v>
      </c>
      <c r="V964" s="2">
        <v>22.06</v>
      </c>
      <c r="W964" s="2">
        <v>2675.24</v>
      </c>
      <c r="X964" s="2" t="s">
        <v>3322</v>
      </c>
      <c r="Y964" s="2" t="s">
        <v>3323</v>
      </c>
      <c r="Z964" s="2" t="s">
        <v>548</v>
      </c>
      <c r="AA964" s="2" t="s">
        <v>548</v>
      </c>
      <c r="AB964" s="2">
        <v>342.1</v>
      </c>
    </row>
    <row r="965" spans="1:28" hidden="1" x14ac:dyDescent="0.3">
      <c r="A965" s="4">
        <v>46263</v>
      </c>
      <c r="B965" s="8" t="s">
        <v>3213</v>
      </c>
      <c r="C965" s="8" t="s">
        <v>36</v>
      </c>
      <c r="D965" s="8" t="s">
        <v>52</v>
      </c>
      <c r="E965" s="8" t="s">
        <v>47</v>
      </c>
      <c r="F965" s="13"/>
      <c r="G965" s="59"/>
      <c r="H965" s="6">
        <f>15000/6</f>
        <v>2500</v>
      </c>
      <c r="I965" s="6">
        <f t="shared" si="63"/>
        <v>281.46655922643032</v>
      </c>
      <c r="J965" s="2">
        <v>13.96</v>
      </c>
      <c r="K965" s="2">
        <v>12.41</v>
      </c>
      <c r="L965" s="2">
        <v>1.55</v>
      </c>
      <c r="M965" s="2">
        <v>11.1</v>
      </c>
      <c r="N965" s="2" t="s">
        <v>3324</v>
      </c>
      <c r="O965" s="56">
        <v>3493</v>
      </c>
      <c r="P965" s="2">
        <v>2.27</v>
      </c>
      <c r="Q965" s="2">
        <v>16.55</v>
      </c>
      <c r="R965" s="2">
        <v>211.04</v>
      </c>
      <c r="S965" s="2">
        <v>6.15</v>
      </c>
      <c r="T965" s="2">
        <v>3.97</v>
      </c>
      <c r="U965" s="2">
        <v>204.89</v>
      </c>
      <c r="V965" s="2">
        <v>16.510000000000002</v>
      </c>
      <c r="W965" s="2">
        <v>1310.23</v>
      </c>
      <c r="X965" s="2" t="s">
        <v>3325</v>
      </c>
      <c r="Y965" s="2" t="s">
        <v>3326</v>
      </c>
      <c r="Z965" s="2" t="s">
        <v>548</v>
      </c>
      <c r="AA965" s="2" t="s">
        <v>548</v>
      </c>
      <c r="AB965" s="2">
        <v>126.6</v>
      </c>
    </row>
    <row r="966" spans="1:28" hidden="1" x14ac:dyDescent="0.3">
      <c r="A966" s="4">
        <v>46263</v>
      </c>
      <c r="B966" s="8" t="s">
        <v>3213</v>
      </c>
      <c r="C966" s="8" t="s">
        <v>36</v>
      </c>
      <c r="D966" s="7" t="s">
        <v>46</v>
      </c>
      <c r="E966" s="8" t="s">
        <v>47</v>
      </c>
      <c r="F966" s="13"/>
      <c r="G966" s="59"/>
      <c r="H966" s="6">
        <f>15000/6</f>
        <v>2500</v>
      </c>
      <c r="I966" s="6">
        <f t="shared" si="63"/>
        <v>250.83798882681563</v>
      </c>
      <c r="J966" s="2">
        <v>6.23</v>
      </c>
      <c r="K966" s="2">
        <v>3.58</v>
      </c>
      <c r="L966" s="2">
        <v>2.65</v>
      </c>
      <c r="M966" s="2">
        <v>42.55</v>
      </c>
      <c r="N966" s="2" t="s">
        <v>2812</v>
      </c>
      <c r="O966" s="56">
        <v>898</v>
      </c>
      <c r="P966" s="2">
        <v>3.58</v>
      </c>
      <c r="Q966" s="2">
        <v>7.62</v>
      </c>
      <c r="R966" s="2">
        <v>117.82</v>
      </c>
      <c r="S966" s="2">
        <v>14.67</v>
      </c>
      <c r="T966" s="2">
        <v>5.54</v>
      </c>
      <c r="U966" s="2">
        <v>103.15</v>
      </c>
      <c r="V966" s="2">
        <v>28.83</v>
      </c>
      <c r="W966" s="2">
        <v>8316.17</v>
      </c>
      <c r="X966" s="2" t="s">
        <v>3327</v>
      </c>
      <c r="Y966" s="2" t="s">
        <v>3328</v>
      </c>
      <c r="Z966" s="2" t="s">
        <v>548</v>
      </c>
      <c r="AA966" s="2" t="s">
        <v>548</v>
      </c>
      <c r="AB966" s="2">
        <v>259.7</v>
      </c>
    </row>
    <row r="967" spans="1:28" x14ac:dyDescent="0.3">
      <c r="A967" s="4">
        <v>46263</v>
      </c>
      <c r="B967" s="8" t="s">
        <v>3213</v>
      </c>
      <c r="C967" s="8" t="s">
        <v>36</v>
      </c>
      <c r="D967" s="8" t="s">
        <v>48</v>
      </c>
      <c r="E967" s="7" t="s">
        <v>38</v>
      </c>
      <c r="F967" s="13">
        <v>3190</v>
      </c>
      <c r="G967" s="59"/>
      <c r="H967" s="6">
        <f>24000/6</f>
        <v>4000</v>
      </c>
      <c r="I967" s="6">
        <f t="shared" si="63"/>
        <v>570.57182705718276</v>
      </c>
      <c r="J967" s="2">
        <v>8.02</v>
      </c>
      <c r="K967" s="2">
        <v>7.17</v>
      </c>
      <c r="L967" s="2">
        <v>0.85</v>
      </c>
      <c r="M967" s="2">
        <v>10.6</v>
      </c>
      <c r="N967" s="2" t="s">
        <v>3329</v>
      </c>
      <c r="O967" s="56">
        <v>4091</v>
      </c>
      <c r="P967" s="2">
        <v>4.93</v>
      </c>
      <c r="Q967" s="2">
        <v>14.86</v>
      </c>
      <c r="R967" s="2">
        <v>275.39</v>
      </c>
      <c r="S967" s="2">
        <v>5.2</v>
      </c>
      <c r="T967" s="2">
        <v>6.12</v>
      </c>
      <c r="U967" s="2">
        <v>270.18</v>
      </c>
      <c r="V967" s="2">
        <v>37.68</v>
      </c>
      <c r="W967" s="2">
        <v>6866.18</v>
      </c>
      <c r="X967" s="2" t="s">
        <v>3330</v>
      </c>
      <c r="Y967" s="2" t="s">
        <v>3331</v>
      </c>
      <c r="Z967" s="2" t="s">
        <v>548</v>
      </c>
      <c r="AA967" s="2" t="s">
        <v>548</v>
      </c>
      <c r="AB967" s="2">
        <v>49.9</v>
      </c>
    </row>
    <row r="968" spans="1:28" hidden="1" x14ac:dyDescent="0.3">
      <c r="A968" s="4">
        <v>46263</v>
      </c>
      <c r="B968" s="8" t="s">
        <v>3213</v>
      </c>
      <c r="C968" s="8" t="s">
        <v>36</v>
      </c>
      <c r="D968" s="8" t="s">
        <v>49</v>
      </c>
      <c r="E968" s="8" t="s">
        <v>47</v>
      </c>
      <c r="F968" s="13"/>
      <c r="G968" s="59"/>
      <c r="H968" s="6">
        <f>15000/6</f>
        <v>2500</v>
      </c>
      <c r="I968" s="6">
        <f t="shared" si="63"/>
        <v>186.84210526315789</v>
      </c>
      <c r="J968" s="2">
        <v>6.85</v>
      </c>
      <c r="K968" s="2">
        <v>5.7</v>
      </c>
      <c r="L968" s="2">
        <v>1.1499999999999999</v>
      </c>
      <c r="M968" s="2">
        <v>16.79</v>
      </c>
      <c r="N968" s="2" t="s">
        <v>3332</v>
      </c>
      <c r="O968" s="56">
        <v>1065</v>
      </c>
      <c r="P968" s="2">
        <v>2.76</v>
      </c>
      <c r="Q968" s="2">
        <v>5.13</v>
      </c>
      <c r="R968" s="2">
        <v>207.72</v>
      </c>
      <c r="S968" s="2">
        <v>5.68</v>
      </c>
      <c r="T968" s="2">
        <v>4.9400000000000004</v>
      </c>
      <c r="U968" s="2">
        <v>202.05</v>
      </c>
      <c r="V968" s="2">
        <v>35.46</v>
      </c>
      <c r="W968" s="2">
        <v>2177.7600000000002</v>
      </c>
      <c r="X968" s="2" t="s">
        <v>3333</v>
      </c>
      <c r="Y968" s="2" t="s">
        <v>3334</v>
      </c>
      <c r="Z968" s="2">
        <v>0.1</v>
      </c>
      <c r="AA968" s="2" t="s">
        <v>548</v>
      </c>
      <c r="AB968" s="2">
        <v>5.9</v>
      </c>
    </row>
    <row r="969" spans="1:28" hidden="1" x14ac:dyDescent="0.3">
      <c r="A969" s="4">
        <v>46264</v>
      </c>
      <c r="B969" s="8" t="s">
        <v>55</v>
      </c>
      <c r="C969" s="8" t="s">
        <v>56</v>
      </c>
      <c r="D969" s="8" t="s">
        <v>39</v>
      </c>
      <c r="E969" s="8" t="s">
        <v>47</v>
      </c>
      <c r="F969" s="13"/>
      <c r="G969" s="59"/>
      <c r="H969" s="6"/>
      <c r="I969" s="6">
        <f t="shared" si="63"/>
        <v>0</v>
      </c>
      <c r="J969" s="2" t="s">
        <v>548</v>
      </c>
      <c r="K969" s="2" t="s">
        <v>548</v>
      </c>
      <c r="L969" s="2" t="s">
        <v>548</v>
      </c>
      <c r="M969" s="2" t="s">
        <v>45</v>
      </c>
      <c r="N969" s="2" t="s">
        <v>548</v>
      </c>
      <c r="O969" s="56">
        <v>0</v>
      </c>
      <c r="P969" s="2" t="s">
        <v>45</v>
      </c>
      <c r="Q969" s="2" t="s">
        <v>45</v>
      </c>
      <c r="R969" s="2" t="s">
        <v>548</v>
      </c>
      <c r="S969" s="2" t="s">
        <v>548</v>
      </c>
      <c r="T969" s="2" t="s">
        <v>45</v>
      </c>
      <c r="U969" s="2" t="s">
        <v>548</v>
      </c>
      <c r="V969" s="2" t="s">
        <v>45</v>
      </c>
      <c r="W969" s="2">
        <v>9416.5</v>
      </c>
      <c r="X969" s="2" t="s">
        <v>3316</v>
      </c>
      <c r="Y969" s="2" t="s">
        <v>3317</v>
      </c>
      <c r="Z969" s="2" t="s">
        <v>548</v>
      </c>
      <c r="AA969" s="2" t="s">
        <v>45</v>
      </c>
      <c r="AB969" s="2">
        <v>293.60000000000002</v>
      </c>
    </row>
    <row r="970" spans="1:28" hidden="1" x14ac:dyDescent="0.3">
      <c r="A970" s="4">
        <v>46264</v>
      </c>
      <c r="B970" s="8" t="s">
        <v>55</v>
      </c>
      <c r="C970" s="8" t="s">
        <v>56</v>
      </c>
      <c r="D970" s="8" t="s">
        <v>43</v>
      </c>
      <c r="E970" s="8" t="s">
        <v>47</v>
      </c>
      <c r="F970" s="13"/>
      <c r="G970" s="59"/>
      <c r="H970" s="6"/>
      <c r="I970" s="6">
        <f t="shared" si="63"/>
        <v>0</v>
      </c>
      <c r="J970" s="2" t="s">
        <v>548</v>
      </c>
      <c r="K970" s="2" t="s">
        <v>548</v>
      </c>
      <c r="L970" s="2" t="s">
        <v>548</v>
      </c>
      <c r="M970" s="2" t="s">
        <v>45</v>
      </c>
      <c r="N970" s="2" t="s">
        <v>45</v>
      </c>
      <c r="O970" s="56" t="s">
        <v>45</v>
      </c>
      <c r="P970" s="2" t="s">
        <v>45</v>
      </c>
      <c r="Q970" s="2" t="s">
        <v>45</v>
      </c>
      <c r="R970" s="2" t="s">
        <v>548</v>
      </c>
      <c r="S970" s="2" t="s">
        <v>548</v>
      </c>
      <c r="T970" s="2" t="s">
        <v>45</v>
      </c>
      <c r="U970" s="2" t="s">
        <v>548</v>
      </c>
      <c r="V970" s="2" t="s">
        <v>45</v>
      </c>
      <c r="W970" s="2">
        <v>8970.3700000000008</v>
      </c>
      <c r="X970" s="2" t="s">
        <v>45</v>
      </c>
      <c r="Y970" s="2" t="s">
        <v>45</v>
      </c>
      <c r="Z970" s="2" t="s">
        <v>548</v>
      </c>
      <c r="AA970" s="2" t="s">
        <v>45</v>
      </c>
      <c r="AB970" s="2">
        <v>267.7</v>
      </c>
    </row>
    <row r="971" spans="1:28" hidden="1" x14ac:dyDescent="0.3">
      <c r="A971" s="4">
        <v>46264</v>
      </c>
      <c r="B971" s="8" t="s">
        <v>55</v>
      </c>
      <c r="C971" s="8" t="s">
        <v>56</v>
      </c>
      <c r="D971" s="8" t="s">
        <v>67</v>
      </c>
      <c r="E971" s="8" t="s">
        <v>47</v>
      </c>
      <c r="F971" s="13"/>
      <c r="G971" s="59"/>
      <c r="H971" s="6"/>
      <c r="I971" s="6">
        <f t="shared" si="63"/>
        <v>0</v>
      </c>
      <c r="J971" s="2" t="s">
        <v>548</v>
      </c>
      <c r="K971" s="2" t="s">
        <v>548</v>
      </c>
      <c r="L971" s="2" t="s">
        <v>548</v>
      </c>
      <c r="M971" s="2" t="s">
        <v>45</v>
      </c>
      <c r="N971" s="2" t="s">
        <v>548</v>
      </c>
      <c r="O971" s="56">
        <v>0</v>
      </c>
      <c r="P971" s="2" t="s">
        <v>45</v>
      </c>
      <c r="Q971" s="2" t="s">
        <v>45</v>
      </c>
      <c r="R971" s="2" t="s">
        <v>548</v>
      </c>
      <c r="S971" s="2" t="s">
        <v>548</v>
      </c>
      <c r="T971" s="2" t="s">
        <v>45</v>
      </c>
      <c r="U971" s="2" t="s">
        <v>548</v>
      </c>
      <c r="V971" s="2" t="s">
        <v>45</v>
      </c>
      <c r="W971" s="2">
        <v>854.57</v>
      </c>
      <c r="X971" s="2" t="s">
        <v>3319</v>
      </c>
      <c r="Y971" s="2" t="s">
        <v>3320</v>
      </c>
      <c r="Z971" s="2" t="s">
        <v>548</v>
      </c>
      <c r="AA971" s="2" t="s">
        <v>45</v>
      </c>
      <c r="AB971" s="2">
        <v>84.9</v>
      </c>
    </row>
    <row r="972" spans="1:28" hidden="1" x14ac:dyDescent="0.3">
      <c r="A972" s="4">
        <v>46264</v>
      </c>
      <c r="B972" s="8" t="s">
        <v>55</v>
      </c>
      <c r="C972" s="8" t="s">
        <v>56</v>
      </c>
      <c r="D972" s="8" t="s">
        <v>50</v>
      </c>
      <c r="E972" s="8" t="s">
        <v>47</v>
      </c>
      <c r="F972" s="13"/>
      <c r="G972" s="59"/>
      <c r="H972" s="6"/>
      <c r="I972" s="6">
        <f t="shared" si="63"/>
        <v>0</v>
      </c>
      <c r="J972" s="2" t="s">
        <v>548</v>
      </c>
      <c r="K972" s="2" t="s">
        <v>548</v>
      </c>
      <c r="L972" s="2" t="s">
        <v>548</v>
      </c>
      <c r="M972" s="2" t="s">
        <v>45</v>
      </c>
      <c r="N972" s="2" t="s">
        <v>548</v>
      </c>
      <c r="O972" s="56">
        <v>0</v>
      </c>
      <c r="P972" s="2" t="s">
        <v>45</v>
      </c>
      <c r="Q972" s="2" t="s">
        <v>45</v>
      </c>
      <c r="R972" s="2" t="s">
        <v>548</v>
      </c>
      <c r="S972" s="2" t="s">
        <v>548</v>
      </c>
      <c r="T972" s="2" t="s">
        <v>45</v>
      </c>
      <c r="U972" s="2" t="s">
        <v>548</v>
      </c>
      <c r="V972" s="2" t="s">
        <v>45</v>
      </c>
      <c r="W972" s="2">
        <v>2675.24</v>
      </c>
      <c r="X972" s="2" t="s">
        <v>3322</v>
      </c>
      <c r="Y972" s="2" t="s">
        <v>3323</v>
      </c>
      <c r="Z972" s="2" t="s">
        <v>548</v>
      </c>
      <c r="AA972" s="2" t="s">
        <v>45</v>
      </c>
      <c r="AB972" s="2">
        <v>342.1</v>
      </c>
    </row>
    <row r="973" spans="1:28" hidden="1" x14ac:dyDescent="0.3">
      <c r="A973" s="4">
        <v>46264</v>
      </c>
      <c r="B973" s="8" t="s">
        <v>55</v>
      </c>
      <c r="C973" s="8" t="s">
        <v>56</v>
      </c>
      <c r="D973" s="8" t="s">
        <v>52</v>
      </c>
      <c r="E973" s="8" t="s">
        <v>47</v>
      </c>
      <c r="F973" s="13"/>
      <c r="G973" s="59"/>
      <c r="H973" s="6"/>
      <c r="I973" s="6">
        <f t="shared" si="63"/>
        <v>0</v>
      </c>
      <c r="J973" s="2" t="s">
        <v>45</v>
      </c>
      <c r="K973" s="2" t="s">
        <v>45</v>
      </c>
      <c r="L973" s="2" t="s">
        <v>45</v>
      </c>
      <c r="M973" s="2" t="s">
        <v>45</v>
      </c>
      <c r="N973" s="2" t="s">
        <v>45</v>
      </c>
      <c r="O973" s="56" t="s">
        <v>45</v>
      </c>
      <c r="P973" s="2" t="s">
        <v>45</v>
      </c>
      <c r="Q973" s="2" t="s">
        <v>45</v>
      </c>
      <c r="R973" s="2" t="s">
        <v>45</v>
      </c>
      <c r="S973" s="2" t="s">
        <v>45</v>
      </c>
      <c r="T973" s="2" t="s">
        <v>45</v>
      </c>
      <c r="U973" s="2" t="s">
        <v>45</v>
      </c>
      <c r="V973" s="2" t="s">
        <v>45</v>
      </c>
      <c r="W973" s="2" t="s">
        <v>45</v>
      </c>
      <c r="X973" s="2" t="s">
        <v>45</v>
      </c>
      <c r="Y973" s="2" t="s">
        <v>45</v>
      </c>
      <c r="Z973" s="2" t="s">
        <v>45</v>
      </c>
      <c r="AA973" s="2" t="s">
        <v>45</v>
      </c>
      <c r="AB973" s="2" t="s">
        <v>45</v>
      </c>
    </row>
    <row r="974" spans="1:28" hidden="1" x14ac:dyDescent="0.3">
      <c r="A974" s="4">
        <v>46264</v>
      </c>
      <c r="B974" s="8" t="s">
        <v>55</v>
      </c>
      <c r="C974" s="8" t="s">
        <v>56</v>
      </c>
      <c r="D974" s="7" t="s">
        <v>46</v>
      </c>
      <c r="E974" s="8" t="s">
        <v>47</v>
      </c>
      <c r="F974" s="13"/>
      <c r="G974" s="59"/>
      <c r="H974" s="6"/>
      <c r="I974" s="6">
        <f t="shared" si="63"/>
        <v>0</v>
      </c>
      <c r="J974" s="2" t="s">
        <v>548</v>
      </c>
      <c r="K974" s="2" t="s">
        <v>548</v>
      </c>
      <c r="L974" s="2" t="s">
        <v>548</v>
      </c>
      <c r="M974" s="2" t="s">
        <v>45</v>
      </c>
      <c r="N974" s="2" t="s">
        <v>548</v>
      </c>
      <c r="O974" s="56">
        <v>0</v>
      </c>
      <c r="P974" s="2" t="s">
        <v>45</v>
      </c>
      <c r="Q974" s="2" t="s">
        <v>45</v>
      </c>
      <c r="R974" s="2" t="s">
        <v>548</v>
      </c>
      <c r="S974" s="2" t="s">
        <v>548</v>
      </c>
      <c r="T974" s="2" t="s">
        <v>45</v>
      </c>
      <c r="U974" s="2" t="s">
        <v>548</v>
      </c>
      <c r="V974" s="2" t="s">
        <v>45</v>
      </c>
      <c r="W974" s="2">
        <v>8316.17</v>
      </c>
      <c r="X974" s="2" t="s">
        <v>3327</v>
      </c>
      <c r="Y974" s="2" t="s">
        <v>3328</v>
      </c>
      <c r="Z974" s="2" t="s">
        <v>548</v>
      </c>
      <c r="AA974" s="2" t="s">
        <v>45</v>
      </c>
      <c r="AB974" s="2">
        <v>259.7</v>
      </c>
    </row>
    <row r="975" spans="1:28" x14ac:dyDescent="0.3">
      <c r="A975" s="4">
        <v>46264</v>
      </c>
      <c r="B975" s="8" t="s">
        <v>3213</v>
      </c>
      <c r="C975" s="8" t="s">
        <v>36</v>
      </c>
      <c r="D975" s="8" t="s">
        <v>48</v>
      </c>
      <c r="E975" s="7" t="s">
        <v>38</v>
      </c>
      <c r="F975" s="13">
        <v>1693</v>
      </c>
      <c r="G975" s="59"/>
      <c r="H975" s="6">
        <f>24000/6</f>
        <v>4000</v>
      </c>
      <c r="I975" s="6">
        <f t="shared" si="63"/>
        <v>595.97315436241615</v>
      </c>
      <c r="J975" s="2">
        <v>3.28</v>
      </c>
      <c r="K975" s="2">
        <v>2.98</v>
      </c>
      <c r="L975" s="2">
        <v>0.3</v>
      </c>
      <c r="M975" s="2">
        <v>9.16</v>
      </c>
      <c r="N975" s="2" t="s">
        <v>1491</v>
      </c>
      <c r="O975" s="56">
        <v>1776</v>
      </c>
      <c r="P975" s="2">
        <v>4.42</v>
      </c>
      <c r="Q975" s="2">
        <v>15.97</v>
      </c>
      <c r="R975" s="2">
        <v>111.2</v>
      </c>
      <c r="S975" s="2">
        <v>2.37</v>
      </c>
      <c r="T975" s="2">
        <v>7.89</v>
      </c>
      <c r="U975" s="2">
        <v>108.83</v>
      </c>
      <c r="V975" s="2">
        <v>36.56</v>
      </c>
      <c r="W975" s="2">
        <v>6869.46</v>
      </c>
      <c r="X975" s="2" t="s">
        <v>3335</v>
      </c>
      <c r="Y975" s="2" t="s">
        <v>3336</v>
      </c>
      <c r="Z975" s="2" t="s">
        <v>548</v>
      </c>
      <c r="AA975" s="2" t="s">
        <v>548</v>
      </c>
      <c r="AB975" s="2">
        <v>49.9</v>
      </c>
    </row>
    <row r="976" spans="1:28" hidden="1" x14ac:dyDescent="0.3">
      <c r="A976" s="4">
        <v>46264</v>
      </c>
      <c r="B976" s="8" t="s">
        <v>55</v>
      </c>
      <c r="C976" s="8" t="s">
        <v>56</v>
      </c>
      <c r="D976" s="8" t="s">
        <v>49</v>
      </c>
      <c r="E976" s="8" t="s">
        <v>47</v>
      </c>
      <c r="F976" s="13"/>
      <c r="G976" s="59"/>
      <c r="H976" s="6"/>
      <c r="I976" s="6">
        <f t="shared" si="63"/>
        <v>0</v>
      </c>
      <c r="J976" s="2" t="s">
        <v>45</v>
      </c>
      <c r="K976" s="2" t="s">
        <v>45</v>
      </c>
      <c r="L976" s="2" t="s">
        <v>45</v>
      </c>
      <c r="M976" s="2" t="s">
        <v>45</v>
      </c>
      <c r="N976" s="2" t="s">
        <v>45</v>
      </c>
      <c r="O976" s="56" t="s">
        <v>45</v>
      </c>
      <c r="P976" s="2" t="s">
        <v>45</v>
      </c>
      <c r="Q976" s="2" t="s">
        <v>45</v>
      </c>
      <c r="R976" s="2" t="s">
        <v>45</v>
      </c>
      <c r="S976" s="2" t="s">
        <v>45</v>
      </c>
      <c r="T976" s="2" t="s">
        <v>45</v>
      </c>
      <c r="U976" s="2" t="s">
        <v>45</v>
      </c>
      <c r="V976" s="2" t="s">
        <v>45</v>
      </c>
      <c r="W976" s="2" t="s">
        <v>45</v>
      </c>
      <c r="X976" s="2" t="s">
        <v>45</v>
      </c>
      <c r="Y976" s="2" t="s">
        <v>45</v>
      </c>
      <c r="Z976" s="2" t="s">
        <v>45</v>
      </c>
      <c r="AA976" s="2" t="s">
        <v>45</v>
      </c>
      <c r="AB976" s="2" t="s">
        <v>45</v>
      </c>
    </row>
    <row r="977" spans="1:28" hidden="1" x14ac:dyDescent="0.3">
      <c r="A977" s="4">
        <v>46265</v>
      </c>
      <c r="B977" s="8" t="s">
        <v>3337</v>
      </c>
      <c r="C977" s="8" t="s">
        <v>36</v>
      </c>
      <c r="D977" s="8" t="s">
        <v>39</v>
      </c>
      <c r="E977" s="8" t="s">
        <v>47</v>
      </c>
      <c r="F977" s="13"/>
      <c r="G977" s="59"/>
      <c r="H977" s="6">
        <f>15000/6</f>
        <v>2500</v>
      </c>
      <c r="I977" s="6">
        <f t="shared" si="63"/>
        <v>217.39130434782609</v>
      </c>
      <c r="J977" s="2">
        <v>5.93</v>
      </c>
      <c r="K977" s="2">
        <v>4.83</v>
      </c>
      <c r="L977" s="2">
        <v>1.1000000000000001</v>
      </c>
      <c r="M977" s="2">
        <v>18.54</v>
      </c>
      <c r="N977" s="2" t="s">
        <v>3338</v>
      </c>
      <c r="O977" s="56">
        <v>1050</v>
      </c>
      <c r="P977" s="2">
        <v>1.73</v>
      </c>
      <c r="Q977" s="2">
        <v>9.83</v>
      </c>
      <c r="R977" s="2">
        <v>100.31</v>
      </c>
      <c r="S977" s="2">
        <v>3.79</v>
      </c>
      <c r="T977" s="2">
        <v>3.44</v>
      </c>
      <c r="U977" s="2">
        <v>96.53</v>
      </c>
      <c r="V977" s="2">
        <v>19.97</v>
      </c>
      <c r="W977" s="2">
        <v>9422.43</v>
      </c>
      <c r="X977" s="2" t="s">
        <v>3339</v>
      </c>
      <c r="Y977" s="2" t="s">
        <v>3340</v>
      </c>
      <c r="Z977" s="2" t="s">
        <v>548</v>
      </c>
      <c r="AA977" s="2" t="s">
        <v>548</v>
      </c>
      <c r="AB977" s="2">
        <v>293.60000000000002</v>
      </c>
    </row>
    <row r="978" spans="1:28" hidden="1" x14ac:dyDescent="0.3">
      <c r="A978" s="4">
        <v>46265</v>
      </c>
      <c r="B978" s="8" t="s">
        <v>3337</v>
      </c>
      <c r="C978" s="8" t="s">
        <v>36</v>
      </c>
      <c r="D978" s="8" t="s">
        <v>43</v>
      </c>
      <c r="E978" s="8" t="s">
        <v>2994</v>
      </c>
      <c r="F978" s="13"/>
      <c r="G978" s="59"/>
      <c r="H978" s="6"/>
      <c r="I978" s="6">
        <f t="shared" si="63"/>
        <v>0</v>
      </c>
      <c r="J978" s="2">
        <v>6.18</v>
      </c>
      <c r="K978" s="2">
        <v>3.23</v>
      </c>
      <c r="L978" s="2">
        <v>2.95</v>
      </c>
      <c r="M978" s="2">
        <v>47.74</v>
      </c>
      <c r="N978" s="2" t="s">
        <v>45</v>
      </c>
      <c r="O978" s="56" t="s">
        <v>45</v>
      </c>
      <c r="P978" s="2" t="s">
        <v>45</v>
      </c>
      <c r="Q978" s="2" t="s">
        <v>45</v>
      </c>
      <c r="R978" s="2">
        <v>79.489999999999995</v>
      </c>
      <c r="S978" s="2">
        <v>11.83</v>
      </c>
      <c r="T978" s="2">
        <v>4.01</v>
      </c>
      <c r="U978" s="2">
        <v>67.66</v>
      </c>
      <c r="V978" s="2">
        <v>20.95</v>
      </c>
      <c r="W978" s="2">
        <v>8976.5499999999993</v>
      </c>
      <c r="X978" s="2" t="s">
        <v>45</v>
      </c>
      <c r="Y978" s="2" t="s">
        <v>45</v>
      </c>
      <c r="Z978" s="2">
        <v>0.5</v>
      </c>
      <c r="AA978" s="2" t="s">
        <v>45</v>
      </c>
      <c r="AB978" s="2">
        <v>268.2</v>
      </c>
    </row>
    <row r="979" spans="1:28" hidden="1" x14ac:dyDescent="0.3">
      <c r="A979" s="4">
        <v>46265</v>
      </c>
      <c r="B979" s="8" t="s">
        <v>3337</v>
      </c>
      <c r="C979" s="8" t="s">
        <v>36</v>
      </c>
      <c r="D979" s="8" t="s">
        <v>67</v>
      </c>
      <c r="E979" s="8" t="s">
        <v>47</v>
      </c>
      <c r="F979" s="13"/>
      <c r="G979" s="59"/>
      <c r="H979" s="6">
        <f t="shared" ref="H979:H1016" si="64">15000/6</f>
        <v>2500</v>
      </c>
      <c r="I979" s="6">
        <f t="shared" si="63"/>
        <v>84.688346883468839</v>
      </c>
      <c r="J979" s="2">
        <v>8.33</v>
      </c>
      <c r="K979" s="2">
        <v>7.38</v>
      </c>
      <c r="L979" s="2">
        <v>0.95</v>
      </c>
      <c r="M979" s="2">
        <v>11.41</v>
      </c>
      <c r="N979" s="2" t="s">
        <v>3223</v>
      </c>
      <c r="O979" s="56">
        <v>625</v>
      </c>
      <c r="P979" s="2">
        <v>1.83</v>
      </c>
      <c r="Q979" s="2">
        <v>5.0199999999999996</v>
      </c>
      <c r="R979" s="2">
        <v>124.45</v>
      </c>
      <c r="S979" s="2">
        <v>3.79</v>
      </c>
      <c r="T979" s="2">
        <v>3.98</v>
      </c>
      <c r="U979" s="2">
        <v>120.66</v>
      </c>
      <c r="V979" s="2">
        <v>16.350000000000001</v>
      </c>
      <c r="W979" s="2">
        <v>862.9</v>
      </c>
      <c r="X979" s="2" t="s">
        <v>3341</v>
      </c>
      <c r="Y979" s="2" t="s">
        <v>3342</v>
      </c>
      <c r="Z979" s="2">
        <v>1.1000000000000001</v>
      </c>
      <c r="AA979" s="2" t="s">
        <v>548</v>
      </c>
      <c r="AB979" s="2" t="s">
        <v>1730</v>
      </c>
    </row>
    <row r="980" spans="1:28" hidden="1" x14ac:dyDescent="0.3">
      <c r="A980" s="4">
        <v>46265</v>
      </c>
      <c r="B980" s="8" t="s">
        <v>3337</v>
      </c>
      <c r="C980" s="8" t="s">
        <v>36</v>
      </c>
      <c r="D980" s="8" t="s">
        <v>50</v>
      </c>
      <c r="E980" s="8" t="s">
        <v>47</v>
      </c>
      <c r="F980" s="13"/>
      <c r="G980" s="59"/>
      <c r="H980" s="6">
        <f t="shared" si="64"/>
        <v>2500</v>
      </c>
      <c r="I980" s="6">
        <f t="shared" si="63"/>
        <v>429.92831541218635</v>
      </c>
      <c r="J980" s="2">
        <v>6.78</v>
      </c>
      <c r="K980" s="2">
        <v>5.58</v>
      </c>
      <c r="L980" s="2">
        <v>1.2</v>
      </c>
      <c r="M980" s="2">
        <v>17.690000000000001</v>
      </c>
      <c r="N980" s="2" t="s">
        <v>2768</v>
      </c>
      <c r="O980" s="56">
        <v>2399</v>
      </c>
      <c r="P980" s="2">
        <v>2.04</v>
      </c>
      <c r="Q980" s="2">
        <v>18.850000000000001</v>
      </c>
      <c r="R980" s="2">
        <v>127.28</v>
      </c>
      <c r="S980" s="2">
        <v>3.79</v>
      </c>
      <c r="T980" s="2">
        <v>3.15</v>
      </c>
      <c r="U980" s="2">
        <v>123.5</v>
      </c>
      <c r="V980" s="2">
        <v>22.11</v>
      </c>
      <c r="W980" s="2">
        <v>2682.03</v>
      </c>
      <c r="X980" s="2" t="s">
        <v>3343</v>
      </c>
      <c r="Y980" s="2" t="s">
        <v>3344</v>
      </c>
      <c r="Z980" s="2" t="s">
        <v>548</v>
      </c>
      <c r="AA980" s="2" t="s">
        <v>548</v>
      </c>
      <c r="AB980" s="2">
        <v>342.1</v>
      </c>
    </row>
    <row r="981" spans="1:28" hidden="1" x14ac:dyDescent="0.3">
      <c r="A981" s="4">
        <v>46265</v>
      </c>
      <c r="B981" s="8" t="s">
        <v>3337</v>
      </c>
      <c r="C981" s="8" t="s">
        <v>36</v>
      </c>
      <c r="D981" s="8" t="s">
        <v>52</v>
      </c>
      <c r="E981" s="8" t="s">
        <v>47</v>
      </c>
      <c r="F981" s="13"/>
      <c r="G981" s="59"/>
      <c r="H981" s="6">
        <f t="shared" si="64"/>
        <v>2500</v>
      </c>
      <c r="I981" s="6">
        <f t="shared" si="63"/>
        <v>348.07302231237327</v>
      </c>
      <c r="J981" s="2">
        <v>11.41</v>
      </c>
      <c r="K981" s="2">
        <v>9.86</v>
      </c>
      <c r="L981" s="2">
        <v>1.55</v>
      </c>
      <c r="M981" s="2">
        <v>13.59</v>
      </c>
      <c r="N981" s="2" t="s">
        <v>3345</v>
      </c>
      <c r="O981" s="56">
        <v>3432</v>
      </c>
      <c r="P981" s="2">
        <v>2.19</v>
      </c>
      <c r="Q981" s="2">
        <v>16.12</v>
      </c>
      <c r="R981" s="2">
        <v>212.93</v>
      </c>
      <c r="S981" s="2">
        <v>6.15</v>
      </c>
      <c r="T981" s="2">
        <v>3.97</v>
      </c>
      <c r="U981" s="2">
        <v>206.78</v>
      </c>
      <c r="V981" s="2">
        <v>20.98</v>
      </c>
      <c r="W981" s="2">
        <v>1321.63</v>
      </c>
      <c r="X981" s="2" t="s">
        <v>3346</v>
      </c>
      <c r="Y981" s="2" t="s">
        <v>3347</v>
      </c>
      <c r="Z981" s="2" t="s">
        <v>548</v>
      </c>
      <c r="AA981" s="2" t="s">
        <v>548</v>
      </c>
      <c r="AB981" s="2">
        <v>126.6</v>
      </c>
    </row>
    <row r="982" spans="1:28" hidden="1" x14ac:dyDescent="0.3">
      <c r="A982" s="4">
        <v>46265</v>
      </c>
      <c r="B982" s="8" t="s">
        <v>3337</v>
      </c>
      <c r="C982" s="8" t="s">
        <v>36</v>
      </c>
      <c r="D982" s="7" t="s">
        <v>46</v>
      </c>
      <c r="E982" s="8" t="s">
        <v>47</v>
      </c>
      <c r="F982" s="13"/>
      <c r="G982" s="59"/>
      <c r="H982" s="6">
        <f t="shared" si="64"/>
        <v>2500</v>
      </c>
      <c r="I982" s="6">
        <f t="shared" si="63"/>
        <v>263.42281879194633</v>
      </c>
      <c r="J982" s="2">
        <v>7.46</v>
      </c>
      <c r="K982" s="2">
        <v>5.96</v>
      </c>
      <c r="L982" s="2">
        <v>1.5</v>
      </c>
      <c r="M982" s="2">
        <v>20.11</v>
      </c>
      <c r="N982" s="2" t="s">
        <v>3348</v>
      </c>
      <c r="O982" s="56">
        <v>1570</v>
      </c>
      <c r="P982" s="2">
        <v>3.36</v>
      </c>
      <c r="Q982" s="2">
        <v>8.92</v>
      </c>
      <c r="R982" s="2">
        <v>176.02</v>
      </c>
      <c r="S982" s="2">
        <v>10.41</v>
      </c>
      <c r="T982" s="2">
        <v>6.94</v>
      </c>
      <c r="U982" s="2">
        <v>165.61</v>
      </c>
      <c r="V982" s="2">
        <v>27.79</v>
      </c>
      <c r="W982" s="2">
        <v>8323.6299999999992</v>
      </c>
      <c r="X982" s="2" t="s">
        <v>3349</v>
      </c>
      <c r="Y982" s="2" t="s">
        <v>3350</v>
      </c>
      <c r="Z982" s="2" t="s">
        <v>548</v>
      </c>
      <c r="AA982" s="2" t="s">
        <v>548</v>
      </c>
      <c r="AB982" s="2">
        <v>259.7</v>
      </c>
    </row>
    <row r="983" spans="1:28" x14ac:dyDescent="0.3">
      <c r="A983" s="4">
        <v>46265</v>
      </c>
      <c r="B983" s="8" t="s">
        <v>3337</v>
      </c>
      <c r="C983" s="8" t="s">
        <v>36</v>
      </c>
      <c r="D983" s="8" t="s">
        <v>48</v>
      </c>
      <c r="E983" s="7" t="s">
        <v>38</v>
      </c>
      <c r="F983" s="13">
        <v>2905</v>
      </c>
      <c r="G983" s="59"/>
      <c r="H983" s="82">
        <f>24000/7</f>
        <v>3428.5714285714284</v>
      </c>
      <c r="I983" s="6">
        <f t="shared" si="63"/>
        <v>558.97129186602876</v>
      </c>
      <c r="J983" s="2">
        <v>9.01</v>
      </c>
      <c r="K983" s="2">
        <v>8.36</v>
      </c>
      <c r="L983" s="2">
        <v>0.65</v>
      </c>
      <c r="M983" s="2">
        <v>7.21</v>
      </c>
      <c r="N983" s="2" t="s">
        <v>3321</v>
      </c>
      <c r="O983" s="56">
        <v>4673</v>
      </c>
      <c r="P983" s="2">
        <v>4.6500000000000004</v>
      </c>
      <c r="Q983" s="2">
        <v>13.7</v>
      </c>
      <c r="R983" s="2">
        <v>341.16</v>
      </c>
      <c r="S983" s="2">
        <v>3.79</v>
      </c>
      <c r="T983" s="2">
        <v>5.82</v>
      </c>
      <c r="U983" s="2">
        <v>337.37</v>
      </c>
      <c r="V983" s="2">
        <v>40.36</v>
      </c>
      <c r="W983" s="2">
        <v>6878.47</v>
      </c>
      <c r="X983" s="2" t="s">
        <v>3351</v>
      </c>
      <c r="Y983" s="2" t="s">
        <v>3352</v>
      </c>
      <c r="Z983" s="2">
        <v>0.1</v>
      </c>
      <c r="AA983" s="2" t="s">
        <v>548</v>
      </c>
      <c r="AB983" s="2" t="s">
        <v>3353</v>
      </c>
    </row>
    <row r="984" spans="1:28" hidden="1" x14ac:dyDescent="0.3">
      <c r="A984" s="4">
        <v>46265</v>
      </c>
      <c r="B984" s="8" t="s">
        <v>3337</v>
      </c>
      <c r="C984" s="8" t="s">
        <v>36</v>
      </c>
      <c r="D984" s="8" t="s">
        <v>49</v>
      </c>
      <c r="E984" s="8" t="s">
        <v>47</v>
      </c>
      <c r="F984" s="13"/>
      <c r="G984" s="59"/>
      <c r="H984" s="6">
        <f t="shared" si="64"/>
        <v>2500</v>
      </c>
      <c r="I984" s="6">
        <f t="shared" si="63"/>
        <v>189.82035928143713</v>
      </c>
      <c r="J984" s="2">
        <v>3.69</v>
      </c>
      <c r="K984" s="2">
        <v>3.34</v>
      </c>
      <c r="L984" s="2">
        <v>0.35</v>
      </c>
      <c r="M984" s="2">
        <v>9.48</v>
      </c>
      <c r="N984" s="2" t="s">
        <v>3354</v>
      </c>
      <c r="O984" s="56" t="s">
        <v>3355</v>
      </c>
      <c r="P984" s="2">
        <v>2.59</v>
      </c>
      <c r="Q984" s="2">
        <v>6.35</v>
      </c>
      <c r="R984" s="2">
        <v>99.84</v>
      </c>
      <c r="S984" s="2">
        <v>1.89</v>
      </c>
      <c r="T984" s="2">
        <v>5.41</v>
      </c>
      <c r="U984" s="2">
        <v>97.95</v>
      </c>
      <c r="V984" s="2">
        <v>29.32</v>
      </c>
      <c r="W984" s="2">
        <v>2181.4499999999998</v>
      </c>
      <c r="X984" s="2" t="s">
        <v>3356</v>
      </c>
      <c r="Y984" s="2" t="s">
        <v>3357</v>
      </c>
      <c r="Z984" s="2" t="s">
        <v>548</v>
      </c>
      <c r="AA984" s="2" t="s">
        <v>548</v>
      </c>
      <c r="AB984" s="2">
        <v>5.9</v>
      </c>
    </row>
    <row r="985" spans="1:28" hidden="1" x14ac:dyDescent="0.3">
      <c r="A985" s="4">
        <v>46266</v>
      </c>
      <c r="B985" s="8" t="s">
        <v>3337</v>
      </c>
      <c r="C985" s="8" t="s">
        <v>36</v>
      </c>
      <c r="D985" s="8" t="s">
        <v>39</v>
      </c>
      <c r="E985" s="8" t="s">
        <v>47</v>
      </c>
      <c r="F985" s="13"/>
      <c r="G985" s="59"/>
      <c r="H985" s="6">
        <f t="shared" si="64"/>
        <v>2500</v>
      </c>
      <c r="I985" s="6">
        <f t="shared" si="63"/>
        <v>47.692307692307693</v>
      </c>
      <c r="J985" s="69">
        <v>6.3</v>
      </c>
      <c r="K985" s="69">
        <v>4.55</v>
      </c>
      <c r="L985" s="69">
        <v>1.75</v>
      </c>
      <c r="M985" s="69">
        <v>27.76</v>
      </c>
      <c r="N985" s="69">
        <v>187</v>
      </c>
      <c r="O985" s="56">
        <v>217</v>
      </c>
      <c r="P985" s="69">
        <v>1.1599999999999999</v>
      </c>
      <c r="Q985" s="69">
        <v>2.34</v>
      </c>
      <c r="R985" s="69">
        <v>92.74</v>
      </c>
      <c r="S985" s="69">
        <v>7.1</v>
      </c>
      <c r="T985" s="69">
        <v>4.0599999999999996</v>
      </c>
      <c r="U985" s="69">
        <v>85.64</v>
      </c>
      <c r="V985" s="69">
        <v>18.8</v>
      </c>
      <c r="W985" s="69">
        <v>9428.74</v>
      </c>
      <c r="X985" s="69">
        <v>111338</v>
      </c>
      <c r="Y985" s="69">
        <v>168350</v>
      </c>
      <c r="Z985" s="69">
        <v>0.1</v>
      </c>
      <c r="AA985" s="69">
        <v>0</v>
      </c>
      <c r="AB985" s="69">
        <v>293.7</v>
      </c>
    </row>
    <row r="986" spans="1:28" hidden="1" x14ac:dyDescent="0.3">
      <c r="A986" s="4">
        <v>46266</v>
      </c>
      <c r="B986" s="8" t="s">
        <v>3337</v>
      </c>
      <c r="C986" s="8" t="s">
        <v>36</v>
      </c>
      <c r="D986" s="8" t="s">
        <v>43</v>
      </c>
      <c r="E986" s="8" t="s">
        <v>61</v>
      </c>
      <c r="F986" s="13"/>
      <c r="G986" s="59"/>
      <c r="H986" s="6"/>
      <c r="I986" s="6">
        <f t="shared" si="63"/>
        <v>155.70934256055364</v>
      </c>
      <c r="J986" s="2">
        <v>7.83</v>
      </c>
      <c r="K986" s="2">
        <v>5.78</v>
      </c>
      <c r="L986" s="2">
        <v>2.0499999999999998</v>
      </c>
      <c r="M986" s="2">
        <v>26.18</v>
      </c>
      <c r="N986" s="2" t="s">
        <v>45</v>
      </c>
      <c r="O986" s="56">
        <v>900</v>
      </c>
      <c r="P986" s="2" t="s">
        <v>45</v>
      </c>
      <c r="Q986" s="2" t="s">
        <v>45</v>
      </c>
      <c r="R986" s="2">
        <v>128.69999999999999</v>
      </c>
      <c r="S986" s="2">
        <v>8.99</v>
      </c>
      <c r="T986" s="2">
        <v>4.3899999999999997</v>
      </c>
      <c r="U986" s="2">
        <v>119.71</v>
      </c>
      <c r="V986" s="2">
        <v>20.71</v>
      </c>
      <c r="W986" s="2">
        <v>8984.4</v>
      </c>
      <c r="X986" s="2" t="s">
        <v>45</v>
      </c>
      <c r="Y986" s="2" t="s">
        <v>45</v>
      </c>
      <c r="Z986" s="2">
        <v>0.1</v>
      </c>
      <c r="AA986" s="2" t="s">
        <v>45</v>
      </c>
      <c r="AB986" s="2">
        <v>268.3</v>
      </c>
    </row>
    <row r="987" spans="1:28" hidden="1" x14ac:dyDescent="0.3">
      <c r="A987" s="4">
        <v>46266</v>
      </c>
      <c r="B987" s="8" t="s">
        <v>3337</v>
      </c>
      <c r="C987" s="8" t="s">
        <v>36</v>
      </c>
      <c r="D987" s="8" t="s">
        <v>67</v>
      </c>
      <c r="E987" s="8" t="s">
        <v>47</v>
      </c>
      <c r="F987" s="13"/>
      <c r="G987" s="59"/>
      <c r="H987" s="6">
        <f t="shared" si="64"/>
        <v>2500</v>
      </c>
      <c r="I987" s="6">
        <f t="shared" si="63"/>
        <v>256.35103926096997</v>
      </c>
      <c r="J987" s="2">
        <v>6.08</v>
      </c>
      <c r="K987" s="2">
        <v>4.33</v>
      </c>
      <c r="L987" s="2">
        <v>1.75</v>
      </c>
      <c r="M987" s="2">
        <v>28.8</v>
      </c>
      <c r="N987" s="2" t="s">
        <v>3358</v>
      </c>
      <c r="O987" s="56">
        <v>1110</v>
      </c>
      <c r="P987" s="2">
        <v>1.64</v>
      </c>
      <c r="Q987" s="2">
        <v>11.85</v>
      </c>
      <c r="R987" s="2">
        <v>93.69</v>
      </c>
      <c r="S987" s="2">
        <v>5.68</v>
      </c>
      <c r="T987" s="2">
        <v>3.24</v>
      </c>
      <c r="U987" s="2">
        <v>88.01</v>
      </c>
      <c r="V987" s="2">
        <v>20.34</v>
      </c>
      <c r="W987" s="2">
        <v>868.97</v>
      </c>
      <c r="X987" s="2" t="s">
        <v>3359</v>
      </c>
      <c r="Y987" s="2" t="s">
        <v>3360</v>
      </c>
      <c r="Z987" s="2">
        <v>0.5</v>
      </c>
      <c r="AA987" s="2" t="s">
        <v>548</v>
      </c>
      <c r="AB987" s="2">
        <v>86.9</v>
      </c>
    </row>
    <row r="988" spans="1:28" hidden="1" x14ac:dyDescent="0.3">
      <c r="A988" s="4">
        <v>46266</v>
      </c>
      <c r="B988" s="8" t="s">
        <v>3337</v>
      </c>
      <c r="C988" s="8" t="s">
        <v>36</v>
      </c>
      <c r="D988" s="8" t="s">
        <v>50</v>
      </c>
      <c r="E988" s="8" t="s">
        <v>47</v>
      </c>
      <c r="F988" s="13"/>
      <c r="G988" s="59"/>
      <c r="H988" s="6">
        <f t="shared" si="64"/>
        <v>2500</v>
      </c>
      <c r="I988" s="6">
        <f t="shared" si="63"/>
        <v>406.05226960110042</v>
      </c>
      <c r="J988" s="2">
        <v>8.4700000000000006</v>
      </c>
      <c r="K988" s="2">
        <v>7.27</v>
      </c>
      <c r="L988" s="2">
        <v>1.2</v>
      </c>
      <c r="M988" s="2">
        <v>14.16</v>
      </c>
      <c r="N988" s="2" t="s">
        <v>3361</v>
      </c>
      <c r="O988" s="56">
        <v>2952</v>
      </c>
      <c r="P988" s="2">
        <v>1.96</v>
      </c>
      <c r="Q988" s="2">
        <v>17.48</v>
      </c>
      <c r="R988" s="2">
        <v>168.92</v>
      </c>
      <c r="S988" s="2">
        <v>5.2</v>
      </c>
      <c r="T988" s="2">
        <v>4.34</v>
      </c>
      <c r="U988" s="2">
        <v>163.72</v>
      </c>
      <c r="V988" s="2">
        <v>22.51</v>
      </c>
      <c r="W988" s="2">
        <v>2690.5</v>
      </c>
      <c r="X988" s="2" t="s">
        <v>3362</v>
      </c>
      <c r="Y988" s="2" t="s">
        <v>3363</v>
      </c>
      <c r="Z988" s="2">
        <v>0.9</v>
      </c>
      <c r="AA988" s="2" t="s">
        <v>548</v>
      </c>
      <c r="AB988" s="2" t="s">
        <v>3364</v>
      </c>
    </row>
    <row r="989" spans="1:28" hidden="1" x14ac:dyDescent="0.3">
      <c r="A989" s="4">
        <v>46266</v>
      </c>
      <c r="B989" s="8" t="s">
        <v>3337</v>
      </c>
      <c r="C989" s="8" t="s">
        <v>36</v>
      </c>
      <c r="D989" s="8" t="s">
        <v>52</v>
      </c>
      <c r="E989" s="8" t="s">
        <v>47</v>
      </c>
      <c r="F989" s="13"/>
      <c r="G989" s="59"/>
      <c r="H989" s="6">
        <f t="shared" si="64"/>
        <v>2500</v>
      </c>
      <c r="I989" s="6">
        <f t="shared" si="63"/>
        <v>153.33333333333334</v>
      </c>
      <c r="J989" s="2">
        <v>14.55</v>
      </c>
      <c r="K989" s="2">
        <v>12.9</v>
      </c>
      <c r="L989" s="2">
        <v>1.65</v>
      </c>
      <c r="M989" s="2">
        <v>11.34</v>
      </c>
      <c r="N989" s="2" t="s">
        <v>3365</v>
      </c>
      <c r="O989" s="56">
        <v>1978</v>
      </c>
      <c r="P989" s="2">
        <v>1.68</v>
      </c>
      <c r="Q989" s="2">
        <v>8.8000000000000007</v>
      </c>
      <c r="R989" s="2">
        <v>224.76</v>
      </c>
      <c r="S989" s="2">
        <v>5.2</v>
      </c>
      <c r="T989" s="2">
        <v>3.15</v>
      </c>
      <c r="U989" s="2">
        <v>219.55</v>
      </c>
      <c r="V989" s="2">
        <v>17.02</v>
      </c>
      <c r="W989" s="2">
        <v>1336.18</v>
      </c>
      <c r="X989" s="2" t="s">
        <v>3366</v>
      </c>
      <c r="Y989" s="2" t="s">
        <v>3367</v>
      </c>
      <c r="Z989" s="2">
        <v>0.1</v>
      </c>
      <c r="AA989" s="2" t="s">
        <v>548</v>
      </c>
      <c r="AB989" s="2">
        <v>126.7</v>
      </c>
    </row>
    <row r="990" spans="1:28" hidden="1" x14ac:dyDescent="0.3">
      <c r="A990" s="4">
        <v>46266</v>
      </c>
      <c r="B990" s="8" t="s">
        <v>3337</v>
      </c>
      <c r="C990" s="8" t="s">
        <v>36</v>
      </c>
      <c r="D990" s="7" t="s">
        <v>46</v>
      </c>
      <c r="E990" s="8" t="s">
        <v>47</v>
      </c>
      <c r="F990" s="13"/>
      <c r="G990" s="59"/>
      <c r="H990" s="6">
        <f t="shared" si="64"/>
        <v>2500</v>
      </c>
      <c r="I990" s="6">
        <f t="shared" si="63"/>
        <v>412.86127167630059</v>
      </c>
      <c r="J990" s="2">
        <v>8.3699999999999992</v>
      </c>
      <c r="K990" s="2">
        <v>6.92</v>
      </c>
      <c r="L990" s="2">
        <v>1.45</v>
      </c>
      <c r="M990" s="2">
        <v>17.329999999999998</v>
      </c>
      <c r="N990" s="2" t="s">
        <v>3368</v>
      </c>
      <c r="O990" s="56">
        <v>2857</v>
      </c>
      <c r="P990" s="2">
        <v>3.79</v>
      </c>
      <c r="Q990" s="2">
        <v>13.15</v>
      </c>
      <c r="R990" s="2">
        <v>217.19</v>
      </c>
      <c r="S990" s="2">
        <v>8.99</v>
      </c>
      <c r="T990" s="2">
        <v>6.2</v>
      </c>
      <c r="U990" s="2">
        <v>208.2</v>
      </c>
      <c r="V990" s="2">
        <v>30.1</v>
      </c>
      <c r="W990" s="2" t="s">
        <v>3369</v>
      </c>
      <c r="X990" s="2" t="s">
        <v>3370</v>
      </c>
      <c r="Y990" s="2" t="s">
        <v>3371</v>
      </c>
      <c r="Z990" s="2">
        <v>0.1</v>
      </c>
      <c r="AA990" s="2" t="s">
        <v>548</v>
      </c>
      <c r="AB990" s="2">
        <v>259.8</v>
      </c>
    </row>
    <row r="991" spans="1:28" x14ac:dyDescent="0.3">
      <c r="A991" s="4">
        <v>46266</v>
      </c>
      <c r="B991" s="8" t="s">
        <v>3337</v>
      </c>
      <c r="C991" s="8" t="s">
        <v>36</v>
      </c>
      <c r="D991" s="8" t="s">
        <v>48</v>
      </c>
      <c r="E991" s="7" t="s">
        <v>38</v>
      </c>
      <c r="F991" s="13">
        <v>2789</v>
      </c>
      <c r="G991" s="59"/>
      <c r="H991" s="82">
        <f>24000/7</f>
        <v>3428.5714285714284</v>
      </c>
      <c r="I991" s="6">
        <f t="shared" si="63"/>
        <v>524.62908011869433</v>
      </c>
      <c r="J991" s="2">
        <v>7.89</v>
      </c>
      <c r="K991" s="2">
        <v>6.74</v>
      </c>
      <c r="L991" s="2">
        <v>1.1499999999999999</v>
      </c>
      <c r="M991" s="2">
        <v>14.58</v>
      </c>
      <c r="N991" s="2" t="s">
        <v>3372</v>
      </c>
      <c r="O991" s="56">
        <v>3536</v>
      </c>
      <c r="P991" s="2">
        <v>4.51</v>
      </c>
      <c r="Q991" s="2">
        <v>14.29</v>
      </c>
      <c r="R991" s="2">
        <v>247.47</v>
      </c>
      <c r="S991" s="2">
        <v>7.1</v>
      </c>
      <c r="T991" s="2">
        <v>6.17</v>
      </c>
      <c r="U991" s="2">
        <v>240.37</v>
      </c>
      <c r="V991" s="2">
        <v>35.67</v>
      </c>
      <c r="W991" s="2">
        <v>6886.36</v>
      </c>
      <c r="X991" s="2" t="s">
        <v>3373</v>
      </c>
      <c r="Y991" s="2" t="s">
        <v>3374</v>
      </c>
      <c r="Z991" s="2">
        <v>0.1</v>
      </c>
      <c r="AA991" s="2" t="s">
        <v>548</v>
      </c>
      <c r="AB991" s="2">
        <v>50.1</v>
      </c>
    </row>
    <row r="992" spans="1:28" hidden="1" x14ac:dyDescent="0.3">
      <c r="A992" s="4">
        <v>46266</v>
      </c>
      <c r="B992" s="8" t="s">
        <v>3337</v>
      </c>
      <c r="C992" s="8" t="s">
        <v>36</v>
      </c>
      <c r="D992" s="8" t="s">
        <v>49</v>
      </c>
      <c r="E992" s="8" t="s">
        <v>47</v>
      </c>
      <c r="F992" s="13"/>
      <c r="G992" s="59"/>
      <c r="H992" s="6">
        <f t="shared" si="64"/>
        <v>2500</v>
      </c>
      <c r="I992" s="6">
        <f t="shared" si="63"/>
        <v>314.06896551724139</v>
      </c>
      <c r="J992" s="2">
        <v>7.95</v>
      </c>
      <c r="K992" s="2">
        <v>7.25</v>
      </c>
      <c r="L992" s="2">
        <v>0.7</v>
      </c>
      <c r="M992" s="2">
        <v>8.81</v>
      </c>
      <c r="N992" s="2" t="s">
        <v>1392</v>
      </c>
      <c r="O992" s="56">
        <v>2277</v>
      </c>
      <c r="P992" s="2">
        <v>2.68</v>
      </c>
      <c r="Q992" s="2">
        <v>7.65</v>
      </c>
      <c r="R992" s="2">
        <v>297.63</v>
      </c>
      <c r="S992" s="2">
        <v>2.84</v>
      </c>
      <c r="T992" s="2">
        <v>4.0599999999999996</v>
      </c>
      <c r="U992" s="2">
        <v>294.79000000000002</v>
      </c>
      <c r="V992" s="2">
        <v>40.67</v>
      </c>
      <c r="W992" s="2">
        <v>2189.4</v>
      </c>
      <c r="X992" s="2" t="s">
        <v>3375</v>
      </c>
      <c r="Y992" s="2" t="s">
        <v>3376</v>
      </c>
      <c r="Z992" s="2">
        <v>0.1</v>
      </c>
      <c r="AA992" s="2" t="s">
        <v>548</v>
      </c>
      <c r="AB992" s="2" t="s">
        <v>950</v>
      </c>
    </row>
    <row r="993" spans="1:28" hidden="1" x14ac:dyDescent="0.3">
      <c r="A993" s="4">
        <v>46267</v>
      </c>
      <c r="B993" s="8" t="s">
        <v>3337</v>
      </c>
      <c r="C993" s="8" t="s">
        <v>36</v>
      </c>
      <c r="D993" s="8" t="s">
        <v>39</v>
      </c>
      <c r="E993" s="8" t="s">
        <v>47</v>
      </c>
      <c r="F993" s="13"/>
      <c r="G993" s="59"/>
      <c r="H993" s="6">
        <f t="shared" si="64"/>
        <v>2500</v>
      </c>
      <c r="I993" s="6">
        <f t="shared" si="63"/>
        <v>131.01952277657267</v>
      </c>
      <c r="J993" s="2">
        <v>5.91</v>
      </c>
      <c r="K993" s="2">
        <v>4.6100000000000003</v>
      </c>
      <c r="L993" s="2">
        <v>1.3</v>
      </c>
      <c r="M993" s="2" t="s">
        <v>3227</v>
      </c>
      <c r="N993" s="2" t="s">
        <v>3377</v>
      </c>
      <c r="O993" s="56">
        <v>604</v>
      </c>
      <c r="P993" s="2">
        <v>1.53</v>
      </c>
      <c r="Q993" s="2">
        <v>6.35</v>
      </c>
      <c r="R993" s="2">
        <v>95.11</v>
      </c>
      <c r="S993" s="2">
        <v>4.7300000000000004</v>
      </c>
      <c r="T993" s="2">
        <v>3.64</v>
      </c>
      <c r="U993" s="2">
        <v>90.38</v>
      </c>
      <c r="V993" s="2">
        <v>19.61</v>
      </c>
      <c r="W993" s="2">
        <v>9434.65</v>
      </c>
      <c r="X993" s="2" t="s">
        <v>3378</v>
      </c>
      <c r="Y993" s="2" t="s">
        <v>3379</v>
      </c>
      <c r="Z993" s="2" t="s">
        <v>1696</v>
      </c>
      <c r="AA993" s="2" t="s">
        <v>548</v>
      </c>
      <c r="AB993" s="2">
        <v>294.7</v>
      </c>
    </row>
    <row r="994" spans="1:28" hidden="1" x14ac:dyDescent="0.3">
      <c r="A994" s="4">
        <v>46267</v>
      </c>
      <c r="B994" s="8" t="s">
        <v>3337</v>
      </c>
      <c r="C994" s="8" t="s">
        <v>36</v>
      </c>
      <c r="D994" s="8" t="s">
        <v>43</v>
      </c>
      <c r="E994" s="8" t="s">
        <v>61</v>
      </c>
      <c r="F994" s="13"/>
      <c r="G994" s="59"/>
      <c r="H994" s="59"/>
      <c r="I994" s="6">
        <f t="shared" si="63"/>
        <v>166.0682226211849</v>
      </c>
      <c r="J994" s="2">
        <v>7.47</v>
      </c>
      <c r="K994" s="2">
        <v>5.57</v>
      </c>
      <c r="L994" s="2">
        <v>1.9</v>
      </c>
      <c r="M994" s="2">
        <v>25.42</v>
      </c>
      <c r="N994" s="2" t="s">
        <v>45</v>
      </c>
      <c r="O994" s="56">
        <v>925</v>
      </c>
      <c r="P994" s="2" t="s">
        <v>45</v>
      </c>
      <c r="Q994" s="2" t="s">
        <v>45</v>
      </c>
      <c r="R994" s="2">
        <v>123.5</v>
      </c>
      <c r="S994" s="2">
        <v>8.0399999999999991</v>
      </c>
      <c r="T994" s="2">
        <v>4.2300000000000004</v>
      </c>
      <c r="U994" s="2">
        <v>115.46</v>
      </c>
      <c r="V994" s="2">
        <v>20.72</v>
      </c>
      <c r="W994" s="2">
        <v>8991.8700000000008</v>
      </c>
      <c r="X994" s="2" t="s">
        <v>45</v>
      </c>
      <c r="Y994" s="2" t="s">
        <v>45</v>
      </c>
      <c r="Z994" s="2">
        <v>0.5</v>
      </c>
      <c r="AA994" s="2" t="s">
        <v>45</v>
      </c>
      <c r="AB994" s="2">
        <v>268.8</v>
      </c>
    </row>
    <row r="995" spans="1:28" hidden="1" x14ac:dyDescent="0.3">
      <c r="A995" s="4">
        <v>46267</v>
      </c>
      <c r="B995" s="8" t="s">
        <v>3337</v>
      </c>
      <c r="C995" s="8" t="s">
        <v>36</v>
      </c>
      <c r="D995" s="8" t="s">
        <v>67</v>
      </c>
      <c r="E995" s="8" t="s">
        <v>47</v>
      </c>
      <c r="F995" s="13"/>
      <c r="G995" s="59"/>
      <c r="H995" s="6">
        <f t="shared" si="64"/>
        <v>2500</v>
      </c>
      <c r="I995" s="6">
        <f t="shared" si="63"/>
        <v>207.38636363636363</v>
      </c>
      <c r="J995" s="2">
        <v>6.93</v>
      </c>
      <c r="K995" s="2">
        <v>5.28</v>
      </c>
      <c r="L995" s="2">
        <v>1.65</v>
      </c>
      <c r="M995" s="2">
        <v>23.8</v>
      </c>
      <c r="N995" s="2" t="s">
        <v>3001</v>
      </c>
      <c r="O995" s="56">
        <v>1095</v>
      </c>
      <c r="P995" s="2">
        <v>1.31</v>
      </c>
      <c r="Q995" s="2">
        <v>9.89</v>
      </c>
      <c r="R995" s="2">
        <v>110.72</v>
      </c>
      <c r="S995" s="2">
        <v>5.68</v>
      </c>
      <c r="T995" s="2">
        <v>3.44</v>
      </c>
      <c r="U995" s="2">
        <v>105.05</v>
      </c>
      <c r="V995" s="2">
        <v>19.88</v>
      </c>
      <c r="W995" s="2">
        <v>875.91</v>
      </c>
      <c r="X995" s="2" t="s">
        <v>3380</v>
      </c>
      <c r="Y995" s="2" t="s">
        <v>3381</v>
      </c>
      <c r="Z995" s="2">
        <v>1.8</v>
      </c>
      <c r="AA995" s="2" t="s">
        <v>548</v>
      </c>
      <c r="AB995" s="2">
        <v>88.7</v>
      </c>
    </row>
    <row r="996" spans="1:28" hidden="1" x14ac:dyDescent="0.3">
      <c r="A996" s="4">
        <v>46267</v>
      </c>
      <c r="B996" s="8" t="s">
        <v>3337</v>
      </c>
      <c r="C996" s="8" t="s">
        <v>36</v>
      </c>
      <c r="D996" s="8" t="s">
        <v>50</v>
      </c>
      <c r="E996" s="8" t="s">
        <v>47</v>
      </c>
      <c r="F996" s="13"/>
      <c r="G996" s="59"/>
      <c r="H996" s="6">
        <f t="shared" si="64"/>
        <v>2500</v>
      </c>
      <c r="I996" s="6">
        <f t="shared" ref="I996:I1032" si="65">IFERROR(O996/K996,)</f>
        <v>445.32871972318338</v>
      </c>
      <c r="J996" s="2">
        <v>6.73</v>
      </c>
      <c r="K996" s="2">
        <v>5.78</v>
      </c>
      <c r="L996" s="2">
        <v>0.95</v>
      </c>
      <c r="M996" s="2">
        <v>14.11</v>
      </c>
      <c r="N996" s="2" t="s">
        <v>3382</v>
      </c>
      <c r="O996" s="56">
        <v>2574</v>
      </c>
      <c r="P996" s="2">
        <v>2.2000000000000002</v>
      </c>
      <c r="Q996" s="2">
        <v>19.57</v>
      </c>
      <c r="R996" s="2">
        <v>131.54</v>
      </c>
      <c r="S996" s="2">
        <v>2.84</v>
      </c>
      <c r="T996" s="2">
        <v>2.99</v>
      </c>
      <c r="U996" s="2">
        <v>128.69999999999999</v>
      </c>
      <c r="V996" s="2">
        <v>22.26</v>
      </c>
      <c r="W996" s="2">
        <v>2697.23</v>
      </c>
      <c r="X996" s="2" t="s">
        <v>3383</v>
      </c>
      <c r="Y996" s="2" t="s">
        <v>3384</v>
      </c>
      <c r="Z996" s="2">
        <v>1.1000000000000001</v>
      </c>
      <c r="AA996" s="2" t="s">
        <v>548</v>
      </c>
      <c r="AB996" s="2">
        <v>344.1</v>
      </c>
    </row>
    <row r="997" spans="1:28" hidden="1" x14ac:dyDescent="0.3">
      <c r="A997" s="4">
        <v>46267</v>
      </c>
      <c r="B997" s="8" t="s">
        <v>3337</v>
      </c>
      <c r="C997" s="8" t="s">
        <v>36</v>
      </c>
      <c r="D997" s="8" t="s">
        <v>52</v>
      </c>
      <c r="E997" s="8" t="s">
        <v>47</v>
      </c>
      <c r="F997" s="13"/>
      <c r="G997" s="59"/>
      <c r="H997" s="6">
        <f t="shared" si="64"/>
        <v>2500</v>
      </c>
      <c r="I997" s="6">
        <f t="shared" si="65"/>
        <v>161.43410852713177</v>
      </c>
      <c r="J997" s="2">
        <v>11.77</v>
      </c>
      <c r="K997" s="2">
        <v>10.32</v>
      </c>
      <c r="L997" s="2">
        <v>1.45</v>
      </c>
      <c r="M997" s="2">
        <v>12.32</v>
      </c>
      <c r="N997" s="2" t="s">
        <v>3385</v>
      </c>
      <c r="O997" s="56">
        <v>1666</v>
      </c>
      <c r="P997" s="2">
        <v>1.49</v>
      </c>
      <c r="Q997" s="2">
        <v>7.32</v>
      </c>
      <c r="R997" s="2">
        <v>227.6</v>
      </c>
      <c r="S997" s="2">
        <v>4.7300000000000004</v>
      </c>
      <c r="T997" s="2">
        <v>3.26</v>
      </c>
      <c r="U997" s="2">
        <v>222.87</v>
      </c>
      <c r="V997" s="2">
        <v>21.59</v>
      </c>
      <c r="W997" s="2">
        <v>1347.95</v>
      </c>
      <c r="X997" s="2" t="s">
        <v>3386</v>
      </c>
      <c r="Y997" s="2" t="s">
        <v>3387</v>
      </c>
      <c r="Z997" s="2" t="s">
        <v>548</v>
      </c>
      <c r="AA997" s="2" t="s">
        <v>548</v>
      </c>
      <c r="AB997" s="2">
        <v>126.7</v>
      </c>
    </row>
    <row r="998" spans="1:28" hidden="1" x14ac:dyDescent="0.3">
      <c r="A998" s="4">
        <v>46267</v>
      </c>
      <c r="B998" s="8" t="s">
        <v>3337</v>
      </c>
      <c r="C998" s="8" t="s">
        <v>36</v>
      </c>
      <c r="D998" s="7" t="s">
        <v>46</v>
      </c>
      <c r="E998" s="8" t="s">
        <v>47</v>
      </c>
      <c r="F998" s="13"/>
      <c r="G998" s="59"/>
      <c r="H998" s="6">
        <f t="shared" si="64"/>
        <v>2500</v>
      </c>
      <c r="I998" s="6">
        <f t="shared" si="65"/>
        <v>275.87354409317805</v>
      </c>
      <c r="J998" s="2">
        <v>6.61</v>
      </c>
      <c r="K998" s="2">
        <v>6.01</v>
      </c>
      <c r="L998" s="2">
        <v>0.6</v>
      </c>
      <c r="M998" s="2">
        <v>9.08</v>
      </c>
      <c r="N998" s="2" t="s">
        <v>3018</v>
      </c>
      <c r="O998" s="56">
        <v>1658</v>
      </c>
      <c r="P998" s="2">
        <v>3.23</v>
      </c>
      <c r="Q998" s="2">
        <v>8.7200000000000006</v>
      </c>
      <c r="R998" s="2">
        <v>190.22</v>
      </c>
      <c r="S998" s="2">
        <v>3.79</v>
      </c>
      <c r="T998" s="2">
        <v>6.31</v>
      </c>
      <c r="U998" s="2">
        <v>186.43</v>
      </c>
      <c r="V998" s="2">
        <v>31.03</v>
      </c>
      <c r="W998" s="2">
        <v>8338.61</v>
      </c>
      <c r="X998" s="2" t="s">
        <v>3388</v>
      </c>
      <c r="Y998" s="2" t="s">
        <v>3389</v>
      </c>
      <c r="Z998" s="2">
        <v>0.1</v>
      </c>
      <c r="AA998" s="2" t="s">
        <v>548</v>
      </c>
      <c r="AB998" s="2">
        <v>259.89999999999998</v>
      </c>
    </row>
    <row r="999" spans="1:28" x14ac:dyDescent="0.3">
      <c r="A999" s="4">
        <v>46267</v>
      </c>
      <c r="B999" s="8" t="s">
        <v>3337</v>
      </c>
      <c r="C999" s="8" t="s">
        <v>36</v>
      </c>
      <c r="D999" s="8" t="s">
        <v>48</v>
      </c>
      <c r="E999" s="7" t="s">
        <v>38</v>
      </c>
      <c r="F999" s="13">
        <v>2348</v>
      </c>
      <c r="G999" s="59"/>
      <c r="H999" s="82">
        <f>24000/7</f>
        <v>3428.5714285714284</v>
      </c>
      <c r="I999" s="6">
        <f t="shared" si="65"/>
        <v>537.60479041916165</v>
      </c>
      <c r="J999" s="2">
        <v>9.25</v>
      </c>
      <c r="K999" s="2">
        <v>8.35</v>
      </c>
      <c r="L999" s="2">
        <v>0.9</v>
      </c>
      <c r="M999" s="2">
        <v>9.73</v>
      </c>
      <c r="N999" s="2" t="s">
        <v>3390</v>
      </c>
      <c r="O999" s="56">
        <v>4489</v>
      </c>
      <c r="P999" s="2">
        <v>4.3</v>
      </c>
      <c r="Q999" s="2">
        <v>13.34</v>
      </c>
      <c r="R999" s="2">
        <v>336.43</v>
      </c>
      <c r="S999" s="2">
        <v>5.2</v>
      </c>
      <c r="T999" s="2">
        <v>5.78</v>
      </c>
      <c r="U999" s="2">
        <v>331.22</v>
      </c>
      <c r="V999" s="2">
        <v>39.659999999999997</v>
      </c>
      <c r="W999" s="2">
        <v>6895.61</v>
      </c>
      <c r="X999" s="2" t="s">
        <v>3391</v>
      </c>
      <c r="Y999" s="2" t="s">
        <v>3392</v>
      </c>
      <c r="Z999" s="2" t="s">
        <v>548</v>
      </c>
      <c r="AA999" s="2" t="s">
        <v>548</v>
      </c>
      <c r="AB999" s="2">
        <v>50.1</v>
      </c>
    </row>
    <row r="1000" spans="1:28" hidden="1" x14ac:dyDescent="0.3">
      <c r="A1000" s="4">
        <v>46267</v>
      </c>
      <c r="B1000" s="8" t="s">
        <v>3337</v>
      </c>
      <c r="C1000" s="8" t="s">
        <v>36</v>
      </c>
      <c r="D1000" s="8" t="s">
        <v>49</v>
      </c>
      <c r="E1000" s="8" t="s">
        <v>47</v>
      </c>
      <c r="F1000" s="13"/>
      <c r="G1000" s="59"/>
      <c r="H1000" s="6">
        <f t="shared" si="64"/>
        <v>2500</v>
      </c>
      <c r="I1000" s="6">
        <f t="shared" si="65"/>
        <v>406.86015831134563</v>
      </c>
      <c r="J1000" s="2">
        <v>4.29</v>
      </c>
      <c r="K1000" s="2">
        <v>3.79</v>
      </c>
      <c r="L1000" s="2">
        <v>0.5</v>
      </c>
      <c r="M1000" s="2">
        <v>11.66</v>
      </c>
      <c r="N1000" s="2" t="s">
        <v>3393</v>
      </c>
      <c r="O1000" s="56">
        <v>1542</v>
      </c>
      <c r="P1000" s="2">
        <v>2.25</v>
      </c>
      <c r="Q1000" s="2">
        <v>9.64</v>
      </c>
      <c r="R1000" s="2">
        <v>159.93</v>
      </c>
      <c r="S1000" s="2">
        <v>2.37</v>
      </c>
      <c r="T1000" s="2">
        <v>4.7300000000000004</v>
      </c>
      <c r="U1000" s="2">
        <v>157.57</v>
      </c>
      <c r="V1000" s="2">
        <v>41.61</v>
      </c>
      <c r="W1000" s="2">
        <v>2193.69</v>
      </c>
      <c r="X1000" s="2" t="s">
        <v>3394</v>
      </c>
      <c r="Y1000" s="2" t="s">
        <v>3395</v>
      </c>
      <c r="Z1000" s="2" t="s">
        <v>548</v>
      </c>
      <c r="AA1000" s="2" t="s">
        <v>548</v>
      </c>
      <c r="AB1000" s="2" t="s">
        <v>950</v>
      </c>
    </row>
    <row r="1001" spans="1:28" hidden="1" x14ac:dyDescent="0.3">
      <c r="A1001" s="4">
        <v>46268</v>
      </c>
      <c r="B1001" s="8" t="s">
        <v>3337</v>
      </c>
      <c r="C1001" s="8" t="s">
        <v>36</v>
      </c>
      <c r="D1001" s="8" t="s">
        <v>39</v>
      </c>
      <c r="E1001" s="8" t="s">
        <v>47</v>
      </c>
      <c r="F1001" s="13"/>
      <c r="G1001" s="59"/>
      <c r="H1001" s="6">
        <f t="shared" si="64"/>
        <v>2500</v>
      </c>
      <c r="I1001" s="6">
        <f t="shared" si="65"/>
        <v>267.49116607773851</v>
      </c>
      <c r="J1001" s="2">
        <v>8.81</v>
      </c>
      <c r="K1001" s="2">
        <v>5.66</v>
      </c>
      <c r="L1001" s="2">
        <v>3.15</v>
      </c>
      <c r="M1001" s="2">
        <v>35.770000000000003</v>
      </c>
      <c r="N1001" s="2" t="s">
        <v>2092</v>
      </c>
      <c r="O1001" s="56">
        <v>1514</v>
      </c>
      <c r="P1001" s="2">
        <v>1.86</v>
      </c>
      <c r="Q1001" s="2">
        <v>12.8</v>
      </c>
      <c r="R1001" s="2">
        <v>118.29</v>
      </c>
      <c r="S1001" s="2">
        <v>12.3</v>
      </c>
      <c r="T1001" s="2">
        <v>3.91</v>
      </c>
      <c r="U1001" s="2">
        <v>105.99</v>
      </c>
      <c r="V1001" s="2">
        <v>18.739999999999998</v>
      </c>
      <c r="W1001" s="2">
        <v>9443.4500000000007</v>
      </c>
      <c r="X1001" s="2" t="s">
        <v>3396</v>
      </c>
      <c r="Y1001" s="2" t="s">
        <v>3397</v>
      </c>
      <c r="Z1001" s="2">
        <v>0.1</v>
      </c>
      <c r="AA1001" s="2" t="s">
        <v>548</v>
      </c>
      <c r="AB1001" s="2">
        <v>294.8</v>
      </c>
    </row>
    <row r="1002" spans="1:28" hidden="1" x14ac:dyDescent="0.3">
      <c r="A1002" s="4">
        <v>46268</v>
      </c>
      <c r="B1002" s="8" t="s">
        <v>3337</v>
      </c>
      <c r="C1002" s="8" t="s">
        <v>36</v>
      </c>
      <c r="D1002" s="8" t="s">
        <v>43</v>
      </c>
      <c r="E1002" s="8" t="s">
        <v>61</v>
      </c>
      <c r="F1002" s="13"/>
      <c r="G1002" s="59"/>
      <c r="H1002" s="59"/>
      <c r="I1002" s="6">
        <f t="shared" si="65"/>
        <v>75.406032482598619</v>
      </c>
      <c r="J1002" s="2">
        <v>7.21</v>
      </c>
      <c r="K1002" s="2">
        <v>4.3099999999999996</v>
      </c>
      <c r="L1002" s="2">
        <v>2.9</v>
      </c>
      <c r="M1002" s="2">
        <v>40.22</v>
      </c>
      <c r="N1002" s="2" t="s">
        <v>45</v>
      </c>
      <c r="O1002" s="56">
        <v>325</v>
      </c>
      <c r="P1002" s="2" t="s">
        <v>45</v>
      </c>
      <c r="Q1002" s="2" t="s">
        <v>45</v>
      </c>
      <c r="R1002" s="2">
        <v>90.38</v>
      </c>
      <c r="S1002" s="2">
        <v>13.25</v>
      </c>
      <c r="T1002" s="2">
        <v>4.57</v>
      </c>
      <c r="U1002" s="2">
        <v>77.13</v>
      </c>
      <c r="V1002" s="2">
        <v>17.899999999999999</v>
      </c>
      <c r="W1002" s="2">
        <v>8999.08</v>
      </c>
      <c r="X1002" s="2" t="s">
        <v>45</v>
      </c>
      <c r="Y1002" s="2" t="s">
        <v>45</v>
      </c>
      <c r="Z1002" s="2">
        <v>0.2</v>
      </c>
      <c r="AA1002" s="2" t="s">
        <v>45</v>
      </c>
      <c r="AB1002" s="2" t="s">
        <v>3398</v>
      </c>
    </row>
    <row r="1003" spans="1:28" hidden="1" x14ac:dyDescent="0.3">
      <c r="A1003" s="4">
        <v>46268</v>
      </c>
      <c r="B1003" s="8" t="s">
        <v>3337</v>
      </c>
      <c r="C1003" s="8" t="s">
        <v>36</v>
      </c>
      <c r="D1003" s="8" t="s">
        <v>67</v>
      </c>
      <c r="E1003" s="8" t="s">
        <v>47</v>
      </c>
      <c r="F1003" s="13"/>
      <c r="G1003" s="59"/>
      <c r="H1003" s="6">
        <f t="shared" si="64"/>
        <v>2500</v>
      </c>
      <c r="I1003" s="6">
        <f t="shared" si="65"/>
        <v>290</v>
      </c>
      <c r="J1003" s="2">
        <v>13.5</v>
      </c>
      <c r="K1003" s="2">
        <v>12.2</v>
      </c>
      <c r="L1003" s="2">
        <v>1.3</v>
      </c>
      <c r="M1003" s="2">
        <v>9.6300000000000008</v>
      </c>
      <c r="N1003" s="2" t="s">
        <v>3399</v>
      </c>
      <c r="O1003" s="56">
        <v>3538</v>
      </c>
      <c r="P1003" s="2">
        <v>1.84</v>
      </c>
      <c r="Q1003" s="2">
        <v>13.67</v>
      </c>
      <c r="R1003" s="2">
        <v>258.83</v>
      </c>
      <c r="S1003" s="2">
        <v>4.26</v>
      </c>
      <c r="T1003" s="2">
        <v>3.28</v>
      </c>
      <c r="U1003" s="2">
        <v>254.57</v>
      </c>
      <c r="V1003" s="2">
        <v>20.86</v>
      </c>
      <c r="W1003" s="2">
        <v>889.41</v>
      </c>
      <c r="X1003" s="2" t="s">
        <v>3400</v>
      </c>
      <c r="Y1003" s="2" t="s">
        <v>3401</v>
      </c>
      <c r="Z1003" s="2">
        <v>1.5</v>
      </c>
      <c r="AA1003" s="2" t="s">
        <v>548</v>
      </c>
      <c r="AB1003" s="2">
        <v>90.2</v>
      </c>
    </row>
    <row r="1004" spans="1:28" hidden="1" x14ac:dyDescent="0.3">
      <c r="A1004" s="4">
        <v>46268</v>
      </c>
      <c r="B1004" s="8" t="s">
        <v>3337</v>
      </c>
      <c r="C1004" s="8" t="s">
        <v>36</v>
      </c>
      <c r="D1004" s="8" t="s">
        <v>50</v>
      </c>
      <c r="E1004" s="8" t="s">
        <v>47</v>
      </c>
      <c r="F1004" s="13"/>
      <c r="G1004" s="59"/>
      <c r="H1004" s="6">
        <f t="shared" si="64"/>
        <v>2500</v>
      </c>
      <c r="I1004" s="6">
        <f t="shared" si="65"/>
        <v>473.00435413642964</v>
      </c>
      <c r="J1004" s="2">
        <v>7.94</v>
      </c>
      <c r="K1004" s="2">
        <v>6.89</v>
      </c>
      <c r="L1004" s="2">
        <v>1.05</v>
      </c>
      <c r="M1004" s="2">
        <v>13.22</v>
      </c>
      <c r="N1004" s="2" t="s">
        <v>3142</v>
      </c>
      <c r="O1004" s="56">
        <v>3259</v>
      </c>
      <c r="P1004" s="2">
        <v>2.21</v>
      </c>
      <c r="Q1004" s="2">
        <v>21.26</v>
      </c>
      <c r="R1004" s="2">
        <v>153.31</v>
      </c>
      <c r="S1004" s="2">
        <v>4.7300000000000004</v>
      </c>
      <c r="T1004" s="2">
        <v>4.51</v>
      </c>
      <c r="U1004" s="2">
        <v>148.58000000000001</v>
      </c>
      <c r="V1004" s="2">
        <v>21.56</v>
      </c>
      <c r="W1004" s="2">
        <v>2705.17</v>
      </c>
      <c r="X1004" s="2" t="s">
        <v>3402</v>
      </c>
      <c r="Y1004" s="2" t="s">
        <v>3403</v>
      </c>
      <c r="Z1004" s="2" t="s">
        <v>1696</v>
      </c>
      <c r="AA1004" s="2" t="s">
        <v>548</v>
      </c>
      <c r="AB1004" s="2">
        <v>345.1</v>
      </c>
    </row>
    <row r="1005" spans="1:28" hidden="1" x14ac:dyDescent="0.3">
      <c r="A1005" s="4">
        <v>46268</v>
      </c>
      <c r="B1005" s="8" t="s">
        <v>3337</v>
      </c>
      <c r="C1005" s="8" t="s">
        <v>36</v>
      </c>
      <c r="D1005" s="8" t="s">
        <v>52</v>
      </c>
      <c r="E1005" s="8" t="s">
        <v>47</v>
      </c>
      <c r="F1005" s="13"/>
      <c r="G1005" s="59"/>
      <c r="H1005" s="6">
        <f t="shared" si="64"/>
        <v>2500</v>
      </c>
      <c r="I1005" s="6">
        <f t="shared" si="65"/>
        <v>231.78217821782178</v>
      </c>
      <c r="J1005" s="2">
        <v>10.95</v>
      </c>
      <c r="K1005" s="2">
        <v>10.1</v>
      </c>
      <c r="L1005" s="2">
        <v>0.85</v>
      </c>
      <c r="M1005" s="2">
        <v>7.76</v>
      </c>
      <c r="N1005" s="2" t="s">
        <v>2137</v>
      </c>
      <c r="O1005" s="56">
        <v>2341</v>
      </c>
      <c r="P1005" s="2">
        <v>1.86</v>
      </c>
      <c r="Q1005" s="2">
        <v>10.85</v>
      </c>
      <c r="R1005" s="2">
        <v>215.77</v>
      </c>
      <c r="S1005" s="2">
        <v>3.31</v>
      </c>
      <c r="T1005" s="2">
        <v>3.9</v>
      </c>
      <c r="U1005" s="2">
        <v>212.46</v>
      </c>
      <c r="V1005" s="2">
        <v>21.03</v>
      </c>
      <c r="W1005" s="2">
        <v>1358.91</v>
      </c>
      <c r="X1005" s="2" t="s">
        <v>3404</v>
      </c>
      <c r="Y1005" s="2" t="s">
        <v>3405</v>
      </c>
      <c r="Z1005" s="2">
        <v>2.7</v>
      </c>
      <c r="AA1005" s="2" t="s">
        <v>548</v>
      </c>
      <c r="AB1005" s="2">
        <v>129.4</v>
      </c>
    </row>
    <row r="1006" spans="1:28" hidden="1" x14ac:dyDescent="0.3">
      <c r="A1006" s="4">
        <v>46268</v>
      </c>
      <c r="B1006" s="8" t="s">
        <v>3337</v>
      </c>
      <c r="C1006" s="8" t="s">
        <v>36</v>
      </c>
      <c r="D1006" s="7" t="s">
        <v>46</v>
      </c>
      <c r="E1006" s="8" t="s">
        <v>47</v>
      </c>
      <c r="F1006" s="13"/>
      <c r="G1006" s="59"/>
      <c r="H1006" s="6">
        <f t="shared" si="64"/>
        <v>2500</v>
      </c>
      <c r="I1006" s="6">
        <f t="shared" si="65"/>
        <v>59.770114942528735</v>
      </c>
      <c r="J1006" s="2">
        <v>3.11</v>
      </c>
      <c r="K1006" s="2">
        <v>2.61</v>
      </c>
      <c r="L1006" s="2">
        <v>0.5</v>
      </c>
      <c r="M1006" s="2">
        <v>16.079999999999998</v>
      </c>
      <c r="N1006" s="2" t="s">
        <v>3406</v>
      </c>
      <c r="O1006" s="56">
        <v>156</v>
      </c>
      <c r="P1006" s="2">
        <v>2.4</v>
      </c>
      <c r="Q1006" s="2">
        <v>1.87</v>
      </c>
      <c r="R1006" s="2">
        <v>83.28</v>
      </c>
      <c r="S1006" s="2">
        <v>2.37</v>
      </c>
      <c r="T1006" s="2">
        <v>4.7300000000000004</v>
      </c>
      <c r="U1006" s="2">
        <v>80.91</v>
      </c>
      <c r="V1006" s="2" t="s">
        <v>603</v>
      </c>
      <c r="W1006" s="2">
        <v>8341.7199999999993</v>
      </c>
      <c r="X1006" s="2" t="s">
        <v>3407</v>
      </c>
      <c r="Y1006" s="2" t="s">
        <v>3408</v>
      </c>
      <c r="Z1006" s="2">
        <v>0.1</v>
      </c>
      <c r="AA1006" s="2" t="s">
        <v>548</v>
      </c>
      <c r="AB1006" s="2" t="s">
        <v>3409</v>
      </c>
    </row>
    <row r="1007" spans="1:28" x14ac:dyDescent="0.3">
      <c r="A1007" s="4">
        <v>46268</v>
      </c>
      <c r="B1007" s="8" t="s">
        <v>3337</v>
      </c>
      <c r="C1007" s="8" t="s">
        <v>36</v>
      </c>
      <c r="D1007" s="8" t="s">
        <v>48</v>
      </c>
      <c r="E1007" s="7" t="s">
        <v>38</v>
      </c>
      <c r="F1007" s="13">
        <v>5165</v>
      </c>
      <c r="G1007" s="59"/>
      <c r="H1007" s="82">
        <f>24000/7</f>
        <v>3428.5714285714284</v>
      </c>
      <c r="I1007" s="6">
        <f t="shared" si="65"/>
        <v>606.9838056680162</v>
      </c>
      <c r="J1007" s="2">
        <v>10.78</v>
      </c>
      <c r="K1007" s="2">
        <v>9.8800000000000008</v>
      </c>
      <c r="L1007" s="2">
        <v>0.9</v>
      </c>
      <c r="M1007" s="2">
        <v>8.35</v>
      </c>
      <c r="N1007" s="2" t="s">
        <v>3410</v>
      </c>
      <c r="O1007" s="56">
        <v>5997</v>
      </c>
      <c r="P1007" s="2">
        <v>4.67</v>
      </c>
      <c r="Q1007" s="2">
        <v>15.2</v>
      </c>
      <c r="R1007" s="2">
        <v>394.63</v>
      </c>
      <c r="S1007" s="2">
        <v>5.2</v>
      </c>
      <c r="T1007" s="2">
        <v>5.78</v>
      </c>
      <c r="U1007" s="2">
        <v>389.42</v>
      </c>
      <c r="V1007" s="2">
        <v>39.409999999999997</v>
      </c>
      <c r="W1007" s="2">
        <v>6906.39</v>
      </c>
      <c r="X1007" s="2" t="s">
        <v>3411</v>
      </c>
      <c r="Y1007" s="2" t="s">
        <v>3412</v>
      </c>
      <c r="Z1007" s="2">
        <v>0.1</v>
      </c>
      <c r="AA1007" s="2" t="s">
        <v>548</v>
      </c>
      <c r="AB1007" s="2">
        <v>50.2</v>
      </c>
    </row>
    <row r="1008" spans="1:28" hidden="1" x14ac:dyDescent="0.3">
      <c r="A1008" s="4">
        <v>46268</v>
      </c>
      <c r="B1008" s="8" t="s">
        <v>3337</v>
      </c>
      <c r="C1008" s="8" t="s">
        <v>36</v>
      </c>
      <c r="D1008" s="8" t="s">
        <v>49</v>
      </c>
      <c r="E1008" s="8" t="s">
        <v>47</v>
      </c>
      <c r="F1008" s="13"/>
      <c r="G1008" s="59"/>
      <c r="H1008" s="6">
        <f t="shared" si="64"/>
        <v>2500</v>
      </c>
      <c r="I1008" s="6">
        <f t="shared" si="65"/>
        <v>338.77551020408163</v>
      </c>
      <c r="J1008" s="2">
        <v>0.84</v>
      </c>
      <c r="K1008" s="2">
        <v>0.49</v>
      </c>
      <c r="L1008" s="2">
        <v>0.35</v>
      </c>
      <c r="M1008" s="2">
        <v>41.72</v>
      </c>
      <c r="N1008" s="2" t="s">
        <v>3413</v>
      </c>
      <c r="O1008" s="56">
        <v>166</v>
      </c>
      <c r="P1008" s="2">
        <v>2.68</v>
      </c>
      <c r="Q1008" s="2">
        <v>6.75</v>
      </c>
      <c r="R1008" s="2">
        <v>24.61</v>
      </c>
      <c r="S1008" s="2">
        <v>1.89</v>
      </c>
      <c r="T1008" s="2">
        <v>5.41</v>
      </c>
      <c r="U1008" s="2">
        <v>22.71</v>
      </c>
      <c r="V1008" s="2">
        <v>46.46</v>
      </c>
      <c r="W1008" s="2">
        <v>2194.5300000000002</v>
      </c>
      <c r="X1008" s="2" t="s">
        <v>3414</v>
      </c>
      <c r="Y1008" s="2" t="s">
        <v>3415</v>
      </c>
      <c r="Z1008" s="2" t="s">
        <v>548</v>
      </c>
      <c r="AA1008" s="2" t="s">
        <v>548</v>
      </c>
      <c r="AB1008" s="2" t="s">
        <v>950</v>
      </c>
    </row>
    <row r="1009" spans="1:28" hidden="1" x14ac:dyDescent="0.3">
      <c r="A1009" s="4">
        <v>46269</v>
      </c>
      <c r="B1009" s="8" t="s">
        <v>3337</v>
      </c>
      <c r="C1009" s="8" t="s">
        <v>36</v>
      </c>
      <c r="D1009" s="8" t="s">
        <v>39</v>
      </c>
      <c r="E1009" s="8" t="s">
        <v>47</v>
      </c>
      <c r="F1009" s="13"/>
      <c r="G1009" s="59"/>
      <c r="H1009" s="6">
        <f t="shared" si="64"/>
        <v>2500</v>
      </c>
      <c r="I1009" s="6">
        <f t="shared" si="65"/>
        <v>185.33685601056803</v>
      </c>
      <c r="J1009" s="2">
        <v>8.67</v>
      </c>
      <c r="K1009" s="2">
        <v>7.57</v>
      </c>
      <c r="L1009" s="2">
        <v>1.1000000000000001</v>
      </c>
      <c r="M1009" s="2">
        <v>12.69</v>
      </c>
      <c r="N1009" s="2" t="s">
        <v>3416</v>
      </c>
      <c r="O1009" s="56">
        <v>1403</v>
      </c>
      <c r="P1009" s="2">
        <v>1.52</v>
      </c>
      <c r="Q1009" s="2">
        <v>9.3800000000000008</v>
      </c>
      <c r="R1009" s="2">
        <v>149.52000000000001</v>
      </c>
      <c r="S1009" s="2">
        <v>4.26</v>
      </c>
      <c r="T1009" s="2">
        <v>3.87</v>
      </c>
      <c r="U1009" s="2">
        <v>145.26</v>
      </c>
      <c r="V1009" s="2">
        <v>19.190000000000001</v>
      </c>
      <c r="W1009" s="2">
        <v>9452.1200000000008</v>
      </c>
      <c r="X1009" s="2" t="s">
        <v>3417</v>
      </c>
      <c r="Y1009" s="2" t="s">
        <v>3418</v>
      </c>
      <c r="Z1009" s="2" t="s">
        <v>548</v>
      </c>
      <c r="AA1009" s="2" t="s">
        <v>548</v>
      </c>
      <c r="AB1009" s="2">
        <v>294.8</v>
      </c>
    </row>
    <row r="1010" spans="1:28" hidden="1" x14ac:dyDescent="0.3">
      <c r="A1010" s="4">
        <v>46269</v>
      </c>
      <c r="B1010" s="8" t="s">
        <v>3337</v>
      </c>
      <c r="C1010" s="8" t="s">
        <v>36</v>
      </c>
      <c r="D1010" s="8" t="s">
        <v>43</v>
      </c>
      <c r="E1010" s="8" t="s">
        <v>61</v>
      </c>
      <c r="F1010" s="13"/>
      <c r="G1010" s="59"/>
      <c r="H1010" s="59"/>
      <c r="I1010" s="6">
        <f t="shared" si="65"/>
        <v>12.626262626262626</v>
      </c>
      <c r="J1010" s="2">
        <v>5.31</v>
      </c>
      <c r="K1010" s="2">
        <v>3.96</v>
      </c>
      <c r="L1010" s="2">
        <v>1.35</v>
      </c>
      <c r="M1010" s="2">
        <v>25.41</v>
      </c>
      <c r="N1010" s="2" t="s">
        <v>45</v>
      </c>
      <c r="O1010" s="56">
        <v>50</v>
      </c>
      <c r="P1010" s="2" t="s">
        <v>45</v>
      </c>
      <c r="Q1010" s="2" t="s">
        <v>45</v>
      </c>
      <c r="R1010" s="2">
        <v>81.86</v>
      </c>
      <c r="S1010" s="2">
        <v>5.2</v>
      </c>
      <c r="T1010" s="2">
        <v>3.86</v>
      </c>
      <c r="U1010" s="2">
        <v>76.650000000000006</v>
      </c>
      <c r="V1010" s="2">
        <v>19.34</v>
      </c>
      <c r="W1010" s="2">
        <v>9004.39</v>
      </c>
      <c r="X1010" s="2" t="s">
        <v>45</v>
      </c>
      <c r="Y1010" s="2" t="s">
        <v>45</v>
      </c>
      <c r="Z1010" s="2" t="s">
        <v>548</v>
      </c>
      <c r="AA1010" s="2" t="s">
        <v>45</v>
      </c>
      <c r="AB1010" s="2" t="s">
        <v>3398</v>
      </c>
    </row>
    <row r="1011" spans="1:28" hidden="1" x14ac:dyDescent="0.3">
      <c r="A1011" s="4">
        <v>46269</v>
      </c>
      <c r="B1011" s="8" t="s">
        <v>3337</v>
      </c>
      <c r="C1011" s="8" t="s">
        <v>36</v>
      </c>
      <c r="D1011" s="8" t="s">
        <v>67</v>
      </c>
      <c r="E1011" s="8" t="s">
        <v>47</v>
      </c>
      <c r="F1011" s="13"/>
      <c r="G1011" s="59"/>
      <c r="H1011" s="6">
        <f t="shared" si="64"/>
        <v>2500</v>
      </c>
      <c r="I1011" s="6">
        <f t="shared" si="65"/>
        <v>265.1260504201681</v>
      </c>
      <c r="J1011" s="2">
        <v>12.62</v>
      </c>
      <c r="K1011" s="2">
        <v>9.52</v>
      </c>
      <c r="L1011" s="2">
        <v>3.1</v>
      </c>
      <c r="M1011" s="2">
        <v>24.57</v>
      </c>
      <c r="N1011" s="2" t="s">
        <v>1719</v>
      </c>
      <c r="O1011" s="56">
        <v>2524</v>
      </c>
      <c r="P1011" s="2">
        <v>1.87</v>
      </c>
      <c r="Q1011" s="2">
        <v>12.61</v>
      </c>
      <c r="R1011" s="2">
        <v>200.15</v>
      </c>
      <c r="S1011" s="2">
        <v>9.94</v>
      </c>
      <c r="T1011" s="2">
        <v>3.21</v>
      </c>
      <c r="U1011" s="2">
        <v>190.22</v>
      </c>
      <c r="V1011" s="2">
        <v>19.989999999999998</v>
      </c>
      <c r="W1011" s="2">
        <v>902.02</v>
      </c>
      <c r="X1011" s="2" t="s">
        <v>3419</v>
      </c>
      <c r="Y1011" s="2" t="s">
        <v>3420</v>
      </c>
      <c r="Z1011" s="2">
        <v>1.1000000000000001</v>
      </c>
      <c r="AA1011" s="2" t="s">
        <v>548</v>
      </c>
      <c r="AB1011" s="2">
        <v>91.3</v>
      </c>
    </row>
    <row r="1012" spans="1:28" hidden="1" x14ac:dyDescent="0.3">
      <c r="A1012" s="4">
        <v>46269</v>
      </c>
      <c r="B1012" s="8" t="s">
        <v>3337</v>
      </c>
      <c r="C1012" s="8" t="s">
        <v>36</v>
      </c>
      <c r="D1012" s="8" t="s">
        <v>50</v>
      </c>
      <c r="E1012" s="8" t="s">
        <v>47</v>
      </c>
      <c r="F1012" s="13"/>
      <c r="G1012" s="59"/>
      <c r="H1012" s="6">
        <f t="shared" si="64"/>
        <v>2500</v>
      </c>
      <c r="I1012" s="6">
        <f t="shared" si="65"/>
        <v>452.7363184079602</v>
      </c>
      <c r="J1012" s="2">
        <v>6.93</v>
      </c>
      <c r="K1012" s="2">
        <v>6.03</v>
      </c>
      <c r="L1012" s="2">
        <v>0.9</v>
      </c>
      <c r="M1012" s="2">
        <v>12.98</v>
      </c>
      <c r="N1012" s="2" t="s">
        <v>3421</v>
      </c>
      <c r="O1012" s="56">
        <v>2730</v>
      </c>
      <c r="P1012" s="2">
        <v>2.2200000000000002</v>
      </c>
      <c r="Q1012" s="2">
        <v>22.11</v>
      </c>
      <c r="R1012" s="2">
        <v>123.5</v>
      </c>
      <c r="S1012" s="2">
        <v>3.31</v>
      </c>
      <c r="T1012" s="2">
        <v>3.68</v>
      </c>
      <c r="U1012" s="2">
        <v>120.19</v>
      </c>
      <c r="V1012" s="2">
        <v>19.93</v>
      </c>
      <c r="W1012" s="2">
        <v>2712.1</v>
      </c>
      <c r="X1012" s="2" t="s">
        <v>3422</v>
      </c>
      <c r="Y1012" s="2" t="s">
        <v>3423</v>
      </c>
      <c r="Z1012" s="2" t="s">
        <v>548</v>
      </c>
      <c r="AA1012" s="2" t="s">
        <v>548</v>
      </c>
      <c r="AB1012" s="2">
        <v>345.1</v>
      </c>
    </row>
    <row r="1013" spans="1:28" hidden="1" x14ac:dyDescent="0.3">
      <c r="A1013" s="4">
        <v>46269</v>
      </c>
      <c r="B1013" s="8" t="s">
        <v>3337</v>
      </c>
      <c r="C1013" s="8" t="s">
        <v>36</v>
      </c>
      <c r="D1013" s="8" t="s">
        <v>52</v>
      </c>
      <c r="E1013" s="8" t="s">
        <v>47</v>
      </c>
      <c r="F1013" s="13"/>
      <c r="G1013" s="59"/>
      <c r="H1013" s="6">
        <f t="shared" si="64"/>
        <v>2500</v>
      </c>
      <c r="I1013" s="6">
        <f t="shared" si="65"/>
        <v>234.69785575048732</v>
      </c>
      <c r="J1013" s="2">
        <v>12.46</v>
      </c>
      <c r="K1013" s="2">
        <v>10.26</v>
      </c>
      <c r="L1013" s="2">
        <v>2.2000000000000002</v>
      </c>
      <c r="M1013" s="2">
        <v>17.66</v>
      </c>
      <c r="N1013" s="2" t="s">
        <v>3424</v>
      </c>
      <c r="O1013" s="56">
        <v>2408</v>
      </c>
      <c r="P1013" s="2">
        <v>1.84</v>
      </c>
      <c r="Q1013" s="2">
        <v>11.14</v>
      </c>
      <c r="R1013" s="2">
        <v>216.24</v>
      </c>
      <c r="S1013" s="2">
        <v>7.57</v>
      </c>
      <c r="T1013" s="2">
        <v>3.44</v>
      </c>
      <c r="U1013" s="2">
        <v>208.67</v>
      </c>
      <c r="V1013" s="2">
        <v>20.34</v>
      </c>
      <c r="W1013" s="2">
        <v>1371.37</v>
      </c>
      <c r="X1013" s="2" t="s">
        <v>3425</v>
      </c>
      <c r="Y1013" s="2" t="s">
        <v>3426</v>
      </c>
      <c r="Z1013" s="2" t="s">
        <v>548</v>
      </c>
      <c r="AA1013" s="2" t="s">
        <v>548</v>
      </c>
      <c r="AB1013" s="2">
        <v>129.4</v>
      </c>
    </row>
    <row r="1014" spans="1:28" hidden="1" x14ac:dyDescent="0.3">
      <c r="A1014" s="4">
        <v>46269</v>
      </c>
      <c r="B1014" s="8" t="s">
        <v>3337</v>
      </c>
      <c r="C1014" s="8" t="s">
        <v>36</v>
      </c>
      <c r="D1014" s="7" t="s">
        <v>46</v>
      </c>
      <c r="E1014" s="8" t="s">
        <v>47</v>
      </c>
      <c r="F1014" s="13"/>
      <c r="G1014" s="59"/>
      <c r="H1014" s="6">
        <f t="shared" si="64"/>
        <v>2500</v>
      </c>
      <c r="I1014" s="6">
        <f t="shared" si="65"/>
        <v>230.86913086913088</v>
      </c>
      <c r="J1014" s="2">
        <v>11.61</v>
      </c>
      <c r="K1014" s="2">
        <v>10.01</v>
      </c>
      <c r="L1014" s="2">
        <v>1.6</v>
      </c>
      <c r="M1014" s="2">
        <v>13.78</v>
      </c>
      <c r="N1014" s="2" t="s">
        <v>3427</v>
      </c>
      <c r="O1014" s="56">
        <v>2311</v>
      </c>
      <c r="P1014" s="2">
        <v>2.58</v>
      </c>
      <c r="Q1014" s="2">
        <v>7.41</v>
      </c>
      <c r="R1014" s="2">
        <v>311.82</v>
      </c>
      <c r="S1014" s="2">
        <v>9.94</v>
      </c>
      <c r="T1014" s="2">
        <v>6.21</v>
      </c>
      <c r="U1014" s="2">
        <v>301.89</v>
      </c>
      <c r="V1014" s="2">
        <v>30.15</v>
      </c>
      <c r="W1014" s="2">
        <v>8353.33</v>
      </c>
      <c r="X1014" s="2" t="s">
        <v>3428</v>
      </c>
      <c r="Y1014" s="2" t="s">
        <v>3429</v>
      </c>
      <c r="Z1014" s="2">
        <v>0.1</v>
      </c>
      <c r="AA1014" s="2" t="s">
        <v>548</v>
      </c>
      <c r="AB1014" s="2">
        <v>260.10000000000002</v>
      </c>
    </row>
    <row r="1015" spans="1:28" x14ac:dyDescent="0.3">
      <c r="A1015" s="4">
        <v>46269</v>
      </c>
      <c r="B1015" s="8" t="s">
        <v>3337</v>
      </c>
      <c r="C1015" s="8" t="s">
        <v>36</v>
      </c>
      <c r="D1015" s="8" t="s">
        <v>48</v>
      </c>
      <c r="E1015" s="7" t="s">
        <v>38</v>
      </c>
      <c r="F1015" s="13">
        <v>5306</v>
      </c>
      <c r="G1015" s="59"/>
      <c r="H1015" s="82">
        <f>24000/7</f>
        <v>3428.5714285714284</v>
      </c>
      <c r="I1015" s="6">
        <f t="shared" si="65"/>
        <v>681.40417457305512</v>
      </c>
      <c r="J1015" s="2">
        <v>11.49</v>
      </c>
      <c r="K1015" s="2">
        <v>10.54</v>
      </c>
      <c r="L1015" s="2">
        <v>0.95</v>
      </c>
      <c r="M1015" s="2">
        <v>8.27</v>
      </c>
      <c r="N1015" s="2" t="s">
        <v>3430</v>
      </c>
      <c r="O1015" s="56">
        <v>7182</v>
      </c>
      <c r="P1015" s="2">
        <v>4.8099999999999996</v>
      </c>
      <c r="Q1015" s="2">
        <v>16.86</v>
      </c>
      <c r="R1015" s="2">
        <v>425.86</v>
      </c>
      <c r="S1015" s="2">
        <v>5.68</v>
      </c>
      <c r="T1015" s="2">
        <v>5.98</v>
      </c>
      <c r="U1015" s="2">
        <v>420.18</v>
      </c>
      <c r="V1015" s="2">
        <v>39.85</v>
      </c>
      <c r="W1015" s="2">
        <v>6917.88</v>
      </c>
      <c r="X1015" s="2" t="s">
        <v>3431</v>
      </c>
      <c r="Y1015" s="2" t="s">
        <v>3432</v>
      </c>
      <c r="Z1015" s="2" t="s">
        <v>548</v>
      </c>
      <c r="AA1015" s="2" t="s">
        <v>548</v>
      </c>
      <c r="AB1015" s="2">
        <v>50.2</v>
      </c>
    </row>
    <row r="1016" spans="1:28" hidden="1" x14ac:dyDescent="0.3">
      <c r="A1016" s="4">
        <v>46269</v>
      </c>
      <c r="B1016" s="8" t="s">
        <v>3337</v>
      </c>
      <c r="C1016" s="8" t="s">
        <v>36</v>
      </c>
      <c r="D1016" s="8" t="s">
        <v>49</v>
      </c>
      <c r="E1016" s="8" t="s">
        <v>47</v>
      </c>
      <c r="F1016" s="13"/>
      <c r="G1016" s="59"/>
      <c r="H1016" s="6">
        <f t="shared" si="64"/>
        <v>2500</v>
      </c>
      <c r="I1016" s="6">
        <f t="shared" si="65"/>
        <v>294.42307692307691</v>
      </c>
      <c r="J1016" s="2">
        <v>6.6</v>
      </c>
      <c r="K1016" s="2">
        <v>5.2</v>
      </c>
      <c r="L1016" s="2">
        <v>1.4</v>
      </c>
      <c r="M1016" s="2">
        <v>21.2</v>
      </c>
      <c r="N1016" s="2" t="s">
        <v>3433</v>
      </c>
      <c r="O1016" s="56">
        <v>1531</v>
      </c>
      <c r="P1016" s="2">
        <v>2.4</v>
      </c>
      <c r="Q1016" s="2">
        <v>7.54</v>
      </c>
      <c r="R1016" s="2">
        <v>202.99</v>
      </c>
      <c r="S1016" s="2">
        <v>6.15</v>
      </c>
      <c r="T1016" s="2">
        <v>4.3899999999999997</v>
      </c>
      <c r="U1016" s="2">
        <v>196.84</v>
      </c>
      <c r="V1016" s="2">
        <v>37.840000000000003</v>
      </c>
      <c r="W1016" s="2">
        <v>2201.13</v>
      </c>
      <c r="X1016" s="2" t="s">
        <v>3434</v>
      </c>
      <c r="Y1016" s="2" t="s">
        <v>3435</v>
      </c>
      <c r="Z1016" s="2" t="s">
        <v>548</v>
      </c>
      <c r="AA1016" s="2" t="s">
        <v>548</v>
      </c>
      <c r="AB1016" s="2" t="s">
        <v>950</v>
      </c>
    </row>
    <row r="1017" spans="1:28" hidden="1" x14ac:dyDescent="0.3">
      <c r="A1017" s="81">
        <v>46270</v>
      </c>
      <c r="B1017" s="8" t="s">
        <v>3337</v>
      </c>
      <c r="C1017" s="8" t="s">
        <v>36</v>
      </c>
      <c r="D1017" s="8" t="s">
        <v>39</v>
      </c>
      <c r="E1017" s="8" t="s">
        <v>47</v>
      </c>
      <c r="F1017" s="13"/>
      <c r="G1017" s="59"/>
      <c r="H1017" s="6">
        <f>15000/7</f>
        <v>2142.8571428571427</v>
      </c>
      <c r="I1017" s="6">
        <f t="shared" si="65"/>
        <v>0</v>
      </c>
      <c r="J1017" s="2">
        <v>0.3</v>
      </c>
      <c r="K1017" s="2">
        <v>0.3</v>
      </c>
      <c r="L1017" s="2" t="s">
        <v>548</v>
      </c>
      <c r="M1017" s="2" t="s">
        <v>548</v>
      </c>
      <c r="N1017" s="2" t="s">
        <v>1696</v>
      </c>
      <c r="O1017" s="56">
        <v>0</v>
      </c>
      <c r="P1017" s="2" t="s">
        <v>548</v>
      </c>
      <c r="Q1017" s="2" t="s">
        <v>548</v>
      </c>
      <c r="R1017" s="2">
        <v>4.26</v>
      </c>
      <c r="S1017" s="2" t="s">
        <v>548</v>
      </c>
      <c r="T1017" s="2" t="s">
        <v>45</v>
      </c>
      <c r="U1017" s="2">
        <v>4.26</v>
      </c>
      <c r="V1017" s="2">
        <v>14.09</v>
      </c>
      <c r="W1017" s="2">
        <v>9452.43</v>
      </c>
      <c r="X1017" s="2" t="s">
        <v>3436</v>
      </c>
      <c r="Y1017" s="2" t="s">
        <v>3418</v>
      </c>
      <c r="Z1017" s="2">
        <v>0.2</v>
      </c>
      <c r="AA1017" s="2">
        <v>0.2</v>
      </c>
      <c r="AB1017" s="2" t="s">
        <v>3437</v>
      </c>
    </row>
    <row r="1018" spans="1:28" hidden="1" x14ac:dyDescent="0.3">
      <c r="A1018" s="81">
        <v>46270</v>
      </c>
      <c r="B1018" s="8" t="s">
        <v>3337</v>
      </c>
      <c r="C1018" s="8" t="s">
        <v>36</v>
      </c>
      <c r="D1018" s="8" t="s">
        <v>43</v>
      </c>
      <c r="E1018" s="8" t="s">
        <v>47</v>
      </c>
      <c r="F1018" s="13"/>
      <c r="G1018" s="59"/>
      <c r="H1018" s="6">
        <f t="shared" ref="H1018:H1024" si="66">15000/7</f>
        <v>2142.8571428571427</v>
      </c>
      <c r="I1018" s="6">
        <f t="shared" si="65"/>
        <v>0</v>
      </c>
      <c r="J1018" s="2">
        <v>0.3</v>
      </c>
      <c r="K1018" s="2">
        <v>0.3</v>
      </c>
      <c r="L1018" s="2" t="s">
        <v>548</v>
      </c>
      <c r="M1018" s="2" t="s">
        <v>548</v>
      </c>
      <c r="N1018" s="2" t="s">
        <v>1696</v>
      </c>
      <c r="O1018" s="56">
        <v>0</v>
      </c>
      <c r="P1018" s="2" t="s">
        <v>548</v>
      </c>
      <c r="Q1018" s="2" t="s">
        <v>548</v>
      </c>
      <c r="R1018" s="2">
        <v>4.26</v>
      </c>
      <c r="S1018" s="2" t="s">
        <v>548</v>
      </c>
      <c r="T1018" s="2" t="s">
        <v>45</v>
      </c>
      <c r="U1018" s="2">
        <v>4.26</v>
      </c>
      <c r="V1018" s="2">
        <v>14.09</v>
      </c>
      <c r="W1018" s="2">
        <v>9452.43</v>
      </c>
      <c r="X1018" s="2" t="s">
        <v>3436</v>
      </c>
      <c r="Y1018" s="2" t="s">
        <v>3418</v>
      </c>
      <c r="Z1018" s="2">
        <v>0.2</v>
      </c>
      <c r="AA1018" s="2">
        <v>0.2</v>
      </c>
      <c r="AB1018" s="2" t="s">
        <v>3437</v>
      </c>
    </row>
    <row r="1019" spans="1:28" hidden="1" x14ac:dyDescent="0.3">
      <c r="A1019" s="81">
        <v>46270</v>
      </c>
      <c r="B1019" s="8" t="s">
        <v>3337</v>
      </c>
      <c r="C1019" s="8" t="s">
        <v>36</v>
      </c>
      <c r="D1019" s="8" t="s">
        <v>67</v>
      </c>
      <c r="E1019" s="8" t="s">
        <v>47</v>
      </c>
      <c r="F1019" s="13"/>
      <c r="G1019" s="59"/>
      <c r="H1019" s="6">
        <f t="shared" si="66"/>
        <v>2142.8571428571427</v>
      </c>
      <c r="I1019" s="6">
        <f t="shared" si="65"/>
        <v>232.36994219653178</v>
      </c>
      <c r="J1019" s="2">
        <v>3.91</v>
      </c>
      <c r="K1019" s="2">
        <v>3.46</v>
      </c>
      <c r="L1019" s="2">
        <v>0.45</v>
      </c>
      <c r="M1019" s="2">
        <v>11.51</v>
      </c>
      <c r="N1019" s="2" t="s">
        <v>3438</v>
      </c>
      <c r="O1019" s="56">
        <v>804</v>
      </c>
      <c r="P1019" s="2">
        <v>1.79</v>
      </c>
      <c r="Q1019" s="2">
        <v>11.4</v>
      </c>
      <c r="R1019" s="2">
        <v>70.5</v>
      </c>
      <c r="S1019" s="2">
        <v>1.42</v>
      </c>
      <c r="T1019" s="2">
        <v>3.15</v>
      </c>
      <c r="U1019" s="2">
        <v>69.08</v>
      </c>
      <c r="V1019" s="2">
        <v>19.96</v>
      </c>
      <c r="W1019" s="2">
        <v>905.93</v>
      </c>
      <c r="X1019" s="2" t="s">
        <v>3439</v>
      </c>
      <c r="Y1019" s="2" t="s">
        <v>3440</v>
      </c>
      <c r="Z1019" s="2">
        <v>1.6</v>
      </c>
      <c r="AA1019" s="2" t="s">
        <v>548</v>
      </c>
      <c r="AB1019" s="2">
        <v>92.9</v>
      </c>
    </row>
    <row r="1020" spans="1:28" hidden="1" x14ac:dyDescent="0.3">
      <c r="A1020" s="81">
        <v>46270</v>
      </c>
      <c r="B1020" s="8" t="s">
        <v>3337</v>
      </c>
      <c r="C1020" s="8" t="s">
        <v>36</v>
      </c>
      <c r="D1020" s="8" t="s">
        <v>50</v>
      </c>
      <c r="E1020" s="8" t="s">
        <v>47</v>
      </c>
      <c r="F1020" s="13"/>
      <c r="G1020" s="59"/>
      <c r="H1020" s="6">
        <f t="shared" si="66"/>
        <v>2142.8571428571427</v>
      </c>
      <c r="I1020" s="6">
        <f t="shared" si="65"/>
        <v>0</v>
      </c>
      <c r="J1020" s="2" t="s">
        <v>548</v>
      </c>
      <c r="K1020" s="2" t="s">
        <v>548</v>
      </c>
      <c r="L1020" s="2" t="s">
        <v>548</v>
      </c>
      <c r="M1020" s="2" t="s">
        <v>45</v>
      </c>
      <c r="N1020" s="2" t="s">
        <v>548</v>
      </c>
      <c r="O1020" s="56">
        <v>0</v>
      </c>
      <c r="P1020" s="2" t="s">
        <v>45</v>
      </c>
      <c r="Q1020" s="2" t="s">
        <v>45</v>
      </c>
      <c r="R1020" s="2" t="s">
        <v>548</v>
      </c>
      <c r="S1020" s="2" t="s">
        <v>548</v>
      </c>
      <c r="T1020" s="2" t="s">
        <v>45</v>
      </c>
      <c r="U1020" s="2" t="s">
        <v>548</v>
      </c>
      <c r="V1020" s="2" t="s">
        <v>45</v>
      </c>
      <c r="W1020" s="2">
        <v>2712.1</v>
      </c>
      <c r="X1020" s="2" t="s">
        <v>3422</v>
      </c>
      <c r="Y1020" s="2" t="s">
        <v>3423</v>
      </c>
      <c r="Z1020" s="2" t="s">
        <v>548</v>
      </c>
      <c r="AA1020" s="2" t="s">
        <v>45</v>
      </c>
      <c r="AB1020" s="2">
        <v>345.1</v>
      </c>
    </row>
    <row r="1021" spans="1:28" hidden="1" x14ac:dyDescent="0.3">
      <c r="A1021" s="81">
        <v>46270</v>
      </c>
      <c r="B1021" s="8" t="s">
        <v>3337</v>
      </c>
      <c r="C1021" s="8" t="s">
        <v>36</v>
      </c>
      <c r="D1021" s="8" t="s">
        <v>52</v>
      </c>
      <c r="E1021" s="8" t="s">
        <v>47</v>
      </c>
      <c r="F1021" s="13"/>
      <c r="G1021" s="59"/>
      <c r="H1021" s="6">
        <f t="shared" si="66"/>
        <v>2142.8571428571427</v>
      </c>
      <c r="I1021" s="6">
        <f t="shared" si="65"/>
        <v>58.029197080291965</v>
      </c>
      <c r="J1021" s="2">
        <v>6.88</v>
      </c>
      <c r="K1021" s="2">
        <v>5.48</v>
      </c>
      <c r="L1021" s="2">
        <v>1.4</v>
      </c>
      <c r="M1021" s="2">
        <v>20.350000000000001</v>
      </c>
      <c r="N1021" s="2" t="s">
        <v>3441</v>
      </c>
      <c r="O1021" s="56">
        <v>318</v>
      </c>
      <c r="P1021" s="2">
        <v>1.64</v>
      </c>
      <c r="Q1021" s="2">
        <v>3.38</v>
      </c>
      <c r="R1021" s="2">
        <v>94.16</v>
      </c>
      <c r="S1021" s="2">
        <v>6.15</v>
      </c>
      <c r="T1021" s="2">
        <v>4.3899999999999997</v>
      </c>
      <c r="U1021" s="2">
        <v>88.01</v>
      </c>
      <c r="V1021" s="2">
        <v>16.059999999999999</v>
      </c>
      <c r="W1021" s="2">
        <v>1378.25</v>
      </c>
      <c r="X1021" s="2" t="s">
        <v>3442</v>
      </c>
      <c r="Y1021" s="2" t="s">
        <v>3443</v>
      </c>
      <c r="Z1021" s="2">
        <v>1.4</v>
      </c>
      <c r="AA1021" s="2">
        <v>0.01</v>
      </c>
      <c r="AB1021" s="2">
        <v>130.80000000000001</v>
      </c>
    </row>
    <row r="1022" spans="1:28" hidden="1" x14ac:dyDescent="0.3">
      <c r="A1022" s="81">
        <v>46270</v>
      </c>
      <c r="B1022" s="8" t="s">
        <v>3337</v>
      </c>
      <c r="C1022" s="8" t="s">
        <v>36</v>
      </c>
      <c r="D1022" s="7" t="s">
        <v>46</v>
      </c>
      <c r="E1022" s="8" t="s">
        <v>47</v>
      </c>
      <c r="F1022" s="13"/>
      <c r="G1022" s="59"/>
      <c r="H1022" s="6">
        <f t="shared" si="66"/>
        <v>2142.8571428571427</v>
      </c>
      <c r="I1022" s="6">
        <f t="shared" si="65"/>
        <v>69.631901840490798</v>
      </c>
      <c r="J1022" s="2">
        <v>3.46</v>
      </c>
      <c r="K1022" s="2">
        <v>3.26</v>
      </c>
      <c r="L1022" s="2">
        <v>0.2</v>
      </c>
      <c r="M1022" s="2">
        <v>5.78</v>
      </c>
      <c r="N1022" s="2" t="s">
        <v>3444</v>
      </c>
      <c r="O1022" s="56">
        <v>227</v>
      </c>
      <c r="P1022" s="2">
        <v>0.92</v>
      </c>
      <c r="Q1022" s="2">
        <v>2.35</v>
      </c>
      <c r="R1022" s="2">
        <v>96.53</v>
      </c>
      <c r="S1022" s="2">
        <v>2.37</v>
      </c>
      <c r="T1022" s="2">
        <v>11.83</v>
      </c>
      <c r="U1022" s="2">
        <v>94.16</v>
      </c>
      <c r="V1022" s="2">
        <v>28.9</v>
      </c>
      <c r="W1022" s="2">
        <v>8356.7900000000009</v>
      </c>
      <c r="X1022" s="2" t="s">
        <v>3445</v>
      </c>
      <c r="Y1022" s="2" t="s">
        <v>3446</v>
      </c>
      <c r="Z1022" s="2">
        <v>0.1</v>
      </c>
      <c r="AA1022" s="2" t="s">
        <v>548</v>
      </c>
      <c r="AB1022" s="2">
        <v>260.2</v>
      </c>
    </row>
    <row r="1023" spans="1:28" x14ac:dyDescent="0.3">
      <c r="A1023" s="81">
        <v>46270</v>
      </c>
      <c r="B1023" s="8" t="s">
        <v>3337</v>
      </c>
      <c r="C1023" s="8" t="s">
        <v>36</v>
      </c>
      <c r="D1023" s="8" t="s">
        <v>48</v>
      </c>
      <c r="E1023" s="7" t="s">
        <v>38</v>
      </c>
      <c r="F1023" s="13">
        <v>576</v>
      </c>
      <c r="G1023" s="59"/>
      <c r="H1023" s="82">
        <f>24000/7</f>
        <v>3428.5714285714284</v>
      </c>
      <c r="I1023" s="6">
        <f t="shared" si="65"/>
        <v>762.71186440677968</v>
      </c>
      <c r="J1023" s="2">
        <v>2.57</v>
      </c>
      <c r="K1023" s="2">
        <v>1.77</v>
      </c>
      <c r="L1023" s="2">
        <v>0.8</v>
      </c>
      <c r="M1023" s="2">
        <v>31.12</v>
      </c>
      <c r="N1023" s="2" t="s">
        <v>3409</v>
      </c>
      <c r="O1023" s="56">
        <v>1350</v>
      </c>
      <c r="P1023" s="2">
        <v>5.19</v>
      </c>
      <c r="Q1023" s="2">
        <v>19.02</v>
      </c>
      <c r="R1023" s="2">
        <v>70.98</v>
      </c>
      <c r="S1023" s="2">
        <v>4.7300000000000004</v>
      </c>
      <c r="T1023" s="2">
        <v>5.91</v>
      </c>
      <c r="U1023" s="2">
        <v>66.239999999999995</v>
      </c>
      <c r="V1023" s="2">
        <v>37.409999999999997</v>
      </c>
      <c r="W1023" s="2">
        <v>6920.45</v>
      </c>
      <c r="X1023" s="2" t="s">
        <v>3447</v>
      </c>
      <c r="Y1023" s="2" t="s">
        <v>3448</v>
      </c>
      <c r="Z1023" s="2" t="s">
        <v>548</v>
      </c>
      <c r="AA1023" s="2" t="s">
        <v>548</v>
      </c>
      <c r="AB1023" s="2">
        <v>50.2</v>
      </c>
    </row>
    <row r="1024" spans="1:28" hidden="1" x14ac:dyDescent="0.3">
      <c r="A1024" s="81">
        <v>46270</v>
      </c>
      <c r="B1024" s="8" t="s">
        <v>3337</v>
      </c>
      <c r="C1024" s="8" t="s">
        <v>36</v>
      </c>
      <c r="D1024" s="8" t="s">
        <v>49</v>
      </c>
      <c r="E1024" s="8" t="s">
        <v>47</v>
      </c>
      <c r="F1024" s="13"/>
      <c r="G1024" s="59"/>
      <c r="H1024" s="6">
        <f t="shared" si="66"/>
        <v>2142.8571428571427</v>
      </c>
      <c r="I1024" s="6">
        <f t="shared" si="65"/>
        <v>285.14851485148517</v>
      </c>
      <c r="J1024" s="2">
        <v>3.42</v>
      </c>
      <c r="K1024" s="2">
        <v>2.02</v>
      </c>
      <c r="L1024" s="2">
        <v>1.4</v>
      </c>
      <c r="M1024" s="2">
        <v>40.92</v>
      </c>
      <c r="N1024" s="2" t="s">
        <v>3449</v>
      </c>
      <c r="O1024" s="56">
        <v>576</v>
      </c>
      <c r="P1024" s="2">
        <v>2.68</v>
      </c>
      <c r="Q1024" s="2">
        <v>6.54</v>
      </c>
      <c r="R1024" s="2">
        <v>88.01</v>
      </c>
      <c r="S1024" s="2">
        <v>6.62</v>
      </c>
      <c r="T1024" s="2">
        <v>4.7300000000000004</v>
      </c>
      <c r="U1024" s="2">
        <v>81.39</v>
      </c>
      <c r="V1024" s="2">
        <v>40.270000000000003</v>
      </c>
      <c r="W1024" s="2">
        <v>2204.5500000000002</v>
      </c>
      <c r="X1024" s="2" t="s">
        <v>3450</v>
      </c>
      <c r="Y1024" s="2" t="s">
        <v>3451</v>
      </c>
      <c r="Z1024" s="2" t="s">
        <v>548</v>
      </c>
      <c r="AA1024" s="2" t="s">
        <v>548</v>
      </c>
      <c r="AB1024" s="2" t="s">
        <v>950</v>
      </c>
    </row>
    <row r="1025" spans="1:28" hidden="1" x14ac:dyDescent="0.3">
      <c r="A1025" s="81">
        <v>46271</v>
      </c>
      <c r="B1025" s="8" t="s">
        <v>55</v>
      </c>
      <c r="C1025" s="8" t="s">
        <v>56</v>
      </c>
      <c r="D1025" s="8" t="s">
        <v>39</v>
      </c>
      <c r="E1025" s="8" t="s">
        <v>47</v>
      </c>
      <c r="F1025" s="13"/>
      <c r="G1025" s="59"/>
      <c r="H1025" s="59"/>
      <c r="I1025" s="6">
        <f t="shared" si="65"/>
        <v>0</v>
      </c>
      <c r="J1025" s="2" t="s">
        <v>548</v>
      </c>
      <c r="K1025" s="2" t="s">
        <v>548</v>
      </c>
      <c r="L1025" s="2" t="s">
        <v>548</v>
      </c>
      <c r="M1025" s="2" t="s">
        <v>45</v>
      </c>
      <c r="N1025" s="2" t="s">
        <v>548</v>
      </c>
      <c r="O1025" s="56">
        <v>0</v>
      </c>
      <c r="P1025" s="2" t="s">
        <v>45</v>
      </c>
      <c r="Q1025" s="2" t="s">
        <v>45</v>
      </c>
      <c r="R1025" s="2" t="s">
        <v>548</v>
      </c>
      <c r="S1025" s="2" t="s">
        <v>548</v>
      </c>
      <c r="T1025" s="2" t="s">
        <v>45</v>
      </c>
      <c r="U1025" s="2" t="s">
        <v>548</v>
      </c>
      <c r="V1025" s="2" t="s">
        <v>45</v>
      </c>
      <c r="W1025" s="2">
        <v>9452.43</v>
      </c>
      <c r="X1025" s="2" t="s">
        <v>3436</v>
      </c>
      <c r="Y1025" s="2" t="s">
        <v>3418</v>
      </c>
      <c r="Z1025" s="2" t="s">
        <v>548</v>
      </c>
      <c r="AA1025" s="2" t="s">
        <v>45</v>
      </c>
      <c r="AB1025" s="2" t="s">
        <v>3437</v>
      </c>
    </row>
    <row r="1026" spans="1:28" hidden="1" x14ac:dyDescent="0.3">
      <c r="A1026" s="81">
        <v>46271</v>
      </c>
      <c r="B1026" s="8" t="s">
        <v>55</v>
      </c>
      <c r="C1026" s="8" t="s">
        <v>56</v>
      </c>
      <c r="D1026" s="8" t="s">
        <v>43</v>
      </c>
      <c r="E1026" s="8" t="s">
        <v>47</v>
      </c>
      <c r="F1026" s="13"/>
      <c r="G1026" s="59"/>
      <c r="H1026" s="59"/>
      <c r="I1026" s="6">
        <f t="shared" si="65"/>
        <v>0</v>
      </c>
      <c r="J1026" s="2" t="s">
        <v>548</v>
      </c>
      <c r="K1026" s="2" t="s">
        <v>548</v>
      </c>
      <c r="L1026" s="2" t="s">
        <v>548</v>
      </c>
      <c r="M1026" s="2" t="s">
        <v>45</v>
      </c>
      <c r="N1026" s="2" t="s">
        <v>548</v>
      </c>
      <c r="O1026" s="56">
        <v>0</v>
      </c>
      <c r="P1026" s="2" t="s">
        <v>45</v>
      </c>
      <c r="Q1026" s="2" t="s">
        <v>45</v>
      </c>
      <c r="R1026" s="2" t="s">
        <v>548</v>
      </c>
      <c r="S1026" s="2" t="s">
        <v>548</v>
      </c>
      <c r="T1026" s="2" t="s">
        <v>45</v>
      </c>
      <c r="U1026" s="2" t="s">
        <v>548</v>
      </c>
      <c r="V1026" s="2" t="s">
        <v>45</v>
      </c>
      <c r="W1026" s="2">
        <v>9452.43</v>
      </c>
      <c r="X1026" s="2" t="s">
        <v>3436</v>
      </c>
      <c r="Y1026" s="2" t="s">
        <v>3418</v>
      </c>
      <c r="Z1026" s="2" t="s">
        <v>548</v>
      </c>
      <c r="AA1026" s="2" t="s">
        <v>45</v>
      </c>
      <c r="AB1026" s="2" t="s">
        <v>3437</v>
      </c>
    </row>
    <row r="1027" spans="1:28" hidden="1" x14ac:dyDescent="0.3">
      <c r="A1027" s="81">
        <v>46271</v>
      </c>
      <c r="B1027" s="8" t="s">
        <v>55</v>
      </c>
      <c r="C1027" s="8" t="s">
        <v>56</v>
      </c>
      <c r="D1027" s="8" t="s">
        <v>67</v>
      </c>
      <c r="E1027" s="8" t="s">
        <v>47</v>
      </c>
      <c r="F1027" s="13"/>
      <c r="G1027" s="59"/>
      <c r="H1027" s="59"/>
      <c r="I1027" s="6">
        <f t="shared" si="65"/>
        <v>213.63636363636363</v>
      </c>
      <c r="J1027" s="2">
        <v>2.0099999999999998</v>
      </c>
      <c r="K1027" s="2">
        <v>1.76</v>
      </c>
      <c r="L1027" s="2">
        <v>0.25</v>
      </c>
      <c r="M1027" s="2">
        <v>12.41</v>
      </c>
      <c r="N1027" s="2" t="s">
        <v>3452</v>
      </c>
      <c r="O1027" s="56">
        <v>376</v>
      </c>
      <c r="P1027" s="2">
        <v>2.2400000000000002</v>
      </c>
      <c r="Q1027" s="2">
        <v>9.69</v>
      </c>
      <c r="R1027" s="2">
        <v>38.799999999999997</v>
      </c>
      <c r="S1027" s="2">
        <v>0.95</v>
      </c>
      <c r="T1027" s="2">
        <v>3.79</v>
      </c>
      <c r="U1027" s="2">
        <v>37.85</v>
      </c>
      <c r="V1027" s="2">
        <v>21.45</v>
      </c>
      <c r="W1027" s="2">
        <v>907.95</v>
      </c>
      <c r="X1027" s="2" t="s">
        <v>3453</v>
      </c>
      <c r="Y1027" s="2" t="s">
        <v>3454</v>
      </c>
      <c r="Z1027" s="2" t="s">
        <v>1696</v>
      </c>
      <c r="AA1027" s="2">
        <v>0.01</v>
      </c>
      <c r="AB1027" s="2">
        <v>93.9</v>
      </c>
    </row>
    <row r="1028" spans="1:28" hidden="1" x14ac:dyDescent="0.3">
      <c r="A1028" s="81">
        <v>46271</v>
      </c>
      <c r="B1028" s="8" t="s">
        <v>55</v>
      </c>
      <c r="C1028" s="8" t="s">
        <v>56</v>
      </c>
      <c r="D1028" s="8" t="s">
        <v>50</v>
      </c>
      <c r="E1028" s="8" t="s">
        <v>47</v>
      </c>
      <c r="F1028" s="13"/>
      <c r="G1028" s="59"/>
      <c r="H1028" s="59"/>
      <c r="I1028" s="6">
        <f t="shared" si="65"/>
        <v>0</v>
      </c>
      <c r="J1028" s="2" t="s">
        <v>548</v>
      </c>
      <c r="K1028" s="2" t="s">
        <v>548</v>
      </c>
      <c r="L1028" s="2" t="s">
        <v>548</v>
      </c>
      <c r="M1028" s="2" t="s">
        <v>45</v>
      </c>
      <c r="N1028" s="2" t="s">
        <v>548</v>
      </c>
      <c r="O1028" s="56">
        <v>0</v>
      </c>
      <c r="P1028" s="2" t="s">
        <v>45</v>
      </c>
      <c r="Q1028" s="2" t="s">
        <v>45</v>
      </c>
      <c r="R1028" s="2" t="s">
        <v>548</v>
      </c>
      <c r="S1028" s="2" t="s">
        <v>548</v>
      </c>
      <c r="T1028" s="2" t="s">
        <v>45</v>
      </c>
      <c r="U1028" s="2" t="s">
        <v>548</v>
      </c>
      <c r="V1028" s="2" t="s">
        <v>45</v>
      </c>
      <c r="W1028" s="2">
        <v>2712.1</v>
      </c>
      <c r="X1028" s="2" t="s">
        <v>3422</v>
      </c>
      <c r="Y1028" s="2" t="s">
        <v>3423</v>
      </c>
      <c r="Z1028" s="2" t="s">
        <v>548</v>
      </c>
      <c r="AA1028" s="2" t="s">
        <v>45</v>
      </c>
      <c r="AB1028" s="2">
        <v>345.1</v>
      </c>
    </row>
    <row r="1029" spans="1:28" hidden="1" x14ac:dyDescent="0.3">
      <c r="A1029" s="81">
        <v>46271</v>
      </c>
      <c r="B1029" s="8" t="s">
        <v>55</v>
      </c>
      <c r="C1029" s="8" t="s">
        <v>56</v>
      </c>
      <c r="D1029" s="8" t="s">
        <v>52</v>
      </c>
      <c r="E1029" s="8" t="s">
        <v>47</v>
      </c>
      <c r="F1029" s="13"/>
      <c r="G1029" s="59"/>
      <c r="H1029" s="59"/>
      <c r="I1029" s="6">
        <f t="shared" si="65"/>
        <v>0</v>
      </c>
      <c r="J1029" s="2">
        <v>0.04</v>
      </c>
      <c r="K1029" s="2">
        <v>0.04</v>
      </c>
      <c r="L1029" s="2" t="s">
        <v>548</v>
      </c>
      <c r="M1029" s="2" t="s">
        <v>548</v>
      </c>
      <c r="N1029" s="2" t="s">
        <v>548</v>
      </c>
      <c r="O1029" s="56">
        <v>0</v>
      </c>
      <c r="P1029" s="2" t="s">
        <v>45</v>
      </c>
      <c r="Q1029" s="2" t="s">
        <v>45</v>
      </c>
      <c r="R1029" s="2" t="s">
        <v>548</v>
      </c>
      <c r="S1029" s="2" t="s">
        <v>548</v>
      </c>
      <c r="T1029" s="2" t="s">
        <v>45</v>
      </c>
      <c r="U1029" s="2" t="s">
        <v>548</v>
      </c>
      <c r="V1029" s="2" t="s">
        <v>548</v>
      </c>
      <c r="W1029" s="2">
        <v>1378.29</v>
      </c>
      <c r="X1029" s="2" t="s">
        <v>3442</v>
      </c>
      <c r="Y1029" s="2" t="s">
        <v>3443</v>
      </c>
      <c r="Z1029" s="2" t="s">
        <v>548</v>
      </c>
      <c r="AA1029" s="2" t="s">
        <v>45</v>
      </c>
      <c r="AB1029" s="2">
        <v>130.80000000000001</v>
      </c>
    </row>
    <row r="1030" spans="1:28" hidden="1" x14ac:dyDescent="0.3">
      <c r="A1030" s="81">
        <v>46271</v>
      </c>
      <c r="B1030" s="8" t="s">
        <v>55</v>
      </c>
      <c r="C1030" s="8" t="s">
        <v>56</v>
      </c>
      <c r="D1030" s="7" t="s">
        <v>46</v>
      </c>
      <c r="E1030" s="8" t="s">
        <v>47</v>
      </c>
      <c r="F1030" s="13"/>
      <c r="G1030" s="59"/>
      <c r="H1030" s="59"/>
      <c r="I1030" s="6">
        <f t="shared" si="65"/>
        <v>0</v>
      </c>
      <c r="J1030" s="2" t="s">
        <v>548</v>
      </c>
      <c r="K1030" s="2" t="s">
        <v>548</v>
      </c>
      <c r="L1030" s="2" t="s">
        <v>548</v>
      </c>
      <c r="M1030" s="2" t="s">
        <v>45</v>
      </c>
      <c r="N1030" s="2" t="s">
        <v>548</v>
      </c>
      <c r="O1030" s="56">
        <v>0</v>
      </c>
      <c r="P1030" s="2" t="s">
        <v>45</v>
      </c>
      <c r="Q1030" s="2" t="s">
        <v>45</v>
      </c>
      <c r="R1030" s="2" t="s">
        <v>548</v>
      </c>
      <c r="S1030" s="2" t="s">
        <v>548</v>
      </c>
      <c r="T1030" s="2" t="s">
        <v>45</v>
      </c>
      <c r="U1030" s="2" t="s">
        <v>548</v>
      </c>
      <c r="V1030" s="2" t="s">
        <v>45</v>
      </c>
      <c r="W1030" s="2">
        <v>8356.7900000000009</v>
      </c>
      <c r="X1030" s="2" t="s">
        <v>3445</v>
      </c>
      <c r="Y1030" s="2" t="s">
        <v>3446</v>
      </c>
      <c r="Z1030" s="2" t="s">
        <v>548</v>
      </c>
      <c r="AA1030" s="2" t="s">
        <v>45</v>
      </c>
      <c r="AB1030" s="2">
        <v>260.2</v>
      </c>
    </row>
    <row r="1031" spans="1:28" x14ac:dyDescent="0.3">
      <c r="A1031" s="81">
        <v>46271</v>
      </c>
      <c r="B1031" s="8" t="s">
        <v>3337</v>
      </c>
      <c r="C1031" s="8" t="s">
        <v>36</v>
      </c>
      <c r="D1031" s="8" t="s">
        <v>48</v>
      </c>
      <c r="E1031" s="7" t="s">
        <v>38</v>
      </c>
      <c r="F1031" s="13">
        <v>3271</v>
      </c>
      <c r="G1031" s="59"/>
      <c r="H1031" s="82">
        <f>24000/7</f>
        <v>3428.5714285714284</v>
      </c>
      <c r="I1031" s="6">
        <f t="shared" si="65"/>
        <v>645.46703296703299</v>
      </c>
      <c r="J1031" s="2">
        <v>7.98</v>
      </c>
      <c r="K1031" s="2">
        <v>7.28</v>
      </c>
      <c r="L1031" s="2">
        <v>0.7</v>
      </c>
      <c r="M1031" s="2">
        <v>8.77</v>
      </c>
      <c r="N1031" s="2" t="s">
        <v>3455</v>
      </c>
      <c r="O1031" s="56">
        <v>4699</v>
      </c>
      <c r="P1031" s="2">
        <v>4.75</v>
      </c>
      <c r="Q1031" s="2">
        <v>15.84</v>
      </c>
      <c r="R1031" s="2">
        <v>296.68</v>
      </c>
      <c r="S1031" s="2">
        <v>4.7300000000000004</v>
      </c>
      <c r="T1031" s="2">
        <v>6.76</v>
      </c>
      <c r="U1031" s="2">
        <v>291.95</v>
      </c>
      <c r="V1031" s="2">
        <v>40.08</v>
      </c>
      <c r="W1031" s="2">
        <v>6928.44</v>
      </c>
      <c r="X1031" s="2" t="s">
        <v>3456</v>
      </c>
      <c r="Y1031" s="2" t="s">
        <v>3457</v>
      </c>
      <c r="Z1031" s="2">
        <v>0.1</v>
      </c>
      <c r="AA1031" s="2" t="s">
        <v>548</v>
      </c>
      <c r="AB1031" s="2">
        <v>50.3</v>
      </c>
    </row>
    <row r="1032" spans="1:28" hidden="1" x14ac:dyDescent="0.3">
      <c r="A1032" s="81">
        <v>46271</v>
      </c>
      <c r="B1032" s="8" t="s">
        <v>55</v>
      </c>
      <c r="C1032" s="8" t="s">
        <v>56</v>
      </c>
      <c r="D1032" s="8" t="s">
        <v>49</v>
      </c>
      <c r="E1032" s="8" t="s">
        <v>47</v>
      </c>
      <c r="F1032" s="13"/>
      <c r="G1032" s="59"/>
      <c r="H1032" s="59"/>
      <c r="I1032" s="6">
        <f t="shared" si="65"/>
        <v>0</v>
      </c>
      <c r="J1032" s="2" t="s">
        <v>45</v>
      </c>
      <c r="K1032" s="2" t="s">
        <v>45</v>
      </c>
      <c r="L1032" s="2" t="s">
        <v>45</v>
      </c>
      <c r="M1032" s="2" t="s">
        <v>45</v>
      </c>
      <c r="N1032" s="2" t="s">
        <v>45</v>
      </c>
      <c r="O1032" s="56" t="s">
        <v>45</v>
      </c>
      <c r="P1032" s="2" t="s">
        <v>45</v>
      </c>
      <c r="Q1032" s="2" t="s">
        <v>45</v>
      </c>
      <c r="R1032" s="2" t="s">
        <v>45</v>
      </c>
      <c r="S1032" s="2" t="s">
        <v>45</v>
      </c>
      <c r="T1032" s="2" t="s">
        <v>45</v>
      </c>
      <c r="U1032" s="2" t="s">
        <v>45</v>
      </c>
      <c r="V1032" s="2" t="s">
        <v>45</v>
      </c>
      <c r="W1032" s="2" t="s">
        <v>45</v>
      </c>
      <c r="X1032" s="2" t="s">
        <v>45</v>
      </c>
      <c r="Y1032" s="2" t="s">
        <v>45</v>
      </c>
      <c r="Z1032" s="2" t="s">
        <v>45</v>
      </c>
      <c r="AA1032" s="2" t="s">
        <v>45</v>
      </c>
      <c r="AB1032" s="2" t="s">
        <v>45</v>
      </c>
    </row>
    <row r="1033" spans="1:28" x14ac:dyDescent="0.3">
      <c r="A1033" s="2"/>
      <c r="B1033" s="8"/>
      <c r="C1033" s="8"/>
      <c r="D1033" s="8"/>
      <c r="E1033" s="8"/>
      <c r="F1033" s="13"/>
      <c r="G1033" s="59"/>
      <c r="H1033" s="6"/>
      <c r="I1033" s="6"/>
      <c r="J1033" s="2"/>
      <c r="K1033" s="2"/>
      <c r="L1033" s="2"/>
      <c r="M1033" s="2"/>
      <c r="N1033" s="2"/>
      <c r="O1033" s="56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x14ac:dyDescent="0.3">
      <c r="A1034" s="2"/>
      <c r="B1034" s="8"/>
      <c r="C1034" s="8"/>
      <c r="D1034" s="8"/>
      <c r="E1034" s="8"/>
      <c r="F1034" s="13"/>
      <c r="G1034" s="59"/>
      <c r="H1034" s="6"/>
      <c r="I1034" s="6"/>
      <c r="J1034" s="2"/>
      <c r="K1034" s="2"/>
      <c r="L1034" s="2"/>
      <c r="M1034" s="2"/>
      <c r="N1034" s="2"/>
      <c r="O1034" s="56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x14ac:dyDescent="0.3">
      <c r="A1035" s="2"/>
      <c r="B1035" s="8"/>
      <c r="C1035" s="8"/>
      <c r="D1035" s="8"/>
      <c r="E1035" s="8"/>
      <c r="F1035" s="13"/>
      <c r="G1035" s="59"/>
      <c r="H1035" s="6"/>
      <c r="I1035" s="6"/>
      <c r="J1035" s="2"/>
      <c r="K1035" s="2"/>
      <c r="L1035" s="2"/>
      <c r="M1035" s="2"/>
      <c r="N1035" s="2"/>
      <c r="O1035" s="56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x14ac:dyDescent="0.3">
      <c r="A1036" s="2"/>
      <c r="B1036" s="8"/>
      <c r="C1036" s="8"/>
      <c r="D1036" s="8"/>
      <c r="E1036" s="8"/>
      <c r="F1036" s="13"/>
      <c r="G1036" s="59"/>
      <c r="H1036" s="6"/>
      <c r="I1036" s="6"/>
      <c r="J1036" s="2"/>
      <c r="K1036" s="2"/>
      <c r="L1036" s="2"/>
      <c r="M1036" s="2"/>
      <c r="N1036" s="2"/>
      <c r="O1036" s="56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x14ac:dyDescent="0.3">
      <c r="A1037" s="2"/>
      <c r="B1037" s="8"/>
      <c r="C1037" s="8"/>
      <c r="D1037" s="8"/>
      <c r="E1037" s="8"/>
      <c r="F1037" s="13"/>
      <c r="G1037" s="59"/>
      <c r="H1037" s="6"/>
      <c r="I1037" s="6"/>
      <c r="J1037" s="2"/>
      <c r="K1037" s="2"/>
      <c r="L1037" s="2"/>
      <c r="M1037" s="2"/>
      <c r="N1037" s="2"/>
      <c r="O1037" s="56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x14ac:dyDescent="0.3">
      <c r="A1038" s="2"/>
      <c r="B1038" s="8"/>
      <c r="C1038" s="8"/>
      <c r="D1038" s="8"/>
      <c r="E1038" s="8"/>
      <c r="F1038" s="13"/>
      <c r="G1038" s="59"/>
      <c r="H1038" s="6"/>
      <c r="I1038" s="6"/>
      <c r="J1038" s="2"/>
      <c r="K1038" s="2"/>
      <c r="L1038" s="2"/>
      <c r="M1038" s="2"/>
      <c r="N1038" s="2"/>
      <c r="O1038" s="56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x14ac:dyDescent="0.3">
      <c r="A1039" s="2"/>
      <c r="B1039" s="8"/>
      <c r="C1039" s="8"/>
      <c r="D1039" s="8"/>
      <c r="E1039" s="8"/>
      <c r="F1039" s="13"/>
      <c r="G1039" s="59"/>
      <c r="H1039" s="6"/>
      <c r="I1039" s="6"/>
      <c r="J1039" s="2"/>
      <c r="K1039" s="2"/>
      <c r="L1039" s="2"/>
      <c r="M1039" s="2"/>
      <c r="N1039" s="2"/>
      <c r="O1039" s="56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x14ac:dyDescent="0.3">
      <c r="A1040" s="2"/>
      <c r="B1040" s="8"/>
      <c r="C1040" s="8"/>
      <c r="D1040" s="8"/>
      <c r="E1040" s="8"/>
      <c r="F1040" s="13"/>
      <c r="G1040" s="59"/>
      <c r="H1040" s="6"/>
      <c r="I1040" s="6"/>
      <c r="J1040" s="2"/>
      <c r="K1040" s="2"/>
      <c r="L1040" s="2"/>
      <c r="M1040" s="2"/>
      <c r="N1040" s="2"/>
      <c r="O1040" s="56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x14ac:dyDescent="0.3">
      <c r="A1041" s="2"/>
      <c r="B1041" s="8"/>
      <c r="C1041" s="8"/>
      <c r="D1041" s="8"/>
      <c r="E1041" s="8"/>
      <c r="F1041" s="13"/>
      <c r="G1041" s="59"/>
      <c r="H1041" s="6"/>
      <c r="I1041" s="6"/>
      <c r="J1041" s="2"/>
      <c r="K1041" s="2"/>
      <c r="L1041" s="2"/>
      <c r="M1041" s="2"/>
      <c r="N1041" s="2"/>
      <c r="O1041" s="56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x14ac:dyDescent="0.3">
      <c r="A1042" s="2"/>
      <c r="B1042" s="8"/>
      <c r="C1042" s="8"/>
      <c r="D1042" s="8"/>
      <c r="E1042" s="8"/>
      <c r="F1042" s="13"/>
      <c r="G1042" s="59"/>
      <c r="H1042" s="6"/>
      <c r="I1042" s="6"/>
      <c r="J1042" s="2"/>
      <c r="K1042" s="2"/>
      <c r="L1042" s="2"/>
      <c r="M1042" s="2"/>
      <c r="N1042" s="2"/>
      <c r="O1042" s="56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x14ac:dyDescent="0.3">
      <c r="A1043" s="2"/>
      <c r="B1043" s="8"/>
      <c r="C1043" s="8"/>
      <c r="D1043" s="8"/>
      <c r="E1043" s="8"/>
      <c r="F1043" s="13"/>
      <c r="G1043" s="59"/>
      <c r="H1043" s="6"/>
      <c r="I1043" s="6"/>
      <c r="J1043" s="2"/>
      <c r="K1043" s="2"/>
      <c r="L1043" s="2"/>
      <c r="M1043" s="2"/>
      <c r="N1043" s="2"/>
      <c r="O1043" s="56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x14ac:dyDescent="0.3">
      <c r="A1044" s="2"/>
      <c r="B1044" s="8"/>
      <c r="C1044" s="8"/>
      <c r="D1044" s="8"/>
      <c r="E1044" s="8"/>
      <c r="F1044" s="13"/>
      <c r="G1044" s="59"/>
      <c r="H1044" s="6"/>
      <c r="I1044" s="6"/>
      <c r="J1044" s="2"/>
      <c r="K1044" s="2"/>
      <c r="L1044" s="2"/>
      <c r="M1044" s="2"/>
      <c r="N1044" s="2"/>
      <c r="O1044" s="56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x14ac:dyDescent="0.3">
      <c r="A1045" s="2"/>
      <c r="B1045" s="8"/>
      <c r="C1045" s="8"/>
      <c r="D1045" s="8"/>
      <c r="E1045" s="8"/>
      <c r="F1045" s="13"/>
      <c r="G1045" s="59"/>
      <c r="H1045" s="6"/>
      <c r="I1045" s="6"/>
      <c r="J1045" s="2"/>
      <c r="K1045" s="2"/>
      <c r="L1045" s="2"/>
      <c r="M1045" s="2"/>
      <c r="N1045" s="2"/>
      <c r="O1045" s="56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x14ac:dyDescent="0.3">
      <c r="A1046" s="2"/>
      <c r="B1046" s="8"/>
      <c r="C1046" s="8"/>
      <c r="D1046" s="8"/>
      <c r="E1046" s="8"/>
      <c r="F1046" s="13"/>
      <c r="G1046" s="59"/>
      <c r="H1046" s="6"/>
      <c r="I1046" s="6"/>
      <c r="J1046" s="2"/>
      <c r="K1046" s="2"/>
      <c r="L1046" s="2"/>
      <c r="M1046" s="2"/>
      <c r="N1046" s="2"/>
      <c r="O1046" s="56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x14ac:dyDescent="0.3">
      <c r="A1047" s="2"/>
      <c r="B1047" s="8"/>
      <c r="C1047" s="8"/>
      <c r="D1047" s="8"/>
      <c r="E1047" s="8"/>
      <c r="F1047" s="13"/>
      <c r="G1047" s="59"/>
      <c r="H1047" s="6"/>
      <c r="I1047" s="6"/>
      <c r="J1047" s="2"/>
      <c r="K1047" s="2"/>
      <c r="L1047" s="2"/>
      <c r="M1047" s="2"/>
      <c r="N1047" s="2"/>
      <c r="O1047" s="56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x14ac:dyDescent="0.3">
      <c r="A1048" s="2"/>
      <c r="B1048" s="8"/>
      <c r="C1048" s="8"/>
      <c r="D1048" s="8"/>
      <c r="E1048" s="8"/>
      <c r="F1048" s="13"/>
      <c r="G1048" s="59"/>
      <c r="H1048" s="6"/>
      <c r="I1048" s="6"/>
      <c r="J1048" s="2"/>
      <c r="K1048" s="2"/>
      <c r="L1048" s="2"/>
      <c r="M1048" s="2"/>
      <c r="N1048" s="2"/>
      <c r="O1048" s="56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x14ac:dyDescent="0.3">
      <c r="A1049" s="2"/>
      <c r="B1049" s="8"/>
      <c r="C1049" s="8"/>
      <c r="D1049" s="8"/>
      <c r="E1049" s="8"/>
      <c r="F1049" s="13"/>
      <c r="G1049" s="59"/>
      <c r="H1049" s="6"/>
      <c r="I1049" s="6"/>
      <c r="J1049" s="2"/>
      <c r="K1049" s="2"/>
      <c r="L1049" s="2"/>
      <c r="M1049" s="2"/>
      <c r="N1049" s="2"/>
      <c r="O1049" s="56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x14ac:dyDescent="0.3">
      <c r="A1050" s="2"/>
      <c r="B1050" s="8"/>
      <c r="C1050" s="8"/>
      <c r="D1050" s="8"/>
      <c r="E1050" s="8"/>
      <c r="F1050" s="13"/>
      <c r="G1050" s="59"/>
      <c r="H1050" s="6"/>
      <c r="I1050" s="6"/>
      <c r="J1050" s="2"/>
      <c r="K1050" s="2"/>
      <c r="L1050" s="2"/>
      <c r="M1050" s="2"/>
      <c r="N1050" s="2"/>
      <c r="O1050" s="56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x14ac:dyDescent="0.3">
      <c r="A1051" s="2"/>
      <c r="B1051" s="8"/>
      <c r="C1051" s="8"/>
      <c r="D1051" s="8"/>
      <c r="E1051" s="8"/>
      <c r="F1051" s="13"/>
      <c r="G1051" s="59"/>
      <c r="H1051" s="6"/>
      <c r="I1051" s="6"/>
      <c r="J1051" s="2"/>
      <c r="K1051" s="2"/>
      <c r="L1051" s="2"/>
      <c r="M1051" s="2"/>
      <c r="N1051" s="2"/>
      <c r="O1051" s="56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x14ac:dyDescent="0.3">
      <c r="A1052" s="2"/>
      <c r="B1052" s="8"/>
      <c r="C1052" s="8"/>
      <c r="D1052" s="8"/>
      <c r="E1052" s="8"/>
      <c r="F1052" s="13"/>
      <c r="G1052" s="59"/>
      <c r="H1052" s="6"/>
      <c r="I1052" s="6"/>
      <c r="J1052" s="2"/>
      <c r="K1052" s="2"/>
      <c r="L1052" s="2"/>
      <c r="M1052" s="2"/>
      <c r="N1052" s="2"/>
      <c r="O1052" s="56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x14ac:dyDescent="0.3">
      <c r="A1053" s="2"/>
      <c r="B1053" s="8"/>
      <c r="C1053" s="8"/>
      <c r="D1053" s="8"/>
      <c r="E1053" s="8"/>
      <c r="F1053" s="13"/>
      <c r="G1053" s="59"/>
      <c r="H1053" s="6"/>
      <c r="I1053" s="6"/>
      <c r="J1053" s="2"/>
      <c r="K1053" s="2"/>
      <c r="L1053" s="2"/>
      <c r="M1053" s="2"/>
      <c r="N1053" s="2"/>
      <c r="O1053" s="56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x14ac:dyDescent="0.3">
      <c r="A1054" s="2"/>
      <c r="B1054" s="8"/>
      <c r="C1054" s="8"/>
      <c r="D1054" s="8"/>
      <c r="E1054" s="8"/>
      <c r="F1054" s="13"/>
      <c r="G1054" s="59"/>
      <c r="H1054" s="6"/>
      <c r="I1054" s="6"/>
      <c r="J1054" s="2"/>
      <c r="K1054" s="2"/>
      <c r="L1054" s="2"/>
      <c r="M1054" s="2"/>
      <c r="N1054" s="2"/>
      <c r="O1054" s="56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x14ac:dyDescent="0.3">
      <c r="A1055" s="2"/>
      <c r="B1055" s="8"/>
      <c r="C1055" s="8"/>
      <c r="D1055" s="8"/>
      <c r="E1055" s="8"/>
      <c r="F1055" s="13"/>
      <c r="G1055" s="59"/>
      <c r="H1055" s="6"/>
      <c r="I1055" s="6"/>
      <c r="J1055" s="2"/>
      <c r="K1055" s="2"/>
      <c r="L1055" s="2"/>
      <c r="M1055" s="2"/>
      <c r="N1055" s="2"/>
      <c r="O1055" s="56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x14ac:dyDescent="0.3">
      <c r="A1056" s="2"/>
      <c r="B1056" s="8"/>
      <c r="C1056" s="8"/>
      <c r="D1056" s="8"/>
      <c r="E1056" s="8"/>
      <c r="F1056" s="13"/>
      <c r="G1056" s="59"/>
      <c r="H1056" s="6"/>
      <c r="I1056" s="6"/>
      <c r="J1056" s="2"/>
      <c r="K1056" s="2"/>
      <c r="L1056" s="2"/>
      <c r="M1056" s="2"/>
      <c r="N1056" s="2"/>
      <c r="O1056" s="56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x14ac:dyDescent="0.3">
      <c r="A1057" s="2"/>
      <c r="B1057" s="8"/>
      <c r="C1057" s="8"/>
      <c r="D1057" s="8"/>
      <c r="E1057" s="8"/>
      <c r="F1057" s="13"/>
      <c r="G1057" s="59"/>
      <c r="H1057" s="6"/>
      <c r="I1057" s="6"/>
      <c r="J1057" s="2"/>
      <c r="K1057" s="2"/>
      <c r="L1057" s="2"/>
      <c r="M1057" s="2"/>
      <c r="N1057" s="2"/>
      <c r="O1057" s="56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x14ac:dyDescent="0.3">
      <c r="A1058" s="2"/>
      <c r="B1058" s="8"/>
      <c r="C1058" s="8"/>
      <c r="D1058" s="8"/>
      <c r="E1058" s="8"/>
      <c r="F1058" s="13"/>
      <c r="G1058" s="59"/>
      <c r="H1058" s="6"/>
      <c r="I1058" s="6"/>
      <c r="J1058" s="2"/>
      <c r="K1058" s="2"/>
      <c r="L1058" s="2"/>
      <c r="M1058" s="2"/>
      <c r="N1058" s="2"/>
      <c r="O1058" s="56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x14ac:dyDescent="0.3">
      <c r="A1059" s="2"/>
      <c r="B1059" s="8"/>
      <c r="C1059" s="8"/>
      <c r="D1059" s="8"/>
      <c r="E1059" s="8"/>
      <c r="F1059" s="13"/>
      <c r="G1059" s="59"/>
      <c r="H1059" s="6"/>
      <c r="I1059" s="6"/>
      <c r="J1059" s="2"/>
      <c r="K1059" s="2"/>
      <c r="L1059" s="2"/>
      <c r="M1059" s="2"/>
      <c r="N1059" s="2"/>
      <c r="O1059" s="56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x14ac:dyDescent="0.3">
      <c r="A1060" s="2"/>
      <c r="B1060" s="8"/>
      <c r="C1060" s="8"/>
      <c r="D1060" s="8"/>
      <c r="E1060" s="8"/>
      <c r="F1060" s="13"/>
      <c r="G1060" s="59"/>
      <c r="H1060" s="6"/>
      <c r="I1060" s="6"/>
      <c r="J1060" s="2"/>
      <c r="K1060" s="2"/>
      <c r="L1060" s="2"/>
      <c r="M1060" s="2"/>
      <c r="N1060" s="2"/>
      <c r="O1060" s="56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x14ac:dyDescent="0.3">
      <c r="A1061" s="2"/>
      <c r="B1061" s="8"/>
      <c r="C1061" s="8"/>
      <c r="D1061" s="8"/>
      <c r="E1061" s="8"/>
      <c r="F1061" s="13"/>
      <c r="G1061" s="59"/>
      <c r="H1061" s="6"/>
      <c r="I1061" s="6"/>
      <c r="J1061" s="2"/>
      <c r="K1061" s="2"/>
      <c r="L1061" s="2"/>
      <c r="M1061" s="2"/>
      <c r="N1061" s="2"/>
      <c r="O1061" s="56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x14ac:dyDescent="0.3">
      <c r="A1062" s="2"/>
      <c r="B1062" s="8"/>
      <c r="C1062" s="8"/>
      <c r="D1062" s="8"/>
      <c r="E1062" s="8"/>
      <c r="F1062" s="13"/>
      <c r="G1062" s="59"/>
      <c r="H1062" s="6"/>
      <c r="I1062" s="6"/>
      <c r="J1062" s="2"/>
      <c r="K1062" s="2"/>
      <c r="L1062" s="2"/>
      <c r="M1062" s="2"/>
      <c r="N1062" s="2"/>
      <c r="O1062" s="56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x14ac:dyDescent="0.3">
      <c r="A1063" s="2"/>
      <c r="B1063" s="8"/>
      <c r="C1063" s="8"/>
      <c r="D1063" s="8"/>
      <c r="E1063" s="8"/>
      <c r="F1063" s="13"/>
      <c r="G1063" s="59"/>
      <c r="H1063" s="6"/>
      <c r="I1063" s="6"/>
      <c r="J1063" s="2"/>
      <c r="K1063" s="2"/>
      <c r="L1063" s="2"/>
      <c r="M1063" s="2"/>
      <c r="N1063" s="2"/>
      <c r="O1063" s="56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x14ac:dyDescent="0.3">
      <c r="A1064" s="2"/>
      <c r="B1064" s="8"/>
      <c r="C1064" s="8"/>
      <c r="D1064" s="8"/>
      <c r="E1064" s="8"/>
      <c r="F1064" s="13"/>
      <c r="G1064" s="59"/>
      <c r="H1064" s="6"/>
      <c r="I1064" s="6"/>
      <c r="J1064" s="2"/>
      <c r="K1064" s="2"/>
      <c r="L1064" s="2"/>
      <c r="M1064" s="2"/>
      <c r="N1064" s="2"/>
      <c r="O1064" s="56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x14ac:dyDescent="0.3">
      <c r="A1065" s="2"/>
      <c r="B1065" s="8"/>
      <c r="C1065" s="8"/>
      <c r="D1065" s="8"/>
      <c r="E1065" s="8"/>
      <c r="F1065" s="13"/>
      <c r="G1065" s="59"/>
      <c r="H1065" s="6"/>
      <c r="I1065" s="6"/>
      <c r="J1065" s="2"/>
      <c r="K1065" s="2"/>
      <c r="L1065" s="2"/>
      <c r="M1065" s="2"/>
      <c r="N1065" s="2"/>
      <c r="O1065" s="56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x14ac:dyDescent="0.3">
      <c r="A1066" s="2"/>
      <c r="B1066" s="8"/>
      <c r="C1066" s="8"/>
      <c r="D1066" s="8"/>
      <c r="E1066" s="8"/>
      <c r="F1066" s="13"/>
      <c r="G1066" s="59"/>
      <c r="H1066" s="6"/>
      <c r="I1066" s="6"/>
      <c r="J1066" s="2"/>
      <c r="K1066" s="2"/>
      <c r="L1066" s="2"/>
      <c r="M1066" s="2"/>
      <c r="N1066" s="2"/>
      <c r="O1066" s="56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x14ac:dyDescent="0.3">
      <c r="A1067" s="2"/>
      <c r="B1067" s="8"/>
      <c r="C1067" s="8"/>
      <c r="D1067" s="8"/>
      <c r="E1067" s="8"/>
      <c r="F1067" s="13"/>
      <c r="G1067" s="59"/>
      <c r="H1067" s="6"/>
      <c r="I1067" s="6"/>
      <c r="J1067" s="2"/>
      <c r="K1067" s="2"/>
      <c r="L1067" s="2"/>
      <c r="M1067" s="2"/>
      <c r="N1067" s="2"/>
      <c r="O1067" s="56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x14ac:dyDescent="0.3">
      <c r="A1068" s="2"/>
      <c r="B1068" s="8"/>
      <c r="C1068" s="8"/>
      <c r="D1068" s="8"/>
      <c r="E1068" s="8"/>
      <c r="F1068" s="13"/>
      <c r="G1068" s="59"/>
      <c r="H1068" s="6"/>
      <c r="I1068" s="6"/>
      <c r="J1068" s="2"/>
      <c r="K1068" s="2"/>
      <c r="L1068" s="2"/>
      <c r="M1068" s="2"/>
      <c r="N1068" s="2"/>
      <c r="O1068" s="56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x14ac:dyDescent="0.3">
      <c r="A1069" s="2"/>
      <c r="B1069" s="8"/>
      <c r="C1069" s="8"/>
      <c r="D1069" s="8"/>
      <c r="E1069" s="8"/>
      <c r="F1069" s="13"/>
      <c r="G1069" s="59"/>
      <c r="H1069" s="6"/>
      <c r="I1069" s="6"/>
      <c r="J1069" s="2"/>
      <c r="K1069" s="2"/>
      <c r="L1069" s="2"/>
      <c r="M1069" s="2"/>
      <c r="N1069" s="2"/>
      <c r="O1069" s="56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x14ac:dyDescent="0.3">
      <c r="A1070" s="2"/>
      <c r="B1070" s="8"/>
      <c r="C1070" s="8"/>
      <c r="D1070" s="8"/>
      <c r="E1070" s="8"/>
      <c r="F1070" s="13"/>
      <c r="G1070" s="59"/>
      <c r="H1070" s="6"/>
      <c r="I1070" s="6"/>
      <c r="J1070" s="2"/>
      <c r="K1070" s="2"/>
      <c r="L1070" s="2"/>
      <c r="M1070" s="2"/>
      <c r="N1070" s="2"/>
      <c r="O1070" s="56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x14ac:dyDescent="0.3">
      <c r="A1071" s="2"/>
      <c r="B1071" s="8"/>
      <c r="C1071" s="8"/>
      <c r="D1071" s="8"/>
      <c r="E1071" s="8"/>
      <c r="F1071" s="13"/>
      <c r="G1071" s="59"/>
      <c r="H1071" s="6"/>
      <c r="I1071" s="6"/>
      <c r="J1071" s="2"/>
      <c r="K1071" s="2"/>
      <c r="L1071" s="2"/>
      <c r="M1071" s="2"/>
      <c r="N1071" s="2"/>
      <c r="O1071" s="56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x14ac:dyDescent="0.3">
      <c r="A1072" s="2"/>
      <c r="B1072" s="8"/>
      <c r="C1072" s="8"/>
      <c r="D1072" s="8"/>
      <c r="E1072" s="8"/>
      <c r="F1072" s="13"/>
      <c r="G1072" s="59"/>
      <c r="H1072" s="6"/>
      <c r="I1072" s="6"/>
      <c r="J1072" s="2"/>
      <c r="K1072" s="2"/>
      <c r="L1072" s="2"/>
      <c r="M1072" s="2"/>
      <c r="N1072" s="2"/>
      <c r="O1072" s="56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x14ac:dyDescent="0.3">
      <c r="A1073" s="2"/>
      <c r="B1073" s="8"/>
      <c r="C1073" s="8"/>
      <c r="D1073" s="8"/>
      <c r="E1073" s="8"/>
      <c r="F1073" s="13"/>
      <c r="G1073" s="59"/>
      <c r="H1073" s="6"/>
      <c r="I1073" s="6"/>
      <c r="J1073" s="2"/>
      <c r="K1073" s="2"/>
      <c r="L1073" s="2"/>
      <c r="M1073" s="2"/>
      <c r="N1073" s="2"/>
      <c r="O1073" s="56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x14ac:dyDescent="0.3">
      <c r="A1074" s="2"/>
      <c r="B1074" s="8"/>
      <c r="C1074" s="8"/>
      <c r="D1074" s="8"/>
      <c r="E1074" s="8"/>
      <c r="F1074" s="13"/>
      <c r="G1074" s="59"/>
      <c r="H1074" s="6"/>
      <c r="I1074" s="6"/>
      <c r="J1074" s="2"/>
      <c r="K1074" s="2"/>
      <c r="L1074" s="2"/>
      <c r="M1074" s="2"/>
      <c r="N1074" s="2"/>
      <c r="O1074" s="56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x14ac:dyDescent="0.3">
      <c r="A1075" s="2"/>
      <c r="B1075" s="8"/>
      <c r="C1075" s="8"/>
      <c r="D1075" s="8"/>
      <c r="E1075" s="8"/>
      <c r="F1075" s="13"/>
      <c r="G1075" s="59"/>
      <c r="H1075" s="6"/>
      <c r="I1075" s="6"/>
      <c r="J1075" s="2"/>
      <c r="K1075" s="2"/>
      <c r="L1075" s="2"/>
      <c r="M1075" s="2"/>
      <c r="N1075" s="2"/>
      <c r="O1075" s="56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x14ac:dyDescent="0.3">
      <c r="A1076" s="2"/>
      <c r="B1076" s="8"/>
      <c r="C1076" s="8"/>
      <c r="D1076" s="8"/>
      <c r="E1076" s="8"/>
      <c r="F1076" s="13"/>
      <c r="G1076" s="59"/>
      <c r="H1076" s="6"/>
      <c r="I1076" s="6"/>
      <c r="J1076" s="2"/>
      <c r="K1076" s="2"/>
      <c r="L1076" s="2"/>
      <c r="M1076" s="2"/>
      <c r="N1076" s="2"/>
      <c r="O1076" s="56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x14ac:dyDescent="0.3">
      <c r="A1077" s="2"/>
      <c r="B1077" s="8"/>
      <c r="C1077" s="8"/>
      <c r="D1077" s="8"/>
      <c r="E1077" s="8"/>
      <c r="F1077" s="13"/>
      <c r="G1077" s="59"/>
      <c r="H1077" s="6"/>
      <c r="I1077" s="6"/>
      <c r="J1077" s="2"/>
      <c r="K1077" s="2"/>
      <c r="L1077" s="2"/>
      <c r="M1077" s="2"/>
      <c r="N1077" s="2"/>
      <c r="O1077" s="56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x14ac:dyDescent="0.3">
      <c r="A1078" s="2"/>
      <c r="B1078" s="8"/>
      <c r="C1078" s="8"/>
      <c r="D1078" s="8"/>
      <c r="E1078" s="8"/>
      <c r="F1078" s="13"/>
      <c r="G1078" s="59"/>
      <c r="H1078" s="6"/>
      <c r="I1078" s="6"/>
      <c r="J1078" s="2"/>
      <c r="K1078" s="2"/>
      <c r="L1078" s="2"/>
      <c r="M1078" s="2"/>
      <c r="N1078" s="2"/>
      <c r="O1078" s="56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x14ac:dyDescent="0.3">
      <c r="A1079" s="2"/>
      <c r="B1079" s="8"/>
      <c r="C1079" s="8"/>
      <c r="D1079" s="8"/>
      <c r="E1079" s="8"/>
      <c r="F1079" s="13"/>
      <c r="G1079" s="59"/>
      <c r="H1079" s="6"/>
      <c r="I1079" s="6"/>
      <c r="J1079" s="2"/>
      <c r="K1079" s="2"/>
      <c r="L1079" s="2"/>
      <c r="M1079" s="2"/>
      <c r="N1079" s="2"/>
      <c r="O1079" s="56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x14ac:dyDescent="0.3">
      <c r="A1080" s="2"/>
      <c r="B1080" s="8"/>
      <c r="C1080" s="8"/>
      <c r="D1080" s="8"/>
      <c r="E1080" s="8"/>
      <c r="F1080" s="13"/>
      <c r="G1080" s="59"/>
      <c r="H1080" s="6"/>
      <c r="I1080" s="6"/>
      <c r="J1080" s="2"/>
      <c r="K1080" s="2"/>
      <c r="L1080" s="2"/>
      <c r="M1080" s="2"/>
      <c r="N1080" s="2"/>
      <c r="O1080" s="56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x14ac:dyDescent="0.3">
      <c r="A1081" s="2"/>
      <c r="B1081" s="8"/>
      <c r="C1081" s="8"/>
      <c r="D1081" s="8"/>
      <c r="E1081" s="8"/>
      <c r="F1081" s="13"/>
      <c r="G1081" s="59"/>
      <c r="H1081" s="6"/>
      <c r="I1081" s="6"/>
      <c r="J1081" s="2"/>
      <c r="K1081" s="2"/>
      <c r="L1081" s="2"/>
      <c r="M1081" s="2"/>
      <c r="N1081" s="2"/>
      <c r="O1081" s="56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x14ac:dyDescent="0.3">
      <c r="A1082" s="2"/>
      <c r="B1082" s="8"/>
      <c r="C1082" s="8"/>
      <c r="D1082" s="8"/>
      <c r="E1082" s="8"/>
      <c r="F1082" s="13"/>
      <c r="G1082" s="59"/>
      <c r="H1082" s="6"/>
      <c r="I1082" s="6"/>
      <c r="J1082" s="2"/>
      <c r="K1082" s="2"/>
      <c r="L1082" s="2"/>
      <c r="M1082" s="2"/>
      <c r="N1082" s="2"/>
      <c r="O1082" s="56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x14ac:dyDescent="0.3">
      <c r="A1083" s="2"/>
      <c r="B1083" s="8"/>
      <c r="C1083" s="8"/>
      <c r="D1083" s="8"/>
      <c r="E1083" s="8"/>
      <c r="F1083" s="13"/>
      <c r="G1083" s="59"/>
      <c r="H1083" s="6"/>
      <c r="I1083" s="6"/>
      <c r="J1083" s="2"/>
      <c r="K1083" s="2"/>
      <c r="L1083" s="2"/>
      <c r="M1083" s="2"/>
      <c r="N1083" s="2"/>
      <c r="O1083" s="56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x14ac:dyDescent="0.3">
      <c r="A1084" s="2"/>
      <c r="B1084" s="8"/>
      <c r="C1084" s="8"/>
      <c r="D1084" s="8"/>
      <c r="E1084" s="8"/>
      <c r="F1084" s="13"/>
      <c r="G1084" s="59"/>
      <c r="H1084" s="6"/>
      <c r="I1084" s="6"/>
      <c r="J1084" s="2"/>
      <c r="K1084" s="2"/>
      <c r="L1084" s="2"/>
      <c r="M1084" s="2"/>
      <c r="N1084" s="2"/>
      <c r="O1084" s="56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x14ac:dyDescent="0.3">
      <c r="A1085" s="2"/>
      <c r="B1085" s="8"/>
      <c r="C1085" s="8"/>
      <c r="D1085" s="8"/>
      <c r="E1085" s="8"/>
      <c r="F1085" s="13"/>
      <c r="G1085" s="59"/>
      <c r="H1085" s="6"/>
      <c r="I1085" s="6"/>
      <c r="J1085" s="2"/>
      <c r="K1085" s="2"/>
      <c r="L1085" s="2"/>
      <c r="M1085" s="2"/>
      <c r="N1085" s="2"/>
      <c r="O1085" s="56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x14ac:dyDescent="0.3">
      <c r="A1086" s="2"/>
      <c r="B1086" s="8"/>
      <c r="C1086" s="8"/>
      <c r="D1086" s="8"/>
      <c r="E1086" s="8"/>
      <c r="F1086" s="13"/>
      <c r="G1086" s="59"/>
      <c r="H1086" s="6"/>
      <c r="I1086" s="6"/>
      <c r="J1086" s="2"/>
      <c r="K1086" s="2"/>
      <c r="L1086" s="2"/>
      <c r="M1086" s="2"/>
      <c r="N1086" s="2"/>
      <c r="O1086" s="56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x14ac:dyDescent="0.3">
      <c r="A1087" s="2"/>
      <c r="B1087" s="8"/>
      <c r="C1087" s="8"/>
      <c r="D1087" s="8"/>
      <c r="E1087" s="8"/>
      <c r="F1087" s="13"/>
      <c r="G1087" s="59"/>
      <c r="H1087" s="6"/>
      <c r="I1087" s="6"/>
      <c r="J1087" s="2"/>
      <c r="K1087" s="2"/>
      <c r="L1087" s="2"/>
      <c r="M1087" s="2"/>
      <c r="N1087" s="2"/>
      <c r="O1087" s="56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x14ac:dyDescent="0.3">
      <c r="A1088" s="2"/>
      <c r="B1088" s="8"/>
      <c r="C1088" s="8"/>
      <c r="D1088" s="8"/>
      <c r="E1088" s="8"/>
      <c r="F1088" s="13"/>
      <c r="G1088" s="59"/>
      <c r="H1088" s="6"/>
      <c r="I1088" s="6"/>
      <c r="J1088" s="2"/>
      <c r="K1088" s="2"/>
      <c r="L1088" s="2"/>
      <c r="M1088" s="2"/>
      <c r="N1088" s="2"/>
      <c r="O1088" s="56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x14ac:dyDescent="0.3">
      <c r="A1089" s="2"/>
      <c r="B1089" s="8"/>
      <c r="C1089" s="8"/>
      <c r="D1089" s="8"/>
      <c r="E1089" s="8"/>
      <c r="F1089" s="13"/>
      <c r="G1089" s="59"/>
      <c r="H1089" s="6"/>
      <c r="I1089" s="6"/>
      <c r="J1089" s="2"/>
      <c r="K1089" s="2"/>
      <c r="L1089" s="2"/>
      <c r="M1089" s="2"/>
      <c r="N1089" s="2"/>
      <c r="O1089" s="56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x14ac:dyDescent="0.3">
      <c r="A1090" s="2"/>
      <c r="B1090" s="8"/>
      <c r="C1090" s="8"/>
      <c r="D1090" s="8"/>
      <c r="E1090" s="8"/>
      <c r="F1090" s="13"/>
      <c r="G1090" s="59"/>
      <c r="H1090" s="6"/>
      <c r="I1090" s="6"/>
      <c r="J1090" s="2"/>
      <c r="K1090" s="2"/>
      <c r="L1090" s="2"/>
      <c r="M1090" s="2"/>
      <c r="N1090" s="2"/>
      <c r="O1090" s="56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x14ac:dyDescent="0.3">
      <c r="A1091" s="2"/>
      <c r="B1091" s="8"/>
      <c r="C1091" s="8"/>
      <c r="D1091" s="8"/>
      <c r="E1091" s="8"/>
      <c r="F1091" s="13"/>
      <c r="G1091" s="59"/>
      <c r="H1091" s="6"/>
      <c r="I1091" s="6"/>
      <c r="J1091" s="2"/>
      <c r="K1091" s="2"/>
      <c r="L1091" s="2"/>
      <c r="M1091" s="2"/>
      <c r="N1091" s="2"/>
      <c r="O1091" s="56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x14ac:dyDescent="0.3">
      <c r="A1092" s="2"/>
      <c r="B1092" s="8"/>
      <c r="C1092" s="8"/>
      <c r="D1092" s="8"/>
      <c r="E1092" s="8"/>
      <c r="F1092" s="13"/>
      <c r="G1092" s="59"/>
      <c r="H1092" s="6"/>
      <c r="I1092" s="6"/>
      <c r="J1092" s="2"/>
      <c r="K1092" s="2"/>
      <c r="L1092" s="2"/>
      <c r="M1092" s="2"/>
      <c r="N1092" s="2"/>
      <c r="O1092" s="56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x14ac:dyDescent="0.3">
      <c r="A1093" s="2"/>
      <c r="B1093" s="8"/>
      <c r="C1093" s="8"/>
      <c r="D1093" s="8"/>
      <c r="E1093" s="8"/>
      <c r="F1093" s="13"/>
      <c r="G1093" s="59"/>
      <c r="H1093" s="6"/>
      <c r="I1093" s="6"/>
      <c r="J1093" s="2"/>
      <c r="K1093" s="2"/>
      <c r="L1093" s="2"/>
      <c r="M1093" s="2"/>
      <c r="N1093" s="2"/>
      <c r="O1093" s="56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x14ac:dyDescent="0.3">
      <c r="A1094" s="2"/>
      <c r="B1094" s="8"/>
      <c r="C1094" s="8"/>
      <c r="D1094" s="8"/>
      <c r="E1094" s="8"/>
      <c r="F1094" s="13"/>
      <c r="G1094" s="59"/>
      <c r="H1094" s="6"/>
      <c r="I1094" s="6"/>
      <c r="J1094" s="2"/>
      <c r="K1094" s="2"/>
      <c r="L1094" s="2"/>
      <c r="M1094" s="2"/>
      <c r="N1094" s="2"/>
      <c r="O1094" s="56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x14ac:dyDescent="0.3">
      <c r="A1095" s="2"/>
      <c r="B1095" s="8"/>
      <c r="C1095" s="8"/>
      <c r="D1095" s="8"/>
      <c r="E1095" s="8"/>
      <c r="F1095" s="13"/>
      <c r="G1095" s="59"/>
      <c r="H1095" s="6"/>
      <c r="I1095" s="6"/>
      <c r="J1095" s="2"/>
      <c r="K1095" s="2"/>
      <c r="L1095" s="2"/>
      <c r="M1095" s="2"/>
      <c r="N1095" s="2"/>
      <c r="O1095" s="56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x14ac:dyDescent="0.3">
      <c r="A1096" s="2"/>
      <c r="B1096" s="8"/>
      <c r="C1096" s="8"/>
      <c r="D1096" s="8"/>
      <c r="E1096" s="8"/>
      <c r="F1096" s="13"/>
      <c r="G1096" s="59"/>
      <c r="H1096" s="6"/>
      <c r="I1096" s="6"/>
      <c r="J1096" s="2"/>
      <c r="K1096" s="2"/>
      <c r="L1096" s="2"/>
      <c r="M1096" s="2"/>
      <c r="N1096" s="2"/>
      <c r="O1096" s="56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x14ac:dyDescent="0.3">
      <c r="A1097" s="2"/>
      <c r="B1097" s="8"/>
      <c r="C1097" s="8"/>
      <c r="D1097" s="8"/>
      <c r="E1097" s="8"/>
      <c r="F1097" s="13"/>
      <c r="G1097" s="59"/>
      <c r="H1097" s="6"/>
      <c r="I1097" s="6"/>
      <c r="J1097" s="2"/>
      <c r="K1097" s="2"/>
      <c r="L1097" s="2"/>
      <c r="M1097" s="2"/>
      <c r="N1097" s="2"/>
      <c r="O1097" s="56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x14ac:dyDescent="0.3">
      <c r="A1098" s="2"/>
      <c r="B1098" s="8"/>
      <c r="C1098" s="8"/>
      <c r="D1098" s="8"/>
      <c r="E1098" s="8"/>
      <c r="F1098" s="13"/>
      <c r="G1098" s="59"/>
      <c r="H1098" s="6"/>
      <c r="I1098" s="6"/>
      <c r="J1098" s="2"/>
      <c r="K1098" s="2"/>
      <c r="L1098" s="2"/>
      <c r="M1098" s="2"/>
      <c r="N1098" s="2"/>
      <c r="O1098" s="56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x14ac:dyDescent="0.3">
      <c r="A1099" s="2"/>
      <c r="B1099" s="8"/>
      <c r="C1099" s="8"/>
      <c r="D1099" s="8"/>
      <c r="E1099" s="8"/>
      <c r="F1099" s="13"/>
      <c r="G1099" s="59"/>
      <c r="H1099" s="6"/>
      <c r="I1099" s="6"/>
      <c r="J1099" s="2"/>
      <c r="K1099" s="2"/>
      <c r="L1099" s="2"/>
      <c r="M1099" s="2"/>
      <c r="N1099" s="2"/>
      <c r="O1099" s="56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x14ac:dyDescent="0.3">
      <c r="A1100" s="2"/>
      <c r="B1100" s="8"/>
      <c r="C1100" s="8"/>
      <c r="D1100" s="8"/>
      <c r="E1100" s="8"/>
      <c r="F1100" s="13"/>
      <c r="G1100" s="59"/>
      <c r="H1100" s="6"/>
      <c r="I1100" s="6"/>
      <c r="J1100" s="2"/>
      <c r="K1100" s="2"/>
      <c r="L1100" s="2"/>
      <c r="M1100" s="2"/>
      <c r="N1100" s="2"/>
      <c r="O1100" s="56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x14ac:dyDescent="0.3">
      <c r="A1101" s="2"/>
      <c r="B1101" s="8"/>
      <c r="C1101" s="8"/>
      <c r="D1101" s="8"/>
      <c r="E1101" s="8"/>
      <c r="F1101" s="13"/>
      <c r="G1101" s="59"/>
      <c r="H1101" s="6"/>
      <c r="I1101" s="6"/>
      <c r="J1101" s="2"/>
      <c r="K1101" s="2"/>
      <c r="L1101" s="2"/>
      <c r="M1101" s="2"/>
      <c r="N1101" s="2"/>
      <c r="O1101" s="56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x14ac:dyDescent="0.3">
      <c r="A1102" s="2"/>
      <c r="B1102" s="8"/>
      <c r="C1102" s="8"/>
      <c r="D1102" s="8"/>
      <c r="E1102" s="8"/>
      <c r="F1102" s="13"/>
      <c r="G1102" s="59"/>
      <c r="H1102" s="6"/>
      <c r="I1102" s="6"/>
      <c r="J1102" s="2"/>
      <c r="K1102" s="2"/>
      <c r="L1102" s="2"/>
      <c r="M1102" s="2"/>
      <c r="N1102" s="2"/>
      <c r="O1102" s="56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x14ac:dyDescent="0.3">
      <c r="A1103" s="2"/>
      <c r="B1103" s="8"/>
      <c r="C1103" s="8"/>
      <c r="D1103" s="8"/>
      <c r="E1103" s="8"/>
      <c r="F1103" s="13"/>
      <c r="G1103" s="59"/>
      <c r="H1103" s="6"/>
      <c r="I1103" s="6"/>
      <c r="J1103" s="2"/>
      <c r="K1103" s="2"/>
      <c r="L1103" s="2"/>
      <c r="M1103" s="2"/>
      <c r="N1103" s="2"/>
      <c r="O1103" s="56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x14ac:dyDescent="0.3">
      <c r="A1104" s="2"/>
      <c r="B1104" s="8"/>
      <c r="C1104" s="8"/>
      <c r="D1104" s="8"/>
      <c r="E1104" s="8"/>
      <c r="F1104" s="13"/>
      <c r="G1104" s="59"/>
      <c r="H1104" s="6"/>
      <c r="I1104" s="6"/>
      <c r="J1104" s="2"/>
      <c r="K1104" s="2"/>
      <c r="L1104" s="2"/>
      <c r="M1104" s="2"/>
      <c r="N1104" s="2"/>
      <c r="O1104" s="56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x14ac:dyDescent="0.3">
      <c r="A1105" s="2"/>
      <c r="B1105" s="8"/>
      <c r="C1105" s="8"/>
      <c r="D1105" s="8"/>
      <c r="E1105" s="8"/>
      <c r="F1105" s="13"/>
      <c r="G1105" s="59"/>
      <c r="H1105" s="6"/>
      <c r="I1105" s="6"/>
      <c r="J1105" s="2"/>
      <c r="K1105" s="2"/>
      <c r="L1105" s="2"/>
      <c r="M1105" s="2"/>
      <c r="N1105" s="2"/>
      <c r="O1105" s="56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x14ac:dyDescent="0.3">
      <c r="A1106" s="2"/>
      <c r="B1106" s="8"/>
      <c r="C1106" s="8"/>
      <c r="D1106" s="8"/>
      <c r="E1106" s="8"/>
      <c r="F1106" s="13"/>
      <c r="G1106" s="59"/>
      <c r="H1106" s="6"/>
      <c r="I1106" s="6"/>
      <c r="J1106" s="2"/>
      <c r="K1106" s="2"/>
      <c r="L1106" s="2"/>
      <c r="M1106" s="2"/>
      <c r="N1106" s="2"/>
      <c r="O1106" s="56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x14ac:dyDescent="0.3">
      <c r="A1107" s="2"/>
      <c r="B1107" s="8"/>
      <c r="C1107" s="8"/>
      <c r="D1107" s="8"/>
      <c r="E1107" s="8"/>
      <c r="F1107" s="13"/>
      <c r="G1107" s="59"/>
      <c r="H1107" s="6"/>
      <c r="I1107" s="6"/>
      <c r="J1107" s="2"/>
      <c r="K1107" s="2"/>
      <c r="L1107" s="2"/>
      <c r="M1107" s="2"/>
      <c r="N1107" s="2"/>
      <c r="O1107" s="56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x14ac:dyDescent="0.3">
      <c r="A1108" s="2"/>
      <c r="B1108" s="8"/>
      <c r="C1108" s="8"/>
      <c r="D1108" s="8"/>
      <c r="E1108" s="8"/>
      <c r="F1108" s="13"/>
      <c r="G1108" s="59"/>
      <c r="H1108" s="6"/>
      <c r="I1108" s="6"/>
      <c r="J1108" s="2"/>
      <c r="K1108" s="2"/>
      <c r="L1108" s="2"/>
      <c r="M1108" s="2"/>
      <c r="N1108" s="2"/>
      <c r="O1108" s="56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x14ac:dyDescent="0.3">
      <c r="A1109" s="2"/>
      <c r="B1109" s="8"/>
      <c r="C1109" s="8"/>
      <c r="D1109" s="8"/>
      <c r="E1109" s="8"/>
      <c r="F1109" s="13"/>
      <c r="G1109" s="59"/>
      <c r="H1109" s="6"/>
      <c r="I1109" s="6"/>
      <c r="J1109" s="2"/>
      <c r="K1109" s="2"/>
      <c r="L1109" s="2"/>
      <c r="M1109" s="2"/>
      <c r="N1109" s="2"/>
      <c r="O1109" s="56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x14ac:dyDescent="0.3">
      <c r="A1110" s="2"/>
      <c r="B1110" s="8"/>
      <c r="C1110" s="8"/>
      <c r="D1110" s="8"/>
      <c r="E1110" s="8"/>
      <c r="F1110" s="13"/>
      <c r="G1110" s="59"/>
      <c r="H1110" s="6"/>
      <c r="I1110" s="6"/>
      <c r="J1110" s="2"/>
      <c r="K1110" s="2"/>
      <c r="L1110" s="2"/>
      <c r="M1110" s="2"/>
      <c r="N1110" s="2"/>
      <c r="O1110" s="56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x14ac:dyDescent="0.3">
      <c r="A1111" s="2"/>
      <c r="B1111" s="8"/>
      <c r="C1111" s="8"/>
      <c r="D1111" s="8"/>
      <c r="E1111" s="8"/>
      <c r="F1111" s="13"/>
      <c r="G1111" s="59"/>
      <c r="H1111" s="6"/>
      <c r="I1111" s="6"/>
      <c r="J1111" s="2"/>
      <c r="K1111" s="2"/>
      <c r="L1111" s="2"/>
      <c r="M1111" s="2"/>
      <c r="N1111" s="2"/>
      <c r="O1111" s="56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x14ac:dyDescent="0.3">
      <c r="A1112" s="2"/>
      <c r="B1112" s="8"/>
      <c r="C1112" s="8"/>
      <c r="D1112" s="8"/>
      <c r="E1112" s="8"/>
      <c r="F1112" s="13"/>
      <c r="G1112" s="59"/>
      <c r="H1112" s="6"/>
      <c r="I1112" s="6"/>
      <c r="J1112" s="2"/>
      <c r="K1112" s="2"/>
      <c r="L1112" s="2"/>
      <c r="M1112" s="2"/>
      <c r="N1112" s="2"/>
      <c r="O1112" s="56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x14ac:dyDescent="0.3">
      <c r="A1113" s="2"/>
      <c r="B1113" s="8"/>
      <c r="C1113" s="8"/>
      <c r="D1113" s="8"/>
      <c r="E1113" s="8"/>
      <c r="F1113" s="13"/>
      <c r="G1113" s="59"/>
      <c r="H1113" s="6"/>
      <c r="I1113" s="6"/>
      <c r="J1113" s="2"/>
      <c r="K1113" s="2"/>
      <c r="L1113" s="2"/>
      <c r="M1113" s="2"/>
      <c r="N1113" s="2"/>
      <c r="O1113" s="56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x14ac:dyDescent="0.3">
      <c r="A1114" s="2"/>
      <c r="B1114" s="8"/>
      <c r="C1114" s="8"/>
      <c r="D1114" s="8"/>
      <c r="E1114" s="8"/>
      <c r="F1114" s="13"/>
      <c r="G1114" s="59"/>
      <c r="H1114" s="6"/>
      <c r="I1114" s="6"/>
      <c r="J1114" s="2"/>
      <c r="K1114" s="2"/>
      <c r="L1114" s="2"/>
      <c r="M1114" s="2"/>
      <c r="N1114" s="2"/>
      <c r="O1114" s="56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x14ac:dyDescent="0.3">
      <c r="A1115" s="2"/>
      <c r="B1115" s="8"/>
      <c r="C1115" s="8"/>
      <c r="D1115" s="8"/>
      <c r="E1115" s="8"/>
      <c r="F1115" s="13"/>
      <c r="G1115" s="59"/>
      <c r="H1115" s="6"/>
      <c r="I1115" s="6"/>
      <c r="J1115" s="2"/>
      <c r="K1115" s="2"/>
      <c r="L1115" s="2"/>
      <c r="M1115" s="2"/>
      <c r="N1115" s="2"/>
      <c r="O1115" s="56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x14ac:dyDescent="0.3">
      <c r="A1116" s="2"/>
      <c r="B1116" s="8"/>
      <c r="C1116" s="8"/>
      <c r="D1116" s="8"/>
      <c r="E1116" s="8"/>
      <c r="F1116" s="13"/>
      <c r="G1116" s="59"/>
      <c r="H1116" s="6"/>
      <c r="I1116" s="6"/>
      <c r="J1116" s="2"/>
      <c r="K1116" s="2"/>
      <c r="L1116" s="2"/>
      <c r="M1116" s="2"/>
      <c r="N1116" s="2"/>
      <c r="O1116" s="56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x14ac:dyDescent="0.3">
      <c r="A1117" s="2"/>
      <c r="B1117" s="8"/>
      <c r="C1117" s="8"/>
      <c r="D1117" s="8"/>
      <c r="E1117" s="8"/>
      <c r="F1117" s="13"/>
      <c r="G1117" s="59"/>
      <c r="H1117" s="6"/>
      <c r="I1117" s="6"/>
      <c r="J1117" s="2"/>
      <c r="K1117" s="2"/>
      <c r="L1117" s="2"/>
      <c r="M1117" s="2"/>
      <c r="N1117" s="2"/>
      <c r="O1117" s="56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x14ac:dyDescent="0.3">
      <c r="A1118" s="2"/>
      <c r="B1118" s="8"/>
      <c r="C1118" s="8"/>
      <c r="D1118" s="8"/>
      <c r="E1118" s="8"/>
      <c r="F1118" s="13"/>
      <c r="G1118" s="59"/>
      <c r="H1118" s="6"/>
      <c r="I1118" s="6"/>
      <c r="J1118" s="2"/>
      <c r="K1118" s="2"/>
      <c r="L1118" s="2"/>
      <c r="M1118" s="2"/>
      <c r="N1118" s="2"/>
      <c r="O1118" s="56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x14ac:dyDescent="0.3">
      <c r="A1119" s="2"/>
      <c r="B1119" s="8"/>
      <c r="C1119" s="8"/>
      <c r="D1119" s="8"/>
      <c r="E1119" s="8"/>
      <c r="F1119" s="13"/>
      <c r="G1119" s="59"/>
      <c r="H1119" s="6"/>
      <c r="I1119" s="6"/>
      <c r="J1119" s="2"/>
      <c r="K1119" s="2"/>
      <c r="L1119" s="2"/>
      <c r="M1119" s="2"/>
      <c r="N1119" s="2"/>
      <c r="O1119" s="56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x14ac:dyDescent="0.3">
      <c r="A1120" s="2"/>
      <c r="B1120" s="8"/>
      <c r="C1120" s="8"/>
      <c r="D1120" s="8"/>
      <c r="E1120" s="8"/>
      <c r="F1120" s="13"/>
      <c r="G1120" s="59"/>
      <c r="H1120" s="6"/>
      <c r="I1120" s="6"/>
      <c r="J1120" s="2"/>
      <c r="K1120" s="2"/>
      <c r="L1120" s="2"/>
      <c r="M1120" s="2"/>
      <c r="N1120" s="2"/>
      <c r="O1120" s="56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x14ac:dyDescent="0.3">
      <c r="A1121" s="2"/>
      <c r="B1121" s="8"/>
      <c r="C1121" s="8"/>
      <c r="D1121" s="8"/>
      <c r="E1121" s="8"/>
      <c r="F1121" s="13"/>
      <c r="G1121" s="59"/>
      <c r="H1121" s="6"/>
      <c r="I1121" s="6"/>
      <c r="J1121" s="2"/>
      <c r="K1121" s="2"/>
      <c r="L1121" s="2"/>
      <c r="M1121" s="2"/>
      <c r="N1121" s="2"/>
      <c r="O1121" s="56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x14ac:dyDescent="0.3">
      <c r="A1122" s="2"/>
      <c r="B1122" s="8"/>
      <c r="C1122" s="8"/>
      <c r="D1122" s="8"/>
      <c r="E1122" s="8"/>
      <c r="F1122" s="13"/>
      <c r="G1122" s="59"/>
      <c r="H1122" s="6"/>
      <c r="I1122" s="6"/>
      <c r="J1122" s="2"/>
      <c r="K1122" s="2"/>
      <c r="L1122" s="2"/>
      <c r="M1122" s="2"/>
      <c r="N1122" s="2"/>
      <c r="O1122" s="56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x14ac:dyDescent="0.3">
      <c r="A1123" s="2"/>
      <c r="B1123" s="8"/>
      <c r="C1123" s="8"/>
      <c r="D1123" s="8"/>
      <c r="E1123" s="8"/>
      <c r="F1123" s="13"/>
      <c r="G1123" s="59"/>
      <c r="H1123" s="6"/>
      <c r="I1123" s="6"/>
      <c r="J1123" s="2"/>
      <c r="K1123" s="2"/>
      <c r="L1123" s="2"/>
      <c r="M1123" s="2"/>
      <c r="N1123" s="2"/>
      <c r="O1123" s="56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x14ac:dyDescent="0.3">
      <c r="A1124" s="2"/>
      <c r="B1124" s="8"/>
      <c r="C1124" s="8"/>
      <c r="D1124" s="8"/>
      <c r="E1124" s="8"/>
      <c r="F1124" s="13"/>
      <c r="G1124" s="59"/>
      <c r="H1124" s="6"/>
      <c r="I1124" s="6"/>
      <c r="J1124" s="2"/>
      <c r="K1124" s="2"/>
      <c r="L1124" s="2"/>
      <c r="M1124" s="2"/>
      <c r="N1124" s="2"/>
      <c r="O1124" s="56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x14ac:dyDescent="0.3">
      <c r="A1125" s="2"/>
      <c r="B1125" s="8"/>
      <c r="C1125" s="8"/>
      <c r="D1125" s="8"/>
      <c r="E1125" s="8"/>
      <c r="F1125" s="13"/>
      <c r="G1125" s="59"/>
      <c r="H1125" s="6"/>
      <c r="I1125" s="6"/>
      <c r="J1125" s="2"/>
      <c r="K1125" s="2"/>
      <c r="L1125" s="2"/>
      <c r="M1125" s="2"/>
      <c r="N1125" s="2"/>
      <c r="O1125" s="56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x14ac:dyDescent="0.3">
      <c r="A1126" s="2"/>
      <c r="B1126" s="8"/>
      <c r="C1126" s="8"/>
      <c r="D1126" s="8"/>
      <c r="E1126" s="8"/>
      <c r="F1126" s="13"/>
      <c r="G1126" s="59"/>
      <c r="H1126" s="6"/>
      <c r="I1126" s="6"/>
      <c r="J1126" s="2"/>
      <c r="K1126" s="2"/>
      <c r="L1126" s="2"/>
      <c r="M1126" s="2"/>
      <c r="N1126" s="2"/>
      <c r="O1126" s="56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x14ac:dyDescent="0.3">
      <c r="A1127" s="2"/>
      <c r="B1127" s="8"/>
      <c r="C1127" s="8"/>
      <c r="D1127" s="8"/>
      <c r="E1127" s="8"/>
      <c r="F1127" s="13"/>
      <c r="G1127" s="59"/>
      <c r="H1127" s="6"/>
      <c r="I1127" s="6"/>
      <c r="J1127" s="2"/>
      <c r="K1127" s="2"/>
      <c r="L1127" s="2"/>
      <c r="M1127" s="2"/>
      <c r="N1127" s="2"/>
      <c r="O1127" s="56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x14ac:dyDescent="0.3">
      <c r="A1128" s="2"/>
      <c r="B1128" s="8"/>
      <c r="C1128" s="8"/>
      <c r="D1128" s="8"/>
      <c r="E1128" s="8"/>
      <c r="F1128" s="13"/>
      <c r="G1128" s="59"/>
      <c r="H1128" s="6"/>
      <c r="I1128" s="6"/>
      <c r="J1128" s="2"/>
      <c r="K1128" s="2"/>
      <c r="L1128" s="2"/>
      <c r="M1128" s="2"/>
      <c r="N1128" s="2"/>
      <c r="O1128" s="56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x14ac:dyDescent="0.3">
      <c r="A1129" s="2"/>
      <c r="B1129" s="8"/>
      <c r="C1129" s="8"/>
      <c r="D1129" s="8"/>
      <c r="E1129" s="8"/>
      <c r="F1129" s="13"/>
      <c r="G1129" s="59"/>
      <c r="H1129" s="6"/>
      <c r="I1129" s="6"/>
      <c r="J1129" s="2"/>
      <c r="K1129" s="2"/>
      <c r="L1129" s="2"/>
      <c r="M1129" s="2"/>
      <c r="N1129" s="2"/>
      <c r="O1129" s="56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x14ac:dyDescent="0.3">
      <c r="A1130" s="2"/>
      <c r="B1130" s="8"/>
      <c r="C1130" s="8"/>
      <c r="D1130" s="8"/>
      <c r="E1130" s="8"/>
      <c r="F1130" s="13"/>
      <c r="G1130" s="59"/>
      <c r="H1130" s="6"/>
      <c r="I1130" s="6"/>
      <c r="J1130" s="2"/>
      <c r="K1130" s="2"/>
      <c r="L1130" s="2"/>
      <c r="M1130" s="2"/>
      <c r="N1130" s="2"/>
      <c r="O1130" s="56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x14ac:dyDescent="0.3">
      <c r="A1131" s="2"/>
      <c r="B1131" s="8"/>
      <c r="C1131" s="8"/>
      <c r="D1131" s="8"/>
      <c r="E1131" s="8"/>
      <c r="F1131" s="13"/>
      <c r="G1131" s="59"/>
      <c r="H1131" s="6"/>
      <c r="I1131" s="6"/>
      <c r="J1131" s="2"/>
      <c r="K1131" s="2"/>
      <c r="L1131" s="2"/>
      <c r="M1131" s="2"/>
      <c r="N1131" s="2"/>
      <c r="O1131" s="56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x14ac:dyDescent="0.3">
      <c r="A1132" s="2"/>
      <c r="B1132" s="8"/>
      <c r="C1132" s="8"/>
      <c r="D1132" s="8"/>
      <c r="E1132" s="8"/>
      <c r="F1132" s="13"/>
      <c r="G1132" s="59"/>
      <c r="H1132" s="6"/>
      <c r="I1132" s="6"/>
      <c r="J1132" s="2"/>
      <c r="K1132" s="2"/>
      <c r="L1132" s="2"/>
      <c r="M1132" s="2"/>
      <c r="N1132" s="2"/>
      <c r="O1132" s="56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x14ac:dyDescent="0.3">
      <c r="A1133" s="2"/>
      <c r="B1133" s="8"/>
      <c r="C1133" s="8"/>
      <c r="D1133" s="8"/>
      <c r="E1133" s="8"/>
      <c r="F1133" s="13"/>
      <c r="G1133" s="59"/>
      <c r="H1133" s="6"/>
      <c r="I1133" s="6"/>
      <c r="J1133" s="2"/>
      <c r="K1133" s="2"/>
      <c r="L1133" s="2"/>
      <c r="M1133" s="2"/>
      <c r="N1133" s="2"/>
      <c r="O1133" s="56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x14ac:dyDescent="0.3">
      <c r="A1134" s="2"/>
      <c r="B1134" s="8"/>
      <c r="C1134" s="8"/>
      <c r="D1134" s="8"/>
      <c r="E1134" s="8"/>
      <c r="F1134" s="13"/>
      <c r="G1134" s="59"/>
      <c r="H1134" s="6"/>
      <c r="I1134" s="6"/>
      <c r="J1134" s="2"/>
      <c r="K1134" s="2"/>
      <c r="L1134" s="2"/>
      <c r="M1134" s="2"/>
      <c r="N1134" s="2"/>
      <c r="O1134" s="56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x14ac:dyDescent="0.3">
      <c r="A1135" s="2"/>
      <c r="B1135" s="8"/>
      <c r="C1135" s="8"/>
      <c r="D1135" s="8"/>
      <c r="E1135" s="8"/>
      <c r="F1135" s="13"/>
      <c r="G1135" s="59"/>
      <c r="H1135" s="6"/>
      <c r="I1135" s="6"/>
      <c r="J1135" s="2"/>
      <c r="K1135" s="2"/>
      <c r="L1135" s="2"/>
      <c r="M1135" s="2"/>
      <c r="N1135" s="2"/>
      <c r="O1135" s="56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x14ac:dyDescent="0.3">
      <c r="A1136" s="2"/>
      <c r="B1136" s="8"/>
      <c r="C1136" s="8"/>
      <c r="D1136" s="8"/>
      <c r="E1136" s="8"/>
      <c r="F1136" s="13"/>
      <c r="G1136" s="59"/>
      <c r="H1136" s="6"/>
      <c r="I1136" s="6"/>
      <c r="J1136" s="2"/>
      <c r="K1136" s="2"/>
      <c r="L1136" s="2"/>
      <c r="M1136" s="2"/>
      <c r="N1136" s="2"/>
      <c r="O1136" s="56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x14ac:dyDescent="0.3">
      <c r="A1137" s="2"/>
      <c r="B1137" s="8"/>
      <c r="C1137" s="8"/>
      <c r="D1137" s="8"/>
      <c r="E1137" s="8"/>
      <c r="F1137" s="13"/>
      <c r="G1137" s="59"/>
      <c r="H1137" s="6"/>
      <c r="I1137" s="6"/>
      <c r="J1137" s="2"/>
      <c r="K1137" s="2"/>
      <c r="L1137" s="2"/>
      <c r="M1137" s="2"/>
      <c r="N1137" s="2"/>
      <c r="O1137" s="56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x14ac:dyDescent="0.3">
      <c r="A1138" s="2"/>
      <c r="B1138" s="8"/>
      <c r="C1138" s="8"/>
      <c r="D1138" s="8"/>
      <c r="E1138" s="8"/>
      <c r="F1138" s="13"/>
      <c r="G1138" s="59"/>
      <c r="H1138" s="6"/>
      <c r="I1138" s="6"/>
      <c r="J1138" s="2"/>
      <c r="K1138" s="2"/>
      <c r="L1138" s="2"/>
      <c r="M1138" s="2"/>
      <c r="N1138" s="2"/>
      <c r="O1138" s="56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x14ac:dyDescent="0.3">
      <c r="A1139" s="2"/>
      <c r="B1139" s="8"/>
      <c r="C1139" s="8"/>
      <c r="D1139" s="8"/>
      <c r="E1139" s="8"/>
      <c r="F1139" s="13"/>
      <c r="G1139" s="59"/>
      <c r="H1139" s="6"/>
      <c r="I1139" s="6"/>
      <c r="J1139" s="2"/>
      <c r="K1139" s="2"/>
      <c r="L1139" s="2"/>
      <c r="M1139" s="2"/>
      <c r="N1139" s="2"/>
      <c r="O1139" s="56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x14ac:dyDescent="0.3">
      <c r="A1140" s="2"/>
      <c r="B1140" s="8"/>
      <c r="C1140" s="8"/>
      <c r="D1140" s="8"/>
      <c r="E1140" s="8"/>
      <c r="F1140" s="13"/>
      <c r="G1140" s="59"/>
      <c r="H1140" s="6"/>
      <c r="I1140" s="6"/>
      <c r="J1140" s="2"/>
      <c r="K1140" s="2"/>
      <c r="L1140" s="2"/>
      <c r="M1140" s="2"/>
      <c r="N1140" s="2"/>
      <c r="O1140" s="56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x14ac:dyDescent="0.3">
      <c r="A1141" s="2"/>
      <c r="B1141" s="8"/>
      <c r="C1141" s="8"/>
      <c r="D1141" s="8"/>
      <c r="E1141" s="8"/>
      <c r="F1141" s="13"/>
      <c r="G1141" s="59"/>
      <c r="H1141" s="6"/>
      <c r="I1141" s="6"/>
      <c r="J1141" s="2"/>
      <c r="K1141" s="2"/>
      <c r="L1141" s="2"/>
      <c r="M1141" s="2"/>
      <c r="N1141" s="2"/>
      <c r="O1141" s="56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x14ac:dyDescent="0.3">
      <c r="A1142" s="2"/>
      <c r="B1142" s="8"/>
      <c r="C1142" s="8"/>
      <c r="D1142" s="8"/>
      <c r="E1142" s="8"/>
      <c r="F1142" s="13"/>
      <c r="G1142" s="59"/>
      <c r="H1142" s="6"/>
      <c r="I1142" s="6"/>
      <c r="J1142" s="2"/>
      <c r="K1142" s="2"/>
      <c r="L1142" s="2"/>
      <c r="M1142" s="2"/>
      <c r="N1142" s="2"/>
      <c r="O1142" s="56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x14ac:dyDescent="0.3">
      <c r="A1143" s="2"/>
      <c r="B1143" s="8"/>
      <c r="C1143" s="8"/>
      <c r="D1143" s="8"/>
      <c r="E1143" s="8"/>
      <c r="F1143" s="13"/>
      <c r="G1143" s="59"/>
      <c r="H1143" s="6"/>
      <c r="I1143" s="6"/>
      <c r="J1143" s="2"/>
      <c r="K1143" s="2"/>
      <c r="L1143" s="2"/>
      <c r="M1143" s="2"/>
      <c r="N1143" s="2"/>
      <c r="O1143" s="56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x14ac:dyDescent="0.3">
      <c r="A1144" s="2"/>
      <c r="B1144" s="8"/>
      <c r="C1144" s="8"/>
      <c r="D1144" s="8"/>
      <c r="E1144" s="8"/>
      <c r="F1144" s="13"/>
      <c r="G1144" s="59"/>
      <c r="H1144" s="6"/>
      <c r="I1144" s="6"/>
      <c r="J1144" s="2"/>
      <c r="K1144" s="2"/>
      <c r="L1144" s="2"/>
      <c r="M1144" s="2"/>
      <c r="N1144" s="2"/>
      <c r="O1144" s="56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spans="1:28" x14ac:dyDescent="0.3">
      <c r="A1145" s="2"/>
      <c r="B1145" s="8"/>
      <c r="C1145" s="8"/>
      <c r="D1145" s="8"/>
      <c r="E1145" s="8"/>
      <c r="F1145" s="13"/>
      <c r="G1145" s="59"/>
      <c r="H1145" s="6"/>
      <c r="I1145" s="6"/>
      <c r="J1145" s="2"/>
      <c r="K1145" s="2"/>
      <c r="L1145" s="2"/>
      <c r="M1145" s="2"/>
      <c r="N1145" s="2"/>
      <c r="O1145" s="56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spans="1:28" x14ac:dyDescent="0.3">
      <c r="A1146" s="2"/>
      <c r="B1146" s="8"/>
      <c r="C1146" s="8"/>
      <c r="D1146" s="8"/>
      <c r="E1146" s="8"/>
      <c r="F1146" s="13"/>
      <c r="G1146" s="59"/>
      <c r="H1146" s="6"/>
      <c r="I1146" s="6"/>
      <c r="J1146" s="2"/>
      <c r="K1146" s="2"/>
      <c r="L1146" s="2"/>
      <c r="M1146" s="2"/>
      <c r="N1146" s="2"/>
      <c r="O1146" s="56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x14ac:dyDescent="0.3">
      <c r="A1147" s="2"/>
      <c r="B1147" s="8"/>
      <c r="C1147" s="8"/>
      <c r="D1147" s="8"/>
      <c r="E1147" s="8"/>
      <c r="F1147" s="13"/>
      <c r="G1147" s="59"/>
      <c r="H1147" s="6"/>
      <c r="I1147" s="6"/>
      <c r="J1147" s="2"/>
      <c r="K1147" s="2"/>
      <c r="L1147" s="2"/>
      <c r="M1147" s="2"/>
      <c r="N1147" s="2"/>
      <c r="O1147" s="56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spans="1:28" x14ac:dyDescent="0.3">
      <c r="A1148" s="2"/>
      <c r="B1148" s="8"/>
      <c r="C1148" s="8"/>
      <c r="D1148" s="8"/>
      <c r="E1148" s="8"/>
      <c r="F1148" s="13"/>
      <c r="G1148" s="59"/>
      <c r="H1148" s="6"/>
      <c r="I1148" s="6"/>
      <c r="J1148" s="2"/>
      <c r="K1148" s="2"/>
      <c r="L1148" s="2"/>
      <c r="M1148" s="2"/>
      <c r="N1148" s="2"/>
      <c r="O1148" s="56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x14ac:dyDescent="0.3">
      <c r="A1149" s="2"/>
      <c r="B1149" s="8"/>
      <c r="C1149" s="8"/>
      <c r="D1149" s="8"/>
      <c r="E1149" s="8"/>
      <c r="F1149" s="13"/>
      <c r="G1149" s="59"/>
      <c r="H1149" s="6"/>
      <c r="I1149" s="6"/>
      <c r="J1149" s="2"/>
      <c r="K1149" s="2"/>
      <c r="L1149" s="2"/>
      <c r="M1149" s="2"/>
      <c r="N1149" s="2"/>
      <c r="O1149" s="56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x14ac:dyDescent="0.3">
      <c r="A1150" s="2"/>
      <c r="B1150" s="8"/>
      <c r="C1150" s="8"/>
      <c r="D1150" s="8"/>
      <c r="E1150" s="8"/>
      <c r="F1150" s="13"/>
      <c r="G1150" s="59"/>
      <c r="H1150" s="6"/>
      <c r="I1150" s="6"/>
      <c r="J1150" s="2"/>
      <c r="K1150" s="2"/>
      <c r="L1150" s="2"/>
      <c r="M1150" s="2"/>
      <c r="N1150" s="2"/>
      <c r="O1150" s="56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spans="1:28" x14ac:dyDescent="0.3">
      <c r="A1151" s="2"/>
      <c r="B1151" s="8"/>
      <c r="C1151" s="8"/>
      <c r="D1151" s="8"/>
      <c r="E1151" s="8"/>
      <c r="F1151" s="13"/>
      <c r="G1151" s="59"/>
      <c r="H1151" s="6"/>
      <c r="I1151" s="6"/>
      <c r="J1151" s="2"/>
      <c r="K1151" s="2"/>
      <c r="L1151" s="2"/>
      <c r="M1151" s="2"/>
      <c r="N1151" s="2"/>
      <c r="O1151" s="56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spans="1:28" x14ac:dyDescent="0.3">
      <c r="A1152" s="2"/>
      <c r="B1152" s="8"/>
      <c r="C1152" s="8"/>
      <c r="D1152" s="8"/>
      <c r="E1152" s="8"/>
      <c r="F1152" s="13"/>
      <c r="G1152" s="59"/>
      <c r="H1152" s="6"/>
      <c r="I1152" s="6"/>
      <c r="J1152" s="2"/>
      <c r="K1152" s="2"/>
      <c r="L1152" s="2"/>
      <c r="M1152" s="2"/>
      <c r="N1152" s="2"/>
      <c r="O1152" s="56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spans="1:28" x14ac:dyDescent="0.3">
      <c r="A1153" s="2"/>
      <c r="B1153" s="8"/>
      <c r="C1153" s="8"/>
      <c r="D1153" s="8"/>
      <c r="E1153" s="8"/>
      <c r="F1153" s="13"/>
      <c r="G1153" s="59"/>
      <c r="H1153" s="6"/>
      <c r="I1153" s="6"/>
      <c r="J1153" s="2"/>
      <c r="K1153" s="2"/>
      <c r="L1153" s="2"/>
      <c r="M1153" s="2"/>
      <c r="N1153" s="2"/>
      <c r="O1153" s="56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x14ac:dyDescent="0.3">
      <c r="A1154" s="2"/>
      <c r="B1154" s="8"/>
      <c r="C1154" s="8"/>
      <c r="D1154" s="8"/>
      <c r="E1154" s="8"/>
      <c r="F1154" s="13"/>
      <c r="G1154" s="59"/>
      <c r="H1154" s="6"/>
      <c r="I1154" s="6"/>
      <c r="J1154" s="2"/>
      <c r="K1154" s="2"/>
      <c r="L1154" s="2"/>
      <c r="M1154" s="2"/>
      <c r="N1154" s="2"/>
      <c r="O1154" s="56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spans="1:28" x14ac:dyDescent="0.3">
      <c r="A1155" s="2"/>
      <c r="B1155" s="8"/>
      <c r="C1155" s="8"/>
      <c r="D1155" s="8"/>
      <c r="E1155" s="8"/>
      <c r="F1155" s="13"/>
      <c r="G1155" s="59"/>
      <c r="H1155" s="6"/>
      <c r="I1155" s="6"/>
      <c r="J1155" s="2"/>
      <c r="K1155" s="2"/>
      <c r="L1155" s="2"/>
      <c r="M1155" s="2"/>
      <c r="N1155" s="2"/>
      <c r="O1155" s="56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spans="1:28" x14ac:dyDescent="0.3">
      <c r="A1156" s="2"/>
      <c r="B1156" s="8"/>
      <c r="C1156" s="8"/>
      <c r="D1156" s="8"/>
      <c r="E1156" s="8"/>
      <c r="F1156" s="13"/>
      <c r="G1156" s="59"/>
      <c r="H1156" s="6"/>
      <c r="I1156" s="6"/>
      <c r="J1156" s="2"/>
      <c r="K1156" s="2"/>
      <c r="L1156" s="2"/>
      <c r="M1156" s="2"/>
      <c r="N1156" s="2"/>
      <c r="O1156" s="56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spans="1:28" x14ac:dyDescent="0.3">
      <c r="A1157" s="2"/>
      <c r="B1157" s="8"/>
      <c r="C1157" s="8"/>
      <c r="D1157" s="8"/>
      <c r="E1157" s="8"/>
      <c r="F1157" s="13"/>
      <c r="G1157" s="59"/>
      <c r="H1157" s="6"/>
      <c r="I1157" s="6"/>
      <c r="J1157" s="2"/>
      <c r="K1157" s="2"/>
      <c r="L1157" s="2"/>
      <c r="M1157" s="2"/>
      <c r="N1157" s="2"/>
      <c r="O1157" s="56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spans="1:28" x14ac:dyDescent="0.3">
      <c r="A1158" s="2"/>
      <c r="B1158" s="8"/>
      <c r="C1158" s="8"/>
      <c r="D1158" s="8"/>
      <c r="E1158" s="8"/>
      <c r="F1158" s="13"/>
      <c r="G1158" s="59"/>
      <c r="H1158" s="6"/>
      <c r="I1158" s="6"/>
      <c r="J1158" s="2"/>
      <c r="K1158" s="2"/>
      <c r="L1158" s="2"/>
      <c r="M1158" s="2"/>
      <c r="N1158" s="2"/>
      <c r="O1158" s="56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spans="1:28" x14ac:dyDescent="0.3">
      <c r="A1159" s="2"/>
      <c r="B1159" s="8"/>
      <c r="C1159" s="8"/>
      <c r="D1159" s="8"/>
      <c r="E1159" s="8"/>
      <c r="F1159" s="13"/>
      <c r="G1159" s="59"/>
      <c r="H1159" s="6"/>
      <c r="I1159" s="6"/>
      <c r="J1159" s="2"/>
      <c r="K1159" s="2"/>
      <c r="L1159" s="2"/>
      <c r="M1159" s="2"/>
      <c r="N1159" s="2"/>
      <c r="O1159" s="56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spans="1:28" x14ac:dyDescent="0.3">
      <c r="A1160" s="2"/>
      <c r="B1160" s="8"/>
      <c r="C1160" s="8"/>
      <c r="D1160" s="8"/>
      <c r="E1160" s="8"/>
      <c r="F1160" s="13"/>
      <c r="G1160" s="59"/>
      <c r="H1160" s="6"/>
      <c r="I1160" s="6"/>
      <c r="J1160" s="2"/>
      <c r="K1160" s="2"/>
      <c r="L1160" s="2"/>
      <c r="M1160" s="2"/>
      <c r="N1160" s="2"/>
      <c r="O1160" s="56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spans="1:28" x14ac:dyDescent="0.3">
      <c r="A1161" s="2"/>
      <c r="B1161" s="8"/>
      <c r="C1161" s="8"/>
      <c r="D1161" s="8"/>
      <c r="E1161" s="8"/>
      <c r="F1161" s="13"/>
      <c r="G1161" s="59"/>
      <c r="H1161" s="6"/>
      <c r="I1161" s="6"/>
      <c r="J1161" s="2"/>
      <c r="K1161" s="2"/>
      <c r="L1161" s="2"/>
      <c r="M1161" s="2"/>
      <c r="N1161" s="2"/>
      <c r="O1161" s="56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spans="1:28" x14ac:dyDescent="0.3">
      <c r="A1162" s="2"/>
      <c r="B1162" s="8"/>
      <c r="C1162" s="8"/>
      <c r="D1162" s="8"/>
      <c r="E1162" s="8"/>
      <c r="F1162" s="13"/>
      <c r="G1162" s="59"/>
      <c r="H1162" s="6"/>
      <c r="I1162" s="6"/>
      <c r="J1162" s="2"/>
      <c r="K1162" s="2"/>
      <c r="L1162" s="2"/>
      <c r="M1162" s="2"/>
      <c r="N1162" s="2"/>
      <c r="O1162" s="56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spans="1:28" x14ac:dyDescent="0.3">
      <c r="A1163" s="2"/>
      <c r="B1163" s="8"/>
      <c r="C1163" s="8"/>
      <c r="D1163" s="8"/>
      <c r="E1163" s="8"/>
      <c r="F1163" s="13"/>
      <c r="G1163" s="59"/>
      <c r="H1163" s="6"/>
      <c r="I1163" s="6"/>
      <c r="J1163" s="2"/>
      <c r="K1163" s="2"/>
      <c r="L1163" s="2"/>
      <c r="M1163" s="2"/>
      <c r="N1163" s="2"/>
      <c r="O1163" s="56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spans="1:28" x14ac:dyDescent="0.3">
      <c r="A1164" s="2"/>
      <c r="B1164" s="8"/>
      <c r="C1164" s="8"/>
      <c r="D1164" s="8"/>
      <c r="E1164" s="8"/>
      <c r="F1164" s="13"/>
      <c r="G1164" s="59"/>
      <c r="H1164" s="6"/>
      <c r="I1164" s="6"/>
      <c r="J1164" s="2"/>
      <c r="K1164" s="2"/>
      <c r="L1164" s="2"/>
      <c r="M1164" s="2"/>
      <c r="N1164" s="2"/>
      <c r="O1164" s="56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spans="1:28" x14ac:dyDescent="0.3">
      <c r="A1165" s="2"/>
      <c r="B1165" s="8"/>
      <c r="C1165" s="8"/>
      <c r="D1165" s="8"/>
      <c r="E1165" s="8"/>
      <c r="F1165" s="13"/>
      <c r="G1165" s="59"/>
      <c r="H1165" s="6"/>
      <c r="I1165" s="6"/>
      <c r="J1165" s="2"/>
      <c r="K1165" s="2"/>
      <c r="L1165" s="2"/>
      <c r="M1165" s="2"/>
      <c r="N1165" s="2"/>
      <c r="O1165" s="56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spans="1:28" x14ac:dyDescent="0.3">
      <c r="A1166" s="2"/>
      <c r="B1166" s="8"/>
      <c r="C1166" s="8"/>
      <c r="D1166" s="8"/>
      <c r="E1166" s="8"/>
      <c r="F1166" s="13"/>
      <c r="G1166" s="59"/>
      <c r="H1166" s="6"/>
      <c r="I1166" s="6"/>
      <c r="J1166" s="2"/>
      <c r="K1166" s="2"/>
      <c r="L1166" s="2"/>
      <c r="M1166" s="2"/>
      <c r="N1166" s="2"/>
      <c r="O1166" s="56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28" x14ac:dyDescent="0.3">
      <c r="A1167" s="2"/>
      <c r="B1167" s="8"/>
      <c r="C1167" s="8"/>
      <c r="D1167" s="8"/>
      <c r="E1167" s="8"/>
      <c r="F1167" s="13"/>
      <c r="G1167" s="59"/>
      <c r="H1167" s="6"/>
      <c r="I1167" s="6"/>
      <c r="J1167" s="2"/>
      <c r="K1167" s="2"/>
      <c r="L1167" s="2"/>
      <c r="M1167" s="2"/>
      <c r="N1167" s="2"/>
      <c r="O1167" s="56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28" x14ac:dyDescent="0.3">
      <c r="A1168" s="2"/>
      <c r="B1168" s="8"/>
      <c r="C1168" s="8"/>
      <c r="D1168" s="8"/>
      <c r="E1168" s="8"/>
      <c r="F1168" s="13"/>
      <c r="G1168" s="59"/>
      <c r="H1168" s="6"/>
      <c r="I1168" s="6"/>
      <c r="J1168" s="2"/>
      <c r="K1168" s="2"/>
      <c r="L1168" s="2"/>
      <c r="M1168" s="2"/>
      <c r="N1168" s="2"/>
      <c r="O1168" s="56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28" x14ac:dyDescent="0.3">
      <c r="A1169" s="2"/>
      <c r="B1169" s="8"/>
      <c r="C1169" s="8"/>
      <c r="D1169" s="8"/>
      <c r="E1169" s="8"/>
      <c r="F1169" s="13"/>
      <c r="G1169" s="59"/>
      <c r="H1169" s="6"/>
      <c r="I1169" s="6"/>
      <c r="J1169" s="2"/>
      <c r="K1169" s="2"/>
      <c r="L1169" s="2"/>
      <c r="M1169" s="2"/>
      <c r="N1169" s="2"/>
      <c r="O1169" s="56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28" x14ac:dyDescent="0.3">
      <c r="A1170" s="2"/>
      <c r="B1170" s="8"/>
      <c r="C1170" s="8"/>
      <c r="D1170" s="8"/>
      <c r="E1170" s="8"/>
      <c r="F1170" s="13"/>
      <c r="G1170" s="59"/>
      <c r="H1170" s="6"/>
      <c r="I1170" s="6"/>
      <c r="J1170" s="2"/>
      <c r="K1170" s="2"/>
      <c r="L1170" s="2"/>
      <c r="M1170" s="2"/>
      <c r="N1170" s="2"/>
      <c r="O1170" s="56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28" x14ac:dyDescent="0.3">
      <c r="A1171" s="2"/>
      <c r="B1171" s="8"/>
      <c r="C1171" s="8"/>
      <c r="D1171" s="8"/>
      <c r="E1171" s="8"/>
      <c r="F1171" s="13"/>
      <c r="G1171" s="59"/>
      <c r="H1171" s="6"/>
      <c r="I1171" s="6"/>
      <c r="J1171" s="2"/>
      <c r="K1171" s="2"/>
      <c r="L1171" s="2"/>
      <c r="M1171" s="2"/>
      <c r="N1171" s="2"/>
      <c r="O1171" s="56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x14ac:dyDescent="0.3">
      <c r="A1172" s="2"/>
      <c r="B1172" s="8"/>
      <c r="C1172" s="8"/>
      <c r="D1172" s="8"/>
      <c r="E1172" s="8"/>
      <c r="F1172" s="13"/>
      <c r="G1172" s="59"/>
      <c r="H1172" s="6"/>
      <c r="I1172" s="6"/>
      <c r="J1172" s="2"/>
      <c r="K1172" s="2"/>
      <c r="L1172" s="2"/>
      <c r="M1172" s="2"/>
      <c r="N1172" s="2"/>
      <c r="O1172" s="56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spans="1:28" x14ac:dyDescent="0.3">
      <c r="A1173" s="2"/>
      <c r="B1173" s="8"/>
      <c r="C1173" s="8"/>
      <c r="D1173" s="8"/>
      <c r="E1173" s="8"/>
      <c r="F1173" s="13"/>
      <c r="G1173" s="59"/>
      <c r="H1173" s="6"/>
      <c r="I1173" s="6"/>
      <c r="J1173" s="2"/>
      <c r="K1173" s="2"/>
      <c r="L1173" s="2"/>
      <c r="M1173" s="2"/>
      <c r="N1173" s="2"/>
      <c r="O1173" s="56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spans="1:28" x14ac:dyDescent="0.3">
      <c r="A1174" s="2"/>
      <c r="B1174" s="8"/>
      <c r="C1174" s="8"/>
      <c r="D1174" s="8"/>
      <c r="E1174" s="8"/>
      <c r="F1174" s="13"/>
      <c r="G1174" s="59"/>
      <c r="H1174" s="6"/>
      <c r="I1174" s="6"/>
      <c r="J1174" s="2"/>
      <c r="K1174" s="2"/>
      <c r="L1174" s="2"/>
      <c r="M1174" s="2"/>
      <c r="N1174" s="2"/>
      <c r="O1174" s="56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spans="1:28" x14ac:dyDescent="0.3">
      <c r="A1175" s="2"/>
      <c r="B1175" s="8"/>
      <c r="C1175" s="8"/>
      <c r="D1175" s="8"/>
      <c r="E1175" s="8"/>
      <c r="F1175" s="13"/>
      <c r="G1175" s="59"/>
      <c r="H1175" s="6"/>
      <c r="I1175" s="6"/>
      <c r="J1175" s="2"/>
      <c r="K1175" s="2"/>
      <c r="L1175" s="2"/>
      <c r="M1175" s="2"/>
      <c r="N1175" s="2"/>
      <c r="O1175" s="56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spans="1:28" x14ac:dyDescent="0.3">
      <c r="A1176" s="2"/>
      <c r="B1176" s="8"/>
      <c r="C1176" s="8"/>
      <c r="D1176" s="8"/>
      <c r="E1176" s="8"/>
      <c r="F1176" s="13"/>
      <c r="G1176" s="59"/>
      <c r="H1176" s="6"/>
      <c r="I1176" s="6"/>
      <c r="J1176" s="2"/>
      <c r="K1176" s="2"/>
      <c r="L1176" s="2"/>
      <c r="M1176" s="2"/>
      <c r="N1176" s="2"/>
      <c r="O1176" s="56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x14ac:dyDescent="0.3">
      <c r="A1177" s="2"/>
      <c r="B1177" s="8"/>
      <c r="C1177" s="8"/>
      <c r="D1177" s="8"/>
      <c r="E1177" s="8"/>
      <c r="F1177" s="13"/>
      <c r="G1177" s="59"/>
      <c r="H1177" s="6"/>
      <c r="I1177" s="6"/>
      <c r="J1177" s="2"/>
      <c r="K1177" s="2"/>
      <c r="L1177" s="2"/>
      <c r="M1177" s="2"/>
      <c r="N1177" s="2"/>
      <c r="O1177" s="56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x14ac:dyDescent="0.3">
      <c r="A1178" s="2"/>
      <c r="B1178" s="8"/>
      <c r="C1178" s="8"/>
      <c r="D1178" s="8"/>
      <c r="E1178" s="8"/>
      <c r="F1178" s="13"/>
      <c r="G1178" s="59"/>
      <c r="H1178" s="6"/>
      <c r="I1178" s="6"/>
      <c r="J1178" s="2"/>
      <c r="K1178" s="2"/>
      <c r="L1178" s="2"/>
      <c r="M1178" s="2"/>
      <c r="N1178" s="2"/>
      <c r="O1178" s="56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spans="1:28" x14ac:dyDescent="0.3">
      <c r="A1179" s="2"/>
      <c r="B1179" s="8"/>
      <c r="C1179" s="8"/>
      <c r="D1179" s="8"/>
      <c r="E1179" s="8"/>
      <c r="F1179" s="13"/>
      <c r="G1179" s="59"/>
      <c r="H1179" s="6"/>
      <c r="I1179" s="6"/>
      <c r="J1179" s="2"/>
      <c r="K1179" s="2"/>
      <c r="L1179" s="2"/>
      <c r="M1179" s="2"/>
      <c r="N1179" s="2"/>
      <c r="O1179" s="56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spans="1:28" x14ac:dyDescent="0.3">
      <c r="A1180" s="2"/>
      <c r="B1180" s="8"/>
      <c r="C1180" s="8"/>
      <c r="D1180" s="8"/>
      <c r="E1180" s="8"/>
      <c r="F1180" s="13"/>
      <c r="G1180" s="59"/>
      <c r="H1180" s="6"/>
      <c r="I1180" s="6"/>
      <c r="J1180" s="2"/>
      <c r="K1180" s="2"/>
      <c r="L1180" s="2"/>
      <c r="M1180" s="2"/>
      <c r="N1180" s="2"/>
      <c r="O1180" s="56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spans="1:28" x14ac:dyDescent="0.3">
      <c r="A1181" s="2"/>
      <c r="B1181" s="8"/>
      <c r="C1181" s="8"/>
      <c r="D1181" s="8"/>
      <c r="E1181" s="8"/>
      <c r="F1181" s="13"/>
      <c r="G1181" s="59"/>
      <c r="H1181" s="6"/>
      <c r="I1181" s="6"/>
      <c r="J1181" s="2"/>
      <c r="K1181" s="2"/>
      <c r="L1181" s="2"/>
      <c r="M1181" s="2"/>
      <c r="N1181" s="2"/>
      <c r="O1181" s="56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spans="1:28" x14ac:dyDescent="0.3">
      <c r="A1182" s="2"/>
      <c r="B1182" s="8"/>
      <c r="C1182" s="8"/>
      <c r="D1182" s="8"/>
      <c r="E1182" s="8"/>
      <c r="F1182" s="13"/>
      <c r="G1182" s="59"/>
      <c r="H1182" s="6"/>
      <c r="I1182" s="6"/>
      <c r="J1182" s="2"/>
      <c r="K1182" s="2"/>
      <c r="L1182" s="2"/>
      <c r="M1182" s="2"/>
      <c r="N1182" s="2"/>
      <c r="O1182" s="56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x14ac:dyDescent="0.3">
      <c r="A1183" s="2"/>
      <c r="B1183" s="8"/>
      <c r="C1183" s="8"/>
      <c r="D1183" s="8"/>
      <c r="E1183" s="8"/>
      <c r="F1183" s="13"/>
      <c r="G1183" s="59"/>
      <c r="H1183" s="6"/>
      <c r="I1183" s="6"/>
      <c r="J1183" s="2"/>
      <c r="K1183" s="2"/>
      <c r="L1183" s="2"/>
      <c r="M1183" s="2"/>
      <c r="N1183" s="2"/>
      <c r="O1183" s="56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 x14ac:dyDescent="0.3">
      <c r="A1184" s="2"/>
      <c r="B1184" s="8"/>
      <c r="C1184" s="8"/>
      <c r="D1184" s="8"/>
      <c r="E1184" s="8"/>
      <c r="F1184" s="13"/>
      <c r="G1184" s="59"/>
      <c r="H1184" s="6"/>
      <c r="I1184" s="6"/>
      <c r="J1184" s="2"/>
      <c r="K1184" s="2"/>
      <c r="L1184" s="2"/>
      <c r="M1184" s="2"/>
      <c r="N1184" s="2"/>
      <c r="O1184" s="56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 x14ac:dyDescent="0.3">
      <c r="A1185" s="2"/>
      <c r="B1185" s="8"/>
      <c r="C1185" s="8"/>
      <c r="D1185" s="8"/>
      <c r="E1185" s="8"/>
      <c r="F1185" s="13"/>
      <c r="G1185" s="59"/>
      <c r="H1185" s="6"/>
      <c r="I1185" s="6"/>
      <c r="J1185" s="2"/>
      <c r="K1185" s="2"/>
      <c r="L1185" s="2"/>
      <c r="M1185" s="2"/>
      <c r="N1185" s="2"/>
      <c r="O1185" s="56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 x14ac:dyDescent="0.3">
      <c r="A1186" s="2"/>
      <c r="B1186" s="8"/>
      <c r="C1186" s="8"/>
      <c r="D1186" s="8"/>
      <c r="E1186" s="8"/>
      <c r="F1186" s="13"/>
      <c r="G1186" s="59"/>
      <c r="H1186" s="6"/>
      <c r="I1186" s="6"/>
      <c r="J1186" s="2"/>
      <c r="K1186" s="2"/>
      <c r="L1186" s="2"/>
      <c r="M1186" s="2"/>
      <c r="N1186" s="2"/>
      <c r="O1186" s="56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x14ac:dyDescent="0.3">
      <c r="A1187" s="2"/>
      <c r="B1187" s="8"/>
      <c r="C1187" s="8"/>
      <c r="D1187" s="8"/>
      <c r="E1187" s="8"/>
      <c r="F1187" s="13"/>
      <c r="G1187" s="59"/>
      <c r="H1187" s="6"/>
      <c r="I1187" s="6"/>
      <c r="J1187" s="2"/>
      <c r="K1187" s="2"/>
      <c r="L1187" s="2"/>
      <c r="M1187" s="2"/>
      <c r="N1187" s="2"/>
      <c r="O1187" s="56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x14ac:dyDescent="0.3">
      <c r="A1188" s="2"/>
      <c r="B1188" s="8"/>
      <c r="C1188" s="8"/>
      <c r="D1188" s="8"/>
      <c r="E1188" s="8"/>
      <c r="F1188" s="13"/>
      <c r="G1188" s="59"/>
      <c r="H1188" s="6"/>
      <c r="I1188" s="6"/>
      <c r="J1188" s="2"/>
      <c r="K1188" s="2"/>
      <c r="L1188" s="2"/>
      <c r="M1188" s="2"/>
      <c r="N1188" s="2"/>
      <c r="O1188" s="56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 spans="1:28" x14ac:dyDescent="0.3">
      <c r="A1189" s="2"/>
      <c r="B1189" s="8"/>
      <c r="C1189" s="8"/>
      <c r="D1189" s="8"/>
      <c r="E1189" s="8"/>
      <c r="F1189" s="13"/>
      <c r="G1189" s="59"/>
      <c r="H1189" s="6"/>
      <c r="I1189" s="6"/>
      <c r="J1189" s="2"/>
      <c r="K1189" s="2"/>
      <c r="L1189" s="2"/>
      <c r="M1189" s="2"/>
      <c r="N1189" s="2"/>
      <c r="O1189" s="56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 spans="1:28" x14ac:dyDescent="0.3">
      <c r="A1190" s="2"/>
      <c r="B1190" s="8"/>
      <c r="C1190" s="8"/>
      <c r="D1190" s="8"/>
      <c r="E1190" s="8"/>
      <c r="F1190" s="13"/>
      <c r="G1190" s="59"/>
      <c r="H1190" s="6"/>
      <c r="I1190" s="6"/>
      <c r="J1190" s="2"/>
      <c r="K1190" s="2"/>
      <c r="L1190" s="2"/>
      <c r="M1190" s="2"/>
      <c r="N1190" s="2"/>
      <c r="O1190" s="56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 spans="1:28" x14ac:dyDescent="0.3">
      <c r="A1191" s="2"/>
      <c r="B1191" s="8"/>
      <c r="C1191" s="8"/>
      <c r="D1191" s="8"/>
      <c r="E1191" s="8"/>
      <c r="F1191" s="13"/>
      <c r="G1191" s="59"/>
      <c r="H1191" s="6"/>
      <c r="I1191" s="6"/>
      <c r="J1191" s="2"/>
      <c r="K1191" s="2"/>
      <c r="L1191" s="2"/>
      <c r="M1191" s="2"/>
      <c r="N1191" s="2"/>
      <c r="O1191" s="56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 spans="1:28" x14ac:dyDescent="0.3">
      <c r="A1192" s="2"/>
      <c r="B1192" s="8"/>
      <c r="C1192" s="8"/>
      <c r="D1192" s="8"/>
      <c r="E1192" s="8"/>
      <c r="F1192" s="13"/>
      <c r="G1192" s="59"/>
      <c r="H1192" s="6"/>
      <c r="I1192" s="6"/>
      <c r="J1192" s="2"/>
      <c r="K1192" s="2"/>
      <c r="L1192" s="2"/>
      <c r="M1192" s="2"/>
      <c r="N1192" s="2"/>
      <c r="O1192" s="56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 spans="1:28" x14ac:dyDescent="0.3">
      <c r="A1193" s="2"/>
      <c r="B1193" s="8"/>
      <c r="C1193" s="8"/>
      <c r="D1193" s="8"/>
      <c r="E1193" s="8"/>
      <c r="F1193" s="13"/>
      <c r="G1193" s="59"/>
      <c r="H1193" s="6"/>
      <c r="I1193" s="6"/>
      <c r="J1193" s="2"/>
      <c r="K1193" s="2"/>
      <c r="L1193" s="2"/>
      <c r="M1193" s="2"/>
      <c r="N1193" s="2"/>
      <c r="O1193" s="56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 spans="1:28" x14ac:dyDescent="0.3">
      <c r="A1194" s="2"/>
      <c r="B1194" s="8"/>
      <c r="C1194" s="8"/>
      <c r="D1194" s="8"/>
      <c r="E1194" s="8"/>
      <c r="F1194" s="13"/>
      <c r="G1194" s="59"/>
      <c r="H1194" s="6"/>
      <c r="I1194" s="6"/>
      <c r="J1194" s="2"/>
      <c r="K1194" s="2"/>
      <c r="L1194" s="2"/>
      <c r="M1194" s="2"/>
      <c r="N1194" s="2"/>
      <c r="O1194" s="56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 spans="1:28" x14ac:dyDescent="0.3">
      <c r="A1195" s="2"/>
      <c r="B1195" s="8"/>
      <c r="C1195" s="8"/>
      <c r="D1195" s="8"/>
      <c r="E1195" s="8"/>
      <c r="F1195" s="13"/>
      <c r="G1195" s="59"/>
      <c r="H1195" s="6"/>
      <c r="I1195" s="6"/>
      <c r="J1195" s="2"/>
      <c r="K1195" s="2"/>
      <c r="L1195" s="2"/>
      <c r="M1195" s="2"/>
      <c r="N1195" s="2"/>
      <c r="O1195" s="56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 spans="1:28" x14ac:dyDescent="0.3">
      <c r="A1196" s="2"/>
      <c r="B1196" s="8"/>
      <c r="C1196" s="8"/>
      <c r="D1196" s="8"/>
      <c r="E1196" s="8"/>
      <c r="F1196" s="13"/>
      <c r="G1196" s="59"/>
      <c r="H1196" s="6"/>
      <c r="I1196" s="6"/>
      <c r="J1196" s="2"/>
      <c r="K1196" s="2"/>
      <c r="L1196" s="2"/>
      <c r="M1196" s="2"/>
      <c r="N1196" s="2"/>
      <c r="O1196" s="56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spans="1:28" x14ac:dyDescent="0.3">
      <c r="A1197" s="2"/>
      <c r="B1197" s="8"/>
      <c r="C1197" s="8"/>
      <c r="D1197" s="8"/>
      <c r="E1197" s="8"/>
      <c r="F1197" s="13"/>
      <c r="G1197" s="59"/>
      <c r="H1197" s="6"/>
      <c r="I1197" s="6"/>
      <c r="J1197" s="2"/>
      <c r="K1197" s="2"/>
      <c r="L1197" s="2"/>
      <c r="M1197" s="2"/>
      <c r="N1197" s="2"/>
      <c r="O1197" s="56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 spans="1:28" x14ac:dyDescent="0.3">
      <c r="A1198" s="2"/>
      <c r="B1198" s="8"/>
      <c r="C1198" s="8"/>
      <c r="D1198" s="8"/>
      <c r="E1198" s="8"/>
      <c r="F1198" s="13"/>
      <c r="G1198" s="59"/>
      <c r="H1198" s="6"/>
      <c r="I1198" s="6"/>
      <c r="J1198" s="2"/>
      <c r="K1198" s="2"/>
      <c r="L1198" s="2"/>
      <c r="M1198" s="2"/>
      <c r="N1198" s="2"/>
      <c r="O1198" s="56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 spans="1:28" x14ac:dyDescent="0.3">
      <c r="A1199" s="2"/>
      <c r="B1199" s="8"/>
      <c r="C1199" s="8"/>
      <c r="D1199" s="8"/>
      <c r="E1199" s="8"/>
      <c r="F1199" s="13"/>
      <c r="G1199" s="59"/>
      <c r="H1199" s="6"/>
      <c r="I1199" s="6"/>
      <c r="J1199" s="2"/>
      <c r="K1199" s="2"/>
      <c r="L1199" s="2"/>
      <c r="M1199" s="2"/>
      <c r="N1199" s="2"/>
      <c r="O1199" s="56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 spans="1:28" x14ac:dyDescent="0.3">
      <c r="A1200" s="2"/>
      <c r="B1200" s="8"/>
      <c r="C1200" s="8"/>
      <c r="D1200" s="8"/>
      <c r="E1200" s="8"/>
      <c r="F1200" s="13"/>
      <c r="G1200" s="59"/>
      <c r="H1200" s="6"/>
      <c r="I1200" s="6"/>
      <c r="J1200" s="2"/>
      <c r="K1200" s="2"/>
      <c r="L1200" s="2"/>
      <c r="M1200" s="2"/>
      <c r="N1200" s="2"/>
      <c r="O1200" s="56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 spans="1:28" x14ac:dyDescent="0.3">
      <c r="A1201" s="2"/>
      <c r="B1201" s="8"/>
      <c r="C1201" s="8"/>
      <c r="D1201" s="8"/>
      <c r="E1201" s="8"/>
      <c r="F1201" s="13"/>
      <c r="G1201" s="59"/>
      <c r="H1201" s="6"/>
      <c r="I1201" s="6"/>
      <c r="J1201" s="2"/>
      <c r="K1201" s="2"/>
      <c r="L1201" s="2"/>
      <c r="M1201" s="2"/>
      <c r="N1201" s="2"/>
      <c r="O1201" s="56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 spans="1:28" x14ac:dyDescent="0.3">
      <c r="A1202" s="2"/>
      <c r="B1202" s="8"/>
      <c r="C1202" s="8"/>
      <c r="D1202" s="8"/>
      <c r="E1202" s="8"/>
      <c r="F1202" s="13"/>
      <c r="G1202" s="59"/>
      <c r="H1202" s="6"/>
      <c r="I1202" s="6"/>
      <c r="J1202" s="2"/>
      <c r="K1202" s="2"/>
      <c r="L1202" s="2"/>
      <c r="M1202" s="2"/>
      <c r="N1202" s="2"/>
      <c r="O1202" s="56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 spans="1:28" x14ac:dyDescent="0.3">
      <c r="A1203" s="2"/>
      <c r="B1203" s="8"/>
      <c r="C1203" s="8"/>
      <c r="D1203" s="8"/>
      <c r="E1203" s="8"/>
      <c r="F1203" s="13"/>
      <c r="G1203" s="59"/>
      <c r="H1203" s="6"/>
      <c r="I1203" s="6"/>
      <c r="J1203" s="2"/>
      <c r="K1203" s="2"/>
      <c r="L1203" s="2"/>
      <c r="M1203" s="2"/>
      <c r="N1203" s="2"/>
      <c r="O1203" s="56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 spans="1:28" x14ac:dyDescent="0.3">
      <c r="A1204" s="2"/>
      <c r="B1204" s="8"/>
      <c r="C1204" s="8"/>
      <c r="D1204" s="8"/>
      <c r="E1204" s="8"/>
      <c r="F1204" s="13"/>
      <c r="G1204" s="59"/>
      <c r="H1204" s="6"/>
      <c r="I1204" s="6"/>
      <c r="J1204" s="2"/>
      <c r="K1204" s="2"/>
      <c r="L1204" s="2"/>
      <c r="M1204" s="2"/>
      <c r="N1204" s="2"/>
      <c r="O1204" s="56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 spans="1:28" x14ac:dyDescent="0.3">
      <c r="A1205" s="2"/>
      <c r="B1205" s="8"/>
      <c r="C1205" s="8"/>
      <c r="D1205" s="8"/>
      <c r="E1205" s="8"/>
      <c r="F1205" s="13"/>
      <c r="G1205" s="59"/>
      <c r="H1205" s="6"/>
      <c r="I1205" s="6"/>
      <c r="J1205" s="2"/>
      <c r="K1205" s="2"/>
      <c r="L1205" s="2"/>
      <c r="M1205" s="2"/>
      <c r="N1205" s="2"/>
      <c r="O1205" s="56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 spans="1:28" x14ac:dyDescent="0.3">
      <c r="A1206" s="2"/>
      <c r="B1206" s="8"/>
      <c r="C1206" s="8"/>
      <c r="D1206" s="8"/>
      <c r="E1206" s="8"/>
      <c r="F1206" s="13"/>
      <c r="G1206" s="59"/>
      <c r="H1206" s="6"/>
      <c r="I1206" s="6"/>
      <c r="J1206" s="2"/>
      <c r="K1206" s="2"/>
      <c r="L1206" s="2"/>
      <c r="M1206" s="2"/>
      <c r="N1206" s="2"/>
      <c r="O1206" s="56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 spans="1:28" x14ac:dyDescent="0.3">
      <c r="A1207" s="2"/>
      <c r="B1207" s="8"/>
      <c r="C1207" s="8"/>
      <c r="D1207" s="8"/>
      <c r="E1207" s="8"/>
      <c r="F1207" s="13"/>
      <c r="G1207" s="59"/>
      <c r="H1207" s="6"/>
      <c r="I1207" s="6"/>
      <c r="J1207" s="2"/>
      <c r="K1207" s="2"/>
      <c r="L1207" s="2"/>
      <c r="M1207" s="2"/>
      <c r="N1207" s="2"/>
      <c r="O1207" s="56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 spans="1:28" x14ac:dyDescent="0.3">
      <c r="A1208" s="2"/>
      <c r="B1208" s="8"/>
      <c r="C1208" s="8"/>
      <c r="D1208" s="8"/>
      <c r="E1208" s="8"/>
      <c r="F1208" s="13"/>
      <c r="G1208" s="59"/>
      <c r="H1208" s="6"/>
      <c r="I1208" s="6"/>
      <c r="J1208" s="2"/>
      <c r="K1208" s="2"/>
      <c r="L1208" s="2"/>
      <c r="M1208" s="2"/>
      <c r="N1208" s="2"/>
      <c r="O1208" s="56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 spans="1:28" x14ac:dyDescent="0.3">
      <c r="A1209" s="2"/>
      <c r="B1209" s="8"/>
      <c r="C1209" s="8"/>
      <c r="D1209" s="8"/>
      <c r="E1209" s="8"/>
      <c r="F1209" s="13"/>
      <c r="G1209" s="59"/>
      <c r="H1209" s="6"/>
      <c r="I1209" s="6"/>
      <c r="J1209" s="2"/>
      <c r="K1209" s="2"/>
      <c r="L1209" s="2"/>
      <c r="M1209" s="2"/>
      <c r="N1209" s="2"/>
      <c r="O1209" s="56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 spans="1:28" x14ac:dyDescent="0.3">
      <c r="A1210" s="2"/>
      <c r="B1210" s="8"/>
      <c r="C1210" s="8"/>
      <c r="D1210" s="8"/>
      <c r="E1210" s="8"/>
      <c r="F1210" s="13"/>
      <c r="G1210" s="59"/>
      <c r="H1210" s="6"/>
      <c r="I1210" s="6"/>
      <c r="J1210" s="2"/>
      <c r="K1210" s="2"/>
      <c r="L1210" s="2"/>
      <c r="M1210" s="2"/>
      <c r="N1210" s="2"/>
      <c r="O1210" s="56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x14ac:dyDescent="0.3">
      <c r="A1211" s="2"/>
      <c r="B1211" s="8"/>
      <c r="C1211" s="8"/>
      <c r="D1211" s="8"/>
      <c r="E1211" s="8"/>
      <c r="F1211" s="13"/>
      <c r="G1211" s="59"/>
      <c r="H1211" s="6"/>
      <c r="I1211" s="6"/>
      <c r="J1211" s="2"/>
      <c r="K1211" s="2"/>
      <c r="L1211" s="2"/>
      <c r="M1211" s="2"/>
      <c r="N1211" s="2"/>
      <c r="O1211" s="56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x14ac:dyDescent="0.3">
      <c r="A1212" s="2"/>
      <c r="B1212" s="8"/>
      <c r="C1212" s="8"/>
      <c r="D1212" s="8"/>
      <c r="E1212" s="8"/>
      <c r="F1212" s="13"/>
      <c r="G1212" s="59"/>
      <c r="H1212" s="6"/>
      <c r="I1212" s="6"/>
      <c r="J1212" s="2"/>
      <c r="K1212" s="2"/>
      <c r="L1212" s="2"/>
      <c r="M1212" s="2"/>
      <c r="N1212" s="2"/>
      <c r="O1212" s="56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x14ac:dyDescent="0.3">
      <c r="A1213" s="2"/>
      <c r="B1213" s="8"/>
      <c r="C1213" s="8"/>
      <c r="D1213" s="8"/>
      <c r="E1213" s="8"/>
      <c r="F1213" s="13"/>
      <c r="G1213" s="59"/>
      <c r="H1213" s="6"/>
      <c r="I1213" s="6"/>
      <c r="J1213" s="2"/>
      <c r="K1213" s="2"/>
      <c r="L1213" s="2"/>
      <c r="M1213" s="2"/>
      <c r="N1213" s="2"/>
      <c r="O1213" s="56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x14ac:dyDescent="0.3">
      <c r="A1214" s="2"/>
      <c r="B1214" s="8"/>
      <c r="C1214" s="8"/>
      <c r="D1214" s="8"/>
      <c r="E1214" s="8"/>
      <c r="F1214" s="13"/>
      <c r="G1214" s="59"/>
      <c r="H1214" s="6"/>
      <c r="I1214" s="6"/>
      <c r="J1214" s="2"/>
      <c r="K1214" s="2"/>
      <c r="L1214" s="2"/>
      <c r="M1214" s="2"/>
      <c r="N1214" s="2"/>
      <c r="O1214" s="56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x14ac:dyDescent="0.3">
      <c r="A1215" s="2"/>
      <c r="B1215" s="8"/>
      <c r="C1215" s="8"/>
      <c r="D1215" s="8"/>
      <c r="E1215" s="8"/>
      <c r="F1215" s="13"/>
      <c r="G1215" s="59"/>
      <c r="H1215" s="6"/>
      <c r="I1215" s="6"/>
      <c r="J1215" s="2"/>
      <c r="K1215" s="2"/>
      <c r="L1215" s="2"/>
      <c r="M1215" s="2"/>
      <c r="N1215" s="2"/>
      <c r="O1215" s="56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x14ac:dyDescent="0.3">
      <c r="A1216" s="2"/>
      <c r="B1216" s="8"/>
      <c r="C1216" s="8"/>
      <c r="D1216" s="8"/>
      <c r="E1216" s="8"/>
      <c r="F1216" s="13"/>
      <c r="G1216" s="59"/>
      <c r="H1216" s="6"/>
      <c r="I1216" s="6"/>
      <c r="J1216" s="2"/>
      <c r="K1216" s="2"/>
      <c r="L1216" s="2"/>
      <c r="M1216" s="2"/>
      <c r="N1216" s="2"/>
      <c r="O1216" s="56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x14ac:dyDescent="0.3">
      <c r="A1217" s="2"/>
      <c r="B1217" s="8"/>
      <c r="C1217" s="8"/>
      <c r="D1217" s="8"/>
      <c r="E1217" s="8"/>
      <c r="F1217" s="13"/>
      <c r="G1217" s="59"/>
      <c r="H1217" s="6"/>
      <c r="I1217" s="6"/>
      <c r="J1217" s="2"/>
      <c r="K1217" s="2"/>
      <c r="L1217" s="2"/>
      <c r="M1217" s="2"/>
      <c r="N1217" s="2"/>
      <c r="O1217" s="56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x14ac:dyDescent="0.3">
      <c r="A1218" s="2"/>
      <c r="B1218" s="8"/>
      <c r="C1218" s="8"/>
      <c r="D1218" s="8"/>
      <c r="E1218" s="8"/>
      <c r="F1218" s="13"/>
      <c r="G1218" s="59"/>
      <c r="H1218" s="6"/>
      <c r="I1218" s="6"/>
      <c r="J1218" s="2"/>
      <c r="K1218" s="2"/>
      <c r="L1218" s="2"/>
      <c r="M1218" s="2"/>
      <c r="N1218" s="2"/>
      <c r="O1218" s="56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 spans="1:28" x14ac:dyDescent="0.3">
      <c r="A1219" s="2"/>
      <c r="B1219" s="8"/>
      <c r="C1219" s="8"/>
      <c r="D1219" s="8"/>
      <c r="E1219" s="8"/>
      <c r="F1219" s="13"/>
      <c r="G1219" s="59"/>
      <c r="H1219" s="6"/>
      <c r="I1219" s="6"/>
      <c r="J1219" s="2"/>
      <c r="K1219" s="2"/>
      <c r="L1219" s="2"/>
      <c r="M1219" s="2"/>
      <c r="N1219" s="2"/>
      <c r="O1219" s="56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 spans="1:28" x14ac:dyDescent="0.3">
      <c r="A1220" s="2"/>
      <c r="B1220" s="8"/>
      <c r="C1220" s="8"/>
      <c r="D1220" s="8"/>
      <c r="E1220" s="8"/>
      <c r="F1220" s="13"/>
      <c r="G1220" s="59"/>
      <c r="H1220" s="6"/>
      <c r="I1220" s="6"/>
      <c r="J1220" s="2"/>
      <c r="K1220" s="2"/>
      <c r="L1220" s="2"/>
      <c r="M1220" s="2"/>
      <c r="N1220" s="2"/>
      <c r="O1220" s="56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 spans="1:28" x14ac:dyDescent="0.3">
      <c r="A1221" s="2"/>
      <c r="B1221" s="8"/>
      <c r="C1221" s="8"/>
      <c r="D1221" s="8"/>
      <c r="E1221" s="8"/>
      <c r="F1221" s="13"/>
      <c r="G1221" s="59"/>
      <c r="H1221" s="6"/>
      <c r="I1221" s="6"/>
      <c r="J1221" s="2"/>
      <c r="K1221" s="2"/>
      <c r="L1221" s="2"/>
      <c r="M1221" s="2"/>
      <c r="N1221" s="2"/>
      <c r="O1221" s="56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 spans="1:28" x14ac:dyDescent="0.3">
      <c r="A1222" s="2"/>
      <c r="B1222" s="8"/>
      <c r="C1222" s="8"/>
      <c r="D1222" s="8"/>
      <c r="E1222" s="8"/>
      <c r="F1222" s="13"/>
      <c r="G1222" s="59"/>
      <c r="H1222" s="6"/>
      <c r="I1222" s="6"/>
      <c r="J1222" s="2"/>
      <c r="K1222" s="2"/>
      <c r="L1222" s="2"/>
      <c r="M1222" s="2"/>
      <c r="N1222" s="2"/>
      <c r="O1222" s="56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spans="1:28" x14ac:dyDescent="0.3">
      <c r="A1223" s="2"/>
      <c r="B1223" s="8"/>
      <c r="C1223" s="8"/>
      <c r="D1223" s="8"/>
      <c r="E1223" s="8"/>
      <c r="F1223" s="13"/>
      <c r="G1223" s="59"/>
      <c r="H1223" s="6"/>
      <c r="I1223" s="6"/>
      <c r="J1223" s="2"/>
      <c r="K1223" s="2"/>
      <c r="L1223" s="2"/>
      <c r="M1223" s="2"/>
      <c r="N1223" s="2"/>
      <c r="O1223" s="56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 spans="1:28" x14ac:dyDescent="0.3">
      <c r="A1224" s="2"/>
      <c r="B1224" s="8"/>
      <c r="C1224" s="8"/>
      <c r="D1224" s="8"/>
      <c r="E1224" s="8"/>
      <c r="F1224" s="13"/>
      <c r="G1224" s="59"/>
      <c r="H1224" s="6"/>
      <c r="I1224" s="6"/>
      <c r="J1224" s="2"/>
      <c r="K1224" s="2"/>
      <c r="L1224" s="2"/>
      <c r="M1224" s="2"/>
      <c r="N1224" s="2"/>
      <c r="O1224" s="56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spans="1:28" x14ac:dyDescent="0.3">
      <c r="A1225" s="2"/>
      <c r="B1225" s="8"/>
      <c r="C1225" s="8"/>
      <c r="D1225" s="8"/>
      <c r="E1225" s="8"/>
      <c r="F1225" s="13"/>
      <c r="G1225" s="59"/>
      <c r="H1225" s="6"/>
      <c r="I1225" s="6"/>
      <c r="J1225" s="2"/>
      <c r="K1225" s="2"/>
      <c r="L1225" s="2"/>
      <c r="M1225" s="2"/>
      <c r="N1225" s="2"/>
      <c r="O1225" s="56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 spans="1:28" x14ac:dyDescent="0.3">
      <c r="A1226" s="2"/>
      <c r="B1226" s="8"/>
      <c r="C1226" s="8"/>
      <c r="D1226" s="8"/>
      <c r="E1226" s="8"/>
      <c r="F1226" s="13"/>
      <c r="G1226" s="59"/>
      <c r="H1226" s="6"/>
      <c r="I1226" s="6"/>
      <c r="J1226" s="2"/>
      <c r="K1226" s="2"/>
      <c r="L1226" s="2"/>
      <c r="M1226" s="2"/>
      <c r="N1226" s="2"/>
      <c r="O1226" s="56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spans="1:28" x14ac:dyDescent="0.3">
      <c r="A1227" s="2"/>
      <c r="B1227" s="8"/>
      <c r="C1227" s="8"/>
      <c r="D1227" s="8"/>
      <c r="E1227" s="8"/>
      <c r="F1227" s="13"/>
      <c r="G1227" s="59"/>
      <c r="H1227" s="6"/>
      <c r="I1227" s="6"/>
      <c r="J1227" s="2"/>
      <c r="K1227" s="2"/>
      <c r="L1227" s="2"/>
      <c r="M1227" s="2"/>
      <c r="N1227" s="2"/>
      <c r="O1227" s="56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spans="1:28" x14ac:dyDescent="0.3">
      <c r="A1228" s="2"/>
      <c r="B1228" s="8"/>
      <c r="C1228" s="8"/>
      <c r="D1228" s="8"/>
      <c r="E1228" s="8"/>
      <c r="F1228" s="13"/>
      <c r="G1228" s="59"/>
      <c r="H1228" s="6"/>
      <c r="I1228" s="6"/>
      <c r="J1228" s="2"/>
      <c r="K1228" s="2"/>
      <c r="L1228" s="2"/>
      <c r="M1228" s="2"/>
      <c r="N1228" s="2"/>
      <c r="O1228" s="56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 spans="1:28" x14ac:dyDescent="0.3">
      <c r="A1229" s="2"/>
      <c r="B1229" s="8"/>
      <c r="C1229" s="8"/>
      <c r="D1229" s="8"/>
      <c r="E1229" s="8"/>
      <c r="F1229" s="13"/>
      <c r="G1229" s="59"/>
      <c r="H1229" s="6"/>
      <c r="I1229" s="6"/>
      <c r="J1229" s="2"/>
      <c r="K1229" s="2"/>
      <c r="L1229" s="2"/>
      <c r="M1229" s="2"/>
      <c r="N1229" s="2"/>
      <c r="O1229" s="56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 spans="1:28" x14ac:dyDescent="0.3">
      <c r="A1230" s="2"/>
      <c r="B1230" s="8"/>
      <c r="C1230" s="8"/>
      <c r="D1230" s="8"/>
      <c r="E1230" s="8"/>
      <c r="F1230" s="13"/>
      <c r="G1230" s="59"/>
      <c r="H1230" s="6"/>
      <c r="I1230" s="6"/>
      <c r="J1230" s="2"/>
      <c r="K1230" s="2"/>
      <c r="L1230" s="2"/>
      <c r="M1230" s="2"/>
      <c r="N1230" s="2"/>
      <c r="O1230" s="56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 spans="1:28" x14ac:dyDescent="0.3">
      <c r="A1231" s="2"/>
      <c r="B1231" s="8"/>
      <c r="C1231" s="8"/>
      <c r="D1231" s="8"/>
      <c r="E1231" s="8"/>
      <c r="F1231" s="13"/>
      <c r="G1231" s="59"/>
      <c r="H1231" s="6"/>
      <c r="I1231" s="6"/>
      <c r="J1231" s="2"/>
      <c r="K1231" s="2"/>
      <c r="L1231" s="2"/>
      <c r="M1231" s="2"/>
      <c r="N1231" s="2"/>
      <c r="O1231" s="56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 spans="1:28" x14ac:dyDescent="0.3">
      <c r="A1232" s="2"/>
      <c r="B1232" s="8"/>
      <c r="C1232" s="8"/>
      <c r="D1232" s="8"/>
      <c r="E1232" s="8"/>
      <c r="F1232" s="13"/>
      <c r="G1232" s="59"/>
      <c r="H1232" s="6"/>
      <c r="I1232" s="6"/>
      <c r="J1232" s="2"/>
      <c r="K1232" s="2"/>
      <c r="L1232" s="2"/>
      <c r="M1232" s="2"/>
      <c r="N1232" s="2"/>
      <c r="O1232" s="56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 spans="1:28" x14ac:dyDescent="0.3">
      <c r="A1233" s="2"/>
      <c r="B1233" s="8"/>
      <c r="C1233" s="8"/>
      <c r="D1233" s="8"/>
      <c r="E1233" s="8"/>
      <c r="F1233" s="13"/>
      <c r="G1233" s="59"/>
      <c r="H1233" s="6"/>
      <c r="I1233" s="6"/>
      <c r="J1233" s="2"/>
      <c r="K1233" s="2"/>
      <c r="L1233" s="2"/>
      <c r="M1233" s="2"/>
      <c r="N1233" s="2"/>
      <c r="O1233" s="56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 spans="1:28" x14ac:dyDescent="0.3">
      <c r="A1234" s="2"/>
      <c r="B1234" s="8"/>
      <c r="C1234" s="8"/>
      <c r="D1234" s="8"/>
      <c r="E1234" s="8"/>
      <c r="F1234" s="13"/>
      <c r="G1234" s="59"/>
      <c r="H1234" s="6"/>
      <c r="I1234" s="6"/>
      <c r="J1234" s="2"/>
      <c r="K1234" s="2"/>
      <c r="L1234" s="2"/>
      <c r="M1234" s="2"/>
      <c r="N1234" s="2"/>
      <c r="O1234" s="56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 spans="1:28" x14ac:dyDescent="0.3">
      <c r="A1235" s="2"/>
      <c r="B1235" s="8"/>
      <c r="C1235" s="8"/>
      <c r="D1235" s="8"/>
      <c r="E1235" s="8"/>
      <c r="F1235" s="13"/>
      <c r="G1235" s="59"/>
      <c r="H1235" s="6"/>
      <c r="I1235" s="6"/>
      <c r="J1235" s="2"/>
      <c r="K1235" s="2"/>
      <c r="L1235" s="2"/>
      <c r="M1235" s="2"/>
      <c r="N1235" s="2"/>
      <c r="O1235" s="56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spans="1:28" x14ac:dyDescent="0.3">
      <c r="A1236" s="2"/>
      <c r="B1236" s="8"/>
      <c r="C1236" s="8"/>
      <c r="D1236" s="8"/>
      <c r="E1236" s="8"/>
      <c r="F1236" s="13"/>
      <c r="G1236" s="59"/>
      <c r="H1236" s="6"/>
      <c r="I1236" s="6"/>
      <c r="J1236" s="2"/>
      <c r="K1236" s="2"/>
      <c r="L1236" s="2"/>
      <c r="M1236" s="2"/>
      <c r="N1236" s="2"/>
      <c r="O1236" s="56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 spans="1:28" x14ac:dyDescent="0.3">
      <c r="A1237" s="2"/>
      <c r="B1237" s="8"/>
      <c r="C1237" s="8"/>
      <c r="D1237" s="8"/>
      <c r="E1237" s="8"/>
      <c r="F1237" s="13"/>
      <c r="G1237" s="59"/>
      <c r="H1237" s="6"/>
      <c r="I1237" s="6"/>
      <c r="J1237" s="2"/>
      <c r="K1237" s="2"/>
      <c r="L1237" s="2"/>
      <c r="M1237" s="2"/>
      <c r="N1237" s="2"/>
      <c r="O1237" s="56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 spans="1:28" x14ac:dyDescent="0.3">
      <c r="A1238" s="2"/>
      <c r="B1238" s="8"/>
      <c r="C1238" s="8"/>
      <c r="D1238" s="8"/>
      <c r="E1238" s="8"/>
      <c r="F1238" s="13"/>
      <c r="G1238" s="59"/>
      <c r="H1238" s="6"/>
      <c r="I1238" s="6"/>
      <c r="J1238" s="2"/>
      <c r="K1238" s="2"/>
      <c r="L1238" s="2"/>
      <c r="M1238" s="2"/>
      <c r="N1238" s="2"/>
      <c r="O1238" s="56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 spans="1:28" x14ac:dyDescent="0.3">
      <c r="A1239" s="2"/>
      <c r="B1239" s="8"/>
      <c r="C1239" s="8"/>
      <c r="D1239" s="8"/>
      <c r="E1239" s="8"/>
      <c r="F1239" s="13"/>
      <c r="G1239" s="59"/>
      <c r="H1239" s="6"/>
      <c r="I1239" s="6"/>
      <c r="J1239" s="2"/>
      <c r="K1239" s="2"/>
      <c r="L1239" s="2"/>
      <c r="M1239" s="2"/>
      <c r="N1239" s="2"/>
      <c r="O1239" s="56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 spans="1:28" x14ac:dyDescent="0.3">
      <c r="A1240" s="2"/>
      <c r="B1240" s="8"/>
      <c r="C1240" s="8"/>
      <c r="D1240" s="8"/>
      <c r="E1240" s="8"/>
      <c r="F1240" s="13"/>
      <c r="G1240" s="59"/>
      <c r="H1240" s="6"/>
      <c r="I1240" s="6"/>
      <c r="J1240" s="2"/>
      <c r="K1240" s="2"/>
      <c r="L1240" s="2"/>
      <c r="M1240" s="2"/>
      <c r="N1240" s="2"/>
      <c r="O1240" s="56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 spans="1:28" x14ac:dyDescent="0.3">
      <c r="A1241" s="2"/>
      <c r="B1241" s="8"/>
      <c r="C1241" s="8"/>
      <c r="D1241" s="8"/>
      <c r="E1241" s="8"/>
      <c r="F1241" s="13"/>
      <c r="G1241" s="59"/>
      <c r="H1241" s="6"/>
      <c r="I1241" s="6"/>
      <c r="J1241" s="2"/>
      <c r="K1241" s="2"/>
      <c r="L1241" s="2"/>
      <c r="M1241" s="2"/>
      <c r="N1241" s="2"/>
      <c r="O1241" s="56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 spans="1:28" x14ac:dyDescent="0.3">
      <c r="A1242" s="2"/>
      <c r="B1242" s="8"/>
      <c r="C1242" s="8"/>
      <c r="D1242" s="8"/>
      <c r="E1242" s="8"/>
      <c r="F1242" s="13"/>
      <c r="G1242" s="59"/>
      <c r="H1242" s="6"/>
      <c r="I1242" s="6"/>
      <c r="J1242" s="2"/>
      <c r="K1242" s="2"/>
      <c r="L1242" s="2"/>
      <c r="M1242" s="2"/>
      <c r="N1242" s="2"/>
      <c r="O1242" s="56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 spans="1:28" x14ac:dyDescent="0.3">
      <c r="A1243" s="2"/>
      <c r="B1243" s="8"/>
      <c r="C1243" s="8"/>
      <c r="D1243" s="8"/>
      <c r="E1243" s="8"/>
      <c r="F1243" s="13"/>
      <c r="G1243" s="59"/>
      <c r="H1243" s="6"/>
      <c r="I1243" s="6"/>
      <c r="J1243" s="2"/>
      <c r="K1243" s="2"/>
      <c r="L1243" s="2"/>
      <c r="M1243" s="2"/>
      <c r="N1243" s="2"/>
      <c r="O1243" s="56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 spans="1:28" x14ac:dyDescent="0.3">
      <c r="A1244" s="2"/>
      <c r="B1244" s="8"/>
      <c r="C1244" s="8"/>
      <c r="D1244" s="8"/>
      <c r="E1244" s="8"/>
      <c r="F1244" s="13"/>
      <c r="G1244" s="59"/>
      <c r="H1244" s="6"/>
      <c r="I1244" s="6"/>
      <c r="J1244" s="2"/>
      <c r="K1244" s="2"/>
      <c r="L1244" s="2"/>
      <c r="M1244" s="2"/>
      <c r="N1244" s="2"/>
      <c r="O1244" s="56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 spans="1:28" x14ac:dyDescent="0.3">
      <c r="A1245" s="2"/>
      <c r="B1245" s="8"/>
      <c r="C1245" s="8"/>
      <c r="D1245" s="8"/>
      <c r="E1245" s="8"/>
      <c r="F1245" s="13"/>
      <c r="G1245" s="59"/>
      <c r="H1245" s="6"/>
      <c r="I1245" s="6"/>
      <c r="J1245" s="2"/>
      <c r="K1245" s="2"/>
      <c r="L1245" s="2"/>
      <c r="M1245" s="2"/>
      <c r="N1245" s="2"/>
      <c r="O1245" s="56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 spans="1:28" x14ac:dyDescent="0.3">
      <c r="A1246" s="2"/>
      <c r="B1246" s="8"/>
      <c r="C1246" s="8"/>
      <c r="D1246" s="8"/>
      <c r="E1246" s="8"/>
      <c r="F1246" s="13"/>
      <c r="G1246" s="59"/>
      <c r="H1246" s="6"/>
      <c r="I1246" s="6"/>
      <c r="J1246" s="2"/>
      <c r="K1246" s="2"/>
      <c r="L1246" s="2"/>
      <c r="M1246" s="2"/>
      <c r="N1246" s="2"/>
      <c r="O1246" s="56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 spans="1:28" x14ac:dyDescent="0.3">
      <c r="A1247" s="2"/>
      <c r="B1247" s="8"/>
      <c r="C1247" s="8"/>
      <c r="D1247" s="8"/>
      <c r="E1247" s="8"/>
      <c r="F1247" s="13"/>
      <c r="G1247" s="59"/>
      <c r="H1247" s="6"/>
      <c r="I1247" s="6"/>
      <c r="J1247" s="2"/>
      <c r="K1247" s="2"/>
      <c r="L1247" s="2"/>
      <c r="M1247" s="2"/>
      <c r="N1247" s="2"/>
      <c r="O1247" s="56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 spans="1:28" x14ac:dyDescent="0.3">
      <c r="A1248" s="2"/>
      <c r="B1248" s="8"/>
      <c r="C1248" s="8"/>
      <c r="D1248" s="8"/>
      <c r="E1248" s="8"/>
      <c r="F1248" s="13"/>
      <c r="G1248" s="59"/>
      <c r="H1248" s="6"/>
      <c r="I1248" s="6"/>
      <c r="J1248" s="2"/>
      <c r="K1248" s="2"/>
      <c r="L1248" s="2"/>
      <c r="M1248" s="2"/>
      <c r="N1248" s="2"/>
      <c r="O1248" s="56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 spans="1:28" x14ac:dyDescent="0.3">
      <c r="A1249" s="2"/>
      <c r="B1249" s="8"/>
      <c r="C1249" s="8"/>
      <c r="D1249" s="8"/>
      <c r="E1249" s="8"/>
      <c r="F1249" s="13"/>
      <c r="G1249" s="59"/>
      <c r="H1249" s="6"/>
      <c r="I1249" s="6"/>
      <c r="J1249" s="2"/>
      <c r="K1249" s="2"/>
      <c r="L1249" s="2"/>
      <c r="M1249" s="2"/>
      <c r="N1249" s="2"/>
      <c r="O1249" s="56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 spans="1:28" x14ac:dyDescent="0.3">
      <c r="A1250" s="2"/>
      <c r="B1250" s="8"/>
      <c r="C1250" s="8"/>
      <c r="D1250" s="8"/>
      <c r="E1250" s="8"/>
      <c r="F1250" s="13"/>
      <c r="G1250" s="59"/>
      <c r="H1250" s="6"/>
      <c r="I1250" s="6"/>
      <c r="J1250" s="2"/>
      <c r="K1250" s="2"/>
      <c r="L1250" s="2"/>
      <c r="M1250" s="2"/>
      <c r="N1250" s="2"/>
      <c r="O1250" s="56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 spans="1:28" x14ac:dyDescent="0.3">
      <c r="A1251" s="2"/>
      <c r="B1251" s="8"/>
      <c r="C1251" s="8"/>
      <c r="D1251" s="8"/>
      <c r="E1251" s="8"/>
      <c r="F1251" s="13"/>
      <c r="G1251" s="59"/>
      <c r="H1251" s="6"/>
      <c r="I1251" s="6"/>
      <c r="J1251" s="2"/>
      <c r="K1251" s="2"/>
      <c r="L1251" s="2"/>
      <c r="M1251" s="2"/>
      <c r="N1251" s="2"/>
      <c r="O1251" s="56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 spans="1:28" x14ac:dyDescent="0.3">
      <c r="A1252" s="2"/>
      <c r="B1252" s="8"/>
      <c r="C1252" s="8"/>
      <c r="D1252" s="8"/>
      <c r="E1252" s="8"/>
      <c r="F1252" s="13"/>
      <c r="G1252" s="59"/>
      <c r="H1252" s="6"/>
      <c r="I1252" s="6"/>
      <c r="J1252" s="2"/>
      <c r="K1252" s="2"/>
      <c r="L1252" s="2"/>
      <c r="M1252" s="2"/>
      <c r="N1252" s="2"/>
      <c r="O1252" s="56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 spans="1:28" x14ac:dyDescent="0.3">
      <c r="A1253" s="2"/>
      <c r="B1253" s="8"/>
      <c r="C1253" s="8"/>
      <c r="D1253" s="8"/>
      <c r="E1253" s="8"/>
      <c r="F1253" s="13"/>
      <c r="G1253" s="59"/>
      <c r="H1253" s="6"/>
      <c r="I1253" s="6"/>
      <c r="J1253" s="2"/>
      <c r="K1253" s="2"/>
      <c r="L1253" s="2"/>
      <c r="M1253" s="2"/>
      <c r="N1253" s="2"/>
      <c r="O1253" s="56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 spans="1:28" x14ac:dyDescent="0.3">
      <c r="A1254" s="2"/>
      <c r="B1254" s="8"/>
      <c r="C1254" s="8"/>
      <c r="D1254" s="8"/>
      <c r="E1254" s="8"/>
      <c r="F1254" s="13"/>
      <c r="G1254" s="59"/>
      <c r="H1254" s="6"/>
      <c r="I1254" s="6"/>
      <c r="J1254" s="2"/>
      <c r="K1254" s="2"/>
      <c r="L1254" s="2"/>
      <c r="M1254" s="2"/>
      <c r="N1254" s="2"/>
      <c r="O1254" s="56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 spans="1:28" x14ac:dyDescent="0.3">
      <c r="A1255" s="2"/>
      <c r="B1255" s="8"/>
      <c r="C1255" s="8"/>
      <c r="D1255" s="8"/>
      <c r="E1255" s="8"/>
      <c r="F1255" s="13"/>
      <c r="G1255" s="59"/>
      <c r="H1255" s="6"/>
      <c r="I1255" s="6"/>
      <c r="J1255" s="2"/>
      <c r="K1255" s="2"/>
      <c r="L1255" s="2"/>
      <c r="M1255" s="2"/>
      <c r="N1255" s="2"/>
      <c r="O1255" s="56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 spans="1:28" x14ac:dyDescent="0.3">
      <c r="A1256" s="2"/>
      <c r="B1256" s="8"/>
      <c r="C1256" s="8"/>
      <c r="D1256" s="8"/>
      <c r="E1256" s="8"/>
      <c r="F1256" s="13"/>
      <c r="G1256" s="59"/>
      <c r="H1256" s="6"/>
      <c r="I1256" s="6"/>
      <c r="J1256" s="2"/>
      <c r="K1256" s="2"/>
      <c r="L1256" s="2"/>
      <c r="M1256" s="2"/>
      <c r="N1256" s="2"/>
      <c r="O1256" s="56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 spans="1:28" x14ac:dyDescent="0.3">
      <c r="A1257" s="2"/>
      <c r="B1257" s="8"/>
      <c r="C1257" s="8"/>
      <c r="D1257" s="8"/>
      <c r="E1257" s="8"/>
      <c r="F1257" s="13"/>
      <c r="G1257" s="59"/>
      <c r="H1257" s="6"/>
      <c r="I1257" s="6"/>
      <c r="J1257" s="2"/>
      <c r="K1257" s="2"/>
      <c r="L1257" s="2"/>
      <c r="M1257" s="2"/>
      <c r="N1257" s="2"/>
      <c r="O1257" s="56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 spans="1:28" x14ac:dyDescent="0.3">
      <c r="A1258" s="2"/>
      <c r="B1258" s="8"/>
      <c r="C1258" s="8"/>
      <c r="D1258" s="8"/>
      <c r="E1258" s="8"/>
      <c r="F1258" s="13"/>
      <c r="G1258" s="59"/>
      <c r="H1258" s="6"/>
      <c r="I1258" s="6"/>
      <c r="J1258" s="2"/>
      <c r="K1258" s="2"/>
      <c r="L1258" s="2"/>
      <c r="M1258" s="2"/>
      <c r="N1258" s="2"/>
      <c r="O1258" s="56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 spans="1:28" x14ac:dyDescent="0.3">
      <c r="A1259" s="2"/>
      <c r="B1259" s="8"/>
      <c r="C1259" s="8"/>
      <c r="D1259" s="8"/>
      <c r="E1259" s="8"/>
      <c r="F1259" s="13"/>
      <c r="G1259" s="59"/>
      <c r="H1259" s="6"/>
      <c r="I1259" s="6"/>
      <c r="J1259" s="2"/>
      <c r="K1259" s="2"/>
      <c r="L1259" s="2"/>
      <c r="M1259" s="2"/>
      <c r="N1259" s="2"/>
      <c r="O1259" s="56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 spans="1:28" x14ac:dyDescent="0.3">
      <c r="A1260" s="2"/>
      <c r="B1260" s="8"/>
      <c r="C1260" s="8"/>
      <c r="D1260" s="8"/>
      <c r="E1260" s="8"/>
      <c r="F1260" s="13"/>
      <c r="G1260" s="59"/>
      <c r="H1260" s="6"/>
      <c r="I1260" s="6"/>
      <c r="J1260" s="2"/>
      <c r="K1260" s="2"/>
      <c r="L1260" s="2"/>
      <c r="M1260" s="2"/>
      <c r="N1260" s="2"/>
      <c r="O1260" s="56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 spans="1:28" x14ac:dyDescent="0.3">
      <c r="A1261" s="2"/>
      <c r="B1261" s="8"/>
      <c r="C1261" s="8"/>
      <c r="D1261" s="8"/>
      <c r="E1261" s="8"/>
      <c r="F1261" s="13"/>
      <c r="G1261" s="59"/>
      <c r="H1261" s="6"/>
      <c r="I1261" s="6"/>
      <c r="J1261" s="2"/>
      <c r="K1261" s="2"/>
      <c r="L1261" s="2"/>
      <c r="M1261" s="2"/>
      <c r="N1261" s="2"/>
      <c r="O1261" s="56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 spans="1:28" x14ac:dyDescent="0.3">
      <c r="A1262" s="2"/>
      <c r="B1262" s="8"/>
      <c r="C1262" s="8"/>
      <c r="D1262" s="8"/>
      <c r="E1262" s="8"/>
      <c r="F1262" s="13"/>
      <c r="G1262" s="59"/>
      <c r="H1262" s="6"/>
      <c r="I1262" s="6"/>
      <c r="J1262" s="2"/>
      <c r="K1262" s="2"/>
      <c r="L1262" s="2"/>
      <c r="M1262" s="2"/>
      <c r="N1262" s="2"/>
      <c r="O1262" s="56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 spans="1:28" x14ac:dyDescent="0.3">
      <c r="A1263" s="2"/>
      <c r="B1263" s="8"/>
      <c r="C1263" s="8"/>
      <c r="D1263" s="8"/>
      <c r="E1263" s="8"/>
      <c r="F1263" s="13"/>
      <c r="G1263" s="59"/>
      <c r="H1263" s="6"/>
      <c r="I1263" s="6"/>
      <c r="J1263" s="2"/>
      <c r="K1263" s="2"/>
      <c r="L1263" s="2"/>
      <c r="M1263" s="2"/>
      <c r="N1263" s="2"/>
      <c r="O1263" s="56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 spans="1:28" x14ac:dyDescent="0.3">
      <c r="A1264" s="2"/>
      <c r="B1264" s="8"/>
      <c r="C1264" s="8"/>
      <c r="D1264" s="8"/>
      <c r="E1264" s="8"/>
      <c r="F1264" s="13"/>
      <c r="G1264" s="59"/>
      <c r="H1264" s="6"/>
      <c r="I1264" s="6"/>
      <c r="J1264" s="2"/>
      <c r="K1264" s="2"/>
      <c r="L1264" s="2"/>
      <c r="M1264" s="2"/>
      <c r="N1264" s="2"/>
      <c r="O1264" s="56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 spans="1:28" x14ac:dyDescent="0.3">
      <c r="A1265" s="2"/>
      <c r="B1265" s="8"/>
      <c r="C1265" s="8"/>
      <c r="D1265" s="8"/>
      <c r="E1265" s="8"/>
      <c r="F1265" s="13"/>
      <c r="G1265" s="59"/>
      <c r="H1265" s="6"/>
      <c r="I1265" s="6"/>
      <c r="J1265" s="2"/>
      <c r="K1265" s="2"/>
      <c r="L1265" s="2"/>
      <c r="M1265" s="2"/>
      <c r="N1265" s="2"/>
      <c r="O1265" s="56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spans="1:28" x14ac:dyDescent="0.3">
      <c r="A1266" s="2"/>
      <c r="B1266" s="8"/>
      <c r="C1266" s="8"/>
      <c r="D1266" s="8"/>
      <c r="E1266" s="8"/>
      <c r="F1266" s="13"/>
      <c r="G1266" s="59"/>
      <c r="H1266" s="6"/>
      <c r="I1266" s="6"/>
      <c r="J1266" s="2"/>
      <c r="K1266" s="2"/>
      <c r="L1266" s="2"/>
      <c r="M1266" s="2"/>
      <c r="N1266" s="2"/>
      <c r="O1266" s="56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 spans="1:28" x14ac:dyDescent="0.3">
      <c r="A1267" s="2"/>
      <c r="B1267" s="8"/>
      <c r="C1267" s="8"/>
      <c r="D1267" s="8"/>
      <c r="E1267" s="8"/>
      <c r="F1267" s="13"/>
      <c r="G1267" s="59"/>
      <c r="H1267" s="6"/>
      <c r="I1267" s="6"/>
      <c r="J1267" s="2"/>
      <c r="K1267" s="2"/>
      <c r="L1267" s="2"/>
      <c r="M1267" s="2"/>
      <c r="N1267" s="2"/>
      <c r="O1267" s="56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 spans="1:28" x14ac:dyDescent="0.3">
      <c r="A1268" s="2"/>
      <c r="B1268" s="8"/>
      <c r="C1268" s="8"/>
      <c r="D1268" s="8"/>
      <c r="E1268" s="8"/>
      <c r="F1268" s="13"/>
      <c r="G1268" s="59"/>
      <c r="H1268" s="6"/>
      <c r="I1268" s="6"/>
      <c r="J1268" s="2"/>
      <c r="K1268" s="2"/>
      <c r="L1268" s="2"/>
      <c r="M1268" s="2"/>
      <c r="N1268" s="2"/>
      <c r="O1268" s="56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 spans="1:28" x14ac:dyDescent="0.3">
      <c r="A1269" s="2"/>
      <c r="B1269" s="8"/>
      <c r="C1269" s="8"/>
      <c r="D1269" s="8"/>
      <c r="E1269" s="8"/>
      <c r="F1269" s="13"/>
      <c r="G1269" s="59"/>
      <c r="H1269" s="6"/>
      <c r="I1269" s="6"/>
      <c r="J1269" s="2"/>
      <c r="K1269" s="2"/>
      <c r="L1269" s="2"/>
      <c r="M1269" s="2"/>
      <c r="N1269" s="2"/>
      <c r="O1269" s="56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 spans="1:28" x14ac:dyDescent="0.3">
      <c r="A1270" s="2"/>
      <c r="B1270" s="8"/>
      <c r="C1270" s="8"/>
      <c r="D1270" s="8"/>
      <c r="E1270" s="8"/>
      <c r="F1270" s="13"/>
      <c r="G1270" s="59"/>
      <c r="H1270" s="6"/>
      <c r="I1270" s="6"/>
      <c r="J1270" s="2"/>
      <c r="K1270" s="2"/>
      <c r="L1270" s="2"/>
      <c r="M1270" s="2"/>
      <c r="N1270" s="2"/>
      <c r="O1270" s="56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 spans="1:28" x14ac:dyDescent="0.3">
      <c r="A1271" s="2"/>
      <c r="B1271" s="8"/>
      <c r="C1271" s="8"/>
      <c r="D1271" s="8"/>
      <c r="E1271" s="8"/>
      <c r="F1271" s="13"/>
      <c r="G1271" s="59"/>
      <c r="H1271" s="6"/>
      <c r="I1271" s="6"/>
      <c r="J1271" s="2"/>
      <c r="K1271" s="2"/>
      <c r="L1271" s="2"/>
      <c r="M1271" s="2"/>
      <c r="N1271" s="2"/>
      <c r="O1271" s="56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 spans="1:28" x14ac:dyDescent="0.3">
      <c r="A1272" s="2"/>
      <c r="B1272" s="8"/>
      <c r="C1272" s="8"/>
      <c r="D1272" s="8"/>
      <c r="E1272" s="8"/>
      <c r="F1272" s="13"/>
      <c r="G1272" s="59"/>
      <c r="H1272" s="6"/>
      <c r="I1272" s="6"/>
      <c r="J1272" s="2"/>
      <c r="K1272" s="2"/>
      <c r="L1272" s="2"/>
      <c r="M1272" s="2"/>
      <c r="N1272" s="2"/>
      <c r="O1272" s="56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 spans="1:28" x14ac:dyDescent="0.3">
      <c r="A1273" s="2"/>
      <c r="B1273" s="8"/>
      <c r="C1273" s="8"/>
      <c r="D1273" s="8"/>
      <c r="E1273" s="8"/>
      <c r="F1273" s="13"/>
      <c r="G1273" s="59"/>
      <c r="H1273" s="6"/>
      <c r="I1273" s="6"/>
      <c r="J1273" s="2"/>
      <c r="K1273" s="2"/>
      <c r="L1273" s="2"/>
      <c r="M1273" s="2"/>
      <c r="N1273" s="2"/>
      <c r="O1273" s="56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 spans="1:28" x14ac:dyDescent="0.3">
      <c r="A1274" s="2"/>
      <c r="B1274" s="8"/>
      <c r="C1274" s="8"/>
      <c r="D1274" s="8"/>
      <c r="E1274" s="8"/>
      <c r="F1274" s="13"/>
      <c r="G1274" s="59"/>
      <c r="H1274" s="6"/>
      <c r="I1274" s="6"/>
      <c r="J1274" s="2"/>
      <c r="K1274" s="2"/>
      <c r="L1274" s="2"/>
      <c r="M1274" s="2"/>
      <c r="N1274" s="2"/>
      <c r="O1274" s="56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 spans="1:28" x14ac:dyDescent="0.3">
      <c r="A1275" s="2"/>
      <c r="B1275" s="8"/>
      <c r="C1275" s="8"/>
      <c r="D1275" s="8"/>
      <c r="E1275" s="8"/>
      <c r="F1275" s="13"/>
      <c r="G1275" s="59"/>
      <c r="H1275" s="6"/>
      <c r="I1275" s="6"/>
      <c r="J1275" s="2"/>
      <c r="K1275" s="2"/>
      <c r="L1275" s="2"/>
      <c r="M1275" s="2"/>
      <c r="N1275" s="2"/>
      <c r="O1275" s="56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 spans="1:28" x14ac:dyDescent="0.3">
      <c r="A1276" s="2"/>
      <c r="B1276" s="8"/>
      <c r="C1276" s="8"/>
      <c r="D1276" s="8"/>
      <c r="E1276" s="8"/>
      <c r="F1276" s="13"/>
      <c r="G1276" s="59"/>
      <c r="H1276" s="6"/>
      <c r="I1276" s="6"/>
      <c r="J1276" s="2"/>
      <c r="K1276" s="2"/>
      <c r="L1276" s="2"/>
      <c r="M1276" s="2"/>
      <c r="N1276" s="2"/>
      <c r="O1276" s="56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 spans="1:28" x14ac:dyDescent="0.3">
      <c r="A1277" s="2"/>
      <c r="B1277" s="8"/>
      <c r="C1277" s="8"/>
      <c r="D1277" s="8"/>
      <c r="E1277" s="8"/>
      <c r="F1277" s="13"/>
      <c r="G1277" s="59"/>
      <c r="H1277" s="6"/>
      <c r="I1277" s="6"/>
      <c r="J1277" s="2"/>
      <c r="K1277" s="2"/>
      <c r="L1277" s="2"/>
      <c r="M1277" s="2"/>
      <c r="N1277" s="2"/>
      <c r="O1277" s="56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 spans="1:28" x14ac:dyDescent="0.3">
      <c r="A1278" s="2"/>
      <c r="B1278" s="8"/>
      <c r="C1278" s="8"/>
      <c r="D1278" s="8"/>
      <c r="E1278" s="8"/>
      <c r="F1278" s="13"/>
      <c r="G1278" s="59"/>
      <c r="H1278" s="6"/>
      <c r="I1278" s="6"/>
      <c r="J1278" s="2"/>
      <c r="K1278" s="2"/>
      <c r="L1278" s="2"/>
      <c r="M1278" s="2"/>
      <c r="N1278" s="2"/>
      <c r="O1278" s="56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 spans="1:28" x14ac:dyDescent="0.3">
      <c r="A1279" s="2"/>
      <c r="B1279" s="8"/>
      <c r="C1279" s="8"/>
      <c r="D1279" s="8"/>
      <c r="E1279" s="8"/>
      <c r="F1279" s="13"/>
      <c r="G1279" s="59"/>
      <c r="H1279" s="6"/>
      <c r="I1279" s="6"/>
      <c r="J1279" s="2"/>
      <c r="K1279" s="2"/>
      <c r="L1279" s="2"/>
      <c r="M1279" s="2"/>
      <c r="N1279" s="2"/>
      <c r="O1279" s="56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 spans="1:28" x14ac:dyDescent="0.3">
      <c r="A1280" s="2"/>
      <c r="B1280" s="8"/>
      <c r="C1280" s="8"/>
      <c r="D1280" s="8"/>
      <c r="E1280" s="8"/>
      <c r="F1280" s="13"/>
      <c r="G1280" s="59"/>
      <c r="H1280" s="6"/>
      <c r="I1280" s="6"/>
      <c r="J1280" s="2"/>
      <c r="K1280" s="2"/>
      <c r="L1280" s="2"/>
      <c r="M1280" s="2"/>
      <c r="N1280" s="2"/>
      <c r="O1280" s="56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 spans="1:28" x14ac:dyDescent="0.3">
      <c r="A1281" s="2"/>
      <c r="B1281" s="8"/>
      <c r="C1281" s="8"/>
      <c r="D1281" s="8"/>
      <c r="E1281" s="8"/>
      <c r="F1281" s="13"/>
      <c r="G1281" s="59"/>
      <c r="H1281" s="6"/>
      <c r="I1281" s="6"/>
      <c r="J1281" s="2"/>
      <c r="K1281" s="2"/>
      <c r="L1281" s="2"/>
      <c r="M1281" s="2"/>
      <c r="N1281" s="2"/>
      <c r="O1281" s="56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 spans="1:28" x14ac:dyDescent="0.3">
      <c r="A1282" s="2"/>
      <c r="B1282" s="8"/>
      <c r="C1282" s="8"/>
      <c r="D1282" s="8"/>
      <c r="E1282" s="8"/>
      <c r="F1282" s="13"/>
      <c r="G1282" s="59"/>
      <c r="H1282" s="6"/>
      <c r="I1282" s="6"/>
      <c r="J1282" s="2"/>
      <c r="K1282" s="2"/>
      <c r="L1282" s="2"/>
      <c r="M1282" s="2"/>
      <c r="N1282" s="2"/>
      <c r="O1282" s="56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 spans="1:28" x14ac:dyDescent="0.3">
      <c r="A1283" s="2"/>
      <c r="B1283" s="8"/>
      <c r="C1283" s="8"/>
      <c r="D1283" s="8"/>
      <c r="E1283" s="8"/>
      <c r="F1283" s="13"/>
      <c r="G1283" s="59"/>
      <c r="H1283" s="6"/>
      <c r="I1283" s="6"/>
      <c r="J1283" s="2"/>
      <c r="K1283" s="2"/>
      <c r="L1283" s="2"/>
      <c r="M1283" s="2"/>
      <c r="N1283" s="2"/>
      <c r="O1283" s="56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 spans="1:28" x14ac:dyDescent="0.3">
      <c r="A1284" s="2"/>
      <c r="B1284" s="8"/>
      <c r="C1284" s="8"/>
      <c r="D1284" s="8"/>
      <c r="E1284" s="8"/>
      <c r="F1284" s="13"/>
      <c r="G1284" s="59"/>
      <c r="H1284" s="6"/>
      <c r="I1284" s="6"/>
      <c r="J1284" s="2"/>
      <c r="K1284" s="2"/>
      <c r="L1284" s="2"/>
      <c r="M1284" s="2"/>
      <c r="N1284" s="2"/>
      <c r="O1284" s="56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 spans="1:28" x14ac:dyDescent="0.3">
      <c r="A1285" s="2"/>
      <c r="B1285" s="8"/>
      <c r="C1285" s="8"/>
      <c r="D1285" s="8"/>
      <c r="E1285" s="8"/>
      <c r="F1285" s="13"/>
      <c r="G1285" s="59"/>
      <c r="H1285" s="6"/>
      <c r="I1285" s="6"/>
      <c r="J1285" s="2"/>
      <c r="K1285" s="2"/>
      <c r="L1285" s="2"/>
      <c r="M1285" s="2"/>
      <c r="N1285" s="2"/>
      <c r="O1285" s="56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 spans="1:28" x14ac:dyDescent="0.3">
      <c r="A1286" s="2"/>
      <c r="B1286" s="8"/>
      <c r="C1286" s="8"/>
      <c r="D1286" s="8"/>
      <c r="E1286" s="8"/>
      <c r="F1286" s="13"/>
      <c r="G1286" s="59"/>
      <c r="H1286" s="6"/>
      <c r="I1286" s="6"/>
      <c r="J1286" s="2"/>
      <c r="K1286" s="2"/>
      <c r="L1286" s="2"/>
      <c r="M1286" s="2"/>
      <c r="N1286" s="2"/>
      <c r="O1286" s="56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 spans="1:28" x14ac:dyDescent="0.3">
      <c r="A1287" s="2"/>
      <c r="B1287" s="8"/>
      <c r="C1287" s="8"/>
      <c r="D1287" s="8"/>
      <c r="E1287" s="8"/>
      <c r="F1287" s="13"/>
      <c r="G1287" s="59"/>
      <c r="H1287" s="6"/>
      <c r="I1287" s="6"/>
      <c r="J1287" s="2"/>
      <c r="K1287" s="2"/>
      <c r="L1287" s="2"/>
      <c r="M1287" s="2"/>
      <c r="N1287" s="2"/>
      <c r="O1287" s="56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 spans="1:28" x14ac:dyDescent="0.3">
      <c r="A1288" s="2"/>
      <c r="B1288" s="8"/>
      <c r="C1288" s="8"/>
      <c r="D1288" s="8"/>
      <c r="E1288" s="8"/>
      <c r="F1288" s="13"/>
      <c r="G1288" s="59"/>
      <c r="H1288" s="6"/>
      <c r="I1288" s="6"/>
      <c r="J1288" s="2"/>
      <c r="K1288" s="2"/>
      <c r="L1288" s="2"/>
      <c r="M1288" s="2"/>
      <c r="N1288" s="2"/>
      <c r="O1288" s="56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 spans="1:28" x14ac:dyDescent="0.3">
      <c r="A1289" s="2"/>
      <c r="B1289" s="8"/>
      <c r="C1289" s="8"/>
      <c r="D1289" s="8"/>
      <c r="E1289" s="8"/>
      <c r="F1289" s="13"/>
      <c r="G1289" s="59"/>
      <c r="H1289" s="6"/>
      <c r="I1289" s="6"/>
      <c r="J1289" s="2"/>
      <c r="K1289" s="2"/>
      <c r="L1289" s="2"/>
      <c r="M1289" s="2"/>
      <c r="N1289" s="2"/>
      <c r="O1289" s="56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 spans="1:28" x14ac:dyDescent="0.3">
      <c r="A1290" s="2"/>
      <c r="B1290" s="8"/>
      <c r="C1290" s="8"/>
      <c r="D1290" s="8"/>
      <c r="E1290" s="8"/>
      <c r="F1290" s="13"/>
      <c r="G1290" s="59"/>
      <c r="H1290" s="6"/>
      <c r="I1290" s="6"/>
      <c r="J1290" s="2"/>
      <c r="K1290" s="2"/>
      <c r="L1290" s="2"/>
      <c r="M1290" s="2"/>
      <c r="N1290" s="2"/>
      <c r="O1290" s="56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 spans="1:28" x14ac:dyDescent="0.3">
      <c r="A1291" s="2"/>
      <c r="B1291" s="8"/>
      <c r="C1291" s="8"/>
      <c r="D1291" s="8"/>
      <c r="E1291" s="8"/>
      <c r="F1291" s="13"/>
      <c r="G1291" s="59"/>
      <c r="H1291" s="6"/>
      <c r="I1291" s="6"/>
      <c r="J1291" s="2"/>
      <c r="K1291" s="2"/>
      <c r="L1291" s="2"/>
      <c r="M1291" s="2"/>
      <c r="N1291" s="2"/>
      <c r="O1291" s="56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 spans="1:28" x14ac:dyDescent="0.3">
      <c r="A1292" s="2"/>
      <c r="B1292" s="8"/>
      <c r="C1292" s="8"/>
      <c r="D1292" s="8"/>
      <c r="E1292" s="8"/>
      <c r="F1292" s="13"/>
      <c r="G1292" s="59"/>
      <c r="H1292" s="6"/>
      <c r="I1292" s="6"/>
      <c r="J1292" s="2"/>
      <c r="K1292" s="2"/>
      <c r="L1292" s="2"/>
      <c r="M1292" s="2"/>
      <c r="N1292" s="2"/>
      <c r="O1292" s="56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 spans="1:28" x14ac:dyDescent="0.3">
      <c r="A1293" s="2"/>
      <c r="B1293" s="8"/>
      <c r="C1293" s="8"/>
      <c r="D1293" s="8"/>
      <c r="E1293" s="8"/>
      <c r="F1293" s="13"/>
      <c r="G1293" s="59"/>
      <c r="H1293" s="6"/>
      <c r="I1293" s="6"/>
      <c r="J1293" s="2"/>
      <c r="K1293" s="2"/>
      <c r="L1293" s="2"/>
      <c r="M1293" s="2"/>
      <c r="N1293" s="2"/>
      <c r="O1293" s="56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 spans="1:28" x14ac:dyDescent="0.3">
      <c r="A1294" s="2"/>
      <c r="B1294" s="8"/>
      <c r="C1294" s="8"/>
      <c r="D1294" s="8"/>
      <c r="E1294" s="8"/>
      <c r="F1294" s="13"/>
      <c r="G1294" s="59"/>
      <c r="H1294" s="6"/>
      <c r="I1294" s="6"/>
      <c r="J1294" s="2"/>
      <c r="K1294" s="2"/>
      <c r="L1294" s="2"/>
      <c r="M1294" s="2"/>
      <c r="N1294" s="2"/>
      <c r="O1294" s="56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 spans="1:28" x14ac:dyDescent="0.3">
      <c r="A1295" s="2"/>
      <c r="B1295" s="8"/>
      <c r="C1295" s="8"/>
      <c r="D1295" s="8"/>
      <c r="E1295" s="8"/>
      <c r="F1295" s="13"/>
      <c r="G1295" s="59"/>
      <c r="H1295" s="6"/>
      <c r="I1295" s="6"/>
      <c r="J1295" s="2"/>
      <c r="K1295" s="2"/>
      <c r="L1295" s="2"/>
      <c r="M1295" s="2"/>
      <c r="N1295" s="2"/>
      <c r="O1295" s="56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 spans="1:28" x14ac:dyDescent="0.3">
      <c r="A1296" s="2"/>
      <c r="B1296" s="8"/>
      <c r="C1296" s="8"/>
      <c r="D1296" s="8"/>
      <c r="E1296" s="8"/>
      <c r="F1296" s="13"/>
      <c r="G1296" s="59"/>
      <c r="H1296" s="6"/>
      <c r="I1296" s="6"/>
      <c r="J1296" s="2"/>
      <c r="K1296" s="2"/>
      <c r="L1296" s="2"/>
      <c r="M1296" s="2"/>
      <c r="N1296" s="2"/>
      <c r="O1296" s="56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 spans="1:28" x14ac:dyDescent="0.3">
      <c r="A1297" s="2"/>
      <c r="B1297" s="8"/>
      <c r="C1297" s="8"/>
      <c r="D1297" s="8"/>
      <c r="E1297" s="8"/>
      <c r="F1297" s="13"/>
      <c r="G1297" s="59"/>
      <c r="H1297" s="6"/>
      <c r="I1297" s="6"/>
      <c r="J1297" s="2"/>
      <c r="K1297" s="2"/>
      <c r="L1297" s="2"/>
      <c r="M1297" s="2"/>
      <c r="N1297" s="2"/>
      <c r="O1297" s="56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 spans="1:28" x14ac:dyDescent="0.3">
      <c r="A1298" s="2"/>
      <c r="B1298" s="8"/>
      <c r="C1298" s="8"/>
      <c r="D1298" s="8"/>
      <c r="E1298" s="8"/>
      <c r="F1298" s="13"/>
      <c r="G1298" s="59"/>
      <c r="H1298" s="6"/>
      <c r="I1298" s="6"/>
      <c r="J1298" s="2"/>
      <c r="K1298" s="2"/>
      <c r="L1298" s="2"/>
      <c r="M1298" s="2"/>
      <c r="N1298" s="2"/>
      <c r="O1298" s="56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 spans="1:28" x14ac:dyDescent="0.3">
      <c r="A1299" s="2"/>
      <c r="B1299" s="8"/>
      <c r="C1299" s="8"/>
      <c r="D1299" s="8"/>
      <c r="E1299" s="8"/>
      <c r="F1299" s="13"/>
      <c r="G1299" s="59"/>
      <c r="H1299" s="6"/>
      <c r="I1299" s="6"/>
      <c r="J1299" s="2"/>
      <c r="K1299" s="2"/>
      <c r="L1299" s="2"/>
      <c r="M1299" s="2"/>
      <c r="N1299" s="2"/>
      <c r="O1299" s="56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 spans="1:28" x14ac:dyDescent="0.3">
      <c r="A1300" s="2"/>
      <c r="B1300" s="8"/>
      <c r="C1300" s="8"/>
      <c r="D1300" s="8"/>
      <c r="E1300" s="8"/>
      <c r="F1300" s="13"/>
      <c r="G1300" s="59"/>
      <c r="H1300" s="6"/>
      <c r="I1300" s="6"/>
      <c r="J1300" s="2"/>
      <c r="K1300" s="2"/>
      <c r="L1300" s="2"/>
      <c r="M1300" s="2"/>
      <c r="N1300" s="2"/>
      <c r="O1300" s="56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 spans="1:28" x14ac:dyDescent="0.3">
      <c r="A1301" s="2"/>
      <c r="B1301" s="8"/>
      <c r="C1301" s="8"/>
      <c r="D1301" s="8"/>
      <c r="E1301" s="8"/>
      <c r="F1301" s="13"/>
      <c r="G1301" s="59"/>
      <c r="H1301" s="6"/>
      <c r="I1301" s="6"/>
      <c r="J1301" s="2"/>
      <c r="K1301" s="2"/>
      <c r="L1301" s="2"/>
      <c r="M1301" s="2"/>
      <c r="N1301" s="2"/>
      <c r="O1301" s="56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 spans="1:28" x14ac:dyDescent="0.3">
      <c r="A1302" s="2"/>
      <c r="B1302" s="8"/>
      <c r="C1302" s="8"/>
      <c r="D1302" s="8"/>
      <c r="E1302" s="8"/>
      <c r="F1302" s="13"/>
      <c r="G1302" s="59"/>
      <c r="H1302" s="6"/>
      <c r="I1302" s="6"/>
      <c r="J1302" s="2"/>
      <c r="K1302" s="2"/>
      <c r="L1302" s="2"/>
      <c r="M1302" s="2"/>
      <c r="N1302" s="2"/>
      <c r="O1302" s="56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 spans="1:28" x14ac:dyDescent="0.3">
      <c r="A1303" s="2"/>
      <c r="B1303" s="8"/>
      <c r="C1303" s="8"/>
      <c r="D1303" s="8"/>
      <c r="E1303" s="8"/>
      <c r="F1303" s="13"/>
      <c r="G1303" s="59"/>
      <c r="H1303" s="6"/>
      <c r="I1303" s="6"/>
      <c r="J1303" s="2"/>
      <c r="K1303" s="2"/>
      <c r="L1303" s="2"/>
      <c r="M1303" s="2"/>
      <c r="N1303" s="2"/>
      <c r="O1303" s="56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 spans="1:28" x14ac:dyDescent="0.3">
      <c r="A1304" s="2"/>
      <c r="B1304" s="8"/>
      <c r="C1304" s="8"/>
      <c r="D1304" s="8"/>
      <c r="E1304" s="8"/>
      <c r="F1304" s="13"/>
      <c r="G1304" s="59"/>
      <c r="H1304" s="6"/>
      <c r="I1304" s="6"/>
      <c r="J1304" s="2"/>
      <c r="K1304" s="2"/>
      <c r="L1304" s="2"/>
      <c r="M1304" s="2"/>
      <c r="N1304" s="2"/>
      <c r="O1304" s="56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 spans="1:28" x14ac:dyDescent="0.3">
      <c r="A1305" s="2"/>
      <c r="B1305" s="8"/>
      <c r="C1305" s="8"/>
      <c r="D1305" s="8"/>
      <c r="E1305" s="8"/>
      <c r="F1305" s="13"/>
      <c r="G1305" s="59"/>
      <c r="H1305" s="6"/>
      <c r="I1305" s="6"/>
      <c r="J1305" s="2"/>
      <c r="K1305" s="2"/>
      <c r="L1305" s="2"/>
      <c r="M1305" s="2"/>
      <c r="N1305" s="2"/>
      <c r="O1305" s="56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 spans="1:28" x14ac:dyDescent="0.3">
      <c r="A1306" s="2"/>
      <c r="B1306" s="8"/>
      <c r="C1306" s="8"/>
      <c r="D1306" s="8"/>
      <c r="E1306" s="8"/>
      <c r="F1306" s="13"/>
      <c r="G1306" s="59"/>
      <c r="H1306" s="6"/>
      <c r="I1306" s="6"/>
      <c r="J1306" s="2"/>
      <c r="K1306" s="2"/>
      <c r="L1306" s="2"/>
      <c r="M1306" s="2"/>
      <c r="N1306" s="2"/>
      <c r="O1306" s="56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 spans="1:28" x14ac:dyDescent="0.3">
      <c r="A1307" s="2"/>
      <c r="B1307" s="8"/>
      <c r="C1307" s="8"/>
      <c r="D1307" s="8"/>
      <c r="E1307" s="8"/>
      <c r="F1307" s="13"/>
      <c r="G1307" s="59"/>
      <c r="H1307" s="6"/>
      <c r="I1307" s="6"/>
      <c r="J1307" s="2"/>
      <c r="K1307" s="2"/>
      <c r="L1307" s="2"/>
      <c r="M1307" s="2"/>
      <c r="N1307" s="2"/>
      <c r="O1307" s="56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 spans="1:28" x14ac:dyDescent="0.3">
      <c r="A1308" s="2"/>
      <c r="B1308" s="8"/>
      <c r="C1308" s="8"/>
      <c r="D1308" s="8"/>
      <c r="E1308" s="8"/>
      <c r="F1308" s="13"/>
      <c r="G1308" s="59"/>
      <c r="H1308" s="6"/>
      <c r="I1308" s="6"/>
      <c r="J1308" s="2"/>
      <c r="K1308" s="2"/>
      <c r="L1308" s="2"/>
      <c r="M1308" s="2"/>
      <c r="N1308" s="2"/>
      <c r="O1308" s="56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 spans="1:28" x14ac:dyDescent="0.3">
      <c r="A1309" s="2"/>
      <c r="B1309" s="8"/>
      <c r="C1309" s="8"/>
      <c r="D1309" s="8"/>
      <c r="E1309" s="8"/>
      <c r="F1309" s="13"/>
      <c r="G1309" s="59"/>
      <c r="H1309" s="6"/>
      <c r="I1309" s="6"/>
      <c r="J1309" s="2"/>
      <c r="K1309" s="2"/>
      <c r="L1309" s="2"/>
      <c r="M1309" s="2"/>
      <c r="N1309" s="2"/>
      <c r="O1309" s="56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 spans="1:28" x14ac:dyDescent="0.3">
      <c r="A1310" s="2"/>
      <c r="B1310" s="8"/>
      <c r="C1310" s="8"/>
      <c r="D1310" s="8"/>
      <c r="E1310" s="8"/>
      <c r="F1310" s="13"/>
      <c r="G1310" s="59"/>
      <c r="H1310" s="6"/>
      <c r="I1310" s="6"/>
      <c r="J1310" s="2"/>
      <c r="K1310" s="2"/>
      <c r="L1310" s="2"/>
      <c r="M1310" s="2"/>
      <c r="N1310" s="2"/>
      <c r="O1310" s="56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 spans="1:28" x14ac:dyDescent="0.3">
      <c r="A1311" s="2"/>
      <c r="B1311" s="8"/>
      <c r="C1311" s="8"/>
      <c r="D1311" s="8"/>
      <c r="E1311" s="8"/>
      <c r="F1311" s="13"/>
      <c r="G1311" s="59"/>
      <c r="H1311" s="6"/>
      <c r="I1311" s="6"/>
      <c r="J1311" s="2"/>
      <c r="K1311" s="2"/>
      <c r="L1311" s="2"/>
      <c r="M1311" s="2"/>
      <c r="N1311" s="2"/>
      <c r="O1311" s="56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 spans="1:28" x14ac:dyDescent="0.3">
      <c r="A1312" s="2"/>
      <c r="B1312" s="8"/>
      <c r="C1312" s="8"/>
      <c r="D1312" s="8"/>
      <c r="E1312" s="8"/>
      <c r="F1312" s="13"/>
      <c r="G1312" s="59"/>
      <c r="H1312" s="6"/>
      <c r="I1312" s="6"/>
      <c r="J1312" s="2"/>
      <c r="K1312" s="2"/>
      <c r="L1312" s="2"/>
      <c r="M1312" s="2"/>
      <c r="N1312" s="2"/>
      <c r="O1312" s="56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 spans="1:28" x14ac:dyDescent="0.3">
      <c r="A1313" s="2"/>
      <c r="B1313" s="8"/>
      <c r="C1313" s="8"/>
      <c r="D1313" s="8"/>
      <c r="E1313" s="8"/>
      <c r="F1313" s="13"/>
      <c r="G1313" s="59"/>
      <c r="H1313" s="6"/>
      <c r="I1313" s="6"/>
      <c r="J1313" s="2"/>
      <c r="K1313" s="2"/>
      <c r="L1313" s="2"/>
      <c r="M1313" s="2"/>
      <c r="N1313" s="2"/>
      <c r="O1313" s="56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 spans="1:28" x14ac:dyDescent="0.3">
      <c r="A1314" s="2"/>
      <c r="B1314" s="8"/>
      <c r="C1314" s="8"/>
      <c r="D1314" s="8"/>
      <c r="E1314" s="8"/>
      <c r="F1314" s="13"/>
      <c r="G1314" s="59"/>
      <c r="H1314" s="6"/>
      <c r="I1314" s="6"/>
      <c r="J1314" s="2"/>
      <c r="K1314" s="2"/>
      <c r="L1314" s="2"/>
      <c r="M1314" s="2"/>
      <c r="N1314" s="2"/>
      <c r="O1314" s="56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 spans="1:28" x14ac:dyDescent="0.3">
      <c r="A1315" s="2"/>
      <c r="B1315" s="8"/>
      <c r="C1315" s="8"/>
      <c r="D1315" s="8"/>
      <c r="E1315" s="8"/>
      <c r="F1315" s="13"/>
      <c r="G1315" s="59"/>
      <c r="H1315" s="6"/>
      <c r="I1315" s="6"/>
      <c r="J1315" s="2"/>
      <c r="K1315" s="2"/>
      <c r="L1315" s="2"/>
      <c r="M1315" s="2"/>
      <c r="N1315" s="2"/>
      <c r="O1315" s="56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 spans="1:28" x14ac:dyDescent="0.3">
      <c r="A1316" s="2"/>
      <c r="B1316" s="8"/>
      <c r="C1316" s="8"/>
      <c r="D1316" s="8"/>
      <c r="E1316" s="8"/>
      <c r="F1316" s="13"/>
      <c r="G1316" s="59"/>
      <c r="H1316" s="6"/>
      <c r="I1316" s="6"/>
      <c r="J1316" s="2"/>
      <c r="K1316" s="2"/>
      <c r="L1316" s="2"/>
      <c r="M1316" s="2"/>
      <c r="N1316" s="2"/>
      <c r="O1316" s="56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 spans="1:28" x14ac:dyDescent="0.3">
      <c r="A1317" s="2"/>
      <c r="B1317" s="8"/>
      <c r="C1317" s="8"/>
      <c r="D1317" s="8"/>
      <c r="E1317" s="8"/>
      <c r="F1317" s="13"/>
      <c r="G1317" s="59"/>
      <c r="H1317" s="6"/>
      <c r="I1317" s="6"/>
      <c r="J1317" s="2"/>
      <c r="K1317" s="2"/>
      <c r="L1317" s="2"/>
      <c r="M1317" s="2"/>
      <c r="N1317" s="2"/>
      <c r="O1317" s="56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 spans="1:28" x14ac:dyDescent="0.3">
      <c r="A1318" s="2"/>
      <c r="B1318" s="8"/>
      <c r="C1318" s="8"/>
      <c r="D1318" s="8"/>
      <c r="E1318" s="8"/>
      <c r="F1318" s="13"/>
      <c r="G1318" s="59"/>
      <c r="H1318" s="6"/>
      <c r="I1318" s="6"/>
      <c r="J1318" s="2"/>
      <c r="K1318" s="2"/>
      <c r="L1318" s="2"/>
      <c r="M1318" s="2"/>
      <c r="N1318" s="2"/>
      <c r="O1318" s="56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 spans="1:28" x14ac:dyDescent="0.3">
      <c r="A1319" s="2"/>
      <c r="B1319" s="8"/>
      <c r="C1319" s="8"/>
      <c r="D1319" s="8"/>
      <c r="E1319" s="8"/>
      <c r="F1319" s="13"/>
      <c r="G1319" s="59"/>
      <c r="H1319" s="6"/>
      <c r="I1319" s="6"/>
      <c r="J1319" s="2"/>
      <c r="K1319" s="2"/>
      <c r="L1319" s="2"/>
      <c r="M1319" s="2"/>
      <c r="N1319" s="2"/>
      <c r="O1319" s="56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 spans="1:28" x14ac:dyDescent="0.3">
      <c r="A1320" s="2"/>
      <c r="B1320" s="8"/>
      <c r="C1320" s="8"/>
      <c r="D1320" s="8"/>
      <c r="E1320" s="8"/>
      <c r="F1320" s="13"/>
      <c r="G1320" s="59"/>
      <c r="H1320" s="6"/>
      <c r="I1320" s="6"/>
      <c r="J1320" s="2"/>
      <c r="K1320" s="2"/>
      <c r="L1320" s="2"/>
      <c r="M1320" s="2"/>
      <c r="N1320" s="2"/>
      <c r="O1320" s="56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 spans="1:28" x14ac:dyDescent="0.3">
      <c r="A1321" s="2"/>
      <c r="B1321" s="8"/>
      <c r="C1321" s="8"/>
      <c r="D1321" s="8"/>
      <c r="E1321" s="8"/>
      <c r="F1321" s="13"/>
      <c r="G1321" s="59"/>
      <c r="H1321" s="6"/>
      <c r="I1321" s="6"/>
      <c r="J1321" s="2"/>
      <c r="K1321" s="2"/>
      <c r="L1321" s="2"/>
      <c r="M1321" s="2"/>
      <c r="N1321" s="2"/>
      <c r="O1321" s="56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 spans="1:28" x14ac:dyDescent="0.3">
      <c r="A1322" s="2"/>
      <c r="B1322" s="8"/>
      <c r="C1322" s="8"/>
      <c r="D1322" s="8"/>
      <c r="E1322" s="8"/>
      <c r="F1322" s="13"/>
      <c r="G1322" s="59"/>
      <c r="H1322" s="6"/>
      <c r="I1322" s="6"/>
      <c r="J1322" s="2"/>
      <c r="K1322" s="2"/>
      <c r="L1322" s="2"/>
      <c r="M1322" s="2"/>
      <c r="N1322" s="2"/>
      <c r="O1322" s="56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 spans="1:28" x14ac:dyDescent="0.3">
      <c r="A1323" s="2"/>
      <c r="B1323" s="8"/>
      <c r="C1323" s="8"/>
      <c r="D1323" s="8"/>
      <c r="E1323" s="8"/>
      <c r="F1323" s="13"/>
      <c r="G1323" s="59"/>
      <c r="H1323" s="6"/>
      <c r="I1323" s="6"/>
      <c r="J1323" s="2"/>
      <c r="K1323" s="2"/>
      <c r="L1323" s="2"/>
      <c r="M1323" s="2"/>
      <c r="N1323" s="2"/>
      <c r="O1323" s="56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 spans="1:28" x14ac:dyDescent="0.3">
      <c r="A1324" s="2"/>
      <c r="B1324" s="8"/>
      <c r="C1324" s="8"/>
      <c r="D1324" s="8"/>
      <c r="E1324" s="8"/>
      <c r="F1324" s="13"/>
      <c r="G1324" s="59"/>
      <c r="H1324" s="6"/>
      <c r="I1324" s="6"/>
      <c r="J1324" s="2"/>
      <c r="K1324" s="2"/>
      <c r="L1324" s="2"/>
      <c r="M1324" s="2"/>
      <c r="N1324" s="2"/>
      <c r="O1324" s="56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 spans="1:28" x14ac:dyDescent="0.3">
      <c r="A1325" s="2"/>
      <c r="B1325" s="8"/>
      <c r="C1325" s="8"/>
      <c r="D1325" s="8"/>
      <c r="E1325" s="8"/>
      <c r="F1325" s="13"/>
      <c r="G1325" s="59"/>
      <c r="H1325" s="6"/>
      <c r="I1325" s="6"/>
      <c r="J1325" s="2"/>
      <c r="K1325" s="2"/>
      <c r="L1325" s="2"/>
      <c r="M1325" s="2"/>
      <c r="N1325" s="2"/>
      <c r="O1325" s="56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 spans="1:28" x14ac:dyDescent="0.3">
      <c r="A1326" s="2"/>
      <c r="B1326" s="8"/>
      <c r="C1326" s="8"/>
      <c r="D1326" s="8"/>
      <c r="E1326" s="8"/>
      <c r="F1326" s="13"/>
      <c r="G1326" s="59"/>
      <c r="H1326" s="6"/>
      <c r="I1326" s="6"/>
      <c r="J1326" s="2"/>
      <c r="K1326" s="2"/>
      <c r="L1326" s="2"/>
      <c r="M1326" s="2"/>
      <c r="N1326" s="2"/>
      <c r="O1326" s="56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 spans="1:28" x14ac:dyDescent="0.3">
      <c r="A1327" s="2"/>
      <c r="B1327" s="8"/>
      <c r="C1327" s="8"/>
      <c r="D1327" s="8"/>
      <c r="E1327" s="8"/>
      <c r="F1327" s="13"/>
      <c r="G1327" s="59"/>
      <c r="H1327" s="6"/>
      <c r="I1327" s="6"/>
      <c r="J1327" s="2"/>
      <c r="K1327" s="2"/>
      <c r="L1327" s="2"/>
      <c r="M1327" s="2"/>
      <c r="N1327" s="2"/>
      <c r="O1327" s="56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 spans="1:28" x14ac:dyDescent="0.3">
      <c r="A1328" s="2"/>
      <c r="B1328" s="8"/>
      <c r="C1328" s="8"/>
      <c r="D1328" s="8"/>
      <c r="E1328" s="8"/>
      <c r="F1328" s="13"/>
      <c r="G1328" s="59"/>
      <c r="H1328" s="6"/>
      <c r="I1328" s="6"/>
      <c r="J1328" s="2"/>
      <c r="K1328" s="2"/>
      <c r="L1328" s="2"/>
      <c r="M1328" s="2"/>
      <c r="N1328" s="2"/>
      <c r="O1328" s="56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 spans="1:28" x14ac:dyDescent="0.3">
      <c r="A1329" s="2"/>
      <c r="B1329" s="8"/>
      <c r="C1329" s="8"/>
      <c r="D1329" s="8"/>
      <c r="E1329" s="8"/>
      <c r="F1329" s="13"/>
      <c r="G1329" s="59"/>
      <c r="H1329" s="6"/>
      <c r="I1329" s="6"/>
      <c r="J1329" s="2"/>
      <c r="K1329" s="2"/>
      <c r="L1329" s="2"/>
      <c r="M1329" s="2"/>
      <c r="N1329" s="2"/>
      <c r="O1329" s="56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 spans="1:28" x14ac:dyDescent="0.3">
      <c r="A1330" s="2"/>
      <c r="B1330" s="8"/>
      <c r="C1330" s="8"/>
      <c r="D1330" s="8"/>
      <c r="E1330" s="8"/>
      <c r="F1330" s="13"/>
      <c r="G1330" s="59"/>
      <c r="H1330" s="6"/>
      <c r="I1330" s="6"/>
      <c r="J1330" s="2"/>
      <c r="K1330" s="2"/>
      <c r="L1330" s="2"/>
      <c r="M1330" s="2"/>
      <c r="N1330" s="2"/>
      <c r="O1330" s="56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 spans="1:28" x14ac:dyDescent="0.3">
      <c r="A1331" s="2"/>
      <c r="B1331" s="8"/>
      <c r="C1331" s="8"/>
      <c r="D1331" s="8"/>
      <c r="E1331" s="8"/>
      <c r="F1331" s="13"/>
      <c r="G1331" s="59"/>
      <c r="H1331" s="6"/>
      <c r="I1331" s="6"/>
      <c r="J1331" s="2"/>
      <c r="K1331" s="2"/>
      <c r="L1331" s="2"/>
      <c r="M1331" s="2"/>
      <c r="N1331" s="2"/>
      <c r="O1331" s="56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 spans="1:28" x14ac:dyDescent="0.3">
      <c r="A1332" s="2"/>
      <c r="B1332" s="8"/>
      <c r="C1332" s="8"/>
      <c r="D1332" s="8"/>
      <c r="E1332" s="8"/>
      <c r="F1332" s="13"/>
      <c r="G1332" s="59"/>
      <c r="H1332" s="6"/>
      <c r="I1332" s="6"/>
      <c r="J1332" s="2"/>
      <c r="K1332" s="2"/>
      <c r="L1332" s="2"/>
      <c r="M1332" s="2"/>
      <c r="N1332" s="2"/>
      <c r="O1332" s="56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 spans="1:28" x14ac:dyDescent="0.3">
      <c r="A1333" s="2"/>
      <c r="B1333" s="8"/>
      <c r="C1333" s="8"/>
      <c r="D1333" s="8"/>
      <c r="E1333" s="8"/>
      <c r="F1333" s="13"/>
      <c r="G1333" s="59"/>
      <c r="H1333" s="6"/>
      <c r="I1333" s="6"/>
      <c r="J1333" s="2"/>
      <c r="K1333" s="2"/>
      <c r="L1333" s="2"/>
      <c r="M1333" s="2"/>
      <c r="N1333" s="2"/>
      <c r="O1333" s="56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 spans="1:28" x14ac:dyDescent="0.3">
      <c r="A1334" s="2"/>
      <c r="B1334" s="8"/>
      <c r="C1334" s="8"/>
      <c r="D1334" s="8"/>
      <c r="E1334" s="8"/>
      <c r="F1334" s="13"/>
      <c r="G1334" s="59"/>
      <c r="H1334" s="6"/>
      <c r="I1334" s="6"/>
      <c r="J1334" s="2"/>
      <c r="K1334" s="2"/>
      <c r="L1334" s="2"/>
      <c r="M1334" s="2"/>
      <c r="N1334" s="2"/>
      <c r="O1334" s="56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 spans="1:28" x14ac:dyDescent="0.3">
      <c r="A1335" s="2"/>
      <c r="B1335" s="8"/>
      <c r="C1335" s="8"/>
      <c r="D1335" s="8"/>
      <c r="E1335" s="8"/>
      <c r="F1335" s="13"/>
      <c r="G1335" s="59"/>
      <c r="H1335" s="6"/>
      <c r="I1335" s="6"/>
      <c r="J1335" s="2"/>
      <c r="K1335" s="2"/>
      <c r="L1335" s="2"/>
      <c r="M1335" s="2"/>
      <c r="N1335" s="2"/>
      <c r="O1335" s="56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 spans="1:28" x14ac:dyDescent="0.3">
      <c r="A1336" s="2"/>
      <c r="B1336" s="8"/>
      <c r="C1336" s="8"/>
      <c r="D1336" s="8"/>
      <c r="E1336" s="8"/>
      <c r="F1336" s="13"/>
      <c r="G1336" s="59"/>
      <c r="H1336" s="6"/>
      <c r="I1336" s="6"/>
      <c r="J1336" s="2"/>
      <c r="K1336" s="2"/>
      <c r="L1336" s="2"/>
      <c r="M1336" s="2"/>
      <c r="N1336" s="2"/>
      <c r="O1336" s="56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 spans="1:28" x14ac:dyDescent="0.3">
      <c r="A1337" s="2"/>
      <c r="B1337" s="8"/>
      <c r="C1337" s="8"/>
      <c r="D1337" s="8"/>
      <c r="E1337" s="8"/>
      <c r="F1337" s="13"/>
      <c r="G1337" s="59"/>
      <c r="H1337" s="6"/>
      <c r="I1337" s="6"/>
      <c r="J1337" s="2"/>
      <c r="K1337" s="2"/>
      <c r="L1337" s="2"/>
      <c r="M1337" s="2"/>
      <c r="N1337" s="2"/>
      <c r="O1337" s="56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 spans="1:28" x14ac:dyDescent="0.3">
      <c r="A1338" s="2"/>
      <c r="B1338" s="8"/>
      <c r="C1338" s="8"/>
      <c r="D1338" s="8"/>
      <c r="E1338" s="8"/>
      <c r="F1338" s="13"/>
      <c r="G1338" s="59"/>
      <c r="H1338" s="6"/>
      <c r="I1338" s="6"/>
      <c r="J1338" s="2"/>
      <c r="K1338" s="2"/>
      <c r="L1338" s="2"/>
      <c r="M1338" s="2"/>
      <c r="N1338" s="2"/>
      <c r="O1338" s="56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 spans="1:28" x14ac:dyDescent="0.3">
      <c r="A1339" s="2"/>
      <c r="B1339" s="8"/>
      <c r="C1339" s="8"/>
      <c r="D1339" s="8"/>
      <c r="E1339" s="8"/>
      <c r="F1339" s="13"/>
      <c r="G1339" s="59"/>
      <c r="H1339" s="6"/>
      <c r="I1339" s="6"/>
      <c r="J1339" s="2"/>
      <c r="K1339" s="2"/>
      <c r="L1339" s="2"/>
      <c r="M1339" s="2"/>
      <c r="N1339" s="2"/>
      <c r="O1339" s="56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 spans="1:28" x14ac:dyDescent="0.3">
      <c r="A1340" s="2"/>
      <c r="B1340" s="8"/>
      <c r="C1340" s="8"/>
      <c r="D1340" s="8"/>
      <c r="E1340" s="8"/>
      <c r="F1340" s="13"/>
      <c r="G1340" s="59"/>
      <c r="H1340" s="6"/>
      <c r="I1340" s="6"/>
      <c r="J1340" s="2"/>
      <c r="K1340" s="2"/>
      <c r="L1340" s="2"/>
      <c r="M1340" s="2"/>
      <c r="N1340" s="2"/>
      <c r="O1340" s="56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 spans="1:28" x14ac:dyDescent="0.3">
      <c r="A1341" s="2"/>
      <c r="B1341" s="8"/>
      <c r="C1341" s="8"/>
      <c r="D1341" s="8"/>
      <c r="E1341" s="8"/>
      <c r="F1341" s="13"/>
      <c r="G1341" s="59"/>
      <c r="H1341" s="6"/>
      <c r="I1341" s="6"/>
      <c r="J1341" s="2"/>
      <c r="K1341" s="2"/>
      <c r="L1341" s="2"/>
      <c r="M1341" s="2"/>
      <c r="N1341" s="2"/>
      <c r="O1341" s="56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 spans="1:28" x14ac:dyDescent="0.3">
      <c r="A1342" s="2"/>
      <c r="B1342" s="8"/>
      <c r="C1342" s="8"/>
      <c r="D1342" s="8"/>
      <c r="E1342" s="8"/>
      <c r="F1342" s="13"/>
      <c r="G1342" s="59"/>
      <c r="H1342" s="6"/>
      <c r="I1342" s="6"/>
      <c r="J1342" s="2"/>
      <c r="K1342" s="2"/>
      <c r="L1342" s="2"/>
      <c r="M1342" s="2"/>
      <c r="N1342" s="2"/>
      <c r="O1342" s="56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 spans="1:28" x14ac:dyDescent="0.3">
      <c r="A1343" s="2"/>
      <c r="B1343" s="8"/>
      <c r="C1343" s="8"/>
      <c r="D1343" s="8"/>
      <c r="E1343" s="8"/>
      <c r="F1343" s="13"/>
      <c r="G1343" s="59"/>
      <c r="H1343" s="6"/>
      <c r="I1343" s="6"/>
      <c r="J1343" s="2"/>
      <c r="K1343" s="2"/>
      <c r="L1343" s="2"/>
      <c r="M1343" s="2"/>
      <c r="N1343" s="2"/>
      <c r="O1343" s="56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 spans="1:28" x14ac:dyDescent="0.3">
      <c r="A1344" s="2"/>
      <c r="B1344" s="8"/>
      <c r="C1344" s="8"/>
      <c r="D1344" s="8"/>
      <c r="E1344" s="8"/>
      <c r="F1344" s="13"/>
      <c r="G1344" s="59"/>
      <c r="H1344" s="6"/>
      <c r="I1344" s="6"/>
      <c r="J1344" s="2"/>
      <c r="K1344" s="2"/>
      <c r="L1344" s="2"/>
      <c r="M1344" s="2"/>
      <c r="N1344" s="2"/>
      <c r="O1344" s="56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 spans="1:28" x14ac:dyDescent="0.3">
      <c r="A1345" s="2"/>
      <c r="B1345" s="8"/>
      <c r="C1345" s="8"/>
      <c r="D1345" s="8"/>
      <c r="E1345" s="8"/>
      <c r="F1345" s="13"/>
      <c r="G1345" s="59"/>
      <c r="H1345" s="6"/>
      <c r="I1345" s="6"/>
      <c r="J1345" s="2"/>
      <c r="K1345" s="2"/>
      <c r="L1345" s="2"/>
      <c r="M1345" s="2"/>
      <c r="N1345" s="2"/>
      <c r="O1345" s="56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 spans="1:28" x14ac:dyDescent="0.3">
      <c r="A1346" s="2"/>
      <c r="B1346" s="8"/>
      <c r="C1346" s="8"/>
      <c r="D1346" s="8"/>
      <c r="E1346" s="8"/>
      <c r="F1346" s="13"/>
      <c r="G1346" s="59"/>
      <c r="H1346" s="6"/>
      <c r="I1346" s="6"/>
      <c r="J1346" s="2"/>
      <c r="K1346" s="2"/>
      <c r="L1346" s="2"/>
      <c r="M1346" s="2"/>
      <c r="N1346" s="2"/>
      <c r="O1346" s="56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 spans="1:28" x14ac:dyDescent="0.3">
      <c r="A1347" s="2"/>
      <c r="B1347" s="8"/>
      <c r="C1347" s="8"/>
      <c r="D1347" s="8"/>
      <c r="E1347" s="8"/>
      <c r="F1347" s="13"/>
      <c r="G1347" s="59"/>
      <c r="H1347" s="6"/>
      <c r="I1347" s="6"/>
      <c r="J1347" s="2"/>
      <c r="K1347" s="2"/>
      <c r="L1347" s="2"/>
      <c r="M1347" s="2"/>
      <c r="N1347" s="2"/>
      <c r="O1347" s="56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 spans="1:28" x14ac:dyDescent="0.3">
      <c r="A1348" s="2"/>
      <c r="B1348" s="8"/>
      <c r="C1348" s="8"/>
      <c r="D1348" s="8"/>
      <c r="E1348" s="8"/>
      <c r="F1348" s="13"/>
      <c r="G1348" s="59"/>
      <c r="H1348" s="6"/>
      <c r="I1348" s="6"/>
      <c r="J1348" s="2"/>
      <c r="K1348" s="2"/>
      <c r="L1348" s="2"/>
      <c r="M1348" s="2"/>
      <c r="N1348" s="2"/>
      <c r="O1348" s="56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 spans="1:28" x14ac:dyDescent="0.3">
      <c r="A1349" s="2"/>
      <c r="B1349" s="8"/>
      <c r="C1349" s="8"/>
      <c r="D1349" s="8"/>
      <c r="E1349" s="8"/>
      <c r="F1349" s="13"/>
      <c r="G1349" s="59"/>
      <c r="H1349" s="6"/>
      <c r="I1349" s="6"/>
      <c r="J1349" s="2"/>
      <c r="K1349" s="2"/>
      <c r="L1349" s="2"/>
      <c r="M1349" s="2"/>
      <c r="N1349" s="2"/>
      <c r="O1349" s="56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 spans="1:28" x14ac:dyDescent="0.3">
      <c r="A1350" s="2"/>
      <c r="B1350" s="8"/>
      <c r="C1350" s="8"/>
      <c r="D1350" s="8"/>
      <c r="E1350" s="8"/>
      <c r="F1350" s="13"/>
      <c r="G1350" s="59"/>
      <c r="H1350" s="6"/>
      <c r="I1350" s="6"/>
      <c r="J1350" s="2"/>
      <c r="K1350" s="2"/>
      <c r="L1350" s="2"/>
      <c r="M1350" s="2"/>
      <c r="N1350" s="2"/>
      <c r="O1350" s="56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 spans="1:28" x14ac:dyDescent="0.3">
      <c r="A1351" s="2"/>
      <c r="B1351" s="8"/>
      <c r="C1351" s="8"/>
      <c r="D1351" s="8"/>
      <c r="E1351" s="8"/>
      <c r="F1351" s="13"/>
      <c r="G1351" s="59"/>
      <c r="H1351" s="6"/>
      <c r="I1351" s="6"/>
      <c r="J1351" s="2"/>
      <c r="K1351" s="2"/>
      <c r="L1351" s="2"/>
      <c r="M1351" s="2"/>
      <c r="N1351" s="2"/>
      <c r="O1351" s="56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 spans="1:28" x14ac:dyDescent="0.3">
      <c r="A1352" s="2"/>
      <c r="B1352" s="8"/>
      <c r="C1352" s="8"/>
      <c r="D1352" s="8"/>
      <c r="E1352" s="8"/>
      <c r="F1352" s="13"/>
      <c r="G1352" s="59"/>
      <c r="H1352" s="6"/>
      <c r="I1352" s="6"/>
      <c r="J1352" s="2"/>
      <c r="K1352" s="2"/>
      <c r="L1352" s="2"/>
      <c r="M1352" s="2"/>
      <c r="N1352" s="2"/>
      <c r="O1352" s="56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 spans="1:28" x14ac:dyDescent="0.3">
      <c r="A1353" s="2"/>
      <c r="B1353" s="8"/>
      <c r="C1353" s="8"/>
      <c r="D1353" s="8"/>
      <c r="E1353" s="8"/>
      <c r="F1353" s="13"/>
      <c r="G1353" s="59"/>
      <c r="H1353" s="6"/>
      <c r="I1353" s="6"/>
      <c r="J1353" s="2"/>
      <c r="K1353" s="2"/>
      <c r="L1353" s="2"/>
      <c r="M1353" s="2"/>
      <c r="N1353" s="2"/>
      <c r="O1353" s="56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 spans="1:28" x14ac:dyDescent="0.3">
      <c r="A1354" s="2"/>
      <c r="B1354" s="8"/>
      <c r="C1354" s="8"/>
      <c r="D1354" s="8"/>
      <c r="E1354" s="8"/>
      <c r="F1354" s="13"/>
      <c r="G1354" s="59"/>
      <c r="H1354" s="6"/>
      <c r="I1354" s="6"/>
      <c r="J1354" s="2"/>
      <c r="K1354" s="2"/>
      <c r="L1354" s="2"/>
      <c r="M1354" s="2"/>
      <c r="N1354" s="2"/>
      <c r="O1354" s="56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 spans="1:28" x14ac:dyDescent="0.3">
      <c r="A1355" s="2"/>
      <c r="B1355" s="8"/>
      <c r="C1355" s="8"/>
      <c r="D1355" s="8"/>
      <c r="E1355" s="8"/>
      <c r="F1355" s="13"/>
      <c r="G1355" s="59"/>
      <c r="H1355" s="6"/>
      <c r="I1355" s="6"/>
      <c r="J1355" s="2"/>
      <c r="K1355" s="2"/>
      <c r="L1355" s="2"/>
      <c r="M1355" s="2"/>
      <c r="N1355" s="2"/>
      <c r="O1355" s="56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 spans="1:28" x14ac:dyDescent="0.3">
      <c r="A1356" s="2"/>
      <c r="B1356" s="8"/>
      <c r="C1356" s="8"/>
      <c r="D1356" s="8"/>
      <c r="E1356" s="8"/>
      <c r="F1356" s="13"/>
      <c r="G1356" s="59"/>
      <c r="H1356" s="6"/>
      <c r="I1356" s="6"/>
      <c r="J1356" s="2"/>
      <c r="K1356" s="2"/>
      <c r="L1356" s="2"/>
      <c r="M1356" s="2"/>
      <c r="N1356" s="2"/>
      <c r="O1356" s="56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 spans="1:28" x14ac:dyDescent="0.3">
      <c r="A1357" s="2"/>
      <c r="B1357" s="8"/>
      <c r="C1357" s="8"/>
      <c r="D1357" s="8"/>
      <c r="E1357" s="8"/>
      <c r="F1357" s="13"/>
      <c r="G1357" s="59"/>
      <c r="H1357" s="6"/>
      <c r="I1357" s="6"/>
      <c r="J1357" s="2"/>
      <c r="K1357" s="2"/>
      <c r="L1357" s="2"/>
      <c r="M1357" s="2"/>
      <c r="N1357" s="2"/>
      <c r="O1357" s="56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 spans="1:28" x14ac:dyDescent="0.3">
      <c r="A1358" s="2"/>
      <c r="B1358" s="8"/>
      <c r="C1358" s="8"/>
      <c r="D1358" s="8"/>
      <c r="E1358" s="8"/>
      <c r="F1358" s="13"/>
      <c r="G1358" s="59"/>
      <c r="H1358" s="6"/>
      <c r="I1358" s="6"/>
      <c r="J1358" s="2"/>
      <c r="K1358" s="2"/>
      <c r="L1358" s="2"/>
      <c r="M1358" s="2"/>
      <c r="N1358" s="2"/>
      <c r="O1358" s="56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 spans="1:28" x14ac:dyDescent="0.3">
      <c r="A1359" s="2"/>
      <c r="B1359" s="8"/>
      <c r="C1359" s="8"/>
      <c r="D1359" s="8"/>
      <c r="E1359" s="8"/>
      <c r="F1359" s="13"/>
      <c r="G1359" s="59"/>
      <c r="H1359" s="6"/>
      <c r="I1359" s="6"/>
      <c r="J1359" s="2"/>
      <c r="K1359" s="2"/>
      <c r="L1359" s="2"/>
      <c r="M1359" s="2"/>
      <c r="N1359" s="2"/>
      <c r="O1359" s="56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 spans="1:28" x14ac:dyDescent="0.3">
      <c r="A1360" s="2"/>
      <c r="B1360" s="8"/>
      <c r="C1360" s="8"/>
      <c r="D1360" s="8"/>
      <c r="E1360" s="8"/>
      <c r="F1360" s="13"/>
      <c r="G1360" s="59"/>
      <c r="H1360" s="6"/>
      <c r="I1360" s="6"/>
      <c r="J1360" s="2"/>
      <c r="K1360" s="2"/>
      <c r="L1360" s="2"/>
      <c r="M1360" s="2"/>
      <c r="N1360" s="2"/>
      <c r="O1360" s="56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 spans="1:28" x14ac:dyDescent="0.3">
      <c r="A1361" s="2"/>
      <c r="B1361" s="8"/>
      <c r="C1361" s="8"/>
      <c r="D1361" s="8"/>
      <c r="E1361" s="8"/>
      <c r="F1361" s="13"/>
      <c r="G1361" s="59"/>
      <c r="H1361" s="6"/>
      <c r="I1361" s="6"/>
      <c r="J1361" s="2"/>
      <c r="K1361" s="2"/>
      <c r="L1361" s="2"/>
      <c r="M1361" s="2"/>
      <c r="N1361" s="2"/>
      <c r="O1361" s="56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 spans="1:28" x14ac:dyDescent="0.3">
      <c r="A1362" s="2"/>
      <c r="B1362" s="8"/>
      <c r="C1362" s="8"/>
      <c r="D1362" s="8"/>
      <c r="E1362" s="8"/>
      <c r="F1362" s="13"/>
      <c r="G1362" s="59"/>
      <c r="H1362" s="6"/>
      <c r="I1362" s="6"/>
      <c r="J1362" s="2"/>
      <c r="K1362" s="2"/>
      <c r="L1362" s="2"/>
      <c r="M1362" s="2"/>
      <c r="N1362" s="2"/>
      <c r="O1362" s="56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 spans="1:28" x14ac:dyDescent="0.3">
      <c r="A1363" s="2"/>
      <c r="B1363" s="8"/>
      <c r="C1363" s="8"/>
      <c r="D1363" s="8"/>
      <c r="E1363" s="8"/>
      <c r="F1363" s="13"/>
      <c r="G1363" s="59"/>
      <c r="H1363" s="6"/>
      <c r="I1363" s="6"/>
      <c r="J1363" s="2"/>
      <c r="K1363" s="2"/>
      <c r="L1363" s="2"/>
      <c r="M1363" s="2"/>
      <c r="N1363" s="2"/>
      <c r="O1363" s="56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 spans="1:28" x14ac:dyDescent="0.3">
      <c r="A1364" s="2"/>
      <c r="B1364" s="8"/>
      <c r="C1364" s="8"/>
      <c r="D1364" s="8"/>
      <c r="E1364" s="8"/>
      <c r="F1364" s="13"/>
      <c r="G1364" s="59"/>
      <c r="H1364" s="6"/>
      <c r="I1364" s="6"/>
      <c r="J1364" s="2"/>
      <c r="K1364" s="2"/>
      <c r="L1364" s="2"/>
      <c r="M1364" s="2"/>
      <c r="N1364" s="2"/>
      <c r="O1364" s="56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 spans="1:28" x14ac:dyDescent="0.3">
      <c r="A1365" s="2"/>
      <c r="B1365" s="8"/>
      <c r="C1365" s="8"/>
      <c r="D1365" s="8"/>
      <c r="E1365" s="8"/>
      <c r="F1365" s="13"/>
      <c r="G1365" s="59"/>
      <c r="H1365" s="6"/>
      <c r="I1365" s="6"/>
      <c r="J1365" s="2"/>
      <c r="K1365" s="2"/>
      <c r="L1365" s="2"/>
      <c r="M1365" s="2"/>
      <c r="N1365" s="2"/>
      <c r="O1365" s="56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 spans="1:28" x14ac:dyDescent="0.3">
      <c r="A1366" s="2"/>
      <c r="B1366" s="8"/>
      <c r="C1366" s="8"/>
      <c r="D1366" s="8"/>
      <c r="E1366" s="8"/>
      <c r="F1366" s="13"/>
      <c r="G1366" s="59"/>
      <c r="H1366" s="6"/>
      <c r="I1366" s="6"/>
      <c r="J1366" s="2"/>
      <c r="K1366" s="2"/>
      <c r="L1366" s="2"/>
      <c r="M1366" s="2"/>
      <c r="N1366" s="2"/>
      <c r="O1366" s="56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 spans="1:28" x14ac:dyDescent="0.3">
      <c r="A1367" s="2"/>
      <c r="B1367" s="8"/>
      <c r="C1367" s="8"/>
      <c r="D1367" s="8"/>
      <c r="E1367" s="8"/>
      <c r="F1367" s="13"/>
      <c r="G1367" s="59"/>
      <c r="H1367" s="6"/>
      <c r="I1367" s="6"/>
      <c r="J1367" s="2"/>
      <c r="K1367" s="2"/>
      <c r="L1367" s="2"/>
      <c r="M1367" s="2"/>
      <c r="N1367" s="2"/>
      <c r="O1367" s="56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 spans="1:28" x14ac:dyDescent="0.3">
      <c r="A1368" s="2"/>
      <c r="B1368" s="8"/>
      <c r="C1368" s="8"/>
      <c r="D1368" s="8"/>
      <c r="E1368" s="8"/>
      <c r="F1368" s="13"/>
      <c r="G1368" s="59"/>
      <c r="H1368" s="6"/>
      <c r="I1368" s="6"/>
      <c r="J1368" s="2"/>
      <c r="K1368" s="2"/>
      <c r="L1368" s="2"/>
      <c r="M1368" s="2"/>
      <c r="N1368" s="2"/>
      <c r="O1368" s="56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 spans="1:28" x14ac:dyDescent="0.3">
      <c r="A1369" s="2"/>
      <c r="B1369" s="8"/>
      <c r="C1369" s="8"/>
      <c r="D1369" s="8"/>
      <c r="E1369" s="8"/>
      <c r="F1369" s="13"/>
      <c r="G1369" s="59"/>
      <c r="H1369" s="6"/>
      <c r="I1369" s="6"/>
      <c r="J1369" s="2"/>
      <c r="K1369" s="2"/>
      <c r="L1369" s="2"/>
      <c r="M1369" s="2"/>
      <c r="N1369" s="2"/>
      <c r="O1369" s="56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 spans="1:28" x14ac:dyDescent="0.3">
      <c r="A1370" s="2"/>
      <c r="B1370" s="8"/>
      <c r="C1370" s="8"/>
      <c r="D1370" s="8"/>
      <c r="E1370" s="8"/>
      <c r="F1370" s="13"/>
      <c r="G1370" s="59"/>
      <c r="H1370" s="6"/>
      <c r="I1370" s="6"/>
      <c r="J1370" s="2"/>
      <c r="K1370" s="2"/>
      <c r="L1370" s="2"/>
      <c r="M1370" s="2"/>
      <c r="N1370" s="2"/>
      <c r="O1370" s="56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 spans="1:28" x14ac:dyDescent="0.3">
      <c r="A1371" s="2"/>
      <c r="B1371" s="8"/>
      <c r="C1371" s="8"/>
      <c r="D1371" s="8"/>
      <c r="E1371" s="8"/>
      <c r="F1371" s="13"/>
      <c r="G1371" s="59"/>
      <c r="H1371" s="6"/>
      <c r="I1371" s="6"/>
      <c r="J1371" s="2"/>
      <c r="K1371" s="2"/>
      <c r="L1371" s="2"/>
      <c r="M1371" s="2"/>
      <c r="N1371" s="2"/>
      <c r="O1371" s="56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 spans="1:28" x14ac:dyDescent="0.3">
      <c r="A1372" s="2"/>
      <c r="B1372" s="8"/>
      <c r="C1372" s="8"/>
      <c r="D1372" s="8"/>
      <c r="E1372" s="8"/>
      <c r="F1372" s="13"/>
      <c r="G1372" s="59"/>
      <c r="H1372" s="6"/>
      <c r="I1372" s="6"/>
      <c r="J1372" s="2"/>
      <c r="K1372" s="2"/>
      <c r="L1372" s="2"/>
      <c r="M1372" s="2"/>
      <c r="N1372" s="2"/>
      <c r="O1372" s="56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 spans="1:28" x14ac:dyDescent="0.3">
      <c r="A1373" s="2"/>
      <c r="B1373" s="8"/>
      <c r="C1373" s="8"/>
      <c r="D1373" s="8"/>
      <c r="E1373" s="8"/>
      <c r="F1373" s="13"/>
      <c r="G1373" s="59"/>
      <c r="H1373" s="6"/>
      <c r="I1373" s="6"/>
      <c r="J1373" s="2"/>
      <c r="K1373" s="2"/>
      <c r="L1373" s="2"/>
      <c r="M1373" s="2"/>
      <c r="N1373" s="2"/>
      <c r="O1373" s="56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 spans="1:28" x14ac:dyDescent="0.3">
      <c r="A1374" s="2"/>
      <c r="B1374" s="8"/>
      <c r="C1374" s="8"/>
      <c r="D1374" s="8"/>
      <c r="E1374" s="8"/>
      <c r="F1374" s="13"/>
      <c r="G1374" s="59"/>
      <c r="H1374" s="6"/>
      <c r="I1374" s="6"/>
      <c r="J1374" s="2"/>
      <c r="K1374" s="2"/>
      <c r="L1374" s="2"/>
      <c r="M1374" s="2"/>
      <c r="N1374" s="2"/>
      <c r="O1374" s="56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 spans="1:28" x14ac:dyDescent="0.3">
      <c r="A1375" s="2"/>
      <c r="B1375" s="8"/>
      <c r="C1375" s="8"/>
      <c r="D1375" s="8"/>
      <c r="E1375" s="8"/>
      <c r="F1375" s="13"/>
      <c r="G1375" s="59"/>
      <c r="H1375" s="6"/>
      <c r="I1375" s="6"/>
      <c r="J1375" s="2"/>
      <c r="K1375" s="2"/>
      <c r="L1375" s="2"/>
      <c r="M1375" s="2"/>
      <c r="N1375" s="2"/>
      <c r="O1375" s="56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 spans="1:28" x14ac:dyDescent="0.3">
      <c r="A1376" s="2"/>
      <c r="B1376" s="8"/>
      <c r="C1376" s="8"/>
      <c r="D1376" s="8"/>
      <c r="E1376" s="8"/>
      <c r="F1376" s="13"/>
      <c r="G1376" s="59"/>
      <c r="H1376" s="6"/>
      <c r="I1376" s="6"/>
      <c r="J1376" s="2"/>
      <c r="K1376" s="2"/>
      <c r="L1376" s="2"/>
      <c r="M1376" s="2"/>
      <c r="N1376" s="2"/>
      <c r="O1376" s="56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 spans="1:28" x14ac:dyDescent="0.3">
      <c r="A1377" s="2"/>
      <c r="B1377" s="8"/>
      <c r="C1377" s="8"/>
      <c r="D1377" s="8"/>
      <c r="E1377" s="8"/>
      <c r="F1377" s="13"/>
      <c r="G1377" s="59"/>
      <c r="H1377" s="6"/>
      <c r="I1377" s="6"/>
      <c r="J1377" s="2"/>
      <c r="K1377" s="2"/>
      <c r="L1377" s="2"/>
      <c r="M1377" s="2"/>
      <c r="N1377" s="2"/>
      <c r="O1377" s="56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 spans="1:28" x14ac:dyDescent="0.3">
      <c r="A1378" s="2"/>
      <c r="B1378" s="8"/>
      <c r="C1378" s="8"/>
      <c r="D1378" s="8"/>
      <c r="E1378" s="8"/>
      <c r="F1378" s="13"/>
      <c r="G1378" s="59"/>
      <c r="H1378" s="6"/>
      <c r="I1378" s="6"/>
      <c r="J1378" s="2"/>
      <c r="K1378" s="2"/>
      <c r="L1378" s="2"/>
      <c r="M1378" s="2"/>
      <c r="N1378" s="2"/>
      <c r="O1378" s="56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 spans="1:28" x14ac:dyDescent="0.3">
      <c r="A1379" s="2"/>
      <c r="B1379" s="8"/>
      <c r="C1379" s="8"/>
      <c r="D1379" s="8"/>
      <c r="E1379" s="8"/>
      <c r="F1379" s="13"/>
      <c r="G1379" s="59"/>
      <c r="H1379" s="6"/>
      <c r="I1379" s="6"/>
      <c r="J1379" s="2"/>
      <c r="K1379" s="2"/>
      <c r="L1379" s="2"/>
      <c r="M1379" s="2"/>
      <c r="N1379" s="2"/>
      <c r="O1379" s="56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 spans="1:28" x14ac:dyDescent="0.3">
      <c r="A1380" s="2"/>
      <c r="B1380" s="8"/>
      <c r="C1380" s="8"/>
      <c r="D1380" s="8"/>
      <c r="E1380" s="8"/>
      <c r="F1380" s="13"/>
      <c r="G1380" s="59"/>
      <c r="H1380" s="6"/>
      <c r="I1380" s="6"/>
      <c r="J1380" s="2"/>
      <c r="K1380" s="2"/>
      <c r="L1380" s="2"/>
      <c r="M1380" s="2"/>
      <c r="N1380" s="2"/>
      <c r="O1380" s="56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 spans="1:28" x14ac:dyDescent="0.3">
      <c r="A1381" s="2"/>
      <c r="B1381" s="8"/>
      <c r="C1381" s="8"/>
      <c r="D1381" s="8"/>
      <c r="E1381" s="8"/>
      <c r="F1381" s="13"/>
      <c r="G1381" s="59"/>
      <c r="H1381" s="6"/>
      <c r="I1381" s="6"/>
      <c r="J1381" s="2"/>
      <c r="K1381" s="2"/>
      <c r="L1381" s="2"/>
      <c r="M1381" s="2"/>
      <c r="N1381" s="2"/>
      <c r="O1381" s="56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 spans="1:28" x14ac:dyDescent="0.3">
      <c r="A1382" s="2"/>
      <c r="B1382" s="8"/>
      <c r="C1382" s="8"/>
      <c r="D1382" s="8"/>
      <c r="E1382" s="8"/>
      <c r="F1382" s="13"/>
      <c r="G1382" s="59"/>
      <c r="H1382" s="6"/>
      <c r="I1382" s="6"/>
      <c r="J1382" s="2"/>
      <c r="K1382" s="2"/>
      <c r="L1382" s="2"/>
      <c r="M1382" s="2"/>
      <c r="N1382" s="2"/>
      <c r="O1382" s="56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 spans="1:28" x14ac:dyDescent="0.3">
      <c r="A1383" s="2"/>
      <c r="B1383" s="8"/>
      <c r="C1383" s="8"/>
      <c r="D1383" s="8"/>
      <c r="E1383" s="8"/>
      <c r="F1383" s="13"/>
      <c r="G1383" s="59"/>
      <c r="H1383" s="6"/>
      <c r="I1383" s="6"/>
      <c r="J1383" s="2"/>
      <c r="K1383" s="2"/>
      <c r="L1383" s="2"/>
      <c r="M1383" s="2"/>
      <c r="N1383" s="2"/>
      <c r="O1383" s="56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 spans="1:28" x14ac:dyDescent="0.3">
      <c r="A1384" s="2"/>
      <c r="B1384" s="8"/>
      <c r="C1384" s="8"/>
      <c r="D1384" s="8"/>
      <c r="E1384" s="8"/>
      <c r="F1384" s="13"/>
      <c r="G1384" s="59"/>
      <c r="H1384" s="6"/>
      <c r="I1384" s="6"/>
      <c r="J1384" s="2"/>
      <c r="K1384" s="2"/>
      <c r="L1384" s="2"/>
      <c r="M1384" s="2"/>
      <c r="N1384" s="2"/>
      <c r="O1384" s="56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 spans="1:28" x14ac:dyDescent="0.3">
      <c r="A1385" s="2"/>
      <c r="B1385" s="8"/>
      <c r="C1385" s="8"/>
      <c r="D1385" s="8"/>
      <c r="E1385" s="8"/>
      <c r="F1385" s="13"/>
      <c r="G1385" s="59"/>
      <c r="H1385" s="6"/>
      <c r="I1385" s="6"/>
      <c r="J1385" s="2"/>
      <c r="K1385" s="2"/>
      <c r="L1385" s="2"/>
      <c r="M1385" s="2"/>
      <c r="N1385" s="2"/>
      <c r="O1385" s="56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 spans="1:28" x14ac:dyDescent="0.3">
      <c r="A1386" s="2"/>
      <c r="B1386" s="8"/>
      <c r="C1386" s="8"/>
      <c r="D1386" s="8"/>
      <c r="E1386" s="8"/>
      <c r="F1386" s="13"/>
      <c r="G1386" s="59"/>
      <c r="H1386" s="6"/>
      <c r="I1386" s="6"/>
      <c r="J1386" s="2"/>
      <c r="K1386" s="2"/>
      <c r="L1386" s="2"/>
      <c r="M1386" s="2"/>
      <c r="N1386" s="2"/>
      <c r="O1386" s="56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 spans="1:28" x14ac:dyDescent="0.3">
      <c r="A1387" s="2"/>
      <c r="B1387" s="8"/>
      <c r="C1387" s="8"/>
      <c r="D1387" s="8"/>
      <c r="E1387" s="8"/>
      <c r="F1387" s="13"/>
      <c r="G1387" s="59"/>
      <c r="H1387" s="6"/>
      <c r="I1387" s="6"/>
      <c r="J1387" s="2"/>
      <c r="K1387" s="2"/>
      <c r="L1387" s="2"/>
      <c r="M1387" s="2"/>
      <c r="N1387" s="2"/>
      <c r="O1387" s="56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 spans="1:28" x14ac:dyDescent="0.3">
      <c r="A1388" s="2"/>
      <c r="B1388" s="8"/>
      <c r="C1388" s="8"/>
      <c r="D1388" s="8"/>
      <c r="E1388" s="8"/>
      <c r="F1388" s="13"/>
      <c r="G1388" s="59"/>
      <c r="H1388" s="6"/>
      <c r="I1388" s="6"/>
      <c r="J1388" s="2"/>
      <c r="K1388" s="2"/>
      <c r="L1388" s="2"/>
      <c r="M1388" s="2"/>
      <c r="N1388" s="2"/>
      <c r="O1388" s="56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 spans="1:28" x14ac:dyDescent="0.3">
      <c r="A1389" s="2"/>
      <c r="B1389" s="8"/>
      <c r="C1389" s="8"/>
      <c r="D1389" s="8"/>
      <c r="E1389" s="8"/>
      <c r="F1389" s="13"/>
      <c r="G1389" s="59"/>
      <c r="H1389" s="6"/>
      <c r="I1389" s="6"/>
      <c r="J1389" s="2"/>
      <c r="K1389" s="2"/>
      <c r="L1389" s="2"/>
      <c r="M1389" s="2"/>
      <c r="N1389" s="2"/>
      <c r="O1389" s="56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 spans="1:28" x14ac:dyDescent="0.3">
      <c r="A1390" s="2"/>
      <c r="B1390" s="8"/>
      <c r="C1390" s="8"/>
      <c r="D1390" s="8"/>
      <c r="E1390" s="8"/>
      <c r="F1390" s="13"/>
      <c r="G1390" s="59"/>
      <c r="H1390" s="6"/>
      <c r="I1390" s="6"/>
      <c r="J1390" s="2"/>
      <c r="K1390" s="2"/>
      <c r="L1390" s="2"/>
      <c r="M1390" s="2"/>
      <c r="N1390" s="2"/>
      <c r="O1390" s="56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 spans="1:28" x14ac:dyDescent="0.3">
      <c r="A1391" s="2"/>
      <c r="B1391" s="8"/>
      <c r="C1391" s="8"/>
      <c r="D1391" s="8"/>
      <c r="E1391" s="8"/>
      <c r="F1391" s="13"/>
      <c r="G1391" s="59"/>
      <c r="H1391" s="6"/>
      <c r="I1391" s="6"/>
      <c r="J1391" s="2"/>
      <c r="K1391" s="2"/>
      <c r="L1391" s="2"/>
      <c r="M1391" s="2"/>
      <c r="N1391" s="2"/>
      <c r="O1391" s="56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 spans="1:28" x14ac:dyDescent="0.3">
      <c r="A1392" s="2"/>
      <c r="B1392" s="8"/>
      <c r="C1392" s="8"/>
      <c r="D1392" s="8"/>
      <c r="E1392" s="8"/>
      <c r="F1392" s="13"/>
      <c r="G1392" s="59"/>
      <c r="H1392" s="6"/>
      <c r="I1392" s="6"/>
      <c r="J1392" s="2"/>
      <c r="K1392" s="2"/>
      <c r="L1392" s="2"/>
      <c r="M1392" s="2"/>
      <c r="N1392" s="2"/>
      <c r="O1392" s="56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 spans="1:28" x14ac:dyDescent="0.3">
      <c r="A1393" s="2"/>
      <c r="B1393" s="8"/>
      <c r="C1393" s="8"/>
      <c r="D1393" s="8"/>
      <c r="E1393" s="8"/>
      <c r="F1393" s="13"/>
      <c r="G1393" s="59"/>
      <c r="H1393" s="6"/>
      <c r="I1393" s="6"/>
      <c r="J1393" s="2"/>
      <c r="K1393" s="2"/>
      <c r="L1393" s="2"/>
      <c r="M1393" s="2"/>
      <c r="N1393" s="2"/>
      <c r="O1393" s="56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 spans="1:28" x14ac:dyDescent="0.3">
      <c r="A1394" s="2"/>
      <c r="B1394" s="8"/>
      <c r="C1394" s="8"/>
      <c r="D1394" s="8"/>
      <c r="E1394" s="8"/>
      <c r="F1394" s="13"/>
      <c r="G1394" s="59"/>
      <c r="H1394" s="6"/>
      <c r="I1394" s="6"/>
      <c r="J1394" s="2"/>
      <c r="K1394" s="2"/>
      <c r="L1394" s="2"/>
      <c r="M1394" s="2"/>
      <c r="N1394" s="2"/>
      <c r="O1394" s="56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spans="1:28" x14ac:dyDescent="0.3">
      <c r="A1395" s="2"/>
      <c r="B1395" s="8"/>
      <c r="C1395" s="8"/>
      <c r="D1395" s="8"/>
      <c r="E1395" s="8"/>
      <c r="F1395" s="13"/>
      <c r="G1395" s="59"/>
      <c r="H1395" s="6"/>
      <c r="I1395" s="6"/>
      <c r="J1395" s="2"/>
      <c r="K1395" s="2"/>
      <c r="L1395" s="2"/>
      <c r="M1395" s="2"/>
      <c r="N1395" s="2"/>
      <c r="O1395" s="56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spans="1:28" x14ac:dyDescent="0.3">
      <c r="A1396" s="2"/>
      <c r="B1396" s="8"/>
      <c r="C1396" s="8"/>
      <c r="D1396" s="8"/>
      <c r="E1396" s="8"/>
      <c r="F1396" s="13"/>
      <c r="G1396" s="59"/>
      <c r="H1396" s="6"/>
      <c r="I1396" s="6"/>
      <c r="J1396" s="2"/>
      <c r="K1396" s="2"/>
      <c r="L1396" s="2"/>
      <c r="M1396" s="2"/>
      <c r="N1396" s="2"/>
      <c r="O1396" s="56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 spans="1:28" x14ac:dyDescent="0.3">
      <c r="A1397" s="2"/>
      <c r="B1397" s="8"/>
      <c r="C1397" s="8"/>
      <c r="D1397" s="8"/>
      <c r="E1397" s="8"/>
      <c r="F1397" s="13"/>
      <c r="G1397" s="59"/>
      <c r="H1397" s="6"/>
      <c r="I1397" s="6"/>
      <c r="J1397" s="2"/>
      <c r="K1397" s="2"/>
      <c r="L1397" s="2"/>
      <c r="M1397" s="2"/>
      <c r="N1397" s="2"/>
      <c r="O1397" s="56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 spans="1:28" x14ac:dyDescent="0.3">
      <c r="A1398" s="2"/>
      <c r="B1398" s="8"/>
      <c r="C1398" s="8"/>
      <c r="D1398" s="8"/>
      <c r="E1398" s="8"/>
      <c r="F1398" s="13"/>
      <c r="G1398" s="59"/>
      <c r="H1398" s="6"/>
      <c r="I1398" s="6"/>
      <c r="J1398" s="2"/>
      <c r="K1398" s="2"/>
      <c r="L1398" s="2"/>
      <c r="M1398" s="2"/>
      <c r="N1398" s="2"/>
      <c r="O1398" s="56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 spans="1:28" x14ac:dyDescent="0.3">
      <c r="A1399" s="2"/>
      <c r="B1399" s="8"/>
      <c r="C1399" s="8"/>
      <c r="D1399" s="8"/>
      <c r="E1399" s="8"/>
      <c r="F1399" s="13"/>
      <c r="G1399" s="59"/>
      <c r="H1399" s="6"/>
      <c r="I1399" s="6"/>
      <c r="J1399" s="2"/>
      <c r="K1399" s="2"/>
      <c r="L1399" s="2"/>
      <c r="M1399" s="2"/>
      <c r="N1399" s="2"/>
      <c r="O1399" s="56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 spans="1:28" x14ac:dyDescent="0.3">
      <c r="A1400" s="2"/>
      <c r="B1400" s="8"/>
      <c r="C1400" s="8"/>
      <c r="D1400" s="8"/>
      <c r="E1400" s="8"/>
      <c r="F1400" s="13"/>
      <c r="G1400" s="59"/>
      <c r="H1400" s="6"/>
      <c r="I1400" s="6"/>
      <c r="J1400" s="2"/>
      <c r="K1400" s="2"/>
      <c r="L1400" s="2"/>
      <c r="M1400" s="2"/>
      <c r="N1400" s="2"/>
      <c r="O1400" s="56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 spans="1:28" x14ac:dyDescent="0.3">
      <c r="A1401" s="2"/>
      <c r="B1401" s="8"/>
      <c r="C1401" s="8"/>
      <c r="D1401" s="8"/>
      <c r="E1401" s="8"/>
      <c r="F1401" s="13"/>
      <c r="G1401" s="59"/>
      <c r="H1401" s="6"/>
      <c r="I1401" s="6"/>
      <c r="J1401" s="2"/>
      <c r="K1401" s="2"/>
      <c r="L1401" s="2"/>
      <c r="M1401" s="2"/>
      <c r="N1401" s="2"/>
      <c r="O1401" s="56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 spans="1:28" x14ac:dyDescent="0.3">
      <c r="A1402" s="2"/>
      <c r="B1402" s="8"/>
      <c r="C1402" s="8"/>
      <c r="D1402" s="8"/>
      <c r="E1402" s="8"/>
      <c r="F1402" s="13"/>
      <c r="G1402" s="59"/>
      <c r="H1402" s="6"/>
      <c r="I1402" s="6"/>
      <c r="J1402" s="2"/>
      <c r="K1402" s="2"/>
      <c r="L1402" s="2"/>
      <c r="M1402" s="2"/>
      <c r="N1402" s="2"/>
      <c r="O1402" s="56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 spans="1:28" x14ac:dyDescent="0.3">
      <c r="A1403" s="2"/>
      <c r="B1403" s="8"/>
      <c r="C1403" s="8"/>
      <c r="D1403" s="8"/>
      <c r="E1403" s="8"/>
      <c r="F1403" s="13"/>
      <c r="G1403" s="59"/>
      <c r="H1403" s="6"/>
      <c r="I1403" s="6"/>
      <c r="J1403" s="2"/>
      <c r="K1403" s="2"/>
      <c r="L1403" s="2"/>
      <c r="M1403" s="2"/>
      <c r="N1403" s="2"/>
      <c r="O1403" s="56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 spans="1:28" x14ac:dyDescent="0.3">
      <c r="A1404" s="2"/>
      <c r="B1404" s="8"/>
      <c r="C1404" s="8"/>
      <c r="D1404" s="8"/>
      <c r="E1404" s="8"/>
      <c r="F1404" s="13"/>
      <c r="G1404" s="59"/>
      <c r="H1404" s="6"/>
      <c r="I1404" s="6"/>
      <c r="J1404" s="2"/>
      <c r="K1404" s="2"/>
      <c r="L1404" s="2"/>
      <c r="M1404" s="2"/>
      <c r="N1404" s="2"/>
      <c r="O1404" s="56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28" x14ac:dyDescent="0.3">
      <c r="A1405" s="2"/>
      <c r="B1405" s="8"/>
      <c r="C1405" s="8"/>
      <c r="D1405" s="8"/>
      <c r="E1405" s="8"/>
      <c r="F1405" s="13"/>
      <c r="G1405" s="59"/>
      <c r="H1405" s="6"/>
      <c r="I1405" s="6"/>
      <c r="J1405" s="2"/>
      <c r="K1405" s="2"/>
      <c r="L1405" s="2"/>
      <c r="M1405" s="2"/>
      <c r="N1405" s="2"/>
      <c r="O1405" s="56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 spans="1:28" x14ac:dyDescent="0.3">
      <c r="A1406" s="2"/>
      <c r="B1406" s="8"/>
      <c r="C1406" s="8"/>
      <c r="D1406" s="8"/>
      <c r="E1406" s="8"/>
      <c r="F1406" s="13"/>
      <c r="G1406" s="59"/>
      <c r="H1406" s="6"/>
      <c r="I1406" s="6"/>
      <c r="J1406" s="2"/>
      <c r="K1406" s="2"/>
      <c r="L1406" s="2"/>
      <c r="M1406" s="2"/>
      <c r="N1406" s="2"/>
      <c r="O1406" s="56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 spans="1:28" x14ac:dyDescent="0.3">
      <c r="A1407" s="2"/>
      <c r="B1407" s="8"/>
      <c r="C1407" s="8"/>
      <c r="D1407" s="8"/>
      <c r="E1407" s="8"/>
      <c r="F1407" s="13"/>
      <c r="G1407" s="59"/>
      <c r="H1407" s="6"/>
      <c r="I1407" s="6"/>
      <c r="J1407" s="2"/>
      <c r="K1407" s="2"/>
      <c r="L1407" s="2"/>
      <c r="M1407" s="2"/>
      <c r="N1407" s="2"/>
      <c r="O1407" s="56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 spans="1:28" x14ac:dyDescent="0.3">
      <c r="A1408" s="2"/>
      <c r="B1408" s="8"/>
      <c r="C1408" s="8"/>
      <c r="D1408" s="8"/>
      <c r="E1408" s="8"/>
      <c r="F1408" s="13"/>
      <c r="G1408" s="59"/>
      <c r="H1408" s="6"/>
      <c r="I1408" s="6"/>
      <c r="J1408" s="2"/>
      <c r="K1408" s="2"/>
      <c r="L1408" s="2"/>
      <c r="M1408" s="2"/>
      <c r="N1408" s="2"/>
      <c r="O1408" s="56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 spans="1:28" x14ac:dyDescent="0.3">
      <c r="A1409" s="2"/>
      <c r="B1409" s="8"/>
      <c r="C1409" s="8"/>
      <c r="D1409" s="8"/>
      <c r="E1409" s="8"/>
      <c r="F1409" s="13"/>
      <c r="G1409" s="59"/>
      <c r="H1409" s="6"/>
      <c r="I1409" s="6"/>
      <c r="J1409" s="2"/>
      <c r="K1409" s="2"/>
      <c r="L1409" s="2"/>
      <c r="M1409" s="2"/>
      <c r="N1409" s="2"/>
      <c r="O1409" s="56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 spans="1:28" x14ac:dyDescent="0.3">
      <c r="A1410" s="2"/>
      <c r="B1410" s="8"/>
      <c r="C1410" s="8"/>
      <c r="D1410" s="8"/>
      <c r="E1410" s="8"/>
      <c r="F1410" s="13"/>
      <c r="G1410" s="59"/>
      <c r="H1410" s="6"/>
      <c r="I1410" s="6"/>
      <c r="J1410" s="2"/>
      <c r="K1410" s="2"/>
      <c r="L1410" s="2"/>
      <c r="M1410" s="2"/>
      <c r="N1410" s="2"/>
      <c r="O1410" s="56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 spans="1:28" x14ac:dyDescent="0.3">
      <c r="A1411" s="2"/>
      <c r="B1411" s="8"/>
      <c r="C1411" s="8"/>
      <c r="D1411" s="8"/>
      <c r="E1411" s="8"/>
      <c r="F1411" s="13"/>
      <c r="G1411" s="59"/>
      <c r="H1411" s="6"/>
      <c r="I1411" s="6"/>
      <c r="J1411" s="2"/>
      <c r="K1411" s="2"/>
      <c r="L1411" s="2"/>
      <c r="M1411" s="2"/>
      <c r="N1411" s="2"/>
      <c r="O1411" s="56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 spans="1:28" x14ac:dyDescent="0.3">
      <c r="A1412" s="2"/>
      <c r="B1412" s="8"/>
      <c r="C1412" s="8"/>
      <c r="D1412" s="8"/>
      <c r="E1412" s="8"/>
      <c r="F1412" s="13"/>
      <c r="G1412" s="59"/>
      <c r="H1412" s="6"/>
      <c r="I1412" s="6"/>
      <c r="J1412" s="2"/>
      <c r="K1412" s="2"/>
      <c r="L1412" s="2"/>
      <c r="M1412" s="2"/>
      <c r="N1412" s="2"/>
      <c r="O1412" s="56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 spans="1:28" x14ac:dyDescent="0.3">
      <c r="A1413" s="2"/>
      <c r="B1413" s="8"/>
      <c r="C1413" s="8"/>
      <c r="D1413" s="8"/>
      <c r="E1413" s="8"/>
      <c r="F1413" s="13"/>
      <c r="G1413" s="59"/>
      <c r="H1413" s="6"/>
      <c r="I1413" s="6"/>
      <c r="J1413" s="2"/>
      <c r="K1413" s="2"/>
      <c r="L1413" s="2"/>
      <c r="M1413" s="2"/>
      <c r="N1413" s="2"/>
      <c r="O1413" s="56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 spans="1:28" x14ac:dyDescent="0.3">
      <c r="A1414" s="2"/>
      <c r="B1414" s="8"/>
      <c r="C1414" s="8"/>
      <c r="D1414" s="8"/>
      <c r="E1414" s="8"/>
      <c r="F1414" s="13"/>
      <c r="G1414" s="59"/>
      <c r="H1414" s="6"/>
      <c r="I1414" s="6"/>
      <c r="J1414" s="2"/>
      <c r="K1414" s="2"/>
      <c r="L1414" s="2"/>
      <c r="M1414" s="2"/>
      <c r="N1414" s="2"/>
      <c r="O1414" s="56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 spans="1:28" x14ac:dyDescent="0.3">
      <c r="A1415" s="2"/>
      <c r="B1415" s="8"/>
      <c r="C1415" s="8"/>
      <c r="D1415" s="8"/>
      <c r="E1415" s="8"/>
      <c r="F1415" s="13"/>
      <c r="G1415" s="59"/>
      <c r="H1415" s="6"/>
      <c r="I1415" s="6"/>
      <c r="J1415" s="2"/>
      <c r="K1415" s="2"/>
      <c r="L1415" s="2"/>
      <c r="M1415" s="2"/>
      <c r="N1415" s="2"/>
      <c r="O1415" s="56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 spans="1:28" x14ac:dyDescent="0.3">
      <c r="A1416" s="2"/>
      <c r="B1416" s="8"/>
      <c r="C1416" s="8"/>
      <c r="D1416" s="8"/>
      <c r="E1416" s="8"/>
      <c r="F1416" s="13"/>
      <c r="G1416" s="59"/>
      <c r="H1416" s="6"/>
      <c r="I1416" s="6"/>
      <c r="J1416" s="2"/>
      <c r="K1416" s="2"/>
      <c r="L1416" s="2"/>
      <c r="M1416" s="2"/>
      <c r="N1416" s="2"/>
      <c r="O1416" s="56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 spans="1:28" x14ac:dyDescent="0.3">
      <c r="A1417" s="2"/>
      <c r="B1417" s="8"/>
      <c r="C1417" s="8"/>
      <c r="D1417" s="8"/>
      <c r="E1417" s="8"/>
      <c r="F1417" s="13"/>
      <c r="G1417" s="59"/>
      <c r="H1417" s="6"/>
      <c r="I1417" s="6"/>
      <c r="J1417" s="2"/>
      <c r="K1417" s="2"/>
      <c r="L1417" s="2"/>
      <c r="M1417" s="2"/>
      <c r="N1417" s="2"/>
      <c r="O1417" s="56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 spans="1:28" x14ac:dyDescent="0.3">
      <c r="A1418" s="2"/>
      <c r="B1418" s="8"/>
      <c r="C1418" s="8"/>
      <c r="D1418" s="8"/>
      <c r="E1418" s="8"/>
      <c r="F1418" s="13"/>
      <c r="G1418" s="59"/>
      <c r="H1418" s="6"/>
      <c r="I1418" s="6"/>
      <c r="J1418" s="2"/>
      <c r="K1418" s="2"/>
      <c r="L1418" s="2"/>
      <c r="M1418" s="2"/>
      <c r="N1418" s="2"/>
      <c r="O1418" s="56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 spans="1:28" x14ac:dyDescent="0.3">
      <c r="A1419" s="2"/>
      <c r="B1419" s="8"/>
      <c r="C1419" s="8"/>
      <c r="D1419" s="8"/>
      <c r="E1419" s="8"/>
      <c r="F1419" s="13"/>
      <c r="G1419" s="59"/>
      <c r="H1419" s="6"/>
      <c r="I1419" s="6"/>
      <c r="J1419" s="2"/>
      <c r="K1419" s="2"/>
      <c r="L1419" s="2"/>
      <c r="M1419" s="2"/>
      <c r="N1419" s="2"/>
      <c r="O1419" s="56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 spans="1:28" x14ac:dyDescent="0.3">
      <c r="A1420" s="2"/>
      <c r="B1420" s="8"/>
      <c r="C1420" s="8"/>
      <c r="D1420" s="8"/>
      <c r="E1420" s="8"/>
      <c r="F1420" s="13"/>
      <c r="G1420" s="59"/>
      <c r="H1420" s="6"/>
      <c r="I1420" s="6"/>
      <c r="J1420" s="2"/>
      <c r="K1420" s="2"/>
      <c r="L1420" s="2"/>
      <c r="M1420" s="2"/>
      <c r="N1420" s="2"/>
      <c r="O1420" s="56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 spans="1:28" x14ac:dyDescent="0.3">
      <c r="A1421" s="2"/>
      <c r="B1421" s="8"/>
      <c r="C1421" s="8"/>
      <c r="D1421" s="8"/>
      <c r="E1421" s="8"/>
      <c r="F1421" s="13"/>
      <c r="G1421" s="59"/>
      <c r="H1421" s="6"/>
      <c r="I1421" s="6"/>
      <c r="J1421" s="2"/>
      <c r="K1421" s="2"/>
      <c r="L1421" s="2"/>
      <c r="M1421" s="2"/>
      <c r="N1421" s="2"/>
      <c r="O1421" s="56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x14ac:dyDescent="0.3">
      <c r="A1422" s="2"/>
      <c r="B1422" s="8"/>
      <c r="C1422" s="8"/>
      <c r="D1422" s="8"/>
      <c r="E1422" s="8"/>
      <c r="F1422" s="13"/>
      <c r="G1422" s="59"/>
      <c r="H1422" s="6"/>
      <c r="I1422" s="6"/>
      <c r="J1422" s="2"/>
      <c r="K1422" s="2"/>
      <c r="L1422" s="2"/>
      <c r="M1422" s="2"/>
      <c r="N1422" s="2"/>
      <c r="O1422" s="56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x14ac:dyDescent="0.3">
      <c r="A1423" s="2"/>
      <c r="B1423" s="8"/>
      <c r="C1423" s="8"/>
      <c r="D1423" s="8"/>
      <c r="E1423" s="8"/>
      <c r="F1423" s="13"/>
      <c r="G1423" s="59"/>
      <c r="H1423" s="6"/>
      <c r="I1423" s="6"/>
      <c r="J1423" s="2"/>
      <c r="K1423" s="2"/>
      <c r="L1423" s="2"/>
      <c r="M1423" s="2"/>
      <c r="N1423" s="2"/>
      <c r="O1423" s="56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x14ac:dyDescent="0.3">
      <c r="A1424" s="2"/>
      <c r="B1424" s="8"/>
      <c r="C1424" s="8"/>
      <c r="D1424" s="8"/>
      <c r="E1424" s="8"/>
      <c r="F1424" s="13"/>
      <c r="G1424" s="59"/>
      <c r="H1424" s="6"/>
      <c r="I1424" s="6"/>
      <c r="J1424" s="2"/>
      <c r="K1424" s="2"/>
      <c r="L1424" s="2"/>
      <c r="M1424" s="2"/>
      <c r="N1424" s="2"/>
      <c r="O1424" s="56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x14ac:dyDescent="0.3">
      <c r="A1425" s="2"/>
      <c r="B1425" s="8"/>
      <c r="C1425" s="8"/>
      <c r="D1425" s="8"/>
      <c r="E1425" s="8"/>
      <c r="F1425" s="13"/>
      <c r="G1425" s="59"/>
      <c r="H1425" s="6"/>
      <c r="I1425" s="6"/>
      <c r="J1425" s="2"/>
      <c r="K1425" s="2"/>
      <c r="L1425" s="2"/>
      <c r="M1425" s="2"/>
      <c r="N1425" s="2"/>
      <c r="O1425" s="56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x14ac:dyDescent="0.3">
      <c r="A1426" s="2"/>
      <c r="B1426" s="8"/>
      <c r="C1426" s="8"/>
      <c r="D1426" s="8"/>
      <c r="E1426" s="8"/>
      <c r="F1426" s="13"/>
      <c r="G1426" s="59"/>
      <c r="H1426" s="6"/>
      <c r="I1426" s="6"/>
      <c r="J1426" s="2"/>
      <c r="K1426" s="2"/>
      <c r="L1426" s="2"/>
      <c r="M1426" s="2"/>
      <c r="N1426" s="2"/>
      <c r="O1426" s="56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x14ac:dyDescent="0.3">
      <c r="A1427" s="2"/>
      <c r="B1427" s="8"/>
      <c r="C1427" s="8"/>
      <c r="D1427" s="8"/>
      <c r="E1427" s="8"/>
      <c r="F1427" s="13"/>
      <c r="G1427" s="59"/>
      <c r="H1427" s="6"/>
      <c r="I1427" s="6"/>
      <c r="J1427" s="2"/>
      <c r="K1427" s="2"/>
      <c r="L1427" s="2"/>
      <c r="M1427" s="2"/>
      <c r="N1427" s="2"/>
      <c r="O1427" s="56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x14ac:dyDescent="0.3">
      <c r="A1428" s="2"/>
      <c r="B1428" s="8"/>
      <c r="C1428" s="8"/>
      <c r="D1428" s="8"/>
      <c r="E1428" s="8"/>
      <c r="F1428" s="13"/>
      <c r="G1428" s="59"/>
      <c r="H1428" s="6"/>
      <c r="I1428" s="6"/>
      <c r="J1428" s="2"/>
      <c r="K1428" s="2"/>
      <c r="L1428" s="2"/>
      <c r="M1428" s="2"/>
      <c r="N1428" s="2"/>
      <c r="O1428" s="56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 x14ac:dyDescent="0.3">
      <c r="A1429" s="2"/>
      <c r="B1429" s="8"/>
      <c r="C1429" s="8"/>
      <c r="D1429" s="8"/>
      <c r="E1429" s="8"/>
      <c r="F1429" s="13"/>
      <c r="G1429" s="59"/>
      <c r="H1429" s="6"/>
      <c r="I1429" s="6"/>
      <c r="J1429" s="2"/>
      <c r="K1429" s="2"/>
      <c r="L1429" s="2"/>
      <c r="M1429" s="2"/>
      <c r="N1429" s="2"/>
      <c r="O1429" s="56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 spans="1:28" x14ac:dyDescent="0.3">
      <c r="A1430" s="2"/>
      <c r="B1430" s="8"/>
      <c r="C1430" s="8"/>
      <c r="D1430" s="8"/>
      <c r="E1430" s="8"/>
      <c r="F1430" s="13"/>
      <c r="G1430" s="59"/>
      <c r="H1430" s="6"/>
      <c r="I1430" s="6"/>
      <c r="J1430" s="2"/>
      <c r="K1430" s="2"/>
      <c r="L1430" s="2"/>
      <c r="M1430" s="2"/>
      <c r="N1430" s="2"/>
      <c r="O1430" s="56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28" x14ac:dyDescent="0.3">
      <c r="A1431" s="2"/>
      <c r="B1431" s="8"/>
      <c r="C1431" s="8"/>
      <c r="D1431" s="8"/>
      <c r="E1431" s="8"/>
      <c r="F1431" s="13"/>
      <c r="G1431" s="59"/>
      <c r="H1431" s="6"/>
      <c r="I1431" s="6"/>
      <c r="J1431" s="2"/>
      <c r="K1431" s="2"/>
      <c r="L1431" s="2"/>
      <c r="M1431" s="2"/>
      <c r="N1431" s="2"/>
      <c r="O1431" s="56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x14ac:dyDescent="0.3">
      <c r="A1432" s="2"/>
      <c r="B1432" s="8"/>
      <c r="C1432" s="8"/>
      <c r="D1432" s="8"/>
      <c r="E1432" s="8"/>
      <c r="F1432" s="13"/>
      <c r="G1432" s="59"/>
      <c r="H1432" s="6"/>
      <c r="I1432" s="6"/>
      <c r="J1432" s="2"/>
      <c r="K1432" s="2"/>
      <c r="L1432" s="2"/>
      <c r="M1432" s="2"/>
      <c r="N1432" s="2"/>
      <c r="O1432" s="56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:28" x14ac:dyDescent="0.3">
      <c r="A1433" s="2"/>
      <c r="B1433" s="8"/>
      <c r="C1433" s="8"/>
      <c r="D1433" s="8"/>
      <c r="E1433" s="8"/>
      <c r="F1433" s="13"/>
      <c r="G1433" s="59"/>
      <c r="H1433" s="6"/>
      <c r="I1433" s="6"/>
      <c r="J1433" s="2"/>
      <c r="K1433" s="2"/>
      <c r="L1433" s="2"/>
      <c r="M1433" s="2"/>
      <c r="N1433" s="2"/>
      <c r="O1433" s="56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 spans="1:28" x14ac:dyDescent="0.3">
      <c r="A1434" s="2"/>
      <c r="B1434" s="8"/>
      <c r="C1434" s="8"/>
      <c r="D1434" s="8"/>
      <c r="E1434" s="8"/>
      <c r="F1434" s="13"/>
      <c r="G1434" s="59"/>
      <c r="H1434" s="6"/>
      <c r="I1434" s="6"/>
      <c r="J1434" s="2"/>
      <c r="K1434" s="2"/>
      <c r="L1434" s="2"/>
      <c r="M1434" s="2"/>
      <c r="N1434" s="2"/>
      <c r="O1434" s="56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 spans="1:28" x14ac:dyDescent="0.3">
      <c r="A1435" s="2"/>
      <c r="B1435" s="8"/>
      <c r="C1435" s="8"/>
      <c r="D1435" s="8"/>
      <c r="E1435" s="8"/>
      <c r="F1435" s="13"/>
      <c r="G1435" s="59"/>
      <c r="H1435" s="6"/>
      <c r="I1435" s="6"/>
      <c r="J1435" s="2"/>
      <c r="K1435" s="2"/>
      <c r="L1435" s="2"/>
      <c r="M1435" s="2"/>
      <c r="N1435" s="2"/>
      <c r="O1435" s="56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 spans="1:28" x14ac:dyDescent="0.3">
      <c r="A1436" s="2"/>
      <c r="B1436" s="8"/>
      <c r="C1436" s="8"/>
      <c r="D1436" s="8"/>
      <c r="E1436" s="8"/>
      <c r="F1436" s="13"/>
      <c r="G1436" s="59"/>
      <c r="H1436" s="6"/>
      <c r="I1436" s="6"/>
      <c r="J1436" s="2"/>
      <c r="K1436" s="2"/>
      <c r="L1436" s="2"/>
      <c r="M1436" s="2"/>
      <c r="N1436" s="2"/>
      <c r="O1436" s="56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 spans="1:28" x14ac:dyDescent="0.3">
      <c r="A1437" s="2"/>
      <c r="B1437" s="8"/>
      <c r="C1437" s="8"/>
      <c r="D1437" s="8"/>
      <c r="E1437" s="8"/>
      <c r="F1437" s="13"/>
      <c r="G1437" s="59"/>
      <c r="H1437" s="6"/>
      <c r="I1437" s="6"/>
      <c r="J1437" s="2"/>
      <c r="K1437" s="2"/>
      <c r="L1437" s="2"/>
      <c r="M1437" s="2"/>
      <c r="N1437" s="2"/>
      <c r="O1437" s="56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 spans="1:28" x14ac:dyDescent="0.3">
      <c r="A1438" s="2"/>
      <c r="B1438" s="8"/>
      <c r="C1438" s="8"/>
      <c r="D1438" s="8"/>
      <c r="E1438" s="8"/>
      <c r="F1438" s="13"/>
      <c r="G1438" s="59"/>
      <c r="H1438" s="6"/>
      <c r="I1438" s="6"/>
      <c r="J1438" s="2"/>
      <c r="K1438" s="2"/>
      <c r="L1438" s="2"/>
      <c r="M1438" s="2"/>
      <c r="N1438" s="2"/>
      <c r="O1438" s="56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 spans="1:28" x14ac:dyDescent="0.3">
      <c r="A1439" s="2"/>
      <c r="B1439" s="8"/>
      <c r="C1439" s="8"/>
      <c r="D1439" s="8"/>
      <c r="E1439" s="8"/>
      <c r="F1439" s="13"/>
      <c r="G1439" s="59"/>
      <c r="H1439" s="6"/>
      <c r="I1439" s="6"/>
      <c r="J1439" s="2"/>
      <c r="K1439" s="2"/>
      <c r="L1439" s="2"/>
      <c r="M1439" s="2"/>
      <c r="N1439" s="2"/>
      <c r="O1439" s="56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 spans="1:28" x14ac:dyDescent="0.3">
      <c r="A1440" s="2"/>
      <c r="B1440" s="8"/>
      <c r="C1440" s="8"/>
      <c r="D1440" s="8"/>
      <c r="E1440" s="8"/>
      <c r="F1440" s="13"/>
      <c r="G1440" s="59"/>
      <c r="H1440" s="6"/>
      <c r="I1440" s="6"/>
      <c r="J1440" s="2"/>
      <c r="K1440" s="2"/>
      <c r="L1440" s="2"/>
      <c r="M1440" s="2"/>
      <c r="N1440" s="2"/>
      <c r="O1440" s="56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 spans="1:28" x14ac:dyDescent="0.3">
      <c r="A1441" s="2"/>
      <c r="B1441" s="8"/>
      <c r="C1441" s="8"/>
      <c r="D1441" s="8"/>
      <c r="E1441" s="8"/>
      <c r="F1441" s="13"/>
      <c r="G1441" s="59"/>
      <c r="H1441" s="6"/>
      <c r="I1441" s="6"/>
      <c r="J1441" s="2"/>
      <c r="K1441" s="2"/>
      <c r="L1441" s="2"/>
      <c r="M1441" s="2"/>
      <c r="N1441" s="2"/>
      <c r="O1441" s="56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 spans="1:28" x14ac:dyDescent="0.3">
      <c r="A1442" s="2"/>
      <c r="B1442" s="8"/>
      <c r="C1442" s="8"/>
      <c r="D1442" s="8"/>
      <c r="E1442" s="8"/>
      <c r="F1442" s="13"/>
      <c r="G1442" s="59"/>
      <c r="H1442" s="6"/>
      <c r="I1442" s="6"/>
      <c r="J1442" s="2"/>
      <c r="K1442" s="2"/>
      <c r="L1442" s="2"/>
      <c r="M1442" s="2"/>
      <c r="N1442" s="2"/>
      <c r="O1442" s="56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x14ac:dyDescent="0.3">
      <c r="A1443" s="2"/>
      <c r="B1443" s="8"/>
      <c r="C1443" s="8"/>
      <c r="D1443" s="8"/>
      <c r="E1443" s="8"/>
      <c r="F1443" s="13"/>
      <c r="G1443" s="59"/>
      <c r="H1443" s="6"/>
      <c r="I1443" s="6"/>
      <c r="J1443" s="2"/>
      <c r="K1443" s="2"/>
      <c r="L1443" s="2"/>
      <c r="M1443" s="2"/>
      <c r="N1443" s="2"/>
      <c r="O1443" s="56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x14ac:dyDescent="0.3">
      <c r="A1444" s="2"/>
      <c r="B1444" s="8"/>
      <c r="C1444" s="8"/>
      <c r="D1444" s="8"/>
      <c r="E1444" s="8"/>
      <c r="F1444" s="13"/>
      <c r="G1444" s="59"/>
      <c r="H1444" s="6"/>
      <c r="I1444" s="6"/>
      <c r="J1444" s="2"/>
      <c r="K1444" s="2"/>
      <c r="L1444" s="2"/>
      <c r="M1444" s="2"/>
      <c r="N1444" s="2"/>
      <c r="O1444" s="56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x14ac:dyDescent="0.3">
      <c r="A1445" s="2"/>
      <c r="B1445" s="8"/>
      <c r="C1445" s="8"/>
      <c r="D1445" s="8"/>
      <c r="E1445" s="8"/>
      <c r="F1445" s="13"/>
      <c r="G1445" s="59"/>
      <c r="H1445" s="6"/>
      <c r="I1445" s="6"/>
      <c r="J1445" s="2"/>
      <c r="K1445" s="2"/>
      <c r="L1445" s="2"/>
      <c r="M1445" s="2"/>
      <c r="N1445" s="2"/>
      <c r="O1445" s="56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x14ac:dyDescent="0.3">
      <c r="A1446" s="2"/>
      <c r="B1446" s="8"/>
      <c r="C1446" s="8"/>
      <c r="D1446" s="8"/>
      <c r="E1446" s="8"/>
      <c r="F1446" s="13"/>
      <c r="G1446" s="59"/>
      <c r="H1446" s="6"/>
      <c r="I1446" s="6"/>
      <c r="J1446" s="2"/>
      <c r="K1446" s="2"/>
      <c r="L1446" s="2"/>
      <c r="M1446" s="2"/>
      <c r="N1446" s="2"/>
      <c r="O1446" s="56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x14ac:dyDescent="0.3">
      <c r="A1447" s="2"/>
      <c r="B1447" s="8"/>
      <c r="C1447" s="8"/>
      <c r="D1447" s="8"/>
      <c r="E1447" s="8"/>
      <c r="F1447" s="13"/>
      <c r="G1447" s="59"/>
      <c r="H1447" s="6"/>
      <c r="I1447" s="6"/>
      <c r="J1447" s="2"/>
      <c r="K1447" s="2"/>
      <c r="L1447" s="2"/>
      <c r="M1447" s="2"/>
      <c r="N1447" s="2"/>
      <c r="O1447" s="56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x14ac:dyDescent="0.3">
      <c r="A1448" s="2"/>
      <c r="B1448" s="8"/>
      <c r="C1448" s="8"/>
      <c r="D1448" s="8"/>
      <c r="E1448" s="8"/>
      <c r="F1448" s="13"/>
      <c r="G1448" s="59"/>
      <c r="H1448" s="6"/>
      <c r="I1448" s="6"/>
      <c r="J1448" s="2"/>
      <c r="K1448" s="2"/>
      <c r="L1448" s="2"/>
      <c r="M1448" s="2"/>
      <c r="N1448" s="2"/>
      <c r="O1448" s="56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x14ac:dyDescent="0.3">
      <c r="A1449" s="2"/>
      <c r="B1449" s="8"/>
      <c r="C1449" s="8"/>
      <c r="D1449" s="8"/>
      <c r="E1449" s="8"/>
      <c r="F1449" s="13"/>
      <c r="G1449" s="59"/>
      <c r="H1449" s="6"/>
      <c r="I1449" s="6"/>
      <c r="J1449" s="2"/>
      <c r="K1449" s="2"/>
      <c r="L1449" s="2"/>
      <c r="M1449" s="2"/>
      <c r="N1449" s="2"/>
      <c r="O1449" s="56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x14ac:dyDescent="0.3">
      <c r="A1450" s="2"/>
      <c r="B1450" s="8"/>
      <c r="C1450" s="8"/>
      <c r="D1450" s="8"/>
      <c r="E1450" s="8"/>
      <c r="F1450" s="13"/>
      <c r="G1450" s="59"/>
      <c r="H1450" s="6"/>
      <c r="I1450" s="6"/>
      <c r="J1450" s="2"/>
      <c r="K1450" s="2"/>
      <c r="L1450" s="2"/>
      <c r="M1450" s="2"/>
      <c r="N1450" s="2"/>
      <c r="O1450" s="56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x14ac:dyDescent="0.3">
      <c r="A1451" s="2"/>
      <c r="B1451" s="8"/>
      <c r="C1451" s="8"/>
      <c r="D1451" s="8"/>
      <c r="E1451" s="8"/>
      <c r="F1451" s="13"/>
      <c r="G1451" s="59"/>
      <c r="H1451" s="6"/>
      <c r="I1451" s="6"/>
      <c r="J1451" s="2"/>
      <c r="K1451" s="2"/>
      <c r="L1451" s="2"/>
      <c r="M1451" s="2"/>
      <c r="N1451" s="2"/>
      <c r="O1451" s="56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x14ac:dyDescent="0.3">
      <c r="A1452" s="2"/>
      <c r="B1452" s="8"/>
      <c r="C1452" s="8"/>
      <c r="D1452" s="8"/>
      <c r="E1452" s="8"/>
      <c r="F1452" s="13"/>
      <c r="G1452" s="59"/>
      <c r="H1452" s="6"/>
      <c r="I1452" s="6"/>
      <c r="J1452" s="2"/>
      <c r="K1452" s="2"/>
      <c r="L1452" s="2"/>
      <c r="M1452" s="2"/>
      <c r="N1452" s="2"/>
      <c r="O1452" s="56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x14ac:dyDescent="0.3">
      <c r="A1453" s="2"/>
      <c r="B1453" s="8"/>
      <c r="C1453" s="8"/>
      <c r="D1453" s="8"/>
      <c r="E1453" s="8"/>
      <c r="F1453" s="13"/>
      <c r="G1453" s="59"/>
      <c r="H1453" s="6"/>
      <c r="I1453" s="6"/>
      <c r="J1453" s="2"/>
      <c r="K1453" s="2"/>
      <c r="L1453" s="2"/>
      <c r="M1453" s="2"/>
      <c r="N1453" s="2"/>
      <c r="O1453" s="56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x14ac:dyDescent="0.3">
      <c r="A1454" s="2"/>
      <c r="B1454" s="8"/>
      <c r="C1454" s="8"/>
      <c r="D1454" s="8"/>
      <c r="E1454" s="8"/>
      <c r="F1454" s="13"/>
      <c r="G1454" s="59"/>
      <c r="H1454" s="6"/>
      <c r="I1454" s="6"/>
      <c r="J1454" s="2"/>
      <c r="K1454" s="2"/>
      <c r="L1454" s="2"/>
      <c r="M1454" s="2"/>
      <c r="N1454" s="2"/>
      <c r="O1454" s="56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x14ac:dyDescent="0.3">
      <c r="A1455" s="2"/>
      <c r="B1455" s="8"/>
      <c r="C1455" s="8"/>
      <c r="D1455" s="8"/>
      <c r="E1455" s="8"/>
      <c r="F1455" s="13"/>
      <c r="G1455" s="59"/>
      <c r="H1455" s="6"/>
      <c r="I1455" s="6"/>
      <c r="J1455" s="2"/>
      <c r="K1455" s="2"/>
      <c r="L1455" s="2"/>
      <c r="M1455" s="2"/>
      <c r="N1455" s="2"/>
      <c r="O1455" s="56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x14ac:dyDescent="0.3">
      <c r="A1456" s="2"/>
      <c r="B1456" s="8"/>
      <c r="C1456" s="8"/>
      <c r="D1456" s="8"/>
      <c r="E1456" s="8"/>
      <c r="F1456" s="13"/>
      <c r="G1456" s="59"/>
      <c r="H1456" s="6"/>
      <c r="I1456" s="6"/>
      <c r="J1456" s="2"/>
      <c r="K1456" s="2"/>
      <c r="L1456" s="2"/>
      <c r="M1456" s="2"/>
      <c r="N1456" s="2"/>
      <c r="O1456" s="56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x14ac:dyDescent="0.3">
      <c r="A1457" s="2"/>
      <c r="B1457" s="8"/>
      <c r="C1457" s="8"/>
      <c r="D1457" s="8"/>
      <c r="E1457" s="8"/>
      <c r="F1457" s="13"/>
      <c r="G1457" s="59"/>
      <c r="H1457" s="6"/>
      <c r="I1457" s="6"/>
      <c r="J1457" s="2"/>
      <c r="K1457" s="2"/>
      <c r="L1457" s="2"/>
      <c r="M1457" s="2"/>
      <c r="N1457" s="2"/>
      <c r="O1457" s="56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x14ac:dyDescent="0.3">
      <c r="A1458" s="2"/>
      <c r="B1458" s="8"/>
      <c r="C1458" s="8"/>
      <c r="D1458" s="8"/>
      <c r="E1458" s="8"/>
      <c r="F1458" s="13"/>
      <c r="G1458" s="59"/>
      <c r="H1458" s="6"/>
      <c r="I1458" s="6"/>
      <c r="J1458" s="2"/>
      <c r="K1458" s="2"/>
      <c r="L1458" s="2"/>
      <c r="M1458" s="2"/>
      <c r="N1458" s="2"/>
      <c r="O1458" s="56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x14ac:dyDescent="0.3">
      <c r="A1459" s="2"/>
      <c r="B1459" s="8"/>
      <c r="C1459" s="8"/>
      <c r="D1459" s="8"/>
      <c r="E1459" s="8"/>
      <c r="F1459" s="13"/>
      <c r="G1459" s="59"/>
      <c r="H1459" s="6"/>
      <c r="I1459" s="6"/>
      <c r="J1459" s="2"/>
      <c r="K1459" s="2"/>
      <c r="L1459" s="2"/>
      <c r="M1459" s="2"/>
      <c r="N1459" s="2"/>
      <c r="O1459" s="56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x14ac:dyDescent="0.3">
      <c r="A1460" s="2"/>
      <c r="B1460" s="8"/>
      <c r="C1460" s="8"/>
      <c r="D1460" s="8"/>
      <c r="E1460" s="8"/>
      <c r="F1460" s="13"/>
      <c r="G1460" s="59"/>
      <c r="H1460" s="6"/>
      <c r="I1460" s="6"/>
      <c r="J1460" s="2"/>
      <c r="K1460" s="2"/>
      <c r="L1460" s="2"/>
      <c r="M1460" s="2"/>
      <c r="N1460" s="2"/>
      <c r="O1460" s="56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x14ac:dyDescent="0.3">
      <c r="A1461" s="2"/>
      <c r="B1461" s="8"/>
      <c r="C1461" s="8"/>
      <c r="D1461" s="8"/>
      <c r="E1461" s="8"/>
      <c r="F1461" s="13"/>
      <c r="G1461" s="59"/>
      <c r="H1461" s="6"/>
      <c r="I1461" s="6"/>
      <c r="J1461" s="2"/>
      <c r="K1461" s="2"/>
      <c r="L1461" s="2"/>
      <c r="M1461" s="2"/>
      <c r="N1461" s="2"/>
      <c r="O1461" s="56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x14ac:dyDescent="0.3">
      <c r="A1462" s="2"/>
      <c r="B1462" s="8"/>
      <c r="C1462" s="8"/>
      <c r="D1462" s="8"/>
      <c r="E1462" s="8"/>
      <c r="F1462" s="13"/>
      <c r="G1462" s="59"/>
      <c r="H1462" s="6"/>
      <c r="I1462" s="6"/>
      <c r="J1462" s="2"/>
      <c r="K1462" s="2"/>
      <c r="L1462" s="2"/>
      <c r="M1462" s="2"/>
      <c r="N1462" s="2"/>
      <c r="O1462" s="56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x14ac:dyDescent="0.3">
      <c r="A1463" s="2"/>
      <c r="B1463" s="8"/>
      <c r="C1463" s="8"/>
      <c r="D1463" s="8"/>
      <c r="E1463" s="8"/>
      <c r="F1463" s="13"/>
      <c r="G1463" s="59"/>
      <c r="H1463" s="6"/>
      <c r="I1463" s="6"/>
      <c r="J1463" s="2"/>
      <c r="K1463" s="2"/>
      <c r="L1463" s="2"/>
      <c r="M1463" s="2"/>
      <c r="N1463" s="2"/>
      <c r="O1463" s="56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x14ac:dyDescent="0.3">
      <c r="A1464" s="2"/>
      <c r="B1464" s="8"/>
      <c r="C1464" s="8"/>
      <c r="D1464" s="8"/>
      <c r="E1464" s="8"/>
      <c r="F1464" s="13"/>
      <c r="G1464" s="59"/>
      <c r="H1464" s="6"/>
      <c r="I1464" s="6"/>
      <c r="J1464" s="2"/>
      <c r="K1464" s="2"/>
      <c r="L1464" s="2"/>
      <c r="M1464" s="2"/>
      <c r="N1464" s="2"/>
      <c r="O1464" s="56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x14ac:dyDescent="0.3">
      <c r="A1465" s="2"/>
      <c r="B1465" s="8"/>
      <c r="C1465" s="8"/>
      <c r="D1465" s="8"/>
      <c r="E1465" s="8"/>
      <c r="F1465" s="13"/>
      <c r="G1465" s="59"/>
      <c r="H1465" s="6"/>
      <c r="I1465" s="6"/>
      <c r="J1465" s="2"/>
      <c r="K1465" s="2"/>
      <c r="L1465" s="2"/>
      <c r="M1465" s="2"/>
      <c r="N1465" s="2"/>
      <c r="O1465" s="56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x14ac:dyDescent="0.3">
      <c r="A1466" s="2"/>
      <c r="B1466" s="8"/>
      <c r="C1466" s="8"/>
      <c r="D1466" s="8"/>
      <c r="E1466" s="8"/>
      <c r="F1466" s="13"/>
      <c r="G1466" s="59"/>
      <c r="H1466" s="6"/>
      <c r="I1466" s="6"/>
      <c r="J1466" s="2"/>
      <c r="K1466" s="2"/>
      <c r="L1466" s="2"/>
      <c r="M1466" s="2"/>
      <c r="N1466" s="2"/>
      <c r="O1466" s="56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x14ac:dyDescent="0.3">
      <c r="A1467" s="2"/>
      <c r="B1467" s="8"/>
      <c r="C1467" s="8"/>
      <c r="D1467" s="8"/>
      <c r="E1467" s="8"/>
      <c r="F1467" s="13"/>
      <c r="G1467" s="59"/>
      <c r="H1467" s="6"/>
      <c r="I1467" s="6"/>
      <c r="J1467" s="2"/>
      <c r="K1467" s="2"/>
      <c r="L1467" s="2"/>
      <c r="M1467" s="2"/>
      <c r="N1467" s="2"/>
      <c r="O1467" s="56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x14ac:dyDescent="0.3">
      <c r="A1468" s="2"/>
      <c r="B1468" s="8"/>
      <c r="C1468" s="8"/>
      <c r="D1468" s="8"/>
      <c r="E1468" s="8"/>
      <c r="F1468" s="13"/>
      <c r="G1468" s="59"/>
      <c r="H1468" s="6"/>
      <c r="I1468" s="6"/>
      <c r="J1468" s="2"/>
      <c r="K1468" s="2"/>
      <c r="L1468" s="2"/>
      <c r="M1468" s="2"/>
      <c r="N1468" s="2"/>
      <c r="O1468" s="56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x14ac:dyDescent="0.3">
      <c r="A1469" s="2"/>
      <c r="B1469" s="8"/>
      <c r="C1469" s="8"/>
      <c r="D1469" s="8"/>
      <c r="E1469" s="8"/>
      <c r="F1469" s="13"/>
      <c r="G1469" s="59"/>
      <c r="H1469" s="6"/>
      <c r="I1469" s="6"/>
      <c r="J1469" s="2"/>
      <c r="K1469" s="2"/>
      <c r="L1469" s="2"/>
      <c r="M1469" s="2"/>
      <c r="N1469" s="2"/>
      <c r="O1469" s="56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x14ac:dyDescent="0.3">
      <c r="A1470" s="2"/>
      <c r="B1470" s="8"/>
      <c r="C1470" s="8"/>
      <c r="D1470" s="8"/>
      <c r="E1470" s="8"/>
      <c r="F1470" s="13"/>
      <c r="G1470" s="59"/>
      <c r="H1470" s="6"/>
      <c r="I1470" s="6"/>
      <c r="J1470" s="2"/>
      <c r="K1470" s="2"/>
      <c r="L1470" s="2"/>
      <c r="M1470" s="2"/>
      <c r="N1470" s="2"/>
      <c r="O1470" s="56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x14ac:dyDescent="0.3">
      <c r="A1471" s="2"/>
      <c r="B1471" s="8"/>
      <c r="C1471" s="8"/>
      <c r="D1471" s="8"/>
      <c r="E1471" s="8"/>
      <c r="F1471" s="13"/>
      <c r="G1471" s="59"/>
      <c r="H1471" s="6"/>
      <c r="I1471" s="6"/>
      <c r="J1471" s="2"/>
      <c r="K1471" s="2"/>
      <c r="L1471" s="2"/>
      <c r="M1471" s="2"/>
      <c r="N1471" s="2"/>
      <c r="O1471" s="56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x14ac:dyDescent="0.3">
      <c r="A1472" s="2"/>
      <c r="B1472" s="8"/>
      <c r="C1472" s="8"/>
      <c r="D1472" s="8"/>
      <c r="E1472" s="8"/>
      <c r="F1472" s="13"/>
      <c r="G1472" s="59"/>
      <c r="H1472" s="6"/>
      <c r="I1472" s="6"/>
      <c r="J1472" s="2"/>
      <c r="K1472" s="2"/>
      <c r="L1472" s="2"/>
      <c r="M1472" s="2"/>
      <c r="N1472" s="2"/>
      <c r="O1472" s="56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x14ac:dyDescent="0.3">
      <c r="A1473" s="2"/>
      <c r="B1473" s="8"/>
      <c r="C1473" s="8"/>
      <c r="D1473" s="8"/>
      <c r="E1473" s="8"/>
      <c r="F1473" s="13"/>
      <c r="G1473" s="59"/>
      <c r="H1473" s="6"/>
      <c r="I1473" s="6"/>
      <c r="J1473" s="2"/>
      <c r="K1473" s="2"/>
      <c r="L1473" s="2"/>
      <c r="M1473" s="2"/>
      <c r="N1473" s="2"/>
      <c r="O1473" s="56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x14ac:dyDescent="0.3">
      <c r="A1474" s="2"/>
      <c r="B1474" s="8"/>
      <c r="C1474" s="8"/>
      <c r="D1474" s="8"/>
      <c r="E1474" s="8"/>
      <c r="F1474" s="13"/>
      <c r="G1474" s="59"/>
      <c r="H1474" s="6"/>
      <c r="I1474" s="6"/>
      <c r="J1474" s="2"/>
      <c r="K1474" s="2"/>
      <c r="L1474" s="2"/>
      <c r="M1474" s="2"/>
      <c r="N1474" s="2"/>
      <c r="O1474" s="56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x14ac:dyDescent="0.3">
      <c r="A1475" s="2"/>
      <c r="B1475" s="8"/>
      <c r="C1475" s="8"/>
      <c r="D1475" s="8"/>
      <c r="E1475" s="8"/>
      <c r="F1475" s="13"/>
      <c r="G1475" s="59"/>
      <c r="H1475" s="6"/>
      <c r="I1475" s="6"/>
      <c r="J1475" s="2"/>
      <c r="K1475" s="2"/>
      <c r="L1475" s="2"/>
      <c r="M1475" s="2"/>
      <c r="N1475" s="2"/>
      <c r="O1475" s="56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x14ac:dyDescent="0.3">
      <c r="A1476" s="2"/>
      <c r="B1476" s="8"/>
      <c r="C1476" s="8"/>
      <c r="D1476" s="8"/>
      <c r="E1476" s="8"/>
      <c r="F1476" s="13"/>
      <c r="G1476" s="59"/>
      <c r="H1476" s="6"/>
      <c r="I1476" s="6"/>
      <c r="J1476" s="2"/>
      <c r="K1476" s="2"/>
      <c r="L1476" s="2"/>
      <c r="M1476" s="2"/>
      <c r="N1476" s="2"/>
      <c r="O1476" s="56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x14ac:dyDescent="0.3">
      <c r="A1477" s="2"/>
      <c r="B1477" s="8"/>
      <c r="C1477" s="8"/>
      <c r="D1477" s="8"/>
      <c r="E1477" s="8"/>
      <c r="F1477" s="13"/>
      <c r="G1477" s="59"/>
      <c r="H1477" s="6"/>
      <c r="I1477" s="6"/>
      <c r="J1477" s="2"/>
      <c r="K1477" s="2"/>
      <c r="L1477" s="2"/>
      <c r="M1477" s="2"/>
      <c r="N1477" s="2"/>
      <c r="O1477" s="56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x14ac:dyDescent="0.3">
      <c r="A1478" s="2"/>
      <c r="B1478" s="8"/>
      <c r="C1478" s="8"/>
      <c r="D1478" s="8"/>
      <c r="E1478" s="8"/>
      <c r="F1478" s="13"/>
      <c r="G1478" s="59"/>
      <c r="H1478" s="6"/>
      <c r="I1478" s="6"/>
      <c r="J1478" s="2"/>
      <c r="K1478" s="2"/>
      <c r="L1478" s="2"/>
      <c r="M1478" s="2"/>
      <c r="N1478" s="2"/>
      <c r="O1478" s="56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x14ac:dyDescent="0.3">
      <c r="A1479" s="2"/>
      <c r="B1479" s="8"/>
      <c r="C1479" s="8"/>
      <c r="D1479" s="8"/>
      <c r="E1479" s="8"/>
      <c r="F1479" s="13"/>
      <c r="G1479" s="59"/>
      <c r="H1479" s="6"/>
      <c r="I1479" s="6"/>
      <c r="J1479" s="2"/>
      <c r="K1479" s="2"/>
      <c r="L1479" s="2"/>
      <c r="M1479" s="2"/>
      <c r="N1479" s="2"/>
      <c r="O1479" s="56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x14ac:dyDescent="0.3">
      <c r="A1480" s="2"/>
      <c r="B1480" s="8"/>
      <c r="C1480" s="8"/>
      <c r="D1480" s="8"/>
      <c r="E1480" s="8"/>
      <c r="F1480" s="13"/>
      <c r="G1480" s="59"/>
      <c r="H1480" s="6"/>
      <c r="I1480" s="6"/>
      <c r="J1480" s="2"/>
      <c r="K1480" s="2"/>
      <c r="L1480" s="2"/>
      <c r="M1480" s="2"/>
      <c r="N1480" s="2"/>
      <c r="O1480" s="56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x14ac:dyDescent="0.3">
      <c r="A1481" s="2"/>
      <c r="B1481" s="8"/>
      <c r="C1481" s="8"/>
      <c r="D1481" s="8"/>
      <c r="E1481" s="8"/>
      <c r="F1481" s="13"/>
      <c r="G1481" s="59"/>
      <c r="H1481" s="6"/>
      <c r="I1481" s="6"/>
      <c r="J1481" s="2"/>
      <c r="K1481" s="2"/>
      <c r="L1481" s="2"/>
      <c r="M1481" s="2"/>
      <c r="N1481" s="2"/>
      <c r="O1481" s="56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x14ac:dyDescent="0.3">
      <c r="A1482" s="2"/>
      <c r="B1482" s="8"/>
      <c r="C1482" s="8"/>
      <c r="D1482" s="8"/>
      <c r="E1482" s="8"/>
      <c r="F1482" s="13"/>
      <c r="G1482" s="59"/>
      <c r="H1482" s="6"/>
      <c r="I1482" s="6"/>
      <c r="J1482" s="2"/>
      <c r="K1482" s="2"/>
      <c r="L1482" s="2"/>
      <c r="M1482" s="2"/>
      <c r="N1482" s="2"/>
      <c r="O1482" s="56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x14ac:dyDescent="0.3">
      <c r="A1483" s="2"/>
      <c r="B1483" s="8"/>
      <c r="C1483" s="8"/>
      <c r="D1483" s="8"/>
      <c r="E1483" s="8"/>
      <c r="F1483" s="13"/>
      <c r="G1483" s="59"/>
      <c r="H1483" s="6"/>
      <c r="I1483" s="6"/>
      <c r="J1483" s="2"/>
      <c r="K1483" s="2"/>
      <c r="L1483" s="2"/>
      <c r="M1483" s="2"/>
      <c r="N1483" s="2"/>
      <c r="O1483" s="56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x14ac:dyDescent="0.3">
      <c r="A1484" s="2"/>
      <c r="B1484" s="8"/>
      <c r="C1484" s="8"/>
      <c r="D1484" s="8"/>
      <c r="E1484" s="8"/>
      <c r="F1484" s="13"/>
      <c r="G1484" s="59"/>
      <c r="H1484" s="6"/>
      <c r="I1484" s="6"/>
      <c r="J1484" s="2"/>
      <c r="K1484" s="2"/>
      <c r="L1484" s="2"/>
      <c r="M1484" s="2"/>
      <c r="N1484" s="2"/>
      <c r="O1484" s="56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x14ac:dyDescent="0.3">
      <c r="A1485" s="2"/>
      <c r="B1485" s="8"/>
      <c r="C1485" s="8"/>
      <c r="D1485" s="8"/>
      <c r="E1485" s="8"/>
      <c r="F1485" s="13"/>
      <c r="G1485" s="59"/>
      <c r="H1485" s="6"/>
      <c r="I1485" s="6"/>
      <c r="J1485" s="2"/>
      <c r="K1485" s="2"/>
      <c r="L1485" s="2"/>
      <c r="M1485" s="2"/>
      <c r="N1485" s="2"/>
      <c r="O1485" s="56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x14ac:dyDescent="0.3">
      <c r="A1486" s="2"/>
      <c r="B1486" s="8"/>
      <c r="C1486" s="8"/>
      <c r="D1486" s="8"/>
      <c r="E1486" s="8"/>
      <c r="F1486" s="13"/>
      <c r="G1486" s="59"/>
      <c r="H1486" s="6"/>
      <c r="I1486" s="6"/>
      <c r="J1486" s="2"/>
      <c r="K1486" s="2"/>
      <c r="L1486" s="2"/>
      <c r="M1486" s="2"/>
      <c r="N1486" s="2"/>
      <c r="O1486" s="56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x14ac:dyDescent="0.3">
      <c r="A1487" s="2"/>
      <c r="B1487" s="8"/>
      <c r="C1487" s="8"/>
      <c r="D1487" s="8"/>
      <c r="E1487" s="8"/>
      <c r="F1487" s="13"/>
      <c r="G1487" s="59"/>
      <c r="H1487" s="6"/>
      <c r="I1487" s="6"/>
      <c r="J1487" s="2"/>
      <c r="K1487" s="2"/>
      <c r="L1487" s="2"/>
      <c r="M1487" s="2"/>
      <c r="N1487" s="2"/>
      <c r="O1487" s="56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x14ac:dyDescent="0.3">
      <c r="A1488" s="2"/>
      <c r="B1488" s="8"/>
      <c r="C1488" s="8"/>
      <c r="D1488" s="8"/>
      <c r="E1488" s="8"/>
      <c r="F1488" s="13"/>
      <c r="G1488" s="59"/>
      <c r="H1488" s="6"/>
      <c r="I1488" s="6"/>
      <c r="J1488" s="2"/>
      <c r="K1488" s="2"/>
      <c r="L1488" s="2"/>
      <c r="M1488" s="2"/>
      <c r="N1488" s="2"/>
      <c r="O1488" s="56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x14ac:dyDescent="0.3">
      <c r="A1489" s="2"/>
      <c r="B1489" s="8"/>
      <c r="C1489" s="8"/>
      <c r="D1489" s="8"/>
      <c r="E1489" s="8"/>
      <c r="F1489" s="13"/>
      <c r="G1489" s="59"/>
      <c r="H1489" s="6"/>
      <c r="I1489" s="6"/>
      <c r="J1489" s="2"/>
      <c r="K1489" s="2"/>
      <c r="L1489" s="2"/>
      <c r="M1489" s="2"/>
      <c r="N1489" s="2"/>
      <c r="O1489" s="56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x14ac:dyDescent="0.3">
      <c r="A1490" s="2"/>
      <c r="B1490" s="8"/>
      <c r="C1490" s="8"/>
      <c r="D1490" s="8"/>
      <c r="E1490" s="8"/>
      <c r="F1490" s="13"/>
      <c r="G1490" s="59"/>
      <c r="H1490" s="6"/>
      <c r="I1490" s="6"/>
      <c r="J1490" s="2"/>
      <c r="K1490" s="2"/>
      <c r="L1490" s="2"/>
      <c r="M1490" s="2"/>
      <c r="N1490" s="2"/>
      <c r="O1490" s="56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x14ac:dyDescent="0.3">
      <c r="A1491" s="2"/>
      <c r="B1491" s="8"/>
      <c r="C1491" s="8"/>
      <c r="D1491" s="8"/>
      <c r="E1491" s="8"/>
      <c r="F1491" s="13"/>
      <c r="G1491" s="59"/>
      <c r="H1491" s="6"/>
      <c r="I1491" s="6"/>
      <c r="J1491" s="2"/>
      <c r="K1491" s="2"/>
      <c r="L1491" s="2"/>
      <c r="M1491" s="2"/>
      <c r="N1491" s="2"/>
      <c r="O1491" s="56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x14ac:dyDescent="0.3">
      <c r="A1492" s="2"/>
      <c r="B1492" s="8"/>
      <c r="C1492" s="8"/>
      <c r="D1492" s="8"/>
      <c r="E1492" s="8"/>
      <c r="F1492" s="13"/>
      <c r="G1492" s="59"/>
      <c r="H1492" s="6"/>
      <c r="I1492" s="6"/>
      <c r="J1492" s="2"/>
      <c r="K1492" s="2"/>
      <c r="L1492" s="2"/>
      <c r="M1492" s="2"/>
      <c r="N1492" s="2"/>
      <c r="O1492" s="56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x14ac:dyDescent="0.3">
      <c r="A1493" s="2"/>
      <c r="B1493" s="8"/>
      <c r="C1493" s="8"/>
      <c r="D1493" s="8"/>
      <c r="E1493" s="8"/>
      <c r="F1493" s="13"/>
      <c r="G1493" s="59"/>
      <c r="H1493" s="6"/>
      <c r="I1493" s="6"/>
      <c r="J1493" s="2"/>
      <c r="K1493" s="2"/>
      <c r="L1493" s="2"/>
      <c r="M1493" s="2"/>
      <c r="N1493" s="2"/>
      <c r="O1493" s="56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x14ac:dyDescent="0.3">
      <c r="A1494" s="2"/>
      <c r="B1494" s="8"/>
      <c r="C1494" s="8"/>
      <c r="D1494" s="8"/>
      <c r="E1494" s="8"/>
      <c r="F1494" s="13"/>
      <c r="G1494" s="59"/>
      <c r="H1494" s="6"/>
      <c r="I1494" s="6"/>
      <c r="J1494" s="2"/>
      <c r="K1494" s="2"/>
      <c r="L1494" s="2"/>
      <c r="M1494" s="2"/>
      <c r="N1494" s="2"/>
      <c r="O1494" s="56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x14ac:dyDescent="0.3">
      <c r="A1495" s="2"/>
      <c r="B1495" s="8"/>
      <c r="C1495" s="8"/>
      <c r="D1495" s="8"/>
      <c r="E1495" s="8"/>
      <c r="F1495" s="13"/>
      <c r="G1495" s="59"/>
      <c r="H1495" s="6"/>
      <c r="I1495" s="6"/>
      <c r="J1495" s="2"/>
      <c r="K1495" s="2"/>
      <c r="L1495" s="2"/>
      <c r="M1495" s="2"/>
      <c r="N1495" s="2"/>
      <c r="O1495" s="56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x14ac:dyDescent="0.3">
      <c r="A1496" s="2"/>
      <c r="B1496" s="8"/>
      <c r="C1496" s="8"/>
      <c r="D1496" s="8"/>
      <c r="E1496" s="8"/>
      <c r="F1496" s="13"/>
      <c r="G1496" s="59"/>
      <c r="H1496" s="6"/>
      <c r="I1496" s="6"/>
      <c r="J1496" s="2"/>
      <c r="K1496" s="2"/>
      <c r="L1496" s="2"/>
      <c r="M1496" s="2"/>
      <c r="N1496" s="2"/>
      <c r="O1496" s="56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x14ac:dyDescent="0.3">
      <c r="A1497" s="2"/>
      <c r="B1497" s="8"/>
      <c r="C1497" s="8"/>
      <c r="D1497" s="8"/>
      <c r="E1497" s="8"/>
      <c r="F1497" s="13"/>
      <c r="G1497" s="59"/>
      <c r="H1497" s="6"/>
      <c r="I1497" s="6"/>
      <c r="J1497" s="2"/>
      <c r="K1497" s="2"/>
      <c r="L1497" s="2"/>
      <c r="M1497" s="2"/>
      <c r="N1497" s="2"/>
      <c r="O1497" s="56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x14ac:dyDescent="0.3">
      <c r="A1498" s="2"/>
      <c r="B1498" s="8"/>
      <c r="C1498" s="8"/>
      <c r="D1498" s="8"/>
      <c r="E1498" s="8"/>
      <c r="F1498" s="13"/>
      <c r="G1498" s="59"/>
      <c r="H1498" s="6"/>
      <c r="I1498" s="6"/>
      <c r="J1498" s="2"/>
      <c r="K1498" s="2"/>
      <c r="L1498" s="2"/>
      <c r="M1498" s="2"/>
      <c r="N1498" s="2"/>
      <c r="O1498" s="56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x14ac:dyDescent="0.3">
      <c r="A1499" s="2"/>
      <c r="B1499" s="8"/>
      <c r="C1499" s="8"/>
      <c r="D1499" s="8"/>
      <c r="E1499" s="8"/>
      <c r="F1499" s="13"/>
      <c r="G1499" s="59"/>
      <c r="H1499" s="6"/>
      <c r="I1499" s="6"/>
      <c r="J1499" s="2"/>
      <c r="K1499" s="2"/>
      <c r="L1499" s="2"/>
      <c r="M1499" s="2"/>
      <c r="N1499" s="2"/>
      <c r="O1499" s="56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x14ac:dyDescent="0.3">
      <c r="A1500" s="2"/>
      <c r="B1500" s="8"/>
      <c r="C1500" s="8"/>
      <c r="D1500" s="8"/>
      <c r="E1500" s="8"/>
      <c r="F1500" s="13"/>
      <c r="G1500" s="59"/>
      <c r="H1500" s="6"/>
      <c r="I1500" s="6"/>
      <c r="J1500" s="2"/>
      <c r="K1500" s="2"/>
      <c r="L1500" s="2"/>
      <c r="M1500" s="2"/>
      <c r="N1500" s="2"/>
      <c r="O1500" s="56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x14ac:dyDescent="0.3">
      <c r="A1501" s="2"/>
      <c r="B1501" s="8"/>
      <c r="C1501" s="8"/>
      <c r="D1501" s="8"/>
      <c r="E1501" s="8"/>
      <c r="F1501" s="13"/>
      <c r="G1501" s="59"/>
      <c r="H1501" s="6"/>
      <c r="I1501" s="6"/>
      <c r="J1501" s="2"/>
      <c r="K1501" s="2"/>
      <c r="L1501" s="2"/>
      <c r="M1501" s="2"/>
      <c r="N1501" s="2"/>
      <c r="O1501" s="56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x14ac:dyDescent="0.3">
      <c r="A1502" s="2"/>
      <c r="B1502" s="8"/>
      <c r="C1502" s="8"/>
      <c r="D1502" s="8"/>
      <c r="E1502" s="8"/>
      <c r="F1502" s="13"/>
      <c r="G1502" s="59"/>
      <c r="H1502" s="6"/>
      <c r="I1502" s="6"/>
      <c r="J1502" s="2"/>
      <c r="K1502" s="2"/>
      <c r="L1502" s="2"/>
      <c r="M1502" s="2"/>
      <c r="N1502" s="2"/>
      <c r="O1502" s="56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x14ac:dyDescent="0.3">
      <c r="A1503" s="2"/>
      <c r="B1503" s="8"/>
      <c r="C1503" s="8"/>
      <c r="D1503" s="8"/>
      <c r="E1503" s="8"/>
      <c r="F1503" s="13"/>
      <c r="G1503" s="59"/>
      <c r="H1503" s="6"/>
      <c r="I1503" s="6"/>
      <c r="J1503" s="2"/>
      <c r="K1503" s="2"/>
      <c r="L1503" s="2"/>
      <c r="M1503" s="2"/>
      <c r="N1503" s="2"/>
      <c r="O1503" s="56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x14ac:dyDescent="0.3">
      <c r="A1504" s="2"/>
      <c r="B1504" s="8"/>
      <c r="C1504" s="8"/>
      <c r="D1504" s="8"/>
      <c r="E1504" s="8"/>
      <c r="F1504" s="13"/>
      <c r="G1504" s="59"/>
      <c r="H1504" s="6"/>
      <c r="I1504" s="6"/>
      <c r="J1504" s="2"/>
      <c r="K1504" s="2"/>
      <c r="L1504" s="2"/>
      <c r="M1504" s="2"/>
      <c r="N1504" s="2"/>
      <c r="O1504" s="56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x14ac:dyDescent="0.3">
      <c r="A1505" s="2"/>
      <c r="B1505" s="8"/>
      <c r="C1505" s="8"/>
      <c r="D1505" s="8"/>
      <c r="E1505" s="8"/>
      <c r="F1505" s="13"/>
      <c r="G1505" s="59"/>
      <c r="H1505" s="6"/>
      <c r="I1505" s="6"/>
      <c r="J1505" s="2"/>
      <c r="K1505" s="2"/>
      <c r="L1505" s="2"/>
      <c r="M1505" s="2"/>
      <c r="N1505" s="2"/>
      <c r="O1505" s="56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x14ac:dyDescent="0.3">
      <c r="A1506" s="2"/>
      <c r="B1506" s="8"/>
      <c r="C1506" s="8"/>
      <c r="D1506" s="8"/>
      <c r="E1506" s="8"/>
      <c r="F1506" s="13"/>
      <c r="G1506" s="59"/>
      <c r="H1506" s="6"/>
      <c r="I1506" s="6"/>
      <c r="J1506" s="2"/>
      <c r="K1506" s="2"/>
      <c r="L1506" s="2"/>
      <c r="M1506" s="2"/>
      <c r="N1506" s="2"/>
      <c r="O1506" s="56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x14ac:dyDescent="0.3">
      <c r="A1507" s="2"/>
      <c r="B1507" s="8"/>
      <c r="C1507" s="8"/>
      <c r="D1507" s="8"/>
      <c r="E1507" s="8"/>
      <c r="F1507" s="13"/>
      <c r="G1507" s="59"/>
      <c r="H1507" s="6"/>
      <c r="I1507" s="6"/>
      <c r="J1507" s="2"/>
      <c r="K1507" s="2"/>
      <c r="L1507" s="2"/>
      <c r="M1507" s="2"/>
      <c r="N1507" s="2"/>
      <c r="O1507" s="56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x14ac:dyDescent="0.3">
      <c r="A1508" s="2"/>
      <c r="B1508" s="8"/>
      <c r="C1508" s="8"/>
      <c r="D1508" s="8"/>
      <c r="E1508" s="8"/>
      <c r="F1508" s="13"/>
      <c r="G1508" s="59"/>
      <c r="H1508" s="6"/>
      <c r="I1508" s="6"/>
      <c r="J1508" s="2"/>
      <c r="K1508" s="2"/>
      <c r="L1508" s="2"/>
      <c r="M1508" s="2"/>
      <c r="N1508" s="2"/>
      <c r="O1508" s="56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x14ac:dyDescent="0.3">
      <c r="A1509" s="2"/>
      <c r="B1509" s="8"/>
      <c r="C1509" s="8"/>
      <c r="D1509" s="8"/>
      <c r="E1509" s="8"/>
      <c r="F1509" s="13"/>
      <c r="G1509" s="59"/>
      <c r="H1509" s="6"/>
      <c r="I1509" s="6"/>
      <c r="J1509" s="2"/>
      <c r="K1509" s="2"/>
      <c r="L1509" s="2"/>
      <c r="M1509" s="2"/>
      <c r="N1509" s="2"/>
      <c r="O1509" s="56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x14ac:dyDescent="0.3">
      <c r="A1510" s="2"/>
      <c r="B1510" s="8"/>
      <c r="C1510" s="8"/>
      <c r="D1510" s="8"/>
      <c r="E1510" s="8"/>
      <c r="F1510" s="13"/>
      <c r="G1510" s="59"/>
      <c r="H1510" s="6"/>
      <c r="I1510" s="6"/>
      <c r="J1510" s="2"/>
      <c r="K1510" s="2"/>
      <c r="L1510" s="2"/>
      <c r="M1510" s="2"/>
      <c r="N1510" s="2"/>
      <c r="O1510" s="56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x14ac:dyDescent="0.3">
      <c r="A1511" s="2"/>
      <c r="B1511" s="8"/>
      <c r="C1511" s="8"/>
      <c r="D1511" s="8"/>
      <c r="E1511" s="8"/>
      <c r="F1511" s="13"/>
      <c r="G1511" s="59"/>
      <c r="H1511" s="6"/>
      <c r="I1511" s="6"/>
      <c r="J1511" s="2"/>
      <c r="K1511" s="2"/>
      <c r="L1511" s="2"/>
      <c r="M1511" s="2"/>
      <c r="N1511" s="2"/>
      <c r="O1511" s="56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x14ac:dyDescent="0.3">
      <c r="A1512" s="2"/>
      <c r="B1512" s="8"/>
      <c r="C1512" s="8"/>
      <c r="D1512" s="8"/>
      <c r="E1512" s="8"/>
      <c r="F1512" s="13"/>
      <c r="G1512" s="59"/>
      <c r="H1512" s="6"/>
      <c r="I1512" s="6"/>
      <c r="J1512" s="2"/>
      <c r="K1512" s="2"/>
      <c r="L1512" s="2"/>
      <c r="M1512" s="2"/>
      <c r="N1512" s="2"/>
      <c r="O1512" s="56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x14ac:dyDescent="0.3">
      <c r="A1513" s="2"/>
      <c r="B1513" s="8"/>
      <c r="C1513" s="8"/>
      <c r="D1513" s="8"/>
      <c r="E1513" s="8"/>
      <c r="F1513" s="13"/>
      <c r="G1513" s="59"/>
      <c r="H1513" s="6"/>
      <c r="I1513" s="6"/>
      <c r="J1513" s="2"/>
      <c r="K1513" s="2"/>
      <c r="L1513" s="2"/>
      <c r="M1513" s="2"/>
      <c r="N1513" s="2"/>
      <c r="O1513" s="56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x14ac:dyDescent="0.3">
      <c r="A1514" s="2"/>
      <c r="B1514" s="8"/>
      <c r="C1514" s="8"/>
      <c r="D1514" s="8"/>
      <c r="E1514" s="8"/>
      <c r="F1514" s="13"/>
      <c r="G1514" s="59"/>
      <c r="H1514" s="6"/>
      <c r="I1514" s="6"/>
      <c r="J1514" s="2"/>
      <c r="K1514" s="2"/>
      <c r="L1514" s="2"/>
      <c r="M1514" s="2"/>
      <c r="N1514" s="2"/>
      <c r="O1514" s="56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x14ac:dyDescent="0.3">
      <c r="A1515" s="2"/>
      <c r="B1515" s="8"/>
      <c r="C1515" s="8"/>
      <c r="D1515" s="8"/>
      <c r="E1515" s="8"/>
      <c r="F1515" s="13"/>
      <c r="G1515" s="59"/>
      <c r="H1515" s="6"/>
      <c r="I1515" s="6"/>
      <c r="J1515" s="2"/>
      <c r="K1515" s="2"/>
      <c r="L1515" s="2"/>
      <c r="M1515" s="2"/>
      <c r="N1515" s="2"/>
      <c r="O1515" s="56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x14ac:dyDescent="0.3">
      <c r="A1516" s="2"/>
      <c r="B1516" s="8"/>
      <c r="C1516" s="8"/>
      <c r="D1516" s="8"/>
      <c r="E1516" s="8"/>
      <c r="F1516" s="13"/>
      <c r="G1516" s="59"/>
      <c r="H1516" s="6"/>
      <c r="I1516" s="6"/>
      <c r="J1516" s="2"/>
      <c r="K1516" s="2"/>
      <c r="L1516" s="2"/>
      <c r="M1516" s="2"/>
      <c r="N1516" s="2"/>
      <c r="O1516" s="56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x14ac:dyDescent="0.3">
      <c r="A1517" s="2"/>
      <c r="B1517" s="8"/>
      <c r="C1517" s="8"/>
      <c r="D1517" s="8"/>
      <c r="E1517" s="8"/>
      <c r="F1517" s="13"/>
      <c r="G1517" s="59"/>
      <c r="H1517" s="6"/>
      <c r="I1517" s="6"/>
      <c r="J1517" s="2"/>
      <c r="K1517" s="2"/>
      <c r="L1517" s="2"/>
      <c r="M1517" s="2"/>
      <c r="N1517" s="2"/>
      <c r="O1517" s="56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x14ac:dyDescent="0.3">
      <c r="A1518" s="2"/>
      <c r="B1518" s="8"/>
      <c r="C1518" s="8"/>
      <c r="D1518" s="8"/>
      <c r="E1518" s="8"/>
      <c r="F1518" s="13"/>
      <c r="G1518" s="59"/>
      <c r="H1518" s="6"/>
      <c r="I1518" s="6"/>
      <c r="J1518" s="2"/>
      <c r="K1518" s="2"/>
      <c r="L1518" s="2"/>
      <c r="M1518" s="2"/>
      <c r="N1518" s="2"/>
      <c r="O1518" s="56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x14ac:dyDescent="0.3">
      <c r="A1519" s="2"/>
      <c r="B1519" s="8"/>
      <c r="C1519" s="8"/>
      <c r="D1519" s="8"/>
      <c r="E1519" s="8"/>
      <c r="F1519" s="13"/>
      <c r="G1519" s="59"/>
      <c r="H1519" s="6"/>
      <c r="I1519" s="6"/>
      <c r="J1519" s="2"/>
      <c r="K1519" s="2"/>
      <c r="L1519" s="2"/>
      <c r="M1519" s="2"/>
      <c r="N1519" s="2"/>
      <c r="O1519" s="56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x14ac:dyDescent="0.3">
      <c r="A1520" s="2"/>
      <c r="B1520" s="8"/>
      <c r="C1520" s="8"/>
      <c r="D1520" s="8"/>
      <c r="E1520" s="8"/>
      <c r="F1520" s="13"/>
      <c r="G1520" s="59"/>
      <c r="H1520" s="6"/>
      <c r="I1520" s="6"/>
      <c r="J1520" s="2"/>
      <c r="K1520" s="2"/>
      <c r="L1520" s="2"/>
      <c r="M1520" s="2"/>
      <c r="N1520" s="2"/>
      <c r="O1520" s="56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x14ac:dyDescent="0.3">
      <c r="A1521" s="2"/>
      <c r="B1521" s="8"/>
      <c r="C1521" s="8"/>
      <c r="D1521" s="8"/>
      <c r="E1521" s="8"/>
      <c r="F1521" s="13"/>
      <c r="G1521" s="59"/>
      <c r="H1521" s="6"/>
      <c r="I1521" s="6"/>
      <c r="J1521" s="2"/>
      <c r="K1521" s="2"/>
      <c r="L1521" s="2"/>
      <c r="M1521" s="2"/>
      <c r="N1521" s="2"/>
      <c r="O1521" s="56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x14ac:dyDescent="0.3">
      <c r="A1522" s="2"/>
      <c r="B1522" s="8"/>
      <c r="C1522" s="8"/>
      <c r="D1522" s="8"/>
      <c r="E1522" s="8"/>
      <c r="F1522" s="13"/>
      <c r="G1522" s="59"/>
      <c r="H1522" s="6"/>
      <c r="I1522" s="6"/>
      <c r="J1522" s="2"/>
      <c r="K1522" s="2"/>
      <c r="L1522" s="2"/>
      <c r="M1522" s="2"/>
      <c r="N1522" s="2"/>
      <c r="O1522" s="56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x14ac:dyDescent="0.3">
      <c r="A1523" s="2"/>
      <c r="B1523" s="8"/>
      <c r="C1523" s="8"/>
      <c r="D1523" s="8"/>
      <c r="E1523" s="8"/>
      <c r="F1523" s="13"/>
      <c r="G1523" s="59"/>
      <c r="H1523" s="6"/>
      <c r="I1523" s="6"/>
      <c r="J1523" s="2"/>
      <c r="K1523" s="2"/>
      <c r="L1523" s="2"/>
      <c r="M1523" s="2"/>
      <c r="N1523" s="2"/>
      <c r="O1523" s="56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x14ac:dyDescent="0.3">
      <c r="A1524" s="2"/>
      <c r="B1524" s="8"/>
      <c r="C1524" s="8"/>
      <c r="D1524" s="8"/>
      <c r="E1524" s="8"/>
      <c r="F1524" s="13"/>
      <c r="G1524" s="59"/>
      <c r="H1524" s="6"/>
      <c r="I1524" s="6"/>
      <c r="J1524" s="2"/>
      <c r="K1524" s="2"/>
      <c r="L1524" s="2"/>
      <c r="M1524" s="2"/>
      <c r="N1524" s="2"/>
      <c r="O1524" s="56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x14ac:dyDescent="0.3">
      <c r="A1525" s="2"/>
      <c r="B1525" s="8"/>
      <c r="C1525" s="8"/>
      <c r="D1525" s="8"/>
      <c r="E1525" s="8"/>
      <c r="F1525" s="13"/>
      <c r="G1525" s="59"/>
      <c r="H1525" s="6"/>
      <c r="I1525" s="6"/>
      <c r="J1525" s="2"/>
      <c r="K1525" s="2"/>
      <c r="L1525" s="2"/>
      <c r="M1525" s="2"/>
      <c r="N1525" s="2"/>
      <c r="O1525" s="56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x14ac:dyDescent="0.3">
      <c r="A1526" s="2"/>
      <c r="B1526" s="8"/>
      <c r="C1526" s="8"/>
      <c r="D1526" s="8"/>
      <c r="E1526" s="8"/>
      <c r="F1526" s="13"/>
      <c r="G1526" s="59"/>
      <c r="H1526" s="6"/>
      <c r="I1526" s="6"/>
      <c r="J1526" s="2"/>
      <c r="K1526" s="2"/>
      <c r="L1526" s="2"/>
      <c r="M1526" s="2"/>
      <c r="N1526" s="2"/>
      <c r="O1526" s="56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x14ac:dyDescent="0.3">
      <c r="A1527" s="2"/>
      <c r="B1527" s="8"/>
      <c r="C1527" s="8"/>
      <c r="D1527" s="8"/>
      <c r="E1527" s="8"/>
      <c r="F1527" s="13"/>
      <c r="G1527" s="59"/>
      <c r="H1527" s="6"/>
      <c r="I1527" s="6"/>
      <c r="J1527" s="2"/>
      <c r="K1527" s="2"/>
      <c r="L1527" s="2"/>
      <c r="M1527" s="2"/>
      <c r="N1527" s="2"/>
      <c r="O1527" s="56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x14ac:dyDescent="0.3">
      <c r="A1528" s="2"/>
      <c r="B1528" s="8"/>
      <c r="C1528" s="8"/>
      <c r="D1528" s="8"/>
      <c r="E1528" s="8"/>
      <c r="F1528" s="13"/>
      <c r="G1528" s="59"/>
      <c r="H1528" s="6"/>
      <c r="I1528" s="6"/>
      <c r="J1528" s="2"/>
      <c r="K1528" s="2"/>
      <c r="L1528" s="2"/>
      <c r="M1528" s="2"/>
      <c r="N1528" s="2"/>
      <c r="O1528" s="56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x14ac:dyDescent="0.3">
      <c r="A1529" s="2"/>
      <c r="B1529" s="8"/>
      <c r="C1529" s="8"/>
      <c r="D1529" s="8"/>
      <c r="E1529" s="8"/>
      <c r="F1529" s="13"/>
      <c r="G1529" s="59"/>
      <c r="H1529" s="6"/>
      <c r="I1529" s="6"/>
      <c r="J1529" s="2"/>
      <c r="K1529" s="2"/>
      <c r="L1529" s="2"/>
      <c r="M1529" s="2"/>
      <c r="N1529" s="2"/>
      <c r="O1529" s="56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x14ac:dyDescent="0.3">
      <c r="A1530" s="2"/>
      <c r="B1530" s="8"/>
      <c r="C1530" s="8"/>
      <c r="D1530" s="8"/>
      <c r="E1530" s="8"/>
      <c r="F1530" s="13"/>
      <c r="G1530" s="59"/>
      <c r="H1530" s="6"/>
      <c r="I1530" s="6"/>
      <c r="J1530" s="2"/>
      <c r="K1530" s="2"/>
      <c r="L1530" s="2"/>
      <c r="M1530" s="2"/>
      <c r="N1530" s="2"/>
      <c r="O1530" s="56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x14ac:dyDescent="0.3">
      <c r="A1531" s="2"/>
      <c r="B1531" s="8"/>
      <c r="C1531" s="8"/>
      <c r="D1531" s="8"/>
      <c r="E1531" s="8"/>
      <c r="F1531" s="13"/>
      <c r="G1531" s="59"/>
      <c r="H1531" s="6"/>
      <c r="I1531" s="6"/>
      <c r="J1531" s="2"/>
      <c r="K1531" s="2"/>
      <c r="L1531" s="2"/>
      <c r="M1531" s="2"/>
      <c r="N1531" s="2"/>
      <c r="O1531" s="56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x14ac:dyDescent="0.3">
      <c r="A1532" s="2"/>
      <c r="B1532" s="8"/>
      <c r="C1532" s="8"/>
      <c r="D1532" s="8"/>
      <c r="E1532" s="8"/>
      <c r="F1532" s="13"/>
      <c r="G1532" s="59"/>
      <c r="H1532" s="6"/>
      <c r="I1532" s="6"/>
      <c r="J1532" s="2"/>
      <c r="K1532" s="2"/>
      <c r="L1532" s="2"/>
      <c r="M1532" s="2"/>
      <c r="N1532" s="2"/>
      <c r="O1532" s="56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x14ac:dyDescent="0.3">
      <c r="A1533" s="2"/>
      <c r="B1533" s="8"/>
      <c r="C1533" s="8"/>
      <c r="D1533" s="8"/>
      <c r="E1533" s="8"/>
      <c r="F1533" s="13"/>
      <c r="G1533" s="59"/>
      <c r="H1533" s="6"/>
      <c r="I1533" s="6"/>
      <c r="J1533" s="2"/>
      <c r="K1533" s="2"/>
      <c r="L1533" s="2"/>
      <c r="M1533" s="2"/>
      <c r="N1533" s="2"/>
      <c r="O1533" s="56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x14ac:dyDescent="0.3">
      <c r="A1534" s="2"/>
      <c r="B1534" s="8"/>
      <c r="C1534" s="8"/>
      <c r="D1534" s="8"/>
      <c r="E1534" s="8"/>
      <c r="F1534" s="13"/>
      <c r="G1534" s="59"/>
      <c r="H1534" s="6"/>
      <c r="I1534" s="6"/>
      <c r="J1534" s="2"/>
      <c r="K1534" s="2"/>
      <c r="L1534" s="2"/>
      <c r="M1534" s="2"/>
      <c r="N1534" s="2"/>
      <c r="O1534" s="56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x14ac:dyDescent="0.3">
      <c r="A1535" s="2"/>
      <c r="B1535" s="8"/>
      <c r="C1535" s="8"/>
      <c r="D1535" s="8"/>
      <c r="E1535" s="8"/>
      <c r="F1535" s="13"/>
      <c r="G1535" s="59"/>
      <c r="H1535" s="6"/>
      <c r="I1535" s="6"/>
      <c r="J1535" s="2"/>
      <c r="K1535" s="2"/>
      <c r="L1535" s="2"/>
      <c r="M1535" s="2"/>
      <c r="N1535" s="2"/>
      <c r="O1535" s="56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x14ac:dyDescent="0.3">
      <c r="A1536" s="2"/>
      <c r="B1536" s="8"/>
      <c r="C1536" s="8"/>
      <c r="D1536" s="8"/>
      <c r="E1536" s="8"/>
      <c r="F1536" s="13"/>
      <c r="G1536" s="59"/>
      <c r="H1536" s="6"/>
      <c r="I1536" s="6"/>
      <c r="J1536" s="2"/>
      <c r="K1536" s="2"/>
      <c r="L1536" s="2"/>
      <c r="M1536" s="2"/>
      <c r="N1536" s="2"/>
      <c r="O1536" s="56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x14ac:dyDescent="0.3">
      <c r="A1537" s="2"/>
      <c r="B1537" s="8"/>
      <c r="C1537" s="8"/>
      <c r="D1537" s="8"/>
      <c r="E1537" s="8"/>
      <c r="F1537" s="13"/>
      <c r="G1537" s="59"/>
      <c r="H1537" s="6"/>
      <c r="I1537" s="6"/>
      <c r="J1537" s="2"/>
      <c r="K1537" s="2"/>
      <c r="L1537" s="2"/>
      <c r="M1537" s="2"/>
      <c r="N1537" s="2"/>
      <c r="O1537" s="56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x14ac:dyDescent="0.3">
      <c r="A1538" s="2"/>
      <c r="B1538" s="8"/>
      <c r="C1538" s="8"/>
      <c r="D1538" s="8"/>
      <c r="E1538" s="8"/>
      <c r="F1538" s="13"/>
      <c r="G1538" s="59"/>
      <c r="H1538" s="6"/>
      <c r="I1538" s="6"/>
      <c r="J1538" s="2"/>
      <c r="K1538" s="2"/>
      <c r="L1538" s="2"/>
      <c r="M1538" s="2"/>
      <c r="N1538" s="2"/>
      <c r="O1538" s="56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x14ac:dyDescent="0.3">
      <c r="A1539" s="2"/>
      <c r="B1539" s="8"/>
      <c r="C1539" s="8"/>
      <c r="D1539" s="8"/>
      <c r="E1539" s="8"/>
      <c r="F1539" s="13"/>
      <c r="G1539" s="59"/>
      <c r="H1539" s="6"/>
      <c r="I1539" s="6"/>
      <c r="J1539" s="2"/>
      <c r="K1539" s="2"/>
      <c r="L1539" s="2"/>
      <c r="M1539" s="2"/>
      <c r="N1539" s="2"/>
      <c r="O1539" s="56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x14ac:dyDescent="0.3">
      <c r="A1540" s="2"/>
      <c r="B1540" s="8"/>
      <c r="C1540" s="8"/>
      <c r="D1540" s="8"/>
      <c r="E1540" s="8"/>
      <c r="F1540" s="13"/>
      <c r="G1540" s="59"/>
      <c r="H1540" s="6"/>
      <c r="I1540" s="6"/>
      <c r="J1540" s="2"/>
      <c r="K1540" s="2"/>
      <c r="L1540" s="2"/>
      <c r="M1540" s="2"/>
      <c r="N1540" s="2"/>
      <c r="O1540" s="56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x14ac:dyDescent="0.3">
      <c r="A1541" s="2"/>
      <c r="B1541" s="8"/>
      <c r="C1541" s="8"/>
      <c r="D1541" s="8"/>
      <c r="E1541" s="8"/>
      <c r="F1541" s="13"/>
      <c r="G1541" s="59"/>
      <c r="H1541" s="6"/>
      <c r="I1541" s="6"/>
      <c r="J1541" s="2"/>
      <c r="K1541" s="2"/>
      <c r="L1541" s="2"/>
      <c r="M1541" s="2"/>
      <c r="N1541" s="2"/>
      <c r="O1541" s="56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x14ac:dyDescent="0.3">
      <c r="A1542" s="2"/>
      <c r="B1542" s="8"/>
      <c r="C1542" s="8"/>
      <c r="D1542" s="8"/>
      <c r="E1542" s="8"/>
      <c r="F1542" s="13"/>
      <c r="G1542" s="59"/>
      <c r="H1542" s="6"/>
      <c r="I1542" s="6"/>
      <c r="J1542" s="2"/>
      <c r="K1542" s="2"/>
      <c r="L1542" s="2"/>
      <c r="M1542" s="2"/>
      <c r="N1542" s="2"/>
      <c r="O1542" s="56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x14ac:dyDescent="0.3">
      <c r="A1543" s="2"/>
      <c r="B1543" s="8"/>
      <c r="C1543" s="8"/>
      <c r="D1543" s="8"/>
      <c r="E1543" s="8"/>
      <c r="F1543" s="13"/>
      <c r="G1543" s="59"/>
      <c r="H1543" s="6"/>
      <c r="I1543" s="6"/>
      <c r="J1543" s="2"/>
      <c r="K1543" s="2"/>
      <c r="L1543" s="2"/>
      <c r="M1543" s="2"/>
      <c r="N1543" s="2"/>
      <c r="O1543" s="56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x14ac:dyDescent="0.3">
      <c r="A1544" s="2"/>
      <c r="B1544" s="8"/>
      <c r="C1544" s="8"/>
      <c r="D1544" s="8"/>
      <c r="E1544" s="8"/>
      <c r="F1544" s="13"/>
      <c r="G1544" s="59"/>
      <c r="H1544" s="6"/>
      <c r="I1544" s="6"/>
      <c r="J1544" s="2"/>
      <c r="K1544" s="2"/>
      <c r="L1544" s="2"/>
      <c r="M1544" s="2"/>
      <c r="N1544" s="2"/>
      <c r="O1544" s="56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x14ac:dyDescent="0.3">
      <c r="A1545" s="2"/>
      <c r="B1545" s="8"/>
      <c r="C1545" s="8"/>
      <c r="D1545" s="8"/>
      <c r="E1545" s="8"/>
      <c r="F1545" s="13"/>
      <c r="G1545" s="59"/>
      <c r="H1545" s="6"/>
      <c r="I1545" s="6"/>
      <c r="J1545" s="2"/>
      <c r="K1545" s="2"/>
      <c r="L1545" s="2"/>
      <c r="M1545" s="2"/>
      <c r="N1545" s="2"/>
      <c r="O1545" s="56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x14ac:dyDescent="0.3">
      <c r="A1546" s="2"/>
      <c r="B1546" s="8"/>
      <c r="C1546" s="8"/>
      <c r="D1546" s="8"/>
      <c r="E1546" s="8"/>
      <c r="F1546" s="13"/>
      <c r="G1546" s="59"/>
      <c r="H1546" s="6"/>
      <c r="I1546" s="6"/>
      <c r="J1546" s="2"/>
      <c r="K1546" s="2"/>
      <c r="L1546" s="2"/>
      <c r="M1546" s="2"/>
      <c r="N1546" s="2"/>
      <c r="O1546" s="56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x14ac:dyDescent="0.3">
      <c r="A1547" s="2"/>
      <c r="B1547" s="8"/>
      <c r="C1547" s="8"/>
      <c r="D1547" s="8"/>
      <c r="E1547" s="8"/>
      <c r="F1547" s="13"/>
      <c r="G1547" s="59"/>
      <c r="H1547" s="6"/>
      <c r="I1547" s="6"/>
      <c r="J1547" s="2"/>
      <c r="K1547" s="2"/>
      <c r="L1547" s="2"/>
      <c r="M1547" s="2"/>
      <c r="N1547" s="2"/>
      <c r="O1547" s="56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x14ac:dyDescent="0.3">
      <c r="A1548" s="2"/>
      <c r="B1548" s="8"/>
      <c r="C1548" s="8"/>
      <c r="D1548" s="8"/>
      <c r="E1548" s="8"/>
      <c r="F1548" s="13"/>
      <c r="G1548" s="59"/>
      <c r="H1548" s="6"/>
      <c r="I1548" s="6"/>
      <c r="J1548" s="2"/>
      <c r="K1548" s="2"/>
      <c r="L1548" s="2"/>
      <c r="M1548" s="2"/>
      <c r="N1548" s="2"/>
      <c r="O1548" s="56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x14ac:dyDescent="0.3">
      <c r="A1549" s="2"/>
      <c r="B1549" s="8"/>
      <c r="C1549" s="8"/>
      <c r="D1549" s="8"/>
      <c r="E1549" s="8"/>
      <c r="F1549" s="13"/>
      <c r="G1549" s="59"/>
      <c r="H1549" s="6"/>
      <c r="I1549" s="6"/>
      <c r="J1549" s="2"/>
      <c r="K1549" s="2"/>
      <c r="L1549" s="2"/>
      <c r="M1549" s="2"/>
      <c r="N1549" s="2"/>
      <c r="O1549" s="56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x14ac:dyDescent="0.3">
      <c r="A1550" s="2"/>
      <c r="B1550" s="8"/>
      <c r="C1550" s="8"/>
      <c r="D1550" s="8"/>
      <c r="E1550" s="8"/>
      <c r="F1550" s="13"/>
      <c r="G1550" s="59"/>
      <c r="H1550" s="6"/>
      <c r="I1550" s="6"/>
      <c r="J1550" s="2"/>
      <c r="K1550" s="2"/>
      <c r="L1550" s="2"/>
      <c r="M1550" s="2"/>
      <c r="N1550" s="2"/>
      <c r="O1550" s="56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x14ac:dyDescent="0.3">
      <c r="A1551" s="2"/>
      <c r="B1551" s="8"/>
      <c r="C1551" s="8"/>
      <c r="D1551" s="8"/>
      <c r="E1551" s="8"/>
      <c r="F1551" s="13"/>
      <c r="G1551" s="59"/>
      <c r="H1551" s="6"/>
      <c r="I1551" s="6"/>
      <c r="J1551" s="2"/>
      <c r="K1551" s="2"/>
      <c r="L1551" s="2"/>
      <c r="M1551" s="2"/>
      <c r="N1551" s="2"/>
      <c r="O1551" s="56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x14ac:dyDescent="0.3">
      <c r="A1552" s="2"/>
      <c r="B1552" s="8"/>
      <c r="C1552" s="8"/>
      <c r="D1552" s="8"/>
      <c r="E1552" s="8"/>
      <c r="F1552" s="13"/>
      <c r="G1552" s="59"/>
      <c r="H1552" s="6"/>
      <c r="I1552" s="6"/>
      <c r="J1552" s="2"/>
      <c r="K1552" s="2"/>
      <c r="L1552" s="2"/>
      <c r="M1552" s="2"/>
      <c r="N1552" s="2"/>
      <c r="O1552" s="56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x14ac:dyDescent="0.3">
      <c r="A1553" s="2"/>
      <c r="B1553" s="8"/>
      <c r="C1553" s="8"/>
      <c r="D1553" s="8"/>
      <c r="E1553" s="8"/>
      <c r="F1553" s="13"/>
      <c r="G1553" s="59"/>
      <c r="H1553" s="6"/>
      <c r="I1553" s="6"/>
      <c r="J1553" s="2"/>
      <c r="K1553" s="2"/>
      <c r="L1553" s="2"/>
      <c r="M1553" s="2"/>
      <c r="N1553" s="2"/>
      <c r="O1553" s="56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x14ac:dyDescent="0.3">
      <c r="A1554" s="2"/>
      <c r="B1554" s="8"/>
      <c r="C1554" s="8"/>
      <c r="D1554" s="8"/>
      <c r="E1554" s="8"/>
      <c r="F1554" s="13"/>
      <c r="G1554" s="59"/>
      <c r="H1554" s="6"/>
      <c r="I1554" s="6"/>
      <c r="J1554" s="2"/>
      <c r="K1554" s="2"/>
      <c r="L1554" s="2"/>
      <c r="M1554" s="2"/>
      <c r="N1554" s="2"/>
      <c r="O1554" s="56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x14ac:dyDescent="0.3">
      <c r="A1555" s="2"/>
      <c r="B1555" s="8"/>
      <c r="C1555" s="8"/>
      <c r="D1555" s="8"/>
      <c r="E1555" s="8"/>
      <c r="F1555" s="13"/>
      <c r="G1555" s="59"/>
      <c r="H1555" s="6"/>
      <c r="I1555" s="6"/>
      <c r="J1555" s="2"/>
      <c r="K1555" s="2"/>
      <c r="L1555" s="2"/>
      <c r="M1555" s="2"/>
      <c r="N1555" s="2"/>
      <c r="O1555" s="56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x14ac:dyDescent="0.3">
      <c r="A1556" s="2"/>
      <c r="B1556" s="8"/>
      <c r="C1556" s="8"/>
      <c r="D1556" s="8"/>
      <c r="E1556" s="8"/>
      <c r="F1556" s="13"/>
      <c r="G1556" s="59"/>
      <c r="H1556" s="6"/>
      <c r="I1556" s="6"/>
      <c r="J1556" s="2"/>
      <c r="K1556" s="2"/>
      <c r="L1556" s="2"/>
      <c r="M1556" s="2"/>
      <c r="N1556" s="2"/>
      <c r="O1556" s="56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x14ac:dyDescent="0.3">
      <c r="A1557" s="2"/>
      <c r="B1557" s="8"/>
      <c r="C1557" s="8"/>
      <c r="D1557" s="8"/>
      <c r="E1557" s="8"/>
      <c r="F1557" s="13"/>
      <c r="G1557" s="59"/>
      <c r="H1557" s="6"/>
      <c r="I1557" s="6"/>
      <c r="J1557" s="2"/>
      <c r="K1557" s="2"/>
      <c r="L1557" s="2"/>
      <c r="M1557" s="2"/>
      <c r="N1557" s="2"/>
      <c r="O1557" s="56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x14ac:dyDescent="0.3">
      <c r="A1558" s="2"/>
      <c r="B1558" s="8"/>
      <c r="C1558" s="8"/>
      <c r="D1558" s="8"/>
      <c r="E1558" s="8"/>
      <c r="F1558" s="13"/>
      <c r="G1558" s="59"/>
      <c r="H1558" s="6"/>
      <c r="I1558" s="6"/>
      <c r="J1558" s="2"/>
      <c r="K1558" s="2"/>
      <c r="L1558" s="2"/>
      <c r="M1558" s="2"/>
      <c r="N1558" s="2"/>
      <c r="O1558" s="56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x14ac:dyDescent="0.3">
      <c r="A1559" s="2"/>
      <c r="B1559" s="8"/>
      <c r="C1559" s="8"/>
      <c r="D1559" s="8"/>
      <c r="E1559" s="8"/>
      <c r="F1559" s="13"/>
      <c r="G1559" s="59"/>
      <c r="H1559" s="6"/>
      <c r="I1559" s="6"/>
      <c r="J1559" s="2"/>
      <c r="K1559" s="2"/>
      <c r="L1559" s="2"/>
      <c r="M1559" s="2"/>
      <c r="N1559" s="2"/>
      <c r="O1559" s="56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x14ac:dyDescent="0.3">
      <c r="A1560" s="2"/>
      <c r="B1560" s="8"/>
      <c r="C1560" s="8"/>
      <c r="D1560" s="8"/>
      <c r="E1560" s="8"/>
      <c r="F1560" s="13"/>
      <c r="G1560" s="59"/>
      <c r="H1560" s="6"/>
      <c r="I1560" s="6"/>
      <c r="J1560" s="2"/>
      <c r="K1560" s="2"/>
      <c r="L1560" s="2"/>
      <c r="M1560" s="2"/>
      <c r="N1560" s="2"/>
      <c r="O1560" s="56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x14ac:dyDescent="0.3">
      <c r="A1561" s="2"/>
      <c r="B1561" s="8"/>
      <c r="C1561" s="8"/>
      <c r="D1561" s="8"/>
      <c r="E1561" s="8"/>
      <c r="F1561" s="13"/>
      <c r="G1561" s="59"/>
      <c r="H1561" s="6"/>
      <c r="I1561" s="6"/>
      <c r="J1561" s="2"/>
      <c r="K1561" s="2"/>
      <c r="L1561" s="2"/>
      <c r="M1561" s="2"/>
      <c r="N1561" s="2"/>
      <c r="O1561" s="56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x14ac:dyDescent="0.3">
      <c r="A1562" s="2"/>
      <c r="B1562" s="8"/>
      <c r="C1562" s="8"/>
      <c r="D1562" s="8"/>
      <c r="E1562" s="8"/>
      <c r="F1562" s="13"/>
      <c r="G1562" s="59"/>
      <c r="H1562" s="6"/>
      <c r="I1562" s="6"/>
      <c r="J1562" s="2"/>
      <c r="K1562" s="2"/>
      <c r="L1562" s="2"/>
      <c r="M1562" s="2"/>
      <c r="N1562" s="2"/>
      <c r="O1562" s="56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x14ac:dyDescent="0.3">
      <c r="A1563" s="2"/>
      <c r="B1563" s="8"/>
      <c r="C1563" s="8"/>
      <c r="D1563" s="8"/>
      <c r="E1563" s="8"/>
      <c r="F1563" s="13"/>
      <c r="G1563" s="59"/>
      <c r="H1563" s="6"/>
      <c r="I1563" s="6"/>
      <c r="J1563" s="2"/>
      <c r="K1563" s="2"/>
      <c r="L1563" s="2"/>
      <c r="M1563" s="2"/>
      <c r="N1563" s="2"/>
      <c r="O1563" s="56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x14ac:dyDescent="0.3">
      <c r="A1564" s="2"/>
      <c r="B1564" s="8"/>
      <c r="C1564" s="8"/>
      <c r="D1564" s="8"/>
      <c r="E1564" s="8"/>
      <c r="F1564" s="13"/>
      <c r="G1564" s="59"/>
      <c r="H1564" s="6"/>
      <c r="I1564" s="6"/>
      <c r="J1564" s="2"/>
      <c r="K1564" s="2"/>
      <c r="L1564" s="2"/>
      <c r="M1564" s="2"/>
      <c r="N1564" s="2"/>
      <c r="O1564" s="56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x14ac:dyDescent="0.3">
      <c r="A1565" s="2"/>
      <c r="B1565" s="8"/>
      <c r="C1565" s="8"/>
      <c r="D1565" s="8"/>
      <c r="E1565" s="8"/>
      <c r="F1565" s="13"/>
      <c r="G1565" s="59"/>
      <c r="H1565" s="6"/>
      <c r="I1565" s="6"/>
      <c r="J1565" s="2"/>
      <c r="K1565" s="2"/>
      <c r="L1565" s="2"/>
      <c r="M1565" s="2"/>
      <c r="N1565" s="2"/>
      <c r="O1565" s="56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x14ac:dyDescent="0.3">
      <c r="A1566" s="2"/>
      <c r="B1566" s="8"/>
      <c r="C1566" s="8"/>
      <c r="D1566" s="8"/>
      <c r="E1566" s="8"/>
      <c r="F1566" s="13"/>
      <c r="G1566" s="59"/>
      <c r="H1566" s="6"/>
      <c r="I1566" s="6"/>
      <c r="J1566" s="2"/>
      <c r="K1566" s="2"/>
      <c r="L1566" s="2"/>
      <c r="M1566" s="2"/>
      <c r="N1566" s="2"/>
      <c r="O1566" s="56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x14ac:dyDescent="0.3">
      <c r="A1567" s="2"/>
      <c r="B1567" s="8"/>
      <c r="C1567" s="8"/>
      <c r="D1567" s="8"/>
      <c r="E1567" s="8"/>
      <c r="F1567" s="13"/>
      <c r="G1567" s="59"/>
      <c r="H1567" s="6"/>
      <c r="I1567" s="6"/>
      <c r="J1567" s="2"/>
      <c r="K1567" s="2"/>
      <c r="L1567" s="2"/>
      <c r="M1567" s="2"/>
      <c r="N1567" s="2"/>
      <c r="O1567" s="56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x14ac:dyDescent="0.3">
      <c r="A1568" s="2"/>
      <c r="B1568" s="8"/>
      <c r="C1568" s="8"/>
      <c r="D1568" s="8"/>
      <c r="E1568" s="8"/>
      <c r="F1568" s="13"/>
      <c r="G1568" s="59"/>
      <c r="H1568" s="6"/>
      <c r="I1568" s="6"/>
      <c r="J1568" s="2"/>
      <c r="K1568" s="2"/>
      <c r="L1568" s="2"/>
      <c r="M1568" s="2"/>
      <c r="N1568" s="2"/>
      <c r="O1568" s="56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x14ac:dyDescent="0.3">
      <c r="A1569" s="2"/>
      <c r="B1569" s="8"/>
      <c r="C1569" s="8"/>
      <c r="D1569" s="8"/>
      <c r="E1569" s="8"/>
      <c r="F1569" s="13"/>
      <c r="G1569" s="59"/>
      <c r="H1569" s="6"/>
      <c r="I1569" s="6"/>
      <c r="J1569" s="2"/>
      <c r="K1569" s="2"/>
      <c r="L1569" s="2"/>
      <c r="M1569" s="2"/>
      <c r="N1569" s="2"/>
      <c r="O1569" s="56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x14ac:dyDescent="0.3">
      <c r="A1570" s="2"/>
      <c r="B1570" s="8"/>
      <c r="C1570" s="8"/>
      <c r="D1570" s="8"/>
      <c r="E1570" s="8"/>
      <c r="F1570" s="13"/>
      <c r="G1570" s="59"/>
      <c r="H1570" s="6"/>
      <c r="I1570" s="6"/>
      <c r="J1570" s="2"/>
      <c r="K1570" s="2"/>
      <c r="L1570" s="2"/>
      <c r="M1570" s="2"/>
      <c r="N1570" s="2"/>
      <c r="O1570" s="56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x14ac:dyDescent="0.3">
      <c r="A1571" s="2"/>
      <c r="B1571" s="8"/>
      <c r="C1571" s="8"/>
      <c r="D1571" s="8"/>
      <c r="E1571" s="8"/>
      <c r="F1571" s="13"/>
      <c r="G1571" s="59"/>
      <c r="H1571" s="6"/>
      <c r="I1571" s="6"/>
      <c r="J1571" s="2"/>
      <c r="K1571" s="2"/>
      <c r="L1571" s="2"/>
      <c r="M1571" s="2"/>
      <c r="N1571" s="2"/>
      <c r="O1571" s="56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x14ac:dyDescent="0.3">
      <c r="A1572" s="2"/>
      <c r="B1572" s="8"/>
      <c r="C1572" s="8"/>
      <c r="D1572" s="8"/>
      <c r="E1572" s="8"/>
      <c r="F1572" s="13"/>
      <c r="G1572" s="59"/>
      <c r="H1572" s="6"/>
      <c r="I1572" s="6"/>
      <c r="J1572" s="2"/>
      <c r="K1572" s="2"/>
      <c r="L1572" s="2"/>
      <c r="M1572" s="2"/>
      <c r="N1572" s="2"/>
      <c r="O1572" s="56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x14ac:dyDescent="0.3">
      <c r="A1573" s="2"/>
      <c r="B1573" s="8"/>
      <c r="C1573" s="8"/>
      <c r="D1573" s="8"/>
      <c r="E1573" s="8"/>
      <c r="F1573" s="13"/>
      <c r="G1573" s="59"/>
      <c r="H1573" s="6"/>
      <c r="I1573" s="6"/>
      <c r="J1573" s="2"/>
      <c r="K1573" s="2"/>
      <c r="L1573" s="2"/>
      <c r="M1573" s="2"/>
      <c r="N1573" s="2"/>
      <c r="O1573" s="56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x14ac:dyDescent="0.3">
      <c r="A1574" s="2"/>
      <c r="B1574" s="8"/>
      <c r="C1574" s="8"/>
      <c r="D1574" s="8"/>
      <c r="E1574" s="8"/>
      <c r="F1574" s="13"/>
      <c r="G1574" s="59"/>
      <c r="H1574" s="6"/>
      <c r="I1574" s="6"/>
      <c r="J1574" s="2"/>
      <c r="K1574" s="2"/>
      <c r="L1574" s="2"/>
      <c r="M1574" s="2"/>
      <c r="N1574" s="2"/>
      <c r="O1574" s="56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x14ac:dyDescent="0.3">
      <c r="A1575" s="2"/>
      <c r="B1575" s="8"/>
      <c r="C1575" s="8"/>
      <c r="D1575" s="8"/>
      <c r="E1575" s="8"/>
      <c r="F1575" s="13"/>
      <c r="G1575" s="59"/>
      <c r="H1575" s="6"/>
      <c r="I1575" s="6"/>
      <c r="J1575" s="2"/>
      <c r="K1575" s="2"/>
      <c r="L1575" s="2"/>
      <c r="M1575" s="2"/>
      <c r="N1575" s="2"/>
      <c r="O1575" s="56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x14ac:dyDescent="0.3">
      <c r="A1576" s="2"/>
      <c r="B1576" s="8"/>
      <c r="C1576" s="8"/>
      <c r="D1576" s="8"/>
      <c r="E1576" s="8"/>
      <c r="F1576" s="13"/>
      <c r="G1576" s="59"/>
      <c r="H1576" s="6"/>
      <c r="I1576" s="6"/>
      <c r="J1576" s="2"/>
      <c r="K1576" s="2"/>
      <c r="L1576" s="2"/>
      <c r="M1576" s="2"/>
      <c r="N1576" s="2"/>
      <c r="O1576" s="56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x14ac:dyDescent="0.3">
      <c r="A1577" s="2"/>
      <c r="B1577" s="8"/>
      <c r="C1577" s="8"/>
      <c r="D1577" s="8"/>
      <c r="E1577" s="8"/>
      <c r="F1577" s="13"/>
      <c r="G1577" s="59"/>
      <c r="H1577" s="6"/>
      <c r="I1577" s="6"/>
      <c r="J1577" s="2"/>
      <c r="K1577" s="2"/>
      <c r="L1577" s="2"/>
      <c r="M1577" s="2"/>
      <c r="N1577" s="2"/>
      <c r="O1577" s="56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x14ac:dyDescent="0.3">
      <c r="A1578" s="2"/>
      <c r="B1578" s="8"/>
      <c r="C1578" s="8"/>
      <c r="D1578" s="8"/>
      <c r="E1578" s="8"/>
      <c r="F1578" s="13"/>
      <c r="G1578" s="59"/>
      <c r="H1578" s="6"/>
      <c r="I1578" s="6"/>
      <c r="J1578" s="2"/>
      <c r="K1578" s="2"/>
      <c r="L1578" s="2"/>
      <c r="M1578" s="2"/>
      <c r="N1578" s="2"/>
      <c r="O1578" s="56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x14ac:dyDescent="0.3">
      <c r="A1579" s="2"/>
      <c r="B1579" s="8"/>
      <c r="C1579" s="8"/>
      <c r="D1579" s="8"/>
      <c r="E1579" s="8"/>
      <c r="F1579" s="13"/>
      <c r="G1579" s="59"/>
      <c r="H1579" s="6"/>
      <c r="I1579" s="6"/>
      <c r="J1579" s="2"/>
      <c r="K1579" s="2"/>
      <c r="L1579" s="2"/>
      <c r="M1579" s="2"/>
      <c r="N1579" s="2"/>
      <c r="O1579" s="56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x14ac:dyDescent="0.3">
      <c r="A1580" s="2"/>
      <c r="B1580" s="8"/>
      <c r="C1580" s="8"/>
      <c r="D1580" s="8"/>
      <c r="E1580" s="8"/>
      <c r="F1580" s="13"/>
      <c r="G1580" s="59"/>
      <c r="H1580" s="6"/>
      <c r="I1580" s="6"/>
      <c r="J1580" s="2"/>
      <c r="K1580" s="2"/>
      <c r="L1580" s="2"/>
      <c r="M1580" s="2"/>
      <c r="N1580" s="2"/>
      <c r="O1580" s="56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x14ac:dyDescent="0.3">
      <c r="A1581" s="2"/>
      <c r="B1581" s="8"/>
      <c r="C1581" s="8"/>
      <c r="D1581" s="8"/>
      <c r="E1581" s="8"/>
      <c r="F1581" s="13"/>
      <c r="G1581" s="59"/>
      <c r="H1581" s="6"/>
      <c r="I1581" s="6"/>
      <c r="J1581" s="2"/>
      <c r="K1581" s="2"/>
      <c r="L1581" s="2"/>
      <c r="M1581" s="2"/>
      <c r="N1581" s="2"/>
      <c r="O1581" s="56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x14ac:dyDescent="0.3">
      <c r="A1582" s="2"/>
      <c r="B1582" s="8"/>
      <c r="C1582" s="8"/>
      <c r="D1582" s="8"/>
      <c r="E1582" s="8"/>
      <c r="F1582" s="13"/>
      <c r="G1582" s="59"/>
      <c r="H1582" s="6"/>
      <c r="I1582" s="6"/>
      <c r="J1582" s="2"/>
      <c r="K1582" s="2"/>
      <c r="L1582" s="2"/>
      <c r="M1582" s="2"/>
      <c r="N1582" s="2"/>
      <c r="O1582" s="56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x14ac:dyDescent="0.3">
      <c r="A1583" s="2"/>
      <c r="B1583" s="8"/>
      <c r="C1583" s="8"/>
      <c r="D1583" s="8"/>
      <c r="E1583" s="8"/>
      <c r="F1583" s="13"/>
      <c r="G1583" s="59"/>
      <c r="H1583" s="6"/>
      <c r="I1583" s="6"/>
      <c r="J1583" s="2"/>
      <c r="K1583" s="2"/>
      <c r="L1583" s="2"/>
      <c r="M1583" s="2"/>
      <c r="N1583" s="2"/>
      <c r="O1583" s="56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x14ac:dyDescent="0.3">
      <c r="A1584" s="2"/>
      <c r="B1584" s="8"/>
      <c r="C1584" s="8"/>
      <c r="D1584" s="8"/>
      <c r="E1584" s="8"/>
      <c r="F1584" s="13"/>
      <c r="G1584" s="59"/>
      <c r="H1584" s="6"/>
      <c r="I1584" s="6"/>
      <c r="J1584" s="2"/>
      <c r="K1584" s="2"/>
      <c r="L1584" s="2"/>
      <c r="M1584" s="2"/>
      <c r="N1584" s="2"/>
      <c r="O1584" s="56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x14ac:dyDescent="0.3">
      <c r="A1585" s="2"/>
      <c r="B1585" s="8"/>
      <c r="C1585" s="8"/>
      <c r="D1585" s="8"/>
      <c r="E1585" s="8"/>
      <c r="F1585" s="13"/>
      <c r="G1585" s="59"/>
      <c r="H1585" s="6"/>
      <c r="I1585" s="6"/>
      <c r="J1585" s="2"/>
      <c r="K1585" s="2"/>
      <c r="L1585" s="2"/>
      <c r="M1585" s="2"/>
      <c r="N1585" s="2"/>
      <c r="O1585" s="56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x14ac:dyDescent="0.3">
      <c r="A1586" s="2"/>
      <c r="B1586" s="8"/>
      <c r="C1586" s="8"/>
      <c r="D1586" s="8"/>
      <c r="E1586" s="8"/>
      <c r="F1586" s="13"/>
      <c r="G1586" s="59"/>
      <c r="H1586" s="6"/>
      <c r="I1586" s="6"/>
      <c r="J1586" s="2"/>
      <c r="K1586" s="2"/>
      <c r="L1586" s="2"/>
      <c r="M1586" s="2"/>
      <c r="N1586" s="2"/>
      <c r="O1586" s="56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x14ac:dyDescent="0.3">
      <c r="A1587" s="2"/>
      <c r="B1587" s="8"/>
      <c r="C1587" s="8"/>
      <c r="D1587" s="8"/>
      <c r="E1587" s="8"/>
      <c r="F1587" s="13"/>
      <c r="G1587" s="59"/>
      <c r="H1587" s="6"/>
      <c r="I1587" s="6"/>
      <c r="J1587" s="2"/>
      <c r="K1587" s="2"/>
      <c r="L1587" s="2"/>
      <c r="M1587" s="2"/>
      <c r="N1587" s="2"/>
      <c r="O1587" s="56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x14ac:dyDescent="0.3">
      <c r="A1588" s="2"/>
      <c r="B1588" s="8"/>
      <c r="C1588" s="8"/>
      <c r="D1588" s="8"/>
      <c r="E1588" s="8"/>
      <c r="F1588" s="13"/>
      <c r="G1588" s="59"/>
      <c r="H1588" s="6"/>
      <c r="I1588" s="6"/>
      <c r="J1588" s="2"/>
      <c r="K1588" s="2"/>
      <c r="L1588" s="2"/>
      <c r="M1588" s="2"/>
      <c r="N1588" s="2"/>
      <c r="O1588" s="56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x14ac:dyDescent="0.3">
      <c r="A1589" s="2"/>
      <c r="B1589" s="8"/>
      <c r="C1589" s="8"/>
      <c r="D1589" s="8"/>
      <c r="E1589" s="8"/>
      <c r="F1589" s="13"/>
      <c r="G1589" s="59"/>
      <c r="H1589" s="6"/>
      <c r="I1589" s="6"/>
      <c r="J1589" s="2"/>
      <c r="K1589" s="2"/>
      <c r="L1589" s="2"/>
      <c r="M1589" s="2"/>
      <c r="N1589" s="2"/>
      <c r="O1589" s="56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x14ac:dyDescent="0.3">
      <c r="A1590" s="2"/>
      <c r="B1590" s="8"/>
      <c r="C1590" s="8"/>
      <c r="D1590" s="8"/>
      <c r="E1590" s="8"/>
      <c r="F1590" s="13"/>
      <c r="G1590" s="59"/>
      <c r="H1590" s="6"/>
      <c r="I1590" s="6"/>
      <c r="J1590" s="2"/>
      <c r="K1590" s="2"/>
      <c r="L1590" s="2"/>
      <c r="M1590" s="2"/>
      <c r="N1590" s="2"/>
      <c r="O1590" s="56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x14ac:dyDescent="0.3">
      <c r="A1591" s="2"/>
      <c r="B1591" s="8"/>
      <c r="C1591" s="8"/>
      <c r="D1591" s="8"/>
      <c r="E1591" s="8"/>
      <c r="F1591" s="13"/>
      <c r="G1591" s="59"/>
      <c r="H1591" s="6"/>
      <c r="I1591" s="6"/>
      <c r="J1591" s="2"/>
      <c r="K1591" s="2"/>
      <c r="L1591" s="2"/>
      <c r="M1591" s="2"/>
      <c r="N1591" s="2"/>
      <c r="O1591" s="56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x14ac:dyDescent="0.3">
      <c r="A1592" s="2"/>
      <c r="B1592" s="8"/>
      <c r="C1592" s="8"/>
      <c r="D1592" s="8"/>
      <c r="E1592" s="8"/>
      <c r="F1592" s="13"/>
      <c r="G1592" s="59"/>
      <c r="H1592" s="6"/>
      <c r="I1592" s="6"/>
      <c r="J1592" s="2"/>
      <c r="K1592" s="2"/>
      <c r="L1592" s="2"/>
      <c r="M1592" s="2"/>
      <c r="N1592" s="2"/>
      <c r="O1592" s="56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x14ac:dyDescent="0.3">
      <c r="A1593" s="2"/>
      <c r="B1593" s="8"/>
      <c r="C1593" s="8"/>
      <c r="D1593" s="8"/>
      <c r="E1593" s="8"/>
      <c r="F1593" s="13"/>
      <c r="G1593" s="59"/>
      <c r="H1593" s="6"/>
      <c r="I1593" s="6"/>
      <c r="J1593" s="2"/>
      <c r="K1593" s="2"/>
      <c r="L1593" s="2"/>
      <c r="M1593" s="2"/>
      <c r="N1593" s="2"/>
      <c r="O1593" s="56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x14ac:dyDescent="0.3">
      <c r="A1594" s="2"/>
      <c r="B1594" s="8"/>
      <c r="C1594" s="8"/>
      <c r="D1594" s="8"/>
      <c r="E1594" s="8"/>
      <c r="F1594" s="13"/>
      <c r="G1594" s="59"/>
      <c r="H1594" s="6"/>
      <c r="I1594" s="6"/>
      <c r="J1594" s="2"/>
      <c r="K1594" s="2"/>
      <c r="L1594" s="2"/>
      <c r="M1594" s="2"/>
      <c r="N1594" s="2"/>
      <c r="O1594" s="56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x14ac:dyDescent="0.3">
      <c r="A1595" s="2"/>
      <c r="B1595" s="8"/>
      <c r="C1595" s="8"/>
      <c r="D1595" s="8"/>
      <c r="E1595" s="8"/>
      <c r="F1595" s="13"/>
      <c r="G1595" s="59"/>
      <c r="H1595" s="6"/>
      <c r="I1595" s="6"/>
      <c r="J1595" s="2"/>
      <c r="K1595" s="2"/>
      <c r="L1595" s="2"/>
      <c r="M1595" s="2"/>
      <c r="N1595" s="2"/>
      <c r="O1595" s="56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x14ac:dyDescent="0.3">
      <c r="A1596" s="2"/>
      <c r="B1596" s="8"/>
      <c r="C1596" s="8"/>
      <c r="D1596" s="8"/>
      <c r="E1596" s="8"/>
      <c r="F1596" s="13"/>
      <c r="G1596" s="59"/>
      <c r="H1596" s="6"/>
      <c r="I1596" s="6"/>
      <c r="J1596" s="2"/>
      <c r="K1596" s="2"/>
      <c r="L1596" s="2"/>
      <c r="M1596" s="2"/>
      <c r="N1596" s="2"/>
      <c r="O1596" s="56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x14ac:dyDescent="0.3">
      <c r="A1597" s="2"/>
      <c r="B1597" s="8"/>
      <c r="C1597" s="8"/>
      <c r="D1597" s="8"/>
      <c r="E1597" s="8"/>
      <c r="F1597" s="13"/>
      <c r="G1597" s="59"/>
      <c r="H1597" s="6"/>
      <c r="I1597" s="6"/>
      <c r="J1597" s="2"/>
      <c r="K1597" s="2"/>
      <c r="L1597" s="2"/>
      <c r="M1597" s="2"/>
      <c r="N1597" s="2"/>
      <c r="O1597" s="56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x14ac:dyDescent="0.3">
      <c r="A1598" s="2"/>
      <c r="B1598" s="8"/>
      <c r="C1598" s="8"/>
      <c r="D1598" s="8"/>
      <c r="E1598" s="8"/>
      <c r="F1598" s="13"/>
      <c r="G1598" s="59"/>
      <c r="H1598" s="6"/>
      <c r="I1598" s="6"/>
      <c r="J1598" s="2"/>
      <c r="K1598" s="2"/>
      <c r="L1598" s="2"/>
      <c r="M1598" s="2"/>
      <c r="N1598" s="2"/>
      <c r="O1598" s="56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x14ac:dyDescent="0.3">
      <c r="A1599" s="2"/>
      <c r="B1599" s="8"/>
      <c r="C1599" s="8"/>
      <c r="D1599" s="8"/>
      <c r="E1599" s="8"/>
      <c r="F1599" s="13"/>
      <c r="G1599" s="59"/>
      <c r="H1599" s="6"/>
      <c r="I1599" s="6"/>
      <c r="J1599" s="2"/>
      <c r="K1599" s="2"/>
      <c r="L1599" s="2"/>
      <c r="M1599" s="2"/>
      <c r="N1599" s="2"/>
      <c r="O1599" s="56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1:28" x14ac:dyDescent="0.3">
      <c r="A1600" s="2"/>
      <c r="B1600" s="8"/>
      <c r="C1600" s="8"/>
      <c r="D1600" s="8"/>
      <c r="E1600" s="8"/>
      <c r="F1600" s="13"/>
      <c r="G1600" s="59"/>
      <c r="H1600" s="6"/>
      <c r="I1600" s="6"/>
      <c r="J1600" s="2"/>
      <c r="K1600" s="2"/>
      <c r="L1600" s="2"/>
      <c r="M1600" s="2"/>
      <c r="N1600" s="2"/>
      <c r="O1600" s="56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 spans="1:28" x14ac:dyDescent="0.3">
      <c r="A1601" s="2"/>
      <c r="B1601" s="8"/>
      <c r="C1601" s="8"/>
      <c r="D1601" s="8"/>
      <c r="E1601" s="8"/>
      <c r="F1601" s="13"/>
      <c r="G1601" s="59"/>
      <c r="H1601" s="6"/>
      <c r="I1601" s="6"/>
      <c r="J1601" s="2"/>
      <c r="K1601" s="2"/>
      <c r="L1601" s="2"/>
      <c r="M1601" s="2"/>
      <c r="N1601" s="2"/>
      <c r="O1601" s="56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 spans="1:28" x14ac:dyDescent="0.3">
      <c r="A1602" s="2"/>
      <c r="B1602" s="8"/>
      <c r="C1602" s="8"/>
      <c r="D1602" s="8"/>
      <c r="E1602" s="8"/>
      <c r="F1602" s="13"/>
      <c r="G1602" s="59"/>
      <c r="H1602" s="6"/>
      <c r="I1602" s="6"/>
      <c r="J1602" s="2"/>
      <c r="K1602" s="2"/>
      <c r="L1602" s="2"/>
      <c r="M1602" s="2"/>
      <c r="N1602" s="2"/>
      <c r="O1602" s="56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 spans="1:28" x14ac:dyDescent="0.3">
      <c r="A1603" s="2"/>
      <c r="B1603" s="8"/>
      <c r="C1603" s="8"/>
      <c r="D1603" s="8"/>
      <c r="E1603" s="8"/>
      <c r="F1603" s="13"/>
      <c r="G1603" s="59"/>
      <c r="H1603" s="6"/>
      <c r="I1603" s="6"/>
      <c r="J1603" s="2"/>
      <c r="K1603" s="2"/>
      <c r="L1603" s="2"/>
      <c r="M1603" s="2"/>
      <c r="N1603" s="2"/>
      <c r="O1603" s="56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 spans="1:28" x14ac:dyDescent="0.3">
      <c r="A1604" s="2"/>
      <c r="B1604" s="8"/>
      <c r="C1604" s="8"/>
      <c r="D1604" s="8"/>
      <c r="E1604" s="8"/>
      <c r="F1604" s="13"/>
      <c r="G1604" s="59"/>
      <c r="H1604" s="6"/>
      <c r="I1604" s="6"/>
      <c r="J1604" s="2"/>
      <c r="K1604" s="2"/>
      <c r="L1604" s="2"/>
      <c r="M1604" s="2"/>
      <c r="N1604" s="2"/>
      <c r="O1604" s="56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 spans="1:28" x14ac:dyDescent="0.3">
      <c r="A1605" s="2"/>
      <c r="B1605" s="8"/>
      <c r="C1605" s="8"/>
      <c r="D1605" s="8"/>
      <c r="E1605" s="8"/>
      <c r="F1605" s="13"/>
      <c r="G1605" s="59"/>
      <c r="H1605" s="6"/>
      <c r="I1605" s="6"/>
      <c r="J1605" s="2"/>
      <c r="K1605" s="2"/>
      <c r="L1605" s="2"/>
      <c r="M1605" s="2"/>
      <c r="N1605" s="2"/>
      <c r="O1605" s="56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 spans="1:28" x14ac:dyDescent="0.3">
      <c r="A1606" s="2"/>
      <c r="B1606" s="8"/>
      <c r="C1606" s="8"/>
      <c r="D1606" s="8"/>
      <c r="E1606" s="8"/>
      <c r="F1606" s="13"/>
      <c r="G1606" s="59"/>
      <c r="H1606" s="6"/>
      <c r="I1606" s="6"/>
      <c r="J1606" s="2"/>
      <c r="K1606" s="2"/>
      <c r="L1606" s="2"/>
      <c r="M1606" s="2"/>
      <c r="N1606" s="2"/>
      <c r="O1606" s="56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 spans="1:28" x14ac:dyDescent="0.3">
      <c r="A1607" s="2"/>
      <c r="B1607" s="8"/>
      <c r="C1607" s="8"/>
      <c r="D1607" s="8"/>
      <c r="E1607" s="8"/>
      <c r="F1607" s="13"/>
      <c r="G1607" s="59"/>
      <c r="H1607" s="6"/>
      <c r="I1607" s="6"/>
      <c r="J1607" s="2"/>
      <c r="K1607" s="2"/>
      <c r="L1607" s="2"/>
      <c r="M1607" s="2"/>
      <c r="N1607" s="2"/>
      <c r="O1607" s="56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 spans="1:28" x14ac:dyDescent="0.3">
      <c r="A1608" s="2"/>
      <c r="B1608" s="8"/>
      <c r="C1608" s="8"/>
      <c r="D1608" s="8"/>
      <c r="E1608" s="8"/>
      <c r="F1608" s="13"/>
      <c r="G1608" s="59"/>
      <c r="H1608" s="6"/>
      <c r="I1608" s="6"/>
      <c r="J1608" s="2"/>
      <c r="K1608" s="2"/>
      <c r="L1608" s="2"/>
      <c r="M1608" s="2"/>
      <c r="N1608" s="2"/>
      <c r="O1608" s="56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 spans="1:28" x14ac:dyDescent="0.3">
      <c r="A1609" s="2"/>
      <c r="B1609" s="8"/>
      <c r="C1609" s="8"/>
      <c r="D1609" s="8"/>
      <c r="E1609" s="8"/>
      <c r="F1609" s="13"/>
      <c r="G1609" s="59"/>
      <c r="H1609" s="6"/>
      <c r="I1609" s="6"/>
      <c r="J1609" s="2"/>
      <c r="K1609" s="2"/>
      <c r="L1609" s="2"/>
      <c r="M1609" s="2"/>
      <c r="N1609" s="2"/>
      <c r="O1609" s="56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 spans="1:28" x14ac:dyDescent="0.3">
      <c r="A1610" s="2"/>
      <c r="B1610" s="8"/>
      <c r="C1610" s="8"/>
      <c r="D1610" s="8"/>
      <c r="E1610" s="8"/>
      <c r="F1610" s="13"/>
      <c r="G1610" s="59"/>
      <c r="H1610" s="6"/>
      <c r="I1610" s="6"/>
      <c r="J1610" s="2"/>
      <c r="K1610" s="2"/>
      <c r="L1610" s="2"/>
      <c r="M1610" s="2"/>
      <c r="N1610" s="2"/>
      <c r="O1610" s="56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 spans="1:28" x14ac:dyDescent="0.3">
      <c r="A1611" s="2"/>
      <c r="B1611" s="8"/>
      <c r="C1611" s="8"/>
      <c r="D1611" s="8"/>
      <c r="E1611" s="8"/>
      <c r="F1611" s="13"/>
      <c r="G1611" s="59"/>
      <c r="H1611" s="6"/>
      <c r="I1611" s="6"/>
      <c r="J1611" s="2"/>
      <c r="K1611" s="2"/>
      <c r="L1611" s="2"/>
      <c r="M1611" s="2"/>
      <c r="N1611" s="2"/>
      <c r="O1611" s="56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 spans="1:28" x14ac:dyDescent="0.3">
      <c r="A1612" s="2"/>
      <c r="B1612" s="8"/>
      <c r="C1612" s="8"/>
      <c r="D1612" s="8"/>
      <c r="E1612" s="8"/>
      <c r="F1612" s="13"/>
      <c r="G1612" s="59"/>
      <c r="H1612" s="6"/>
      <c r="I1612" s="6"/>
      <c r="J1612" s="2"/>
      <c r="K1612" s="2"/>
      <c r="L1612" s="2"/>
      <c r="M1612" s="2"/>
      <c r="N1612" s="2"/>
      <c r="O1612" s="56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 spans="1:28" x14ac:dyDescent="0.3">
      <c r="A1613" s="2"/>
      <c r="B1613" s="8"/>
      <c r="C1613" s="8"/>
      <c r="D1613" s="8"/>
      <c r="E1613" s="8"/>
      <c r="F1613" s="13"/>
      <c r="G1613" s="59"/>
      <c r="H1613" s="6"/>
      <c r="I1613" s="6"/>
      <c r="J1613" s="2"/>
      <c r="K1613" s="2"/>
      <c r="L1613" s="2"/>
      <c r="M1613" s="2"/>
      <c r="N1613" s="2"/>
      <c r="O1613" s="56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 spans="1:28" x14ac:dyDescent="0.3">
      <c r="A1614" s="2"/>
      <c r="B1614" s="8"/>
      <c r="C1614" s="8"/>
      <c r="D1614" s="8"/>
      <c r="E1614" s="8"/>
      <c r="F1614" s="13"/>
      <c r="G1614" s="59"/>
      <c r="H1614" s="6"/>
      <c r="I1614" s="6"/>
      <c r="J1614" s="2"/>
      <c r="K1614" s="2"/>
      <c r="L1614" s="2"/>
      <c r="M1614" s="2"/>
      <c r="N1614" s="2"/>
      <c r="O1614" s="56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 spans="1:28" x14ac:dyDescent="0.3">
      <c r="A1615" s="2"/>
      <c r="B1615" s="8"/>
      <c r="C1615" s="8"/>
      <c r="D1615" s="8"/>
      <c r="E1615" s="8"/>
      <c r="F1615" s="13"/>
      <c r="G1615" s="59"/>
      <c r="H1615" s="6"/>
      <c r="I1615" s="6"/>
      <c r="J1615" s="2"/>
      <c r="K1615" s="2"/>
      <c r="L1615" s="2"/>
      <c r="M1615" s="2"/>
      <c r="N1615" s="2"/>
      <c r="O1615" s="56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 spans="1:28" x14ac:dyDescent="0.3">
      <c r="A1616" s="2"/>
      <c r="B1616" s="8"/>
      <c r="C1616" s="8"/>
      <c r="D1616" s="8"/>
      <c r="E1616" s="8"/>
      <c r="F1616" s="13"/>
      <c r="G1616" s="59"/>
      <c r="H1616" s="6"/>
      <c r="I1616" s="6"/>
      <c r="J1616" s="2"/>
      <c r="K1616" s="2"/>
      <c r="L1616" s="2"/>
      <c r="M1616" s="2"/>
      <c r="N1616" s="2"/>
      <c r="O1616" s="56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 spans="1:28" x14ac:dyDescent="0.3">
      <c r="A1617" s="2"/>
      <c r="B1617" s="8"/>
      <c r="C1617" s="8"/>
      <c r="D1617" s="8"/>
      <c r="E1617" s="8"/>
      <c r="F1617" s="13"/>
      <c r="G1617" s="59"/>
      <c r="H1617" s="6"/>
      <c r="I1617" s="6"/>
      <c r="J1617" s="2"/>
      <c r="K1617" s="2"/>
      <c r="L1617" s="2"/>
      <c r="M1617" s="2"/>
      <c r="N1617" s="2"/>
      <c r="O1617" s="56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 spans="1:28" x14ac:dyDescent="0.3">
      <c r="A1618" s="2"/>
      <c r="B1618" s="8"/>
      <c r="C1618" s="8"/>
      <c r="D1618" s="8"/>
      <c r="E1618" s="8"/>
      <c r="F1618" s="13"/>
      <c r="G1618" s="59"/>
      <c r="H1618" s="6"/>
      <c r="I1618" s="6"/>
      <c r="J1618" s="2"/>
      <c r="K1618" s="2"/>
      <c r="L1618" s="2"/>
      <c r="M1618" s="2"/>
      <c r="N1618" s="2"/>
      <c r="O1618" s="56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 spans="1:28" x14ac:dyDescent="0.3">
      <c r="A1619" s="2"/>
      <c r="B1619" s="8"/>
      <c r="C1619" s="8"/>
      <c r="D1619" s="8"/>
      <c r="E1619" s="8"/>
      <c r="F1619" s="13"/>
      <c r="G1619" s="59"/>
      <c r="H1619" s="6"/>
      <c r="I1619" s="6"/>
      <c r="J1619" s="2"/>
      <c r="K1619" s="2"/>
      <c r="L1619" s="2"/>
      <c r="M1619" s="2"/>
      <c r="N1619" s="2"/>
      <c r="O1619" s="56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 spans="1:28" x14ac:dyDescent="0.3">
      <c r="A1620" s="2"/>
      <c r="B1620" s="8"/>
      <c r="C1620" s="8"/>
      <c r="D1620" s="8"/>
      <c r="E1620" s="8"/>
      <c r="F1620" s="13"/>
      <c r="G1620" s="59"/>
      <c r="H1620" s="6"/>
      <c r="I1620" s="6"/>
      <c r="J1620" s="2"/>
      <c r="K1620" s="2"/>
      <c r="L1620" s="2"/>
      <c r="M1620" s="2"/>
      <c r="N1620" s="2"/>
      <c r="O1620" s="56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 spans="1:28" x14ac:dyDescent="0.3">
      <c r="A1621" s="2"/>
      <c r="B1621" s="8"/>
      <c r="C1621" s="8"/>
      <c r="D1621" s="8"/>
      <c r="E1621" s="8"/>
      <c r="F1621" s="13"/>
      <c r="G1621" s="59"/>
      <c r="H1621" s="6"/>
      <c r="I1621" s="6"/>
      <c r="J1621" s="2"/>
      <c r="K1621" s="2"/>
      <c r="L1621" s="2"/>
      <c r="M1621" s="2"/>
      <c r="N1621" s="2"/>
      <c r="O1621" s="56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 spans="1:28" x14ac:dyDescent="0.3">
      <c r="A1622" s="2"/>
      <c r="B1622" s="8"/>
      <c r="C1622" s="8"/>
      <c r="D1622" s="8"/>
      <c r="E1622" s="8"/>
      <c r="F1622" s="13"/>
      <c r="G1622" s="59"/>
      <c r="H1622" s="6"/>
      <c r="I1622" s="6"/>
      <c r="J1622" s="2"/>
      <c r="K1622" s="2"/>
      <c r="L1622" s="2"/>
      <c r="M1622" s="2"/>
      <c r="N1622" s="2"/>
      <c r="O1622" s="56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 spans="1:28" x14ac:dyDescent="0.3">
      <c r="A1623" s="2"/>
      <c r="B1623" s="8"/>
      <c r="C1623" s="8"/>
      <c r="D1623" s="8"/>
      <c r="E1623" s="8"/>
      <c r="F1623" s="13"/>
      <c r="G1623" s="59"/>
      <c r="H1623" s="6"/>
      <c r="I1623" s="6"/>
      <c r="J1623" s="2"/>
      <c r="K1623" s="2"/>
      <c r="L1623" s="2"/>
      <c r="M1623" s="2"/>
      <c r="N1623" s="2"/>
      <c r="O1623" s="56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 spans="1:28" x14ac:dyDescent="0.3">
      <c r="A1624" s="2"/>
      <c r="B1624" s="8"/>
      <c r="C1624" s="8"/>
      <c r="D1624" s="8"/>
      <c r="E1624" s="8"/>
      <c r="F1624" s="13"/>
      <c r="G1624" s="59"/>
      <c r="H1624" s="6"/>
      <c r="I1624" s="6"/>
      <c r="J1624" s="2"/>
      <c r="K1624" s="2"/>
      <c r="L1624" s="2"/>
      <c r="M1624" s="2"/>
      <c r="N1624" s="2"/>
      <c r="O1624" s="56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 spans="1:28" x14ac:dyDescent="0.3">
      <c r="A1625" s="2"/>
      <c r="B1625" s="8"/>
      <c r="C1625" s="8"/>
      <c r="D1625" s="8"/>
      <c r="E1625" s="8"/>
      <c r="F1625" s="13"/>
      <c r="G1625" s="59"/>
      <c r="H1625" s="6"/>
      <c r="I1625" s="6"/>
      <c r="J1625" s="2"/>
      <c r="K1625" s="2"/>
      <c r="L1625" s="2"/>
      <c r="M1625" s="2"/>
      <c r="N1625" s="2"/>
      <c r="O1625" s="56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 spans="1:28" x14ac:dyDescent="0.3">
      <c r="A1626" s="2"/>
      <c r="B1626" s="8"/>
      <c r="C1626" s="8"/>
      <c r="D1626" s="8"/>
      <c r="E1626" s="8"/>
      <c r="F1626" s="13"/>
      <c r="G1626" s="59"/>
      <c r="H1626" s="6"/>
      <c r="I1626" s="6"/>
      <c r="J1626" s="2"/>
      <c r="K1626" s="2"/>
      <c r="L1626" s="2"/>
      <c r="M1626" s="2"/>
      <c r="N1626" s="2"/>
      <c r="O1626" s="56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 spans="1:28" x14ac:dyDescent="0.3">
      <c r="A1627" s="2"/>
      <c r="B1627" s="8"/>
      <c r="C1627" s="8"/>
      <c r="D1627" s="8"/>
      <c r="E1627" s="8"/>
      <c r="F1627" s="13"/>
      <c r="G1627" s="59"/>
      <c r="H1627" s="6"/>
      <c r="I1627" s="6"/>
      <c r="J1627" s="2"/>
      <c r="K1627" s="2"/>
      <c r="L1627" s="2"/>
      <c r="M1627" s="2"/>
      <c r="N1627" s="2"/>
      <c r="O1627" s="56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 spans="1:28" x14ac:dyDescent="0.3">
      <c r="A1628" s="2"/>
      <c r="B1628" s="8"/>
      <c r="C1628" s="8"/>
      <c r="D1628" s="8"/>
      <c r="E1628" s="8"/>
      <c r="F1628" s="13"/>
      <c r="G1628" s="59"/>
      <c r="H1628" s="6"/>
      <c r="I1628" s="6"/>
      <c r="J1628" s="2"/>
      <c r="K1628" s="2"/>
      <c r="L1628" s="2"/>
      <c r="M1628" s="2"/>
      <c r="N1628" s="2"/>
      <c r="O1628" s="56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 spans="1:28" x14ac:dyDescent="0.3">
      <c r="A1629" s="2"/>
      <c r="B1629" s="8"/>
      <c r="C1629" s="8"/>
      <c r="D1629" s="8"/>
      <c r="E1629" s="8"/>
      <c r="F1629" s="13"/>
      <c r="G1629" s="59"/>
      <c r="H1629" s="6"/>
      <c r="I1629" s="6"/>
      <c r="J1629" s="2"/>
      <c r="K1629" s="2"/>
      <c r="L1629" s="2"/>
      <c r="M1629" s="2"/>
      <c r="N1629" s="2"/>
      <c r="O1629" s="56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 spans="1:28" x14ac:dyDescent="0.3">
      <c r="A1630" s="2"/>
      <c r="B1630" s="8"/>
      <c r="C1630" s="8"/>
      <c r="D1630" s="8"/>
      <c r="E1630" s="8"/>
      <c r="F1630" s="13"/>
      <c r="G1630" s="59"/>
      <c r="H1630" s="6"/>
      <c r="I1630" s="6"/>
      <c r="J1630" s="2"/>
      <c r="K1630" s="2"/>
      <c r="L1630" s="2"/>
      <c r="M1630" s="2"/>
      <c r="N1630" s="2"/>
      <c r="O1630" s="56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 spans="1:28" x14ac:dyDescent="0.3">
      <c r="A1631" s="2"/>
      <c r="B1631" s="8"/>
      <c r="C1631" s="8"/>
      <c r="D1631" s="8"/>
      <c r="E1631" s="8"/>
      <c r="F1631" s="13"/>
      <c r="G1631" s="59"/>
      <c r="H1631" s="6"/>
      <c r="I1631" s="6"/>
      <c r="J1631" s="2"/>
      <c r="K1631" s="2"/>
      <c r="L1631" s="2"/>
      <c r="M1631" s="2"/>
      <c r="N1631" s="2"/>
      <c r="O1631" s="56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 spans="1:28" x14ac:dyDescent="0.3">
      <c r="A1632" s="2"/>
      <c r="B1632" s="8"/>
      <c r="C1632" s="8"/>
      <c r="D1632" s="8"/>
      <c r="E1632" s="8"/>
      <c r="F1632" s="13"/>
      <c r="G1632" s="59"/>
      <c r="H1632" s="6"/>
      <c r="I1632" s="6"/>
      <c r="J1632" s="2"/>
      <c r="K1632" s="2"/>
      <c r="L1632" s="2"/>
      <c r="M1632" s="2"/>
      <c r="N1632" s="2"/>
      <c r="O1632" s="56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 spans="1:28" x14ac:dyDescent="0.3">
      <c r="A1633" s="2"/>
      <c r="B1633" s="8"/>
      <c r="C1633" s="8"/>
      <c r="D1633" s="8"/>
      <c r="E1633" s="8"/>
      <c r="F1633" s="13"/>
      <c r="G1633" s="59"/>
      <c r="H1633" s="6"/>
      <c r="I1633" s="6"/>
      <c r="J1633" s="2"/>
      <c r="K1633" s="2"/>
      <c r="L1633" s="2"/>
      <c r="M1633" s="2"/>
      <c r="N1633" s="2"/>
      <c r="O1633" s="56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 spans="1:28" x14ac:dyDescent="0.3">
      <c r="A1634" s="2"/>
      <c r="B1634" s="8"/>
      <c r="C1634" s="8"/>
      <c r="D1634" s="8"/>
      <c r="E1634" s="8"/>
      <c r="F1634" s="13"/>
      <c r="G1634" s="59"/>
      <c r="H1634" s="6"/>
      <c r="I1634" s="6"/>
      <c r="J1634" s="2"/>
      <c r="K1634" s="2"/>
      <c r="L1634" s="2"/>
      <c r="M1634" s="2"/>
      <c r="N1634" s="2"/>
      <c r="O1634" s="56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 spans="1:28" x14ac:dyDescent="0.3">
      <c r="A1635" s="2"/>
      <c r="B1635" s="8"/>
      <c r="C1635" s="8"/>
      <c r="D1635" s="8"/>
      <c r="E1635" s="8"/>
      <c r="F1635" s="13"/>
      <c r="G1635" s="59"/>
      <c r="H1635" s="6"/>
      <c r="I1635" s="6"/>
      <c r="J1635" s="2"/>
      <c r="K1635" s="2"/>
      <c r="L1635" s="2"/>
      <c r="M1635" s="2"/>
      <c r="N1635" s="2"/>
      <c r="O1635" s="56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 spans="1:28" x14ac:dyDescent="0.3">
      <c r="A1636" s="2"/>
      <c r="B1636" s="8"/>
      <c r="C1636" s="8"/>
      <c r="D1636" s="8"/>
      <c r="E1636" s="8"/>
      <c r="F1636" s="13"/>
      <c r="G1636" s="59"/>
      <c r="H1636" s="6"/>
      <c r="I1636" s="6"/>
      <c r="J1636" s="2"/>
      <c r="K1636" s="2"/>
      <c r="L1636" s="2"/>
      <c r="M1636" s="2"/>
      <c r="N1636" s="2"/>
      <c r="O1636" s="56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 spans="1:28" x14ac:dyDescent="0.3">
      <c r="A1637" s="2"/>
      <c r="B1637" s="8"/>
      <c r="C1637" s="8"/>
      <c r="D1637" s="8"/>
      <c r="E1637" s="8"/>
      <c r="F1637" s="13"/>
      <c r="G1637" s="59"/>
      <c r="H1637" s="6"/>
      <c r="I1637" s="6"/>
      <c r="J1637" s="2"/>
      <c r="K1637" s="2"/>
      <c r="L1637" s="2"/>
      <c r="M1637" s="2"/>
      <c r="N1637" s="2"/>
      <c r="O1637" s="56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 spans="1:28" x14ac:dyDescent="0.3">
      <c r="A1638" s="2"/>
      <c r="B1638" s="8"/>
      <c r="C1638" s="8"/>
      <c r="D1638" s="8"/>
      <c r="E1638" s="8"/>
      <c r="F1638" s="13"/>
      <c r="G1638" s="59"/>
      <c r="H1638" s="6"/>
      <c r="I1638" s="6"/>
      <c r="J1638" s="2"/>
      <c r="K1638" s="2"/>
      <c r="L1638" s="2"/>
      <c r="M1638" s="2"/>
      <c r="N1638" s="2"/>
      <c r="O1638" s="56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 spans="1:28" x14ac:dyDescent="0.3">
      <c r="A1639" s="2"/>
      <c r="B1639" s="8"/>
      <c r="C1639" s="8"/>
      <c r="D1639" s="8"/>
      <c r="E1639" s="8"/>
      <c r="F1639" s="13"/>
      <c r="G1639" s="59"/>
      <c r="H1639" s="6"/>
      <c r="I1639" s="6"/>
      <c r="J1639" s="2"/>
      <c r="K1639" s="2"/>
      <c r="L1639" s="2"/>
      <c r="M1639" s="2"/>
      <c r="N1639" s="2"/>
      <c r="O1639" s="56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 spans="1:28" x14ac:dyDescent="0.3">
      <c r="A1640" s="2"/>
      <c r="B1640" s="8"/>
      <c r="C1640" s="8"/>
      <c r="D1640" s="8"/>
      <c r="E1640" s="8"/>
      <c r="F1640" s="13"/>
      <c r="G1640" s="59"/>
      <c r="H1640" s="6"/>
      <c r="I1640" s="6"/>
      <c r="J1640" s="2"/>
      <c r="K1640" s="2"/>
      <c r="L1640" s="2"/>
      <c r="M1640" s="2"/>
      <c r="N1640" s="2"/>
      <c r="O1640" s="56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 spans="1:28" x14ac:dyDescent="0.3">
      <c r="A1641" s="2"/>
      <c r="B1641" s="8"/>
      <c r="C1641" s="8"/>
      <c r="D1641" s="8"/>
      <c r="E1641" s="8"/>
      <c r="F1641" s="13"/>
      <c r="G1641" s="59"/>
      <c r="H1641" s="6"/>
      <c r="I1641" s="6"/>
      <c r="J1641" s="2"/>
      <c r="K1641" s="2"/>
      <c r="L1641" s="2"/>
      <c r="M1641" s="2"/>
      <c r="N1641" s="2"/>
      <c r="O1641" s="56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 spans="1:28" x14ac:dyDescent="0.3">
      <c r="A1642" s="2"/>
      <c r="B1642" s="8"/>
      <c r="C1642" s="8"/>
      <c r="D1642" s="8"/>
      <c r="E1642" s="8"/>
      <c r="F1642" s="13"/>
      <c r="G1642" s="59"/>
      <c r="H1642" s="6"/>
      <c r="I1642" s="6"/>
      <c r="J1642" s="2"/>
      <c r="K1642" s="2"/>
      <c r="L1642" s="2"/>
      <c r="M1642" s="2"/>
      <c r="N1642" s="2"/>
      <c r="O1642" s="56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 spans="1:28" x14ac:dyDescent="0.3">
      <c r="A1643" s="2"/>
      <c r="B1643" s="8"/>
      <c r="C1643" s="8"/>
      <c r="D1643" s="8"/>
      <c r="E1643" s="8"/>
      <c r="F1643" s="13"/>
      <c r="G1643" s="59"/>
      <c r="H1643" s="6"/>
      <c r="I1643" s="6"/>
      <c r="J1643" s="2"/>
      <c r="K1643" s="2"/>
      <c r="L1643" s="2"/>
      <c r="M1643" s="2"/>
      <c r="N1643" s="2"/>
      <c r="O1643" s="56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 spans="1:28" x14ac:dyDescent="0.3">
      <c r="A1644" s="2"/>
      <c r="B1644" s="8"/>
      <c r="C1644" s="8"/>
      <c r="D1644" s="8"/>
      <c r="E1644" s="8"/>
      <c r="F1644" s="13"/>
      <c r="G1644" s="59"/>
      <c r="H1644" s="6"/>
      <c r="I1644" s="6"/>
      <c r="J1644" s="2"/>
      <c r="K1644" s="2"/>
      <c r="L1644" s="2"/>
      <c r="M1644" s="2"/>
      <c r="N1644" s="2"/>
      <c r="O1644" s="56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 spans="1:28" x14ac:dyDescent="0.3">
      <c r="A1645" s="2"/>
      <c r="B1645" s="8"/>
      <c r="C1645" s="8"/>
      <c r="D1645" s="8"/>
      <c r="E1645" s="8"/>
      <c r="F1645" s="13"/>
      <c r="G1645" s="59"/>
      <c r="H1645" s="6"/>
      <c r="I1645" s="6"/>
      <c r="J1645" s="2"/>
      <c r="K1645" s="2"/>
      <c r="L1645" s="2"/>
      <c r="M1645" s="2"/>
      <c r="N1645" s="2"/>
      <c r="O1645" s="56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 spans="1:28" x14ac:dyDescent="0.3">
      <c r="A1646" s="2"/>
      <c r="B1646" s="8"/>
      <c r="C1646" s="8"/>
      <c r="D1646" s="8"/>
      <c r="E1646" s="8"/>
      <c r="F1646" s="13"/>
      <c r="G1646" s="59"/>
      <c r="H1646" s="6"/>
      <c r="I1646" s="6"/>
      <c r="J1646" s="2"/>
      <c r="K1646" s="2"/>
      <c r="L1646" s="2"/>
      <c r="M1646" s="2"/>
      <c r="N1646" s="2"/>
      <c r="O1646" s="56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 spans="1:28" x14ac:dyDescent="0.3">
      <c r="A1647" s="2"/>
      <c r="B1647" s="8"/>
      <c r="C1647" s="8"/>
      <c r="D1647" s="8"/>
      <c r="E1647" s="8"/>
      <c r="F1647" s="13"/>
      <c r="G1647" s="59"/>
      <c r="H1647" s="6"/>
      <c r="I1647" s="6"/>
      <c r="J1647" s="2"/>
      <c r="K1647" s="2"/>
      <c r="L1647" s="2"/>
      <c r="M1647" s="2"/>
      <c r="N1647" s="2"/>
      <c r="O1647" s="56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 spans="1:28" x14ac:dyDescent="0.3">
      <c r="A1648" s="2"/>
      <c r="B1648" s="8"/>
      <c r="C1648" s="8"/>
      <c r="D1648" s="8"/>
      <c r="E1648" s="8"/>
      <c r="F1648" s="13"/>
      <c r="G1648" s="59"/>
      <c r="H1648" s="6"/>
      <c r="I1648" s="6"/>
      <c r="J1648" s="2"/>
      <c r="K1648" s="2"/>
      <c r="L1648" s="2"/>
      <c r="M1648" s="2"/>
      <c r="N1648" s="2"/>
      <c r="O1648" s="56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 spans="1:28" x14ac:dyDescent="0.3">
      <c r="A1649" s="2"/>
      <c r="B1649" s="8"/>
      <c r="C1649" s="8"/>
      <c r="D1649" s="8"/>
      <c r="E1649" s="8"/>
      <c r="F1649" s="13"/>
      <c r="G1649" s="59"/>
      <c r="H1649" s="6"/>
      <c r="I1649" s="6"/>
      <c r="J1649" s="2"/>
      <c r="K1649" s="2"/>
      <c r="L1649" s="2"/>
      <c r="M1649" s="2"/>
      <c r="N1649" s="2"/>
      <c r="O1649" s="56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 spans="1:28" x14ac:dyDescent="0.3">
      <c r="A1650" s="2"/>
      <c r="B1650" s="8"/>
      <c r="C1650" s="8"/>
      <c r="D1650" s="8"/>
      <c r="E1650" s="8"/>
      <c r="F1650" s="13"/>
      <c r="G1650" s="59"/>
      <c r="H1650" s="6"/>
      <c r="I1650" s="6"/>
      <c r="J1650" s="2"/>
      <c r="K1650" s="2"/>
      <c r="L1650" s="2"/>
      <c r="M1650" s="2"/>
      <c r="N1650" s="2"/>
      <c r="O1650" s="56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 spans="1:28" x14ac:dyDescent="0.3">
      <c r="A1651" s="2"/>
      <c r="B1651" s="8"/>
      <c r="C1651" s="8"/>
      <c r="D1651" s="8"/>
      <c r="E1651" s="8"/>
      <c r="F1651" s="13"/>
      <c r="G1651" s="59"/>
      <c r="H1651" s="6"/>
      <c r="I1651" s="6"/>
      <c r="J1651" s="2"/>
      <c r="K1651" s="2"/>
      <c r="L1651" s="2"/>
      <c r="M1651" s="2"/>
      <c r="N1651" s="2"/>
      <c r="O1651" s="56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 spans="1:28" x14ac:dyDescent="0.3">
      <c r="A1652" s="2"/>
      <c r="B1652" s="8"/>
      <c r="C1652" s="8"/>
      <c r="D1652" s="8"/>
      <c r="E1652" s="8"/>
      <c r="F1652" s="13"/>
      <c r="G1652" s="59"/>
      <c r="H1652" s="6"/>
      <c r="I1652" s="6"/>
      <c r="J1652" s="2"/>
      <c r="K1652" s="2"/>
      <c r="L1652" s="2"/>
      <c r="M1652" s="2"/>
      <c r="N1652" s="2"/>
      <c r="O1652" s="56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 spans="1:28" x14ac:dyDescent="0.3">
      <c r="A1653" s="2"/>
      <c r="B1653" s="8"/>
      <c r="C1653" s="8"/>
      <c r="D1653" s="8"/>
      <c r="E1653" s="8"/>
      <c r="F1653" s="13"/>
      <c r="G1653" s="59"/>
      <c r="H1653" s="6"/>
      <c r="I1653" s="6"/>
      <c r="J1653" s="2"/>
      <c r="K1653" s="2"/>
      <c r="L1653" s="2"/>
      <c r="M1653" s="2"/>
      <c r="N1653" s="2"/>
      <c r="O1653" s="56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 spans="1:28" x14ac:dyDescent="0.3">
      <c r="A1654" s="2"/>
      <c r="B1654" s="8"/>
      <c r="C1654" s="8"/>
      <c r="D1654" s="8"/>
      <c r="E1654" s="8"/>
      <c r="F1654" s="13"/>
      <c r="G1654" s="59"/>
      <c r="H1654" s="6"/>
      <c r="I1654" s="6"/>
      <c r="J1654" s="2"/>
      <c r="K1654" s="2"/>
      <c r="L1654" s="2"/>
      <c r="M1654" s="2"/>
      <c r="N1654" s="2"/>
      <c r="O1654" s="56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 spans="1:28" x14ac:dyDescent="0.3">
      <c r="A1655" s="2"/>
      <c r="B1655" s="8"/>
      <c r="C1655" s="8"/>
      <c r="D1655" s="8"/>
      <c r="E1655" s="8"/>
      <c r="F1655" s="13"/>
      <c r="G1655" s="59"/>
      <c r="H1655" s="6"/>
      <c r="I1655" s="6"/>
      <c r="J1655" s="2"/>
      <c r="K1655" s="2"/>
      <c r="L1655" s="2"/>
      <c r="M1655" s="2"/>
      <c r="N1655" s="2"/>
      <c r="O1655" s="56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 spans="1:28" x14ac:dyDescent="0.3">
      <c r="A1656" s="2"/>
      <c r="B1656" s="8"/>
      <c r="C1656" s="8"/>
      <c r="D1656" s="8"/>
      <c r="E1656" s="8"/>
      <c r="F1656" s="13"/>
      <c r="G1656" s="59"/>
      <c r="H1656" s="6"/>
      <c r="I1656" s="6"/>
      <c r="J1656" s="2"/>
      <c r="K1656" s="2"/>
      <c r="L1656" s="2"/>
      <c r="M1656" s="2"/>
      <c r="N1656" s="2"/>
      <c r="O1656" s="56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 spans="1:28" x14ac:dyDescent="0.3">
      <c r="A1657" s="2"/>
      <c r="B1657" s="8"/>
      <c r="C1657" s="8"/>
      <c r="D1657" s="8"/>
      <c r="E1657" s="8"/>
      <c r="F1657" s="13"/>
      <c r="G1657" s="59"/>
      <c r="H1657" s="6"/>
      <c r="I1657" s="6"/>
      <c r="J1657" s="2"/>
      <c r="K1657" s="2"/>
      <c r="L1657" s="2"/>
      <c r="M1657" s="2"/>
      <c r="N1657" s="2"/>
      <c r="O1657" s="56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 spans="1:28" x14ac:dyDescent="0.3">
      <c r="A1658" s="2"/>
      <c r="B1658" s="8"/>
      <c r="C1658" s="8"/>
      <c r="D1658" s="8"/>
      <c r="E1658" s="8"/>
      <c r="F1658" s="13"/>
      <c r="G1658" s="59"/>
      <c r="H1658" s="6"/>
      <c r="I1658" s="6"/>
      <c r="J1658" s="2"/>
      <c r="K1658" s="2"/>
      <c r="L1658" s="2"/>
      <c r="M1658" s="2"/>
      <c r="N1658" s="2"/>
      <c r="O1658" s="56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 spans="1:28" x14ac:dyDescent="0.3">
      <c r="A1659" s="2"/>
      <c r="B1659" s="8"/>
      <c r="C1659" s="8"/>
      <c r="D1659" s="8"/>
      <c r="E1659" s="8"/>
      <c r="F1659" s="13"/>
      <c r="G1659" s="59"/>
      <c r="H1659" s="6"/>
      <c r="I1659" s="6"/>
      <c r="J1659" s="2"/>
      <c r="K1659" s="2"/>
      <c r="L1659" s="2"/>
      <c r="M1659" s="2"/>
      <c r="N1659" s="2"/>
      <c r="O1659" s="56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 spans="1:28" x14ac:dyDescent="0.3">
      <c r="A1660" s="2"/>
      <c r="B1660" s="8"/>
      <c r="C1660" s="8"/>
      <c r="D1660" s="8"/>
      <c r="E1660" s="8"/>
      <c r="F1660" s="13"/>
      <c r="G1660" s="59"/>
      <c r="H1660" s="6"/>
      <c r="I1660" s="6"/>
      <c r="J1660" s="2"/>
      <c r="K1660" s="2"/>
      <c r="L1660" s="2"/>
      <c r="M1660" s="2"/>
      <c r="N1660" s="2"/>
      <c r="O1660" s="56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 spans="1:28" x14ac:dyDescent="0.3">
      <c r="A1661" s="2"/>
      <c r="B1661" s="8"/>
      <c r="C1661" s="8"/>
      <c r="D1661" s="8"/>
      <c r="E1661" s="8"/>
      <c r="F1661" s="13"/>
      <c r="G1661" s="59"/>
      <c r="H1661" s="6"/>
      <c r="I1661" s="6"/>
      <c r="J1661" s="2"/>
      <c r="K1661" s="2"/>
      <c r="L1661" s="2"/>
      <c r="M1661" s="2"/>
      <c r="N1661" s="2"/>
      <c r="O1661" s="56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 spans="1:28" x14ac:dyDescent="0.3">
      <c r="A1662" s="2"/>
      <c r="B1662" s="8"/>
      <c r="C1662" s="8"/>
      <c r="D1662" s="8"/>
      <c r="E1662" s="8"/>
      <c r="F1662" s="13"/>
      <c r="G1662" s="59"/>
      <c r="H1662" s="6"/>
      <c r="I1662" s="6"/>
      <c r="J1662" s="2"/>
      <c r="K1662" s="2"/>
      <c r="L1662" s="2"/>
      <c r="M1662" s="2"/>
      <c r="N1662" s="2"/>
      <c r="O1662" s="56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 spans="1:28" x14ac:dyDescent="0.3">
      <c r="A1663" s="2"/>
      <c r="B1663" s="8"/>
      <c r="C1663" s="8"/>
      <c r="D1663" s="8"/>
      <c r="E1663" s="8"/>
      <c r="F1663" s="13"/>
      <c r="G1663" s="59"/>
      <c r="H1663" s="6"/>
      <c r="I1663" s="6"/>
      <c r="J1663" s="2"/>
      <c r="K1663" s="2"/>
      <c r="L1663" s="2"/>
      <c r="M1663" s="2"/>
      <c r="N1663" s="2"/>
      <c r="O1663" s="56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 spans="1:28" x14ac:dyDescent="0.3">
      <c r="A1664" s="2"/>
      <c r="B1664" s="8"/>
      <c r="C1664" s="8"/>
      <c r="D1664" s="8"/>
      <c r="E1664" s="8"/>
      <c r="F1664" s="13"/>
      <c r="G1664" s="59"/>
      <c r="H1664" s="6"/>
      <c r="I1664" s="6"/>
      <c r="J1664" s="2"/>
      <c r="K1664" s="2"/>
      <c r="L1664" s="2"/>
      <c r="M1664" s="2"/>
      <c r="N1664" s="2"/>
      <c r="O1664" s="56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 spans="1:28" x14ac:dyDescent="0.3">
      <c r="A1665" s="2"/>
      <c r="B1665" s="8"/>
      <c r="C1665" s="8"/>
      <c r="D1665" s="8"/>
      <c r="E1665" s="8"/>
      <c r="F1665" s="13"/>
      <c r="G1665" s="59"/>
      <c r="H1665" s="6"/>
      <c r="I1665" s="6"/>
      <c r="J1665" s="2"/>
      <c r="K1665" s="2"/>
      <c r="L1665" s="2"/>
      <c r="M1665" s="2"/>
      <c r="N1665" s="2"/>
      <c r="O1665" s="56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 spans="1:28" x14ac:dyDescent="0.3">
      <c r="A1666" s="2"/>
      <c r="B1666" s="8"/>
      <c r="C1666" s="8"/>
      <c r="D1666" s="8"/>
      <c r="E1666" s="8"/>
      <c r="F1666" s="13"/>
      <c r="G1666" s="59"/>
      <c r="H1666" s="6"/>
      <c r="I1666" s="6"/>
      <c r="J1666" s="2"/>
      <c r="K1666" s="2"/>
      <c r="L1666" s="2"/>
      <c r="M1666" s="2"/>
      <c r="N1666" s="2"/>
      <c r="O1666" s="56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 spans="1:28" x14ac:dyDescent="0.3">
      <c r="A1667" s="2"/>
      <c r="B1667" s="8"/>
      <c r="C1667" s="8"/>
      <c r="D1667" s="8"/>
      <c r="E1667" s="8"/>
      <c r="F1667" s="13"/>
      <c r="G1667" s="59"/>
      <c r="H1667" s="6"/>
      <c r="I1667" s="6"/>
      <c r="J1667" s="2"/>
      <c r="K1667" s="2"/>
      <c r="L1667" s="2"/>
      <c r="M1667" s="2"/>
      <c r="N1667" s="2"/>
      <c r="O1667" s="56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 spans="1:28" x14ac:dyDescent="0.3">
      <c r="A1668" s="2"/>
      <c r="B1668" s="8"/>
      <c r="C1668" s="8"/>
      <c r="D1668" s="8"/>
      <c r="E1668" s="8"/>
      <c r="F1668" s="13"/>
      <c r="G1668" s="59"/>
      <c r="H1668" s="6"/>
      <c r="I1668" s="6"/>
      <c r="J1668" s="2"/>
      <c r="K1668" s="2"/>
      <c r="L1668" s="2"/>
      <c r="M1668" s="2"/>
      <c r="N1668" s="2"/>
      <c r="O1668" s="56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 spans="1:28" x14ac:dyDescent="0.3">
      <c r="A1669" s="2"/>
      <c r="B1669" s="8"/>
      <c r="C1669" s="8"/>
      <c r="D1669" s="8"/>
      <c r="E1669" s="8"/>
      <c r="F1669" s="13"/>
      <c r="G1669" s="59"/>
      <c r="H1669" s="6"/>
      <c r="I1669" s="6"/>
      <c r="J1669" s="2"/>
      <c r="K1669" s="2"/>
      <c r="L1669" s="2"/>
      <c r="M1669" s="2"/>
      <c r="N1669" s="2"/>
      <c r="O1669" s="56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 spans="1:28" x14ac:dyDescent="0.3">
      <c r="A1670" s="2"/>
      <c r="B1670" s="8"/>
      <c r="C1670" s="8"/>
      <c r="D1670" s="8"/>
      <c r="E1670" s="8"/>
      <c r="F1670" s="13"/>
      <c r="G1670" s="59"/>
      <c r="H1670" s="6"/>
      <c r="I1670" s="6"/>
      <c r="J1670" s="2"/>
      <c r="K1670" s="2"/>
      <c r="L1670" s="2"/>
      <c r="M1670" s="2"/>
      <c r="N1670" s="2"/>
      <c r="O1670" s="56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 spans="1:28" x14ac:dyDescent="0.3">
      <c r="A1671" s="2"/>
      <c r="B1671" s="8"/>
      <c r="C1671" s="8"/>
      <c r="D1671" s="8"/>
      <c r="E1671" s="8"/>
      <c r="F1671" s="13"/>
      <c r="G1671" s="59"/>
      <c r="H1671" s="6"/>
      <c r="I1671" s="6"/>
      <c r="J1671" s="2"/>
      <c r="K1671" s="2"/>
      <c r="L1671" s="2"/>
      <c r="M1671" s="2"/>
      <c r="N1671" s="2"/>
      <c r="O1671" s="56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 spans="1:28" x14ac:dyDescent="0.3">
      <c r="A1672" s="2"/>
      <c r="B1672" s="8"/>
      <c r="C1672" s="8"/>
      <c r="D1672" s="8"/>
      <c r="E1672" s="8"/>
      <c r="F1672" s="13"/>
      <c r="G1672" s="59"/>
      <c r="H1672" s="6"/>
      <c r="I1672" s="6"/>
      <c r="J1672" s="2"/>
      <c r="K1672" s="2"/>
      <c r="L1672" s="2"/>
      <c r="M1672" s="2"/>
      <c r="N1672" s="2"/>
      <c r="O1672" s="56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 spans="1:28" x14ac:dyDescent="0.3">
      <c r="A1673" s="2"/>
      <c r="B1673" s="8"/>
      <c r="C1673" s="8"/>
      <c r="D1673" s="8"/>
      <c r="E1673" s="8"/>
      <c r="F1673" s="13"/>
      <c r="G1673" s="59"/>
      <c r="H1673" s="6"/>
      <c r="I1673" s="6"/>
      <c r="J1673" s="2"/>
      <c r="K1673" s="2"/>
      <c r="L1673" s="2"/>
      <c r="M1673" s="2"/>
      <c r="N1673" s="2"/>
      <c r="O1673" s="56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 spans="1:28" x14ac:dyDescent="0.3">
      <c r="A1674" s="2"/>
      <c r="B1674" s="8"/>
      <c r="C1674" s="8"/>
      <c r="D1674" s="8"/>
      <c r="E1674" s="8"/>
      <c r="F1674" s="13"/>
      <c r="G1674" s="59"/>
      <c r="H1674" s="6"/>
      <c r="I1674" s="6"/>
      <c r="J1674" s="2"/>
      <c r="K1674" s="2"/>
      <c r="L1674" s="2"/>
      <c r="M1674" s="2"/>
      <c r="N1674" s="2"/>
      <c r="O1674" s="56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 spans="1:28" x14ac:dyDescent="0.3">
      <c r="A1675" s="2"/>
      <c r="B1675" s="8"/>
      <c r="C1675" s="8"/>
      <c r="D1675" s="8"/>
      <c r="E1675" s="8"/>
      <c r="F1675" s="13"/>
      <c r="G1675" s="59"/>
      <c r="H1675" s="6"/>
      <c r="I1675" s="6"/>
      <c r="J1675" s="2"/>
      <c r="K1675" s="2"/>
      <c r="L1675" s="2"/>
      <c r="M1675" s="2"/>
      <c r="N1675" s="2"/>
      <c r="O1675" s="56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 spans="1:28" x14ac:dyDescent="0.3">
      <c r="A1676" s="2"/>
      <c r="B1676" s="8"/>
      <c r="C1676" s="8"/>
      <c r="D1676" s="8"/>
      <c r="E1676" s="8"/>
      <c r="F1676" s="13"/>
      <c r="G1676" s="59"/>
      <c r="H1676" s="6"/>
      <c r="I1676" s="6"/>
      <c r="J1676" s="2"/>
      <c r="K1676" s="2"/>
      <c r="L1676" s="2"/>
      <c r="M1676" s="2"/>
      <c r="N1676" s="2"/>
      <c r="O1676" s="56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 spans="1:28" x14ac:dyDescent="0.3">
      <c r="A1677" s="2"/>
      <c r="B1677" s="8"/>
      <c r="C1677" s="8"/>
      <c r="D1677" s="8"/>
      <c r="E1677" s="8"/>
      <c r="F1677" s="13"/>
      <c r="G1677" s="59"/>
      <c r="H1677" s="6"/>
      <c r="I1677" s="6"/>
      <c r="J1677" s="2"/>
      <c r="K1677" s="2"/>
      <c r="L1677" s="2"/>
      <c r="M1677" s="2"/>
      <c r="N1677" s="2"/>
      <c r="O1677" s="56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 spans="1:28" x14ac:dyDescent="0.3">
      <c r="A1678" s="2"/>
      <c r="B1678" s="8"/>
      <c r="C1678" s="8"/>
      <c r="D1678" s="8"/>
      <c r="E1678" s="8"/>
      <c r="F1678" s="13"/>
      <c r="G1678" s="59"/>
      <c r="H1678" s="6"/>
      <c r="I1678" s="6"/>
      <c r="J1678" s="2"/>
      <c r="K1678" s="2"/>
      <c r="L1678" s="2"/>
      <c r="M1678" s="2"/>
      <c r="N1678" s="2"/>
      <c r="O1678" s="56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 spans="1:28" x14ac:dyDescent="0.3">
      <c r="A1679" s="2"/>
      <c r="B1679" s="8"/>
      <c r="C1679" s="8"/>
      <c r="D1679" s="8"/>
      <c r="E1679" s="8"/>
      <c r="F1679" s="13"/>
      <c r="G1679" s="59"/>
      <c r="H1679" s="6"/>
      <c r="I1679" s="6"/>
      <c r="J1679" s="2"/>
      <c r="K1679" s="2"/>
      <c r="L1679" s="2"/>
      <c r="M1679" s="2"/>
      <c r="N1679" s="2"/>
      <c r="O1679" s="56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 spans="1:28" x14ac:dyDescent="0.3">
      <c r="A1680" s="2"/>
      <c r="B1680" s="8"/>
      <c r="C1680" s="8"/>
      <c r="D1680" s="8"/>
      <c r="E1680" s="8"/>
      <c r="F1680" s="13"/>
      <c r="G1680" s="59"/>
      <c r="H1680" s="6"/>
      <c r="I1680" s="6"/>
      <c r="J1680" s="2"/>
      <c r="K1680" s="2"/>
      <c r="L1680" s="2"/>
      <c r="M1680" s="2"/>
      <c r="N1680" s="2"/>
      <c r="O1680" s="56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 spans="1:28" x14ac:dyDescent="0.3">
      <c r="A1681" s="2"/>
      <c r="B1681" s="8"/>
      <c r="C1681" s="8"/>
      <c r="D1681" s="8"/>
      <c r="E1681" s="8"/>
      <c r="F1681" s="13"/>
      <c r="G1681" s="59"/>
      <c r="H1681" s="6"/>
      <c r="I1681" s="6"/>
      <c r="J1681" s="2"/>
      <c r="K1681" s="2"/>
      <c r="L1681" s="2"/>
      <c r="M1681" s="2"/>
      <c r="N1681" s="2"/>
      <c r="O1681" s="56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 spans="1:28" x14ac:dyDescent="0.3">
      <c r="A1682" s="2"/>
      <c r="B1682" s="8"/>
      <c r="C1682" s="8"/>
      <c r="D1682" s="8"/>
      <c r="E1682" s="8"/>
      <c r="F1682" s="13"/>
      <c r="G1682" s="59"/>
      <c r="H1682" s="6"/>
      <c r="I1682" s="6"/>
      <c r="J1682" s="2"/>
      <c r="K1682" s="2"/>
      <c r="L1682" s="2"/>
      <c r="M1682" s="2"/>
      <c r="N1682" s="2"/>
      <c r="O1682" s="56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 spans="1:28" x14ac:dyDescent="0.3">
      <c r="A1683" s="2"/>
      <c r="B1683" s="8"/>
      <c r="C1683" s="8"/>
      <c r="D1683" s="8"/>
      <c r="E1683" s="8"/>
      <c r="F1683" s="13"/>
      <c r="G1683" s="59"/>
      <c r="H1683" s="6"/>
      <c r="I1683" s="6"/>
      <c r="J1683" s="2"/>
      <c r="K1683" s="2"/>
      <c r="L1683" s="2"/>
      <c r="M1683" s="2"/>
      <c r="N1683" s="2"/>
      <c r="O1683" s="56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 spans="1:28" x14ac:dyDescent="0.3">
      <c r="A1684" s="2"/>
      <c r="B1684" s="8"/>
      <c r="C1684" s="8"/>
      <c r="D1684" s="8"/>
      <c r="E1684" s="8"/>
      <c r="F1684" s="13"/>
      <c r="G1684" s="59"/>
      <c r="H1684" s="6"/>
      <c r="I1684" s="6"/>
      <c r="J1684" s="2"/>
      <c r="K1684" s="2"/>
      <c r="L1684" s="2"/>
      <c r="M1684" s="2"/>
      <c r="N1684" s="2"/>
      <c r="O1684" s="56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 spans="1:28" x14ac:dyDescent="0.3">
      <c r="A1685" s="2"/>
      <c r="B1685" s="8"/>
      <c r="C1685" s="8"/>
      <c r="D1685" s="8"/>
      <c r="E1685" s="8"/>
      <c r="F1685" s="13"/>
      <c r="G1685" s="59"/>
      <c r="H1685" s="6"/>
      <c r="I1685" s="6"/>
      <c r="J1685" s="2"/>
      <c r="K1685" s="2"/>
      <c r="L1685" s="2"/>
      <c r="M1685" s="2"/>
      <c r="N1685" s="2"/>
      <c r="O1685" s="56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 spans="1:28" x14ac:dyDescent="0.3">
      <c r="A1686" s="2"/>
      <c r="B1686" s="8"/>
      <c r="C1686" s="8"/>
      <c r="D1686" s="8"/>
      <c r="E1686" s="8"/>
      <c r="F1686" s="13"/>
      <c r="G1686" s="59"/>
      <c r="H1686" s="6"/>
      <c r="I1686" s="6"/>
      <c r="J1686" s="2"/>
      <c r="K1686" s="2"/>
      <c r="L1686" s="2"/>
      <c r="M1686" s="2"/>
      <c r="N1686" s="2"/>
      <c r="O1686" s="56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 spans="1:28" x14ac:dyDescent="0.3">
      <c r="A1687" s="2"/>
      <c r="B1687" s="8"/>
      <c r="C1687" s="8"/>
      <c r="D1687" s="8"/>
      <c r="E1687" s="8"/>
      <c r="F1687" s="13"/>
      <c r="G1687" s="59"/>
      <c r="H1687" s="6"/>
      <c r="I1687" s="6"/>
      <c r="J1687" s="2"/>
      <c r="K1687" s="2"/>
      <c r="L1687" s="2"/>
      <c r="M1687" s="2"/>
      <c r="N1687" s="2"/>
      <c r="O1687" s="56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 spans="1:28" x14ac:dyDescent="0.3">
      <c r="A1688" s="2"/>
      <c r="B1688" s="8"/>
      <c r="C1688" s="8"/>
      <c r="D1688" s="8"/>
      <c r="E1688" s="8"/>
      <c r="F1688" s="13"/>
      <c r="G1688" s="59"/>
      <c r="H1688" s="6"/>
      <c r="I1688" s="6"/>
      <c r="J1688" s="2"/>
      <c r="K1688" s="2"/>
      <c r="L1688" s="2"/>
      <c r="M1688" s="2"/>
      <c r="N1688" s="2"/>
      <c r="O1688" s="56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 spans="1:28" x14ac:dyDescent="0.3">
      <c r="A1689" s="2"/>
      <c r="B1689" s="8"/>
      <c r="C1689" s="8"/>
      <c r="D1689" s="8"/>
      <c r="E1689" s="8"/>
      <c r="F1689" s="13"/>
      <c r="G1689" s="59"/>
      <c r="H1689" s="6"/>
      <c r="I1689" s="6"/>
      <c r="J1689" s="2"/>
      <c r="K1689" s="2"/>
      <c r="L1689" s="2"/>
      <c r="M1689" s="2"/>
      <c r="N1689" s="2"/>
      <c r="O1689" s="56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 spans="1:28" x14ac:dyDescent="0.3">
      <c r="A1690" s="2"/>
      <c r="B1690" s="8"/>
      <c r="C1690" s="8"/>
      <c r="D1690" s="8"/>
      <c r="E1690" s="8"/>
      <c r="F1690" s="13"/>
      <c r="G1690" s="59"/>
      <c r="H1690" s="6"/>
      <c r="I1690" s="6"/>
      <c r="J1690" s="2"/>
      <c r="K1690" s="2"/>
      <c r="L1690" s="2"/>
      <c r="M1690" s="2"/>
      <c r="N1690" s="2"/>
      <c r="O1690" s="56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 spans="1:28" x14ac:dyDescent="0.3">
      <c r="A1691" s="2"/>
      <c r="B1691" s="8"/>
      <c r="C1691" s="8"/>
      <c r="D1691" s="8"/>
      <c r="E1691" s="8"/>
      <c r="F1691" s="13"/>
      <c r="G1691" s="59"/>
      <c r="H1691" s="6"/>
      <c r="I1691" s="6"/>
      <c r="J1691" s="2"/>
      <c r="K1691" s="2"/>
      <c r="L1691" s="2"/>
      <c r="M1691" s="2"/>
      <c r="N1691" s="2"/>
      <c r="O1691" s="56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 spans="1:28" x14ac:dyDescent="0.3">
      <c r="A1692" s="2"/>
      <c r="B1692" s="8"/>
      <c r="C1692" s="8"/>
      <c r="D1692" s="8"/>
      <c r="E1692" s="8"/>
      <c r="F1692" s="13"/>
      <c r="G1692" s="59"/>
      <c r="H1692" s="6"/>
      <c r="I1692" s="6"/>
      <c r="J1692" s="2"/>
      <c r="K1692" s="2"/>
      <c r="L1692" s="2"/>
      <c r="M1692" s="2"/>
      <c r="N1692" s="2"/>
      <c r="O1692" s="56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 spans="1:28" x14ac:dyDescent="0.3">
      <c r="A1693" s="2"/>
      <c r="B1693" s="8"/>
      <c r="C1693" s="8"/>
      <c r="D1693" s="8"/>
      <c r="E1693" s="8"/>
      <c r="F1693" s="13"/>
      <c r="G1693" s="59"/>
      <c r="H1693" s="6"/>
      <c r="I1693" s="6"/>
      <c r="J1693" s="2"/>
      <c r="K1693" s="2"/>
      <c r="L1693" s="2"/>
      <c r="M1693" s="2"/>
      <c r="N1693" s="2"/>
      <c r="O1693" s="56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 spans="1:28" x14ac:dyDescent="0.3">
      <c r="A1694" s="2"/>
      <c r="B1694" s="8"/>
      <c r="C1694" s="8"/>
      <c r="D1694" s="8"/>
      <c r="E1694" s="8"/>
      <c r="F1694" s="13"/>
      <c r="G1694" s="59"/>
      <c r="H1694" s="6"/>
      <c r="I1694" s="6"/>
      <c r="J1694" s="2"/>
      <c r="K1694" s="2"/>
      <c r="L1694" s="2"/>
      <c r="M1694" s="2"/>
      <c r="N1694" s="2"/>
      <c r="O1694" s="56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 spans="1:28" x14ac:dyDescent="0.3">
      <c r="A1695" s="2"/>
      <c r="B1695" s="8"/>
      <c r="C1695" s="8"/>
      <c r="D1695" s="8"/>
      <c r="E1695" s="8"/>
      <c r="F1695" s="13"/>
      <c r="G1695" s="59"/>
      <c r="H1695" s="6"/>
      <c r="I1695" s="6"/>
      <c r="J1695" s="2"/>
      <c r="K1695" s="2"/>
      <c r="L1695" s="2"/>
      <c r="M1695" s="2"/>
      <c r="N1695" s="2"/>
      <c r="O1695" s="56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 spans="1:28" x14ac:dyDescent="0.3">
      <c r="A1696" s="2"/>
      <c r="B1696" s="8"/>
      <c r="C1696" s="8"/>
      <c r="D1696" s="8"/>
      <c r="E1696" s="8"/>
      <c r="F1696" s="13"/>
      <c r="G1696" s="59"/>
      <c r="H1696" s="6"/>
      <c r="I1696" s="6"/>
      <c r="J1696" s="2"/>
      <c r="K1696" s="2"/>
      <c r="L1696" s="2"/>
      <c r="M1696" s="2"/>
      <c r="N1696" s="2"/>
      <c r="O1696" s="56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 spans="1:28" x14ac:dyDescent="0.3">
      <c r="A1697" s="2"/>
      <c r="B1697" s="8"/>
      <c r="C1697" s="8"/>
      <c r="D1697" s="8"/>
      <c r="E1697" s="8"/>
      <c r="F1697" s="13"/>
      <c r="G1697" s="59"/>
      <c r="H1697" s="6"/>
      <c r="I1697" s="6"/>
      <c r="J1697" s="2"/>
      <c r="K1697" s="2"/>
      <c r="L1697" s="2"/>
      <c r="M1697" s="2"/>
      <c r="N1697" s="2"/>
      <c r="O1697" s="56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 spans="1:28" x14ac:dyDescent="0.3">
      <c r="A1698" s="2"/>
      <c r="B1698" s="8"/>
      <c r="C1698" s="8"/>
      <c r="D1698" s="8"/>
      <c r="E1698" s="8"/>
      <c r="F1698" s="13"/>
      <c r="G1698" s="59"/>
      <c r="H1698" s="6"/>
      <c r="I1698" s="6"/>
      <c r="J1698" s="2"/>
      <c r="K1698" s="2"/>
      <c r="L1698" s="2"/>
      <c r="M1698" s="2"/>
      <c r="N1698" s="2"/>
      <c r="O1698" s="56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 spans="1:28" x14ac:dyDescent="0.3">
      <c r="A1699" s="2"/>
      <c r="B1699" s="8"/>
      <c r="C1699" s="8"/>
      <c r="D1699" s="8"/>
      <c r="E1699" s="8"/>
      <c r="F1699" s="13"/>
      <c r="G1699" s="59"/>
      <c r="H1699" s="6"/>
      <c r="I1699" s="6"/>
      <c r="J1699" s="2"/>
      <c r="K1699" s="2"/>
      <c r="L1699" s="2"/>
      <c r="M1699" s="2"/>
      <c r="N1699" s="2"/>
      <c r="O1699" s="56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 spans="1:28" x14ac:dyDescent="0.3">
      <c r="A1700" s="2"/>
      <c r="B1700" s="8"/>
      <c r="C1700" s="8"/>
      <c r="D1700" s="8"/>
      <c r="E1700" s="8"/>
      <c r="F1700" s="13"/>
      <c r="G1700" s="59"/>
      <c r="H1700" s="6"/>
      <c r="I1700" s="6"/>
      <c r="J1700" s="2"/>
      <c r="K1700" s="2"/>
      <c r="L1700" s="2"/>
      <c r="M1700" s="2"/>
      <c r="N1700" s="2"/>
      <c r="O1700" s="56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 spans="1:28" x14ac:dyDescent="0.3">
      <c r="A1701" s="2"/>
      <c r="B1701" s="8"/>
      <c r="C1701" s="8"/>
      <c r="D1701" s="8"/>
      <c r="E1701" s="8"/>
      <c r="F1701" s="13"/>
      <c r="G1701" s="59"/>
      <c r="H1701" s="6"/>
      <c r="I1701" s="6"/>
      <c r="J1701" s="2"/>
      <c r="K1701" s="2"/>
      <c r="L1701" s="2"/>
      <c r="M1701" s="2"/>
      <c r="N1701" s="2"/>
      <c r="O1701" s="56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 spans="1:28" x14ac:dyDescent="0.3">
      <c r="A1702" s="2"/>
      <c r="B1702" s="8"/>
      <c r="C1702" s="8"/>
      <c r="D1702" s="8"/>
      <c r="E1702" s="8"/>
      <c r="F1702" s="13"/>
      <c r="G1702" s="59"/>
      <c r="H1702" s="6"/>
      <c r="I1702" s="6"/>
      <c r="J1702" s="2"/>
      <c r="K1702" s="2"/>
      <c r="L1702" s="2"/>
      <c r="M1702" s="2"/>
      <c r="N1702" s="2"/>
      <c r="O1702" s="56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 spans="1:28" x14ac:dyDescent="0.3">
      <c r="A1703" s="2"/>
      <c r="B1703" s="8"/>
      <c r="C1703" s="8"/>
      <c r="D1703" s="8"/>
      <c r="E1703" s="8"/>
      <c r="F1703" s="13"/>
      <c r="G1703" s="59"/>
      <c r="H1703" s="6"/>
      <c r="I1703" s="6"/>
      <c r="J1703" s="2"/>
      <c r="K1703" s="2"/>
      <c r="L1703" s="2"/>
      <c r="M1703" s="2"/>
      <c r="N1703" s="2"/>
      <c r="O1703" s="56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 spans="1:28" x14ac:dyDescent="0.3">
      <c r="A1704" s="2"/>
      <c r="B1704" s="8"/>
      <c r="C1704" s="8"/>
      <c r="D1704" s="8"/>
      <c r="E1704" s="8"/>
      <c r="F1704" s="13"/>
      <c r="G1704" s="59"/>
      <c r="H1704" s="6"/>
      <c r="I1704" s="6"/>
      <c r="J1704" s="2"/>
      <c r="K1704" s="2"/>
      <c r="L1704" s="2"/>
      <c r="M1704" s="2"/>
      <c r="N1704" s="2"/>
      <c r="O1704" s="56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 spans="1:28" x14ac:dyDescent="0.3">
      <c r="A1705" s="2"/>
      <c r="B1705" s="8"/>
      <c r="C1705" s="8"/>
      <c r="D1705" s="8"/>
      <c r="E1705" s="8"/>
      <c r="F1705" s="13"/>
      <c r="G1705" s="59"/>
      <c r="H1705" s="6"/>
      <c r="I1705" s="6"/>
      <c r="J1705" s="2"/>
      <c r="K1705" s="2"/>
      <c r="L1705" s="2"/>
      <c r="M1705" s="2"/>
      <c r="N1705" s="2"/>
      <c r="O1705" s="56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 spans="1:28" x14ac:dyDescent="0.3">
      <c r="A1706" s="2"/>
      <c r="B1706" s="8"/>
      <c r="C1706" s="8"/>
      <c r="D1706" s="8"/>
      <c r="E1706" s="8"/>
      <c r="F1706" s="13"/>
      <c r="G1706" s="59"/>
      <c r="H1706" s="6"/>
      <c r="I1706" s="6"/>
      <c r="J1706" s="2"/>
      <c r="K1706" s="2"/>
      <c r="L1706" s="2"/>
      <c r="M1706" s="2"/>
      <c r="N1706" s="2"/>
      <c r="O1706" s="56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 spans="1:28" x14ac:dyDescent="0.3">
      <c r="A1707" s="2"/>
      <c r="B1707" s="8"/>
      <c r="C1707" s="8"/>
      <c r="D1707" s="8"/>
      <c r="E1707" s="8"/>
      <c r="F1707" s="13"/>
      <c r="G1707" s="59"/>
      <c r="H1707" s="6"/>
      <c r="I1707" s="6"/>
      <c r="J1707" s="2"/>
      <c r="K1707" s="2"/>
      <c r="L1707" s="2"/>
      <c r="M1707" s="2"/>
      <c r="N1707" s="2"/>
      <c r="O1707" s="56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 spans="1:28" x14ac:dyDescent="0.3">
      <c r="A1708" s="2"/>
      <c r="B1708" s="8"/>
      <c r="C1708" s="8"/>
      <c r="D1708" s="8"/>
      <c r="E1708" s="8"/>
      <c r="F1708" s="13"/>
      <c r="G1708" s="59"/>
      <c r="H1708" s="6"/>
      <c r="I1708" s="6"/>
      <c r="J1708" s="2"/>
      <c r="K1708" s="2"/>
      <c r="L1708" s="2"/>
      <c r="M1708" s="2"/>
      <c r="N1708" s="2"/>
      <c r="O1708" s="56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 spans="1:28" x14ac:dyDescent="0.3">
      <c r="A1709" s="2"/>
      <c r="B1709" s="8"/>
      <c r="C1709" s="8"/>
      <c r="D1709" s="8"/>
      <c r="E1709" s="8"/>
      <c r="F1709" s="13"/>
      <c r="G1709" s="59"/>
      <c r="H1709" s="6"/>
      <c r="I1709" s="6"/>
      <c r="J1709" s="2"/>
      <c r="K1709" s="2"/>
      <c r="L1709" s="2"/>
      <c r="M1709" s="2"/>
      <c r="N1709" s="2"/>
      <c r="O1709" s="56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 spans="1:28" x14ac:dyDescent="0.3">
      <c r="A1710" s="2"/>
      <c r="B1710" s="8"/>
      <c r="C1710" s="8"/>
      <c r="D1710" s="8"/>
      <c r="E1710" s="8"/>
      <c r="F1710" s="13"/>
      <c r="G1710" s="59"/>
      <c r="H1710" s="6"/>
      <c r="I1710" s="6"/>
      <c r="J1710" s="2"/>
      <c r="K1710" s="2"/>
      <c r="L1710" s="2"/>
      <c r="M1710" s="2"/>
      <c r="N1710" s="2"/>
      <c r="O1710" s="56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 spans="1:28" x14ac:dyDescent="0.3">
      <c r="A1711" s="2"/>
      <c r="B1711" s="8"/>
      <c r="C1711" s="8"/>
      <c r="D1711" s="8"/>
      <c r="E1711" s="8"/>
      <c r="F1711" s="13"/>
      <c r="G1711" s="59"/>
      <c r="H1711" s="6"/>
      <c r="I1711" s="6"/>
      <c r="J1711" s="2"/>
      <c r="K1711" s="2"/>
      <c r="L1711" s="2"/>
      <c r="M1711" s="2"/>
      <c r="N1711" s="2"/>
      <c r="O1711" s="56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 spans="1:28" x14ac:dyDescent="0.3">
      <c r="A1712" s="2"/>
      <c r="B1712" s="8"/>
      <c r="C1712" s="8"/>
      <c r="D1712" s="8"/>
      <c r="E1712" s="8"/>
      <c r="F1712" s="13"/>
      <c r="G1712" s="59"/>
      <c r="H1712" s="6"/>
      <c r="I1712" s="6"/>
      <c r="J1712" s="2"/>
      <c r="K1712" s="2"/>
      <c r="L1712" s="2"/>
      <c r="M1712" s="2"/>
      <c r="N1712" s="2"/>
      <c r="O1712" s="56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 spans="1:28" x14ac:dyDescent="0.3">
      <c r="A1713" s="2"/>
      <c r="B1713" s="8"/>
      <c r="C1713" s="8"/>
      <c r="D1713" s="8"/>
      <c r="E1713" s="8"/>
      <c r="F1713" s="13"/>
      <c r="G1713" s="59"/>
      <c r="H1713" s="6"/>
      <c r="I1713" s="6"/>
      <c r="J1713" s="2"/>
      <c r="K1713" s="2"/>
      <c r="L1713" s="2"/>
      <c r="M1713" s="2"/>
      <c r="N1713" s="2"/>
      <c r="O1713" s="56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 spans="1:28" x14ac:dyDescent="0.3">
      <c r="A1714" s="2"/>
      <c r="B1714" s="8"/>
      <c r="C1714" s="8"/>
      <c r="D1714" s="8"/>
      <c r="E1714" s="8"/>
      <c r="F1714" s="13"/>
      <c r="G1714" s="59"/>
      <c r="H1714" s="6"/>
      <c r="I1714" s="6"/>
      <c r="J1714" s="2"/>
      <c r="K1714" s="2"/>
      <c r="L1714" s="2"/>
      <c r="M1714" s="2"/>
      <c r="N1714" s="2"/>
      <c r="O1714" s="56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 spans="1:28" x14ac:dyDescent="0.3">
      <c r="A1715" s="2"/>
      <c r="B1715" s="8"/>
      <c r="C1715" s="8"/>
      <c r="D1715" s="8"/>
      <c r="E1715" s="8"/>
      <c r="F1715" s="13"/>
      <c r="G1715" s="59"/>
      <c r="H1715" s="6"/>
      <c r="I1715" s="6"/>
      <c r="J1715" s="2"/>
      <c r="K1715" s="2"/>
      <c r="L1715" s="2"/>
      <c r="M1715" s="2"/>
      <c r="N1715" s="2"/>
      <c r="O1715" s="56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 spans="1:28" x14ac:dyDescent="0.3">
      <c r="A1716" s="2"/>
      <c r="B1716" s="8"/>
      <c r="C1716" s="8"/>
      <c r="D1716" s="8"/>
      <c r="E1716" s="8"/>
      <c r="F1716" s="13"/>
      <c r="G1716" s="59"/>
      <c r="H1716" s="6"/>
      <c r="I1716" s="6"/>
      <c r="J1716" s="2"/>
      <c r="K1716" s="2"/>
      <c r="L1716" s="2"/>
      <c r="M1716" s="2"/>
      <c r="N1716" s="2"/>
      <c r="O1716" s="56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 spans="1:28" x14ac:dyDescent="0.3">
      <c r="A1717" s="2"/>
      <c r="B1717" s="8"/>
      <c r="C1717" s="8"/>
      <c r="D1717" s="8"/>
      <c r="E1717" s="8"/>
      <c r="F1717" s="13"/>
      <c r="G1717" s="59"/>
      <c r="H1717" s="6"/>
      <c r="I1717" s="6"/>
      <c r="J1717" s="2"/>
      <c r="K1717" s="2"/>
      <c r="L1717" s="2"/>
      <c r="M1717" s="2"/>
      <c r="N1717" s="2"/>
      <c r="O1717" s="56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 spans="1:28" x14ac:dyDescent="0.3">
      <c r="A1718" s="2"/>
      <c r="B1718" s="8"/>
      <c r="C1718" s="8"/>
      <c r="D1718" s="8"/>
      <c r="E1718" s="8"/>
      <c r="F1718" s="13"/>
      <c r="G1718" s="59"/>
      <c r="H1718" s="6"/>
      <c r="I1718" s="6"/>
      <c r="J1718" s="2"/>
      <c r="K1718" s="2"/>
      <c r="L1718" s="2"/>
      <c r="M1718" s="2"/>
      <c r="N1718" s="2"/>
      <c r="O1718" s="56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 spans="1:28" x14ac:dyDescent="0.3">
      <c r="A1719" s="2"/>
      <c r="B1719" s="8"/>
      <c r="C1719" s="8"/>
      <c r="D1719" s="8"/>
      <c r="E1719" s="8"/>
      <c r="F1719" s="13"/>
      <c r="G1719" s="59"/>
      <c r="H1719" s="6"/>
      <c r="I1719" s="6"/>
      <c r="J1719" s="2"/>
      <c r="K1719" s="2"/>
      <c r="L1719" s="2"/>
      <c r="M1719" s="2"/>
      <c r="N1719" s="2"/>
      <c r="O1719" s="56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 spans="1:28" x14ac:dyDescent="0.3">
      <c r="A1720" s="2"/>
      <c r="B1720" s="8"/>
      <c r="C1720" s="8"/>
      <c r="D1720" s="8"/>
      <c r="E1720" s="8"/>
      <c r="F1720" s="13"/>
      <c r="G1720" s="59"/>
      <c r="H1720" s="6"/>
      <c r="I1720" s="6"/>
      <c r="J1720" s="2"/>
      <c r="K1720" s="2"/>
      <c r="L1720" s="2"/>
      <c r="M1720" s="2"/>
      <c r="N1720" s="2"/>
      <c r="O1720" s="56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 spans="1:28" x14ac:dyDescent="0.3">
      <c r="A1721" s="2"/>
      <c r="B1721" s="8"/>
      <c r="C1721" s="8"/>
      <c r="D1721" s="8"/>
      <c r="E1721" s="8"/>
      <c r="F1721" s="13"/>
      <c r="G1721" s="59"/>
      <c r="H1721" s="6"/>
      <c r="I1721" s="6"/>
      <c r="J1721" s="2"/>
      <c r="K1721" s="2"/>
      <c r="L1721" s="2"/>
      <c r="M1721" s="2"/>
      <c r="N1721" s="2"/>
      <c r="O1721" s="56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 spans="1:28" x14ac:dyDescent="0.3">
      <c r="A1722" s="2"/>
      <c r="B1722" s="8"/>
      <c r="C1722" s="8"/>
      <c r="D1722" s="8"/>
      <c r="E1722" s="8"/>
      <c r="F1722" s="13"/>
      <c r="G1722" s="59"/>
      <c r="H1722" s="6"/>
      <c r="I1722" s="6"/>
      <c r="J1722" s="2"/>
      <c r="K1722" s="2"/>
      <c r="L1722" s="2"/>
      <c r="M1722" s="2"/>
      <c r="N1722" s="2"/>
      <c r="O1722" s="56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spans="1:28" x14ac:dyDescent="0.3">
      <c r="A1723" s="2"/>
      <c r="B1723" s="8"/>
      <c r="C1723" s="8"/>
      <c r="D1723" s="8"/>
      <c r="E1723" s="8"/>
      <c r="F1723" s="13"/>
      <c r="G1723" s="59"/>
      <c r="H1723" s="6"/>
      <c r="I1723" s="6"/>
      <c r="J1723" s="2"/>
      <c r="K1723" s="2"/>
      <c r="L1723" s="2"/>
      <c r="M1723" s="2"/>
      <c r="N1723" s="2"/>
      <c r="O1723" s="56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spans="1:28" x14ac:dyDescent="0.3">
      <c r="A1724" s="2"/>
      <c r="B1724" s="8"/>
      <c r="C1724" s="8"/>
      <c r="D1724" s="8"/>
      <c r="E1724" s="8"/>
      <c r="F1724" s="13"/>
      <c r="G1724" s="59"/>
      <c r="H1724" s="6"/>
      <c r="I1724" s="6"/>
      <c r="J1724" s="2"/>
      <c r="K1724" s="2"/>
      <c r="L1724" s="2"/>
      <c r="M1724" s="2"/>
      <c r="N1724" s="2"/>
      <c r="O1724" s="56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spans="1:28" x14ac:dyDescent="0.3">
      <c r="A1725" s="2"/>
      <c r="B1725" s="8"/>
      <c r="C1725" s="8"/>
      <c r="D1725" s="8"/>
      <c r="E1725" s="8"/>
      <c r="F1725" s="13"/>
      <c r="G1725" s="59"/>
      <c r="H1725" s="6"/>
      <c r="I1725" s="6"/>
      <c r="J1725" s="2"/>
      <c r="K1725" s="2"/>
      <c r="L1725" s="2"/>
      <c r="M1725" s="2"/>
      <c r="N1725" s="2"/>
      <c r="O1725" s="56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spans="1:28" x14ac:dyDescent="0.3">
      <c r="A1726" s="2"/>
      <c r="B1726" s="8"/>
      <c r="C1726" s="8"/>
      <c r="D1726" s="8"/>
      <c r="E1726" s="8"/>
      <c r="F1726" s="13"/>
      <c r="G1726" s="59"/>
      <c r="H1726" s="6"/>
      <c r="I1726" s="6"/>
      <c r="J1726" s="2"/>
      <c r="K1726" s="2"/>
      <c r="L1726" s="2"/>
      <c r="M1726" s="2"/>
      <c r="N1726" s="2"/>
      <c r="O1726" s="56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spans="1:28" x14ac:dyDescent="0.3">
      <c r="A1727" s="2"/>
      <c r="B1727" s="8"/>
      <c r="C1727" s="8"/>
      <c r="D1727" s="8"/>
      <c r="E1727" s="8"/>
      <c r="F1727" s="13"/>
      <c r="G1727" s="59"/>
      <c r="H1727" s="6"/>
      <c r="I1727" s="6"/>
      <c r="J1727" s="2"/>
      <c r="K1727" s="2"/>
      <c r="L1727" s="2"/>
      <c r="M1727" s="2"/>
      <c r="N1727" s="2"/>
      <c r="O1727" s="56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spans="1:28" x14ac:dyDescent="0.3">
      <c r="A1728" s="2"/>
      <c r="B1728" s="8"/>
      <c r="C1728" s="8"/>
      <c r="D1728" s="8"/>
      <c r="E1728" s="8"/>
      <c r="F1728" s="13"/>
      <c r="G1728" s="59"/>
      <c r="H1728" s="6"/>
      <c r="I1728" s="6"/>
      <c r="J1728" s="2"/>
      <c r="K1728" s="2"/>
      <c r="L1728" s="2"/>
      <c r="M1728" s="2"/>
      <c r="N1728" s="2"/>
      <c r="O1728" s="56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spans="1:28" x14ac:dyDescent="0.3">
      <c r="A1729" s="2"/>
      <c r="B1729" s="8"/>
      <c r="C1729" s="8"/>
      <c r="D1729" s="8"/>
      <c r="E1729" s="8"/>
      <c r="F1729" s="13"/>
      <c r="G1729" s="59"/>
      <c r="H1729" s="6"/>
      <c r="I1729" s="6"/>
      <c r="J1729" s="2"/>
      <c r="K1729" s="2"/>
      <c r="L1729" s="2"/>
      <c r="M1729" s="2"/>
      <c r="N1729" s="2"/>
      <c r="O1729" s="56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spans="1:28" x14ac:dyDescent="0.3">
      <c r="A1730" s="2"/>
      <c r="B1730" s="8"/>
      <c r="C1730" s="8"/>
      <c r="D1730" s="8"/>
      <c r="E1730" s="8"/>
      <c r="F1730" s="13"/>
      <c r="G1730" s="59"/>
      <c r="H1730" s="6"/>
      <c r="I1730" s="6"/>
      <c r="J1730" s="2"/>
      <c r="K1730" s="2"/>
      <c r="L1730" s="2"/>
      <c r="M1730" s="2"/>
      <c r="N1730" s="2"/>
      <c r="O1730" s="56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spans="1:28" x14ac:dyDescent="0.3">
      <c r="A1731" s="2"/>
      <c r="B1731" s="8"/>
      <c r="C1731" s="8"/>
      <c r="D1731" s="8"/>
      <c r="E1731" s="8"/>
      <c r="F1731" s="13"/>
      <c r="G1731" s="59"/>
      <c r="H1731" s="6"/>
      <c r="I1731" s="6"/>
      <c r="J1731" s="2"/>
      <c r="K1731" s="2"/>
      <c r="L1731" s="2"/>
      <c r="M1731" s="2"/>
      <c r="N1731" s="2"/>
      <c r="O1731" s="56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spans="1:28" x14ac:dyDescent="0.3">
      <c r="A1732" s="2"/>
      <c r="B1732" s="8"/>
      <c r="C1732" s="8"/>
      <c r="D1732" s="8"/>
      <c r="E1732" s="8"/>
      <c r="F1732" s="13"/>
      <c r="G1732" s="59"/>
      <c r="H1732" s="6"/>
      <c r="I1732" s="6"/>
      <c r="J1732" s="2"/>
      <c r="K1732" s="2"/>
      <c r="L1732" s="2"/>
      <c r="M1732" s="2"/>
      <c r="N1732" s="2"/>
      <c r="O1732" s="56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spans="1:28" x14ac:dyDescent="0.3">
      <c r="A1733" s="2"/>
      <c r="B1733" s="8"/>
      <c r="C1733" s="8"/>
      <c r="D1733" s="8"/>
      <c r="E1733" s="8"/>
      <c r="F1733" s="13"/>
      <c r="G1733" s="59"/>
      <c r="H1733" s="6"/>
      <c r="I1733" s="6"/>
      <c r="J1733" s="2"/>
      <c r="K1733" s="2"/>
      <c r="L1733" s="2"/>
      <c r="M1733" s="2"/>
      <c r="N1733" s="2"/>
      <c r="O1733" s="56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spans="1:28" x14ac:dyDescent="0.3">
      <c r="A1734" s="2"/>
      <c r="B1734" s="8"/>
      <c r="C1734" s="8"/>
      <c r="D1734" s="8"/>
      <c r="E1734" s="8"/>
      <c r="F1734" s="13"/>
      <c r="G1734" s="59"/>
      <c r="H1734" s="6"/>
      <c r="I1734" s="6"/>
      <c r="J1734" s="2"/>
      <c r="K1734" s="2"/>
      <c r="L1734" s="2"/>
      <c r="M1734" s="2"/>
      <c r="N1734" s="2"/>
      <c r="O1734" s="56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spans="1:28" x14ac:dyDescent="0.3">
      <c r="A1735" s="2"/>
      <c r="B1735" s="8"/>
      <c r="C1735" s="8"/>
      <c r="D1735" s="8"/>
      <c r="E1735" s="8"/>
      <c r="F1735" s="13"/>
      <c r="G1735" s="59"/>
      <c r="H1735" s="6"/>
      <c r="I1735" s="6"/>
      <c r="J1735" s="2"/>
      <c r="K1735" s="2"/>
      <c r="L1735" s="2"/>
      <c r="M1735" s="2"/>
      <c r="N1735" s="2"/>
      <c r="O1735" s="56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spans="1:28" x14ac:dyDescent="0.3">
      <c r="A1736" s="2"/>
      <c r="B1736" s="8"/>
      <c r="C1736" s="8"/>
      <c r="D1736" s="8"/>
      <c r="E1736" s="8"/>
      <c r="F1736" s="13"/>
      <c r="G1736" s="59"/>
      <c r="H1736" s="6"/>
      <c r="I1736" s="6"/>
      <c r="J1736" s="2"/>
      <c r="K1736" s="2"/>
      <c r="L1736" s="2"/>
      <c r="M1736" s="2"/>
      <c r="N1736" s="2"/>
      <c r="O1736" s="56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spans="1:28" x14ac:dyDescent="0.3">
      <c r="A1737" s="2"/>
      <c r="B1737" s="8"/>
      <c r="C1737" s="8"/>
      <c r="D1737" s="8"/>
      <c r="E1737" s="8"/>
      <c r="F1737" s="13"/>
      <c r="G1737" s="59"/>
      <c r="H1737" s="6"/>
      <c r="I1737" s="6"/>
      <c r="J1737" s="2"/>
      <c r="K1737" s="2"/>
      <c r="L1737" s="2"/>
      <c r="M1737" s="2"/>
      <c r="N1737" s="2"/>
      <c r="O1737" s="56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spans="1:28" x14ac:dyDescent="0.3">
      <c r="A1738" s="2"/>
      <c r="B1738" s="8"/>
      <c r="C1738" s="8"/>
      <c r="D1738" s="8"/>
      <c r="E1738" s="8"/>
      <c r="F1738" s="13"/>
      <c r="G1738" s="59"/>
      <c r="H1738" s="6"/>
      <c r="I1738" s="6"/>
      <c r="J1738" s="2"/>
      <c r="K1738" s="2"/>
      <c r="L1738" s="2"/>
      <c r="M1738" s="2"/>
      <c r="N1738" s="2"/>
      <c r="O1738" s="56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spans="1:28" x14ac:dyDescent="0.3">
      <c r="A1739" s="2"/>
      <c r="B1739" s="8"/>
      <c r="C1739" s="8"/>
      <c r="D1739" s="8"/>
      <c r="E1739" s="8"/>
      <c r="F1739" s="13"/>
      <c r="G1739" s="59"/>
      <c r="H1739" s="6"/>
      <c r="I1739" s="6"/>
      <c r="J1739" s="2"/>
      <c r="K1739" s="2"/>
      <c r="L1739" s="2"/>
      <c r="M1739" s="2"/>
      <c r="N1739" s="2"/>
      <c r="O1739" s="56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spans="1:28" x14ac:dyDescent="0.3">
      <c r="A1740" s="2"/>
      <c r="B1740" s="8"/>
      <c r="C1740" s="8"/>
      <c r="D1740" s="8"/>
      <c r="E1740" s="8"/>
      <c r="F1740" s="13"/>
      <c r="G1740" s="59"/>
      <c r="H1740" s="6"/>
      <c r="I1740" s="6"/>
      <c r="J1740" s="2"/>
      <c r="K1740" s="2"/>
      <c r="L1740" s="2"/>
      <c r="M1740" s="2"/>
      <c r="N1740" s="2"/>
      <c r="O1740" s="56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spans="1:28" x14ac:dyDescent="0.3">
      <c r="A1741" s="2"/>
      <c r="B1741" s="8"/>
      <c r="C1741" s="8"/>
      <c r="D1741" s="8"/>
      <c r="E1741" s="8"/>
      <c r="F1741" s="13"/>
      <c r="G1741" s="59"/>
      <c r="H1741" s="6"/>
      <c r="I1741" s="6"/>
      <c r="J1741" s="2"/>
      <c r="K1741" s="2"/>
      <c r="L1741" s="2"/>
      <c r="M1741" s="2"/>
      <c r="N1741" s="2"/>
      <c r="O1741" s="56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spans="1:28" x14ac:dyDescent="0.3">
      <c r="A1742" s="2"/>
      <c r="B1742" s="8"/>
      <c r="C1742" s="8"/>
      <c r="D1742" s="8"/>
      <c r="E1742" s="8"/>
      <c r="F1742" s="13"/>
      <c r="G1742" s="59"/>
      <c r="H1742" s="6"/>
      <c r="I1742" s="6"/>
      <c r="J1742" s="2"/>
      <c r="K1742" s="2"/>
      <c r="L1742" s="2"/>
      <c r="M1742" s="2"/>
      <c r="N1742" s="2"/>
      <c r="O1742" s="56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 spans="1:28" x14ac:dyDescent="0.3">
      <c r="A1743" s="2"/>
      <c r="B1743" s="8"/>
      <c r="C1743" s="8"/>
      <c r="D1743" s="8"/>
      <c r="E1743" s="8"/>
      <c r="F1743" s="13"/>
      <c r="G1743" s="59"/>
      <c r="H1743" s="6"/>
      <c r="I1743" s="6"/>
      <c r="J1743" s="2"/>
      <c r="K1743" s="2"/>
      <c r="L1743" s="2"/>
      <c r="M1743" s="2"/>
      <c r="N1743" s="2"/>
      <c r="O1743" s="56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 spans="1:28" x14ac:dyDescent="0.3">
      <c r="A1744" s="2"/>
      <c r="B1744" s="8"/>
      <c r="C1744" s="8"/>
      <c r="D1744" s="8"/>
      <c r="E1744" s="8"/>
      <c r="F1744" s="13"/>
      <c r="G1744" s="59"/>
      <c r="H1744" s="6"/>
      <c r="I1744" s="6"/>
      <c r="J1744" s="2"/>
      <c r="K1744" s="2"/>
      <c r="L1744" s="2"/>
      <c r="M1744" s="2"/>
      <c r="N1744" s="2"/>
      <c r="O1744" s="56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 spans="1:28" x14ac:dyDescent="0.3">
      <c r="A1745" s="2"/>
      <c r="B1745" s="8"/>
      <c r="C1745" s="8"/>
      <c r="D1745" s="8"/>
      <c r="E1745" s="8"/>
      <c r="F1745" s="13"/>
      <c r="G1745" s="59"/>
      <c r="H1745" s="6"/>
      <c r="I1745" s="6"/>
      <c r="J1745" s="2"/>
      <c r="K1745" s="2"/>
      <c r="L1745" s="2"/>
      <c r="M1745" s="2"/>
      <c r="N1745" s="2"/>
      <c r="O1745" s="56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 spans="1:28" x14ac:dyDescent="0.3">
      <c r="A1746" s="2"/>
      <c r="B1746" s="8"/>
      <c r="C1746" s="8"/>
      <c r="D1746" s="8"/>
      <c r="E1746" s="8"/>
      <c r="F1746" s="13"/>
      <c r="G1746" s="59"/>
      <c r="H1746" s="6"/>
      <c r="I1746" s="6"/>
      <c r="J1746" s="2"/>
      <c r="K1746" s="2"/>
      <c r="L1746" s="2"/>
      <c r="M1746" s="2"/>
      <c r="N1746" s="2"/>
      <c r="O1746" s="56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 spans="1:28" x14ac:dyDescent="0.3">
      <c r="A1747" s="2"/>
      <c r="B1747" s="8"/>
      <c r="C1747" s="8"/>
      <c r="D1747" s="8"/>
      <c r="E1747" s="8"/>
      <c r="F1747" s="13"/>
      <c r="G1747" s="59"/>
      <c r="H1747" s="6"/>
      <c r="I1747" s="6"/>
      <c r="J1747" s="2"/>
      <c r="K1747" s="2"/>
      <c r="L1747" s="2"/>
      <c r="M1747" s="2"/>
      <c r="N1747" s="2"/>
      <c r="O1747" s="56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 spans="1:28" x14ac:dyDescent="0.3">
      <c r="A1748" s="2"/>
      <c r="B1748" s="8"/>
      <c r="C1748" s="8"/>
      <c r="D1748" s="8"/>
      <c r="E1748" s="8"/>
      <c r="F1748" s="13"/>
      <c r="G1748" s="59"/>
      <c r="H1748" s="6"/>
      <c r="I1748" s="6"/>
      <c r="J1748" s="2"/>
      <c r="K1748" s="2"/>
      <c r="L1748" s="2"/>
      <c r="M1748" s="2"/>
      <c r="N1748" s="2"/>
      <c r="O1748" s="56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 spans="1:28" x14ac:dyDescent="0.3">
      <c r="A1749" s="2"/>
      <c r="B1749" s="8"/>
      <c r="C1749" s="8"/>
      <c r="D1749" s="8"/>
      <c r="E1749" s="8"/>
      <c r="F1749" s="13"/>
      <c r="G1749" s="59"/>
      <c r="H1749" s="6"/>
      <c r="I1749" s="6"/>
      <c r="J1749" s="2"/>
      <c r="K1749" s="2"/>
      <c r="L1749" s="2"/>
      <c r="M1749" s="2"/>
      <c r="N1749" s="2"/>
      <c r="O1749" s="56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 spans="1:28" x14ac:dyDescent="0.3">
      <c r="A1750" s="2"/>
      <c r="B1750" s="8"/>
      <c r="C1750" s="8"/>
      <c r="D1750" s="8"/>
      <c r="E1750" s="8"/>
      <c r="F1750" s="13"/>
      <c r="G1750" s="59"/>
      <c r="H1750" s="6"/>
      <c r="I1750" s="6"/>
      <c r="J1750" s="2"/>
      <c r="K1750" s="2"/>
      <c r="L1750" s="2"/>
      <c r="M1750" s="2"/>
      <c r="N1750" s="2"/>
      <c r="O1750" s="56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 spans="1:28" x14ac:dyDescent="0.3">
      <c r="A1751" s="2"/>
      <c r="B1751" s="8"/>
      <c r="C1751" s="8"/>
      <c r="D1751" s="8"/>
      <c r="E1751" s="8"/>
      <c r="F1751" s="13"/>
      <c r="G1751" s="59"/>
      <c r="H1751" s="6"/>
      <c r="I1751" s="6"/>
      <c r="J1751" s="2"/>
      <c r="K1751" s="2"/>
      <c r="L1751" s="2"/>
      <c r="M1751" s="2"/>
      <c r="N1751" s="2"/>
      <c r="O1751" s="56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 spans="1:28" x14ac:dyDescent="0.3">
      <c r="A1752" s="2"/>
      <c r="B1752" s="8"/>
      <c r="C1752" s="8"/>
      <c r="D1752" s="8"/>
      <c r="E1752" s="8"/>
      <c r="F1752" s="13"/>
      <c r="G1752" s="59"/>
      <c r="H1752" s="6"/>
      <c r="I1752" s="6"/>
      <c r="J1752" s="2"/>
      <c r="K1752" s="2"/>
      <c r="L1752" s="2"/>
      <c r="M1752" s="2"/>
      <c r="N1752" s="2"/>
      <c r="O1752" s="56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 spans="1:28" x14ac:dyDescent="0.3">
      <c r="A1753" s="2"/>
      <c r="B1753" s="8"/>
      <c r="C1753" s="8"/>
      <c r="D1753" s="8"/>
      <c r="E1753" s="8"/>
      <c r="F1753" s="13"/>
      <c r="G1753" s="59"/>
      <c r="H1753" s="6"/>
      <c r="I1753" s="6"/>
      <c r="J1753" s="2"/>
      <c r="K1753" s="2"/>
      <c r="L1753" s="2"/>
      <c r="M1753" s="2"/>
      <c r="N1753" s="2"/>
      <c r="O1753" s="56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 spans="1:28" x14ac:dyDescent="0.3">
      <c r="A1754" s="2"/>
      <c r="B1754" s="8"/>
      <c r="C1754" s="8"/>
      <c r="D1754" s="8"/>
      <c r="E1754" s="8"/>
      <c r="F1754" s="13"/>
      <c r="G1754" s="59"/>
      <c r="H1754" s="6"/>
      <c r="I1754" s="6"/>
      <c r="J1754" s="2"/>
      <c r="K1754" s="2"/>
      <c r="L1754" s="2"/>
      <c r="M1754" s="2"/>
      <c r="N1754" s="2"/>
      <c r="O1754" s="56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 spans="1:28" x14ac:dyDescent="0.3">
      <c r="A1755" s="2"/>
      <c r="B1755" s="8"/>
      <c r="C1755" s="8"/>
      <c r="D1755" s="8"/>
      <c r="E1755" s="8"/>
      <c r="F1755" s="13"/>
      <c r="G1755" s="59"/>
      <c r="H1755" s="6"/>
      <c r="I1755" s="6"/>
      <c r="J1755" s="2"/>
      <c r="K1755" s="2"/>
      <c r="L1755" s="2"/>
      <c r="M1755" s="2"/>
      <c r="N1755" s="2"/>
      <c r="O1755" s="56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 spans="1:28" x14ac:dyDescent="0.3">
      <c r="A1756" s="2"/>
      <c r="B1756" s="8"/>
      <c r="C1756" s="8"/>
      <c r="D1756" s="8"/>
      <c r="E1756" s="8"/>
      <c r="F1756" s="13"/>
      <c r="G1756" s="59"/>
      <c r="H1756" s="6"/>
      <c r="I1756" s="6"/>
      <c r="J1756" s="2"/>
      <c r="K1756" s="2"/>
      <c r="L1756" s="2"/>
      <c r="M1756" s="2"/>
      <c r="N1756" s="2"/>
      <c r="O1756" s="56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 spans="1:28" x14ac:dyDescent="0.3">
      <c r="A1757" s="2"/>
      <c r="B1757" s="8"/>
      <c r="C1757" s="8"/>
      <c r="D1757" s="8"/>
      <c r="E1757" s="8"/>
      <c r="F1757" s="13"/>
      <c r="G1757" s="59"/>
      <c r="H1757" s="6"/>
      <c r="I1757" s="6"/>
      <c r="J1757" s="2"/>
      <c r="K1757" s="2"/>
      <c r="L1757" s="2"/>
      <c r="M1757" s="2"/>
      <c r="N1757" s="2"/>
      <c r="O1757" s="56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 spans="1:28" x14ac:dyDescent="0.3">
      <c r="A1758" s="2"/>
      <c r="B1758" s="8"/>
      <c r="C1758" s="8"/>
      <c r="D1758" s="8"/>
      <c r="E1758" s="8"/>
      <c r="F1758" s="13"/>
      <c r="G1758" s="59"/>
      <c r="H1758" s="6"/>
      <c r="I1758" s="6"/>
      <c r="J1758" s="2"/>
      <c r="K1758" s="2"/>
      <c r="L1758" s="2"/>
      <c r="M1758" s="2"/>
      <c r="N1758" s="2"/>
      <c r="O1758" s="56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 spans="1:28" x14ac:dyDescent="0.3">
      <c r="A1759" s="2"/>
      <c r="B1759" s="8"/>
      <c r="C1759" s="8"/>
      <c r="D1759" s="8"/>
      <c r="E1759" s="8"/>
      <c r="F1759" s="13"/>
      <c r="G1759" s="59"/>
      <c r="H1759" s="6"/>
      <c r="I1759" s="6"/>
      <c r="J1759" s="2"/>
      <c r="K1759" s="2"/>
      <c r="L1759" s="2"/>
      <c r="M1759" s="2"/>
      <c r="N1759" s="2"/>
      <c r="O1759" s="56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 spans="1:28" x14ac:dyDescent="0.3">
      <c r="A1760" s="2"/>
      <c r="B1760" s="8"/>
      <c r="C1760" s="8"/>
      <c r="D1760" s="8"/>
      <c r="E1760" s="8"/>
      <c r="F1760" s="13"/>
      <c r="G1760" s="59"/>
      <c r="H1760" s="6"/>
      <c r="I1760" s="6"/>
      <c r="J1760" s="2"/>
      <c r="K1760" s="2"/>
      <c r="L1760" s="2"/>
      <c r="M1760" s="2"/>
      <c r="N1760" s="2"/>
      <c r="O1760" s="56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 spans="1:28" x14ac:dyDescent="0.3">
      <c r="A1761" s="2"/>
      <c r="B1761" s="8"/>
      <c r="C1761" s="8"/>
      <c r="D1761" s="8"/>
      <c r="E1761" s="8"/>
      <c r="F1761" s="13"/>
      <c r="G1761" s="59"/>
      <c r="H1761" s="6"/>
      <c r="I1761" s="6"/>
      <c r="J1761" s="2"/>
      <c r="K1761" s="2"/>
      <c r="L1761" s="2"/>
      <c r="M1761" s="2"/>
      <c r="N1761" s="2"/>
      <c r="O1761" s="56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 spans="1:28" x14ac:dyDescent="0.3">
      <c r="A1762" s="2"/>
      <c r="B1762" s="8"/>
      <c r="C1762" s="8"/>
      <c r="D1762" s="8"/>
      <c r="E1762" s="8"/>
      <c r="F1762" s="13"/>
      <c r="G1762" s="59"/>
      <c r="H1762" s="6"/>
      <c r="I1762" s="6"/>
      <c r="J1762" s="2"/>
      <c r="K1762" s="2"/>
      <c r="L1762" s="2"/>
      <c r="M1762" s="2"/>
      <c r="N1762" s="2"/>
      <c r="O1762" s="56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spans="1:28" x14ac:dyDescent="0.3">
      <c r="A1763" s="2"/>
      <c r="B1763" s="8"/>
      <c r="C1763" s="8"/>
      <c r="D1763" s="8"/>
      <c r="E1763" s="8"/>
      <c r="F1763" s="13"/>
      <c r="G1763" s="59"/>
      <c r="H1763" s="6"/>
      <c r="I1763" s="6"/>
      <c r="J1763" s="2"/>
      <c r="K1763" s="2"/>
      <c r="L1763" s="2"/>
      <c r="M1763" s="2"/>
      <c r="N1763" s="2"/>
      <c r="O1763" s="56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spans="1:28" x14ac:dyDescent="0.3">
      <c r="A1764" s="2"/>
      <c r="B1764" s="8"/>
      <c r="C1764" s="8"/>
      <c r="D1764" s="8"/>
      <c r="E1764" s="8"/>
      <c r="F1764" s="13"/>
      <c r="G1764" s="59"/>
      <c r="H1764" s="6"/>
      <c r="I1764" s="6"/>
      <c r="J1764" s="2"/>
      <c r="K1764" s="2"/>
      <c r="L1764" s="2"/>
      <c r="M1764" s="2"/>
      <c r="N1764" s="2"/>
      <c r="O1764" s="56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spans="1:28" x14ac:dyDescent="0.3">
      <c r="A1765" s="2"/>
      <c r="B1765" s="8"/>
      <c r="C1765" s="8"/>
      <c r="D1765" s="8"/>
      <c r="E1765" s="8"/>
      <c r="F1765" s="13"/>
      <c r="G1765" s="59"/>
      <c r="H1765" s="6"/>
      <c r="I1765" s="6"/>
      <c r="J1765" s="2"/>
      <c r="K1765" s="2"/>
      <c r="L1765" s="2"/>
      <c r="M1765" s="2"/>
      <c r="N1765" s="2"/>
      <c r="O1765" s="56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spans="1:28" x14ac:dyDescent="0.3">
      <c r="A1766" s="2"/>
      <c r="B1766" s="8"/>
      <c r="C1766" s="8"/>
      <c r="D1766" s="8"/>
      <c r="E1766" s="8"/>
      <c r="F1766" s="13"/>
      <c r="G1766" s="59"/>
      <c r="H1766" s="6"/>
      <c r="I1766" s="6"/>
      <c r="J1766" s="2"/>
      <c r="K1766" s="2"/>
      <c r="L1766" s="2"/>
      <c r="M1766" s="2"/>
      <c r="N1766" s="2"/>
      <c r="O1766" s="56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spans="1:28" x14ac:dyDescent="0.3">
      <c r="A1767" s="2"/>
      <c r="B1767" s="8"/>
      <c r="C1767" s="8"/>
      <c r="D1767" s="8"/>
      <c r="E1767" s="8"/>
      <c r="F1767" s="13"/>
      <c r="G1767" s="59"/>
      <c r="H1767" s="6"/>
      <c r="I1767" s="6"/>
      <c r="J1767" s="2"/>
      <c r="K1767" s="2"/>
      <c r="L1767" s="2"/>
      <c r="M1767" s="2"/>
      <c r="N1767" s="2"/>
      <c r="O1767" s="56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spans="1:28" x14ac:dyDescent="0.3">
      <c r="A1768" s="2"/>
      <c r="B1768" s="8"/>
      <c r="C1768" s="8"/>
      <c r="D1768" s="8"/>
      <c r="E1768" s="8"/>
      <c r="F1768" s="13"/>
      <c r="G1768" s="59"/>
      <c r="H1768" s="6"/>
      <c r="I1768" s="6"/>
      <c r="J1768" s="2"/>
      <c r="K1768" s="2"/>
      <c r="L1768" s="2"/>
      <c r="M1768" s="2"/>
      <c r="N1768" s="2"/>
      <c r="O1768" s="56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spans="1:28" x14ac:dyDescent="0.3">
      <c r="A1769" s="2"/>
      <c r="B1769" s="8"/>
      <c r="C1769" s="8"/>
      <c r="D1769" s="8"/>
      <c r="E1769" s="8"/>
      <c r="F1769" s="13"/>
      <c r="G1769" s="59"/>
      <c r="H1769" s="6"/>
      <c r="I1769" s="6"/>
      <c r="J1769" s="2"/>
      <c r="K1769" s="2"/>
      <c r="L1769" s="2"/>
      <c r="M1769" s="2"/>
      <c r="N1769" s="2"/>
      <c r="O1769" s="56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spans="1:28" x14ac:dyDescent="0.3">
      <c r="A1770" s="2"/>
      <c r="B1770" s="8"/>
      <c r="C1770" s="8"/>
      <c r="D1770" s="8"/>
      <c r="E1770" s="8"/>
      <c r="F1770" s="13"/>
      <c r="G1770" s="59"/>
      <c r="H1770" s="6"/>
      <c r="I1770" s="6"/>
      <c r="J1770" s="2"/>
      <c r="K1770" s="2"/>
      <c r="L1770" s="2"/>
      <c r="M1770" s="2"/>
      <c r="N1770" s="2"/>
      <c r="O1770" s="56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spans="1:28" x14ac:dyDescent="0.3">
      <c r="A1771" s="2"/>
      <c r="B1771" s="8"/>
      <c r="C1771" s="8"/>
      <c r="D1771" s="8"/>
      <c r="E1771" s="8"/>
      <c r="F1771" s="13"/>
      <c r="G1771" s="59"/>
      <c r="H1771" s="6"/>
      <c r="I1771" s="6"/>
      <c r="J1771" s="2"/>
      <c r="K1771" s="2"/>
      <c r="L1771" s="2"/>
      <c r="M1771" s="2"/>
      <c r="N1771" s="2"/>
      <c r="O1771" s="56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spans="1:28" x14ac:dyDescent="0.3">
      <c r="A1772" s="2"/>
      <c r="B1772" s="8"/>
      <c r="C1772" s="8"/>
      <c r="D1772" s="8"/>
      <c r="E1772" s="8"/>
      <c r="F1772" s="13"/>
      <c r="G1772" s="59"/>
      <c r="H1772" s="6"/>
      <c r="I1772" s="6"/>
      <c r="J1772" s="2"/>
      <c r="K1772" s="2"/>
      <c r="L1772" s="2"/>
      <c r="M1772" s="2"/>
      <c r="N1772" s="2"/>
      <c r="O1772" s="56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spans="1:28" x14ac:dyDescent="0.3">
      <c r="A1773" s="2"/>
      <c r="B1773" s="8"/>
      <c r="C1773" s="8"/>
      <c r="D1773" s="8"/>
      <c r="E1773" s="8"/>
      <c r="F1773" s="13"/>
      <c r="G1773" s="59"/>
      <c r="H1773" s="6"/>
      <c r="I1773" s="6"/>
      <c r="J1773" s="2"/>
      <c r="K1773" s="2"/>
      <c r="L1773" s="2"/>
      <c r="M1773" s="2"/>
      <c r="N1773" s="2"/>
      <c r="O1773" s="56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spans="1:28" x14ac:dyDescent="0.3">
      <c r="A1774" s="2"/>
      <c r="B1774" s="8"/>
      <c r="C1774" s="8"/>
      <c r="D1774" s="8"/>
      <c r="E1774" s="8"/>
      <c r="F1774" s="13"/>
      <c r="G1774" s="59"/>
      <c r="H1774" s="6"/>
      <c r="I1774" s="6"/>
      <c r="J1774" s="2"/>
      <c r="K1774" s="2"/>
      <c r="L1774" s="2"/>
      <c r="M1774" s="2"/>
      <c r="N1774" s="2"/>
      <c r="O1774" s="56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spans="1:28" x14ac:dyDescent="0.3">
      <c r="A1775" s="2"/>
      <c r="B1775" s="8"/>
      <c r="C1775" s="8"/>
      <c r="D1775" s="8"/>
      <c r="E1775" s="8"/>
      <c r="F1775" s="13"/>
      <c r="G1775" s="59"/>
      <c r="H1775" s="6"/>
      <c r="I1775" s="6"/>
      <c r="J1775" s="2"/>
      <c r="K1775" s="2"/>
      <c r="L1775" s="2"/>
      <c r="M1775" s="2"/>
      <c r="N1775" s="2"/>
      <c r="O1775" s="56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spans="1:28" x14ac:dyDescent="0.3">
      <c r="A1776" s="2"/>
      <c r="B1776" s="8"/>
      <c r="C1776" s="8"/>
      <c r="D1776" s="8"/>
      <c r="E1776" s="8"/>
      <c r="F1776" s="13"/>
      <c r="G1776" s="59"/>
      <c r="H1776" s="6"/>
      <c r="I1776" s="6"/>
      <c r="J1776" s="2"/>
      <c r="K1776" s="2"/>
      <c r="L1776" s="2"/>
      <c r="M1776" s="2"/>
      <c r="N1776" s="2"/>
      <c r="O1776" s="56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spans="1:28" x14ac:dyDescent="0.3">
      <c r="A1777" s="2"/>
      <c r="B1777" s="8"/>
      <c r="C1777" s="8"/>
      <c r="D1777" s="8"/>
      <c r="E1777" s="8"/>
      <c r="F1777" s="13"/>
      <c r="G1777" s="59"/>
      <c r="H1777" s="6"/>
      <c r="I1777" s="6"/>
      <c r="J1777" s="2"/>
      <c r="K1777" s="2"/>
      <c r="L1777" s="2"/>
      <c r="M1777" s="2"/>
      <c r="N1777" s="2"/>
      <c r="O1777" s="56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spans="1:28" x14ac:dyDescent="0.3">
      <c r="A1778" s="2"/>
      <c r="B1778" s="8"/>
      <c r="C1778" s="8"/>
      <c r="D1778" s="8"/>
      <c r="E1778" s="8"/>
      <c r="F1778" s="13"/>
      <c r="G1778" s="59"/>
      <c r="H1778" s="6"/>
      <c r="I1778" s="6"/>
      <c r="J1778" s="2"/>
      <c r="K1778" s="2"/>
      <c r="L1778" s="2"/>
      <c r="M1778" s="2"/>
      <c r="N1778" s="2"/>
      <c r="O1778" s="56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spans="1:28" x14ac:dyDescent="0.3">
      <c r="A1779" s="2"/>
      <c r="B1779" s="8"/>
      <c r="C1779" s="8"/>
      <c r="D1779" s="8"/>
      <c r="E1779" s="8"/>
      <c r="F1779" s="13"/>
      <c r="G1779" s="59"/>
      <c r="H1779" s="6"/>
      <c r="I1779" s="6"/>
      <c r="J1779" s="2"/>
      <c r="K1779" s="2"/>
      <c r="L1779" s="2"/>
      <c r="M1779" s="2"/>
      <c r="N1779" s="2"/>
      <c r="O1779" s="56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spans="1:28" x14ac:dyDescent="0.3">
      <c r="A1780" s="2"/>
      <c r="B1780" s="8"/>
      <c r="C1780" s="8"/>
      <c r="D1780" s="8"/>
      <c r="E1780" s="8"/>
      <c r="F1780" s="13"/>
      <c r="G1780" s="59"/>
      <c r="H1780" s="6"/>
      <c r="I1780" s="6"/>
      <c r="J1780" s="2"/>
      <c r="K1780" s="2"/>
      <c r="L1780" s="2"/>
      <c r="M1780" s="2"/>
      <c r="N1780" s="2"/>
      <c r="O1780" s="56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spans="1:28" x14ac:dyDescent="0.3">
      <c r="A1781" s="2"/>
      <c r="B1781" s="8"/>
      <c r="C1781" s="8"/>
      <c r="D1781" s="8"/>
      <c r="E1781" s="8"/>
      <c r="F1781" s="13"/>
      <c r="G1781" s="59"/>
      <c r="H1781" s="6"/>
      <c r="I1781" s="6"/>
      <c r="J1781" s="2"/>
      <c r="K1781" s="2"/>
      <c r="L1781" s="2"/>
      <c r="M1781" s="2"/>
      <c r="N1781" s="2"/>
      <c r="O1781" s="56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spans="1:28" x14ac:dyDescent="0.3">
      <c r="A1782" s="2"/>
      <c r="B1782" s="8"/>
      <c r="C1782" s="8"/>
      <c r="D1782" s="8"/>
      <c r="E1782" s="8"/>
      <c r="F1782" s="13"/>
      <c r="G1782" s="59"/>
      <c r="H1782" s="6"/>
      <c r="I1782" s="6"/>
      <c r="J1782" s="2"/>
      <c r="K1782" s="2"/>
      <c r="L1782" s="2"/>
      <c r="M1782" s="2"/>
      <c r="N1782" s="2"/>
      <c r="O1782" s="56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 spans="1:28" x14ac:dyDescent="0.3">
      <c r="A1783" s="2"/>
      <c r="B1783" s="8"/>
      <c r="C1783" s="8"/>
      <c r="D1783" s="8"/>
      <c r="E1783" s="8"/>
      <c r="F1783" s="13"/>
      <c r="G1783" s="59"/>
      <c r="H1783" s="6"/>
      <c r="I1783" s="6"/>
      <c r="J1783" s="2"/>
      <c r="K1783" s="2"/>
      <c r="L1783" s="2"/>
      <c r="M1783" s="2"/>
      <c r="N1783" s="2"/>
      <c r="O1783" s="56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 spans="1:28" x14ac:dyDescent="0.3">
      <c r="A1784" s="2"/>
      <c r="B1784" s="8"/>
      <c r="C1784" s="8"/>
      <c r="D1784" s="8"/>
      <c r="E1784" s="8"/>
      <c r="F1784" s="13"/>
      <c r="G1784" s="59"/>
      <c r="H1784" s="6"/>
      <c r="I1784" s="6"/>
      <c r="J1784" s="2"/>
      <c r="K1784" s="2"/>
      <c r="L1784" s="2"/>
      <c r="M1784" s="2"/>
      <c r="N1784" s="2"/>
      <c r="O1784" s="56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 spans="1:28" x14ac:dyDescent="0.3">
      <c r="A1785" s="2"/>
      <c r="B1785" s="8"/>
      <c r="C1785" s="8"/>
      <c r="D1785" s="8"/>
      <c r="E1785" s="8"/>
      <c r="F1785" s="13"/>
      <c r="G1785" s="59"/>
      <c r="H1785" s="6"/>
      <c r="I1785" s="6"/>
      <c r="J1785" s="2"/>
      <c r="K1785" s="2"/>
      <c r="L1785" s="2"/>
      <c r="M1785" s="2"/>
      <c r="N1785" s="2"/>
      <c r="O1785" s="56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 spans="1:28" x14ac:dyDescent="0.3">
      <c r="A1786" s="2"/>
      <c r="B1786" s="8"/>
      <c r="C1786" s="8"/>
      <c r="D1786" s="8"/>
      <c r="E1786" s="8"/>
      <c r="F1786" s="13"/>
      <c r="G1786" s="59"/>
      <c r="H1786" s="6"/>
      <c r="I1786" s="6"/>
      <c r="J1786" s="2"/>
      <c r="K1786" s="2"/>
      <c r="L1786" s="2"/>
      <c r="M1786" s="2"/>
      <c r="N1786" s="2"/>
      <c r="O1786" s="56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 spans="1:28" x14ac:dyDescent="0.3">
      <c r="A1787" s="2"/>
      <c r="B1787" s="8"/>
      <c r="C1787" s="8"/>
      <c r="D1787" s="8"/>
      <c r="E1787" s="8"/>
      <c r="F1787" s="13"/>
      <c r="G1787" s="59"/>
      <c r="H1787" s="6"/>
      <c r="I1787" s="6"/>
      <c r="J1787" s="2"/>
      <c r="K1787" s="2"/>
      <c r="L1787" s="2"/>
      <c r="M1787" s="2"/>
      <c r="N1787" s="2"/>
      <c r="O1787" s="56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 spans="1:28" x14ac:dyDescent="0.3">
      <c r="A1788" s="2"/>
      <c r="B1788" s="8"/>
      <c r="C1788" s="8"/>
      <c r="D1788" s="8"/>
      <c r="E1788" s="8"/>
      <c r="F1788" s="13"/>
      <c r="G1788" s="59"/>
      <c r="H1788" s="6"/>
      <c r="I1788" s="6"/>
      <c r="J1788" s="2"/>
      <c r="K1788" s="2"/>
      <c r="L1788" s="2"/>
      <c r="M1788" s="2"/>
      <c r="N1788" s="2"/>
      <c r="O1788" s="56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 spans="1:28" x14ac:dyDescent="0.3">
      <c r="A1789" s="2"/>
      <c r="B1789" s="8"/>
      <c r="C1789" s="8"/>
      <c r="D1789" s="8"/>
      <c r="E1789" s="8"/>
      <c r="F1789" s="13"/>
      <c r="G1789" s="59"/>
      <c r="H1789" s="6"/>
      <c r="I1789" s="6"/>
      <c r="J1789" s="2"/>
      <c r="K1789" s="2"/>
      <c r="L1789" s="2"/>
      <c r="M1789" s="2"/>
      <c r="N1789" s="2"/>
      <c r="O1789" s="56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 spans="1:28" x14ac:dyDescent="0.3">
      <c r="A1790" s="2"/>
      <c r="B1790" s="8"/>
      <c r="C1790" s="8"/>
      <c r="D1790" s="8"/>
      <c r="E1790" s="8"/>
      <c r="F1790" s="13"/>
      <c r="G1790" s="59"/>
      <c r="H1790" s="6"/>
      <c r="I1790" s="6"/>
      <c r="J1790" s="2"/>
      <c r="K1790" s="2"/>
      <c r="L1790" s="2"/>
      <c r="M1790" s="2"/>
      <c r="N1790" s="2"/>
      <c r="O1790" s="56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 spans="1:28" x14ac:dyDescent="0.3">
      <c r="A1791" s="2"/>
      <c r="B1791" s="8"/>
      <c r="C1791" s="8"/>
      <c r="D1791" s="8"/>
      <c r="E1791" s="8"/>
      <c r="F1791" s="13"/>
      <c r="G1791" s="59"/>
      <c r="H1791" s="6"/>
      <c r="I1791" s="6"/>
      <c r="J1791" s="2"/>
      <c r="K1791" s="2"/>
      <c r="L1791" s="2"/>
      <c r="M1791" s="2"/>
      <c r="N1791" s="2"/>
      <c r="O1791" s="56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 spans="1:28" x14ac:dyDescent="0.3">
      <c r="A1792" s="2"/>
      <c r="B1792" s="8"/>
      <c r="C1792" s="8"/>
      <c r="D1792" s="8"/>
      <c r="E1792" s="8"/>
      <c r="F1792" s="13"/>
      <c r="G1792" s="59"/>
      <c r="H1792" s="6"/>
      <c r="I1792" s="6"/>
      <c r="J1792" s="2"/>
      <c r="K1792" s="2"/>
      <c r="L1792" s="2"/>
      <c r="M1792" s="2"/>
      <c r="N1792" s="2"/>
      <c r="O1792" s="56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 spans="1:28" x14ac:dyDescent="0.3">
      <c r="A1793" s="2"/>
      <c r="B1793" s="8"/>
      <c r="C1793" s="8"/>
      <c r="D1793" s="8"/>
      <c r="E1793" s="8"/>
      <c r="F1793" s="13"/>
      <c r="G1793" s="59"/>
      <c r="H1793" s="6"/>
      <c r="I1793" s="6"/>
      <c r="J1793" s="2"/>
      <c r="K1793" s="2"/>
      <c r="L1793" s="2"/>
      <c r="M1793" s="2"/>
      <c r="N1793" s="2"/>
      <c r="O1793" s="56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 spans="1:28" x14ac:dyDescent="0.3">
      <c r="A1794" s="2"/>
      <c r="B1794" s="8"/>
      <c r="C1794" s="8"/>
      <c r="D1794" s="8"/>
      <c r="E1794" s="8"/>
      <c r="F1794" s="13"/>
      <c r="G1794" s="59"/>
      <c r="H1794" s="6"/>
      <c r="I1794" s="6"/>
      <c r="J1794" s="2"/>
      <c r="K1794" s="2"/>
      <c r="L1794" s="2"/>
      <c r="M1794" s="2"/>
      <c r="N1794" s="2"/>
      <c r="O1794" s="56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 spans="1:28" x14ac:dyDescent="0.3">
      <c r="A1795" s="2"/>
      <c r="B1795" s="8"/>
      <c r="C1795" s="8"/>
      <c r="D1795" s="8"/>
      <c r="E1795" s="8"/>
      <c r="F1795" s="13"/>
      <c r="G1795" s="59"/>
      <c r="H1795" s="6"/>
      <c r="I1795" s="6"/>
      <c r="J1795" s="2"/>
      <c r="K1795" s="2"/>
      <c r="L1795" s="2"/>
      <c r="M1795" s="2"/>
      <c r="N1795" s="2"/>
      <c r="O1795" s="56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 spans="1:28" x14ac:dyDescent="0.3">
      <c r="A1796" s="2"/>
      <c r="B1796" s="8"/>
      <c r="C1796" s="8"/>
      <c r="D1796" s="8"/>
      <c r="E1796" s="8"/>
      <c r="F1796" s="13"/>
      <c r="G1796" s="59"/>
      <c r="H1796" s="6"/>
      <c r="I1796" s="6"/>
      <c r="J1796" s="2"/>
      <c r="K1796" s="2"/>
      <c r="L1796" s="2"/>
      <c r="M1796" s="2"/>
      <c r="N1796" s="2"/>
      <c r="O1796" s="56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 spans="1:28" x14ac:dyDescent="0.3">
      <c r="A1797" s="2"/>
      <c r="B1797" s="8"/>
      <c r="C1797" s="8"/>
      <c r="D1797" s="8"/>
      <c r="E1797" s="8"/>
      <c r="F1797" s="13"/>
      <c r="G1797" s="59"/>
      <c r="H1797" s="6"/>
      <c r="I1797" s="6"/>
      <c r="J1797" s="2"/>
      <c r="K1797" s="2"/>
      <c r="L1797" s="2"/>
      <c r="M1797" s="2"/>
      <c r="N1797" s="2"/>
      <c r="O1797" s="56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 spans="1:28" x14ac:dyDescent="0.3">
      <c r="A1798" s="2"/>
      <c r="B1798" s="8"/>
      <c r="C1798" s="8"/>
      <c r="D1798" s="8"/>
      <c r="E1798" s="8"/>
      <c r="F1798" s="13"/>
      <c r="G1798" s="59"/>
      <c r="H1798" s="6"/>
      <c r="I1798" s="6"/>
      <c r="J1798" s="2"/>
      <c r="K1798" s="2"/>
      <c r="L1798" s="2"/>
      <c r="M1798" s="2"/>
      <c r="N1798" s="2"/>
      <c r="O1798" s="56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 spans="1:28" x14ac:dyDescent="0.3">
      <c r="A1799" s="2"/>
      <c r="B1799" s="8"/>
      <c r="C1799" s="8"/>
      <c r="D1799" s="8"/>
      <c r="E1799" s="8"/>
      <c r="F1799" s="13"/>
      <c r="G1799" s="59"/>
      <c r="H1799" s="6"/>
      <c r="I1799" s="6"/>
      <c r="J1799" s="2"/>
      <c r="K1799" s="2"/>
      <c r="L1799" s="2"/>
      <c r="M1799" s="2"/>
      <c r="N1799" s="2"/>
      <c r="O1799" s="56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 spans="1:28" x14ac:dyDescent="0.3">
      <c r="A1800" s="2"/>
      <c r="B1800" s="8"/>
      <c r="C1800" s="8"/>
      <c r="D1800" s="8"/>
      <c r="E1800" s="8"/>
      <c r="F1800" s="13"/>
      <c r="G1800" s="59"/>
      <c r="H1800" s="6"/>
      <c r="I1800" s="6"/>
      <c r="J1800" s="2"/>
      <c r="K1800" s="2"/>
      <c r="L1800" s="2"/>
      <c r="M1800" s="2"/>
      <c r="N1800" s="2"/>
      <c r="O1800" s="56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 spans="1:28" x14ac:dyDescent="0.3">
      <c r="A1801" s="2"/>
      <c r="B1801" s="8"/>
      <c r="C1801" s="8"/>
      <c r="D1801" s="8"/>
      <c r="E1801" s="8"/>
      <c r="F1801" s="13"/>
      <c r="G1801" s="59"/>
      <c r="H1801" s="6"/>
      <c r="I1801" s="6"/>
      <c r="J1801" s="2"/>
      <c r="K1801" s="2"/>
      <c r="L1801" s="2"/>
      <c r="M1801" s="2"/>
      <c r="N1801" s="2"/>
      <c r="O1801" s="56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 spans="1:28" x14ac:dyDescent="0.3">
      <c r="A1802" s="2"/>
      <c r="B1802" s="8"/>
      <c r="C1802" s="8"/>
      <c r="D1802" s="8"/>
      <c r="E1802" s="8"/>
      <c r="F1802" s="13"/>
      <c r="G1802" s="59"/>
      <c r="H1802" s="6"/>
      <c r="I1802" s="6"/>
      <c r="J1802" s="2"/>
      <c r="K1802" s="2"/>
      <c r="L1802" s="2"/>
      <c r="M1802" s="2"/>
      <c r="N1802" s="2"/>
      <c r="O1802" s="56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 spans="1:28" x14ac:dyDescent="0.3">
      <c r="A1803" s="2"/>
      <c r="B1803" s="8"/>
      <c r="C1803" s="8"/>
      <c r="D1803" s="8"/>
      <c r="E1803" s="8"/>
      <c r="F1803" s="13"/>
      <c r="G1803" s="59"/>
      <c r="H1803" s="6"/>
      <c r="I1803" s="6"/>
      <c r="J1803" s="2"/>
      <c r="K1803" s="2"/>
      <c r="L1803" s="2"/>
      <c r="M1803" s="2"/>
      <c r="N1803" s="2"/>
      <c r="O1803" s="56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 spans="1:28" x14ac:dyDescent="0.3">
      <c r="A1804" s="2"/>
      <c r="B1804" s="8"/>
      <c r="C1804" s="8"/>
      <c r="D1804" s="8"/>
      <c r="E1804" s="8"/>
      <c r="F1804" s="13"/>
      <c r="G1804" s="59"/>
      <c r="H1804" s="6"/>
      <c r="I1804" s="6"/>
      <c r="J1804" s="2"/>
      <c r="K1804" s="2"/>
      <c r="L1804" s="2"/>
      <c r="M1804" s="2"/>
      <c r="N1804" s="2"/>
      <c r="O1804" s="56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 spans="1:28" x14ac:dyDescent="0.3">
      <c r="A1805" s="2"/>
      <c r="B1805" s="8"/>
      <c r="C1805" s="8"/>
      <c r="D1805" s="8"/>
      <c r="E1805" s="8"/>
      <c r="F1805" s="13"/>
      <c r="G1805" s="59"/>
      <c r="H1805" s="6"/>
      <c r="I1805" s="6"/>
      <c r="J1805" s="2"/>
      <c r="K1805" s="2"/>
      <c r="L1805" s="2"/>
      <c r="M1805" s="2"/>
      <c r="N1805" s="2"/>
      <c r="O1805" s="56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 spans="1:28" x14ac:dyDescent="0.3">
      <c r="A1806" s="2"/>
      <c r="B1806" s="8"/>
      <c r="C1806" s="8"/>
      <c r="D1806" s="8"/>
      <c r="E1806" s="8"/>
      <c r="F1806" s="13"/>
      <c r="G1806" s="59"/>
      <c r="H1806" s="6"/>
      <c r="I1806" s="6"/>
      <c r="J1806" s="2"/>
      <c r="K1806" s="2"/>
      <c r="L1806" s="2"/>
      <c r="M1806" s="2"/>
      <c r="N1806" s="2"/>
      <c r="O1806" s="56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 spans="1:28" x14ac:dyDescent="0.3">
      <c r="A1807" s="2"/>
      <c r="B1807" s="8"/>
      <c r="C1807" s="8"/>
      <c r="D1807" s="8"/>
      <c r="E1807" s="8"/>
      <c r="F1807" s="13"/>
      <c r="G1807" s="59"/>
      <c r="H1807" s="6"/>
      <c r="I1807" s="6"/>
      <c r="J1807" s="2"/>
      <c r="K1807" s="2"/>
      <c r="L1807" s="2"/>
      <c r="M1807" s="2"/>
      <c r="N1807" s="2"/>
      <c r="O1807" s="56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 spans="1:28" x14ac:dyDescent="0.3">
      <c r="A1808" s="2"/>
      <c r="B1808" s="8"/>
      <c r="C1808" s="8"/>
      <c r="D1808" s="8"/>
      <c r="E1808" s="8"/>
      <c r="F1808" s="13"/>
      <c r="G1808" s="59"/>
      <c r="H1808" s="6"/>
      <c r="I1808" s="6"/>
      <c r="J1808" s="2"/>
      <c r="K1808" s="2"/>
      <c r="L1808" s="2"/>
      <c r="M1808" s="2"/>
      <c r="N1808" s="2"/>
      <c r="O1808" s="56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 spans="1:28" x14ac:dyDescent="0.3">
      <c r="A1809" s="2"/>
      <c r="B1809" s="8"/>
      <c r="C1809" s="8"/>
      <c r="D1809" s="8"/>
      <c r="E1809" s="8"/>
      <c r="F1809" s="13"/>
      <c r="G1809" s="59"/>
      <c r="H1809" s="6"/>
      <c r="I1809" s="6"/>
      <c r="J1809" s="2"/>
      <c r="K1809" s="2"/>
      <c r="L1809" s="2"/>
      <c r="M1809" s="2"/>
      <c r="N1809" s="2"/>
      <c r="O1809" s="56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 spans="1:28" x14ac:dyDescent="0.3">
      <c r="A1810" s="2"/>
      <c r="B1810" s="8"/>
      <c r="C1810" s="8"/>
      <c r="D1810" s="8"/>
      <c r="E1810" s="8"/>
      <c r="F1810" s="13"/>
      <c r="G1810" s="59"/>
      <c r="H1810" s="6"/>
      <c r="I1810" s="6"/>
      <c r="J1810" s="2"/>
      <c r="K1810" s="2"/>
      <c r="L1810" s="2"/>
      <c r="M1810" s="2"/>
      <c r="N1810" s="2"/>
      <c r="O1810" s="56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 spans="1:28" x14ac:dyDescent="0.3">
      <c r="A1811" s="2"/>
      <c r="B1811" s="8"/>
      <c r="C1811" s="8"/>
      <c r="D1811" s="8"/>
      <c r="E1811" s="8"/>
      <c r="F1811" s="13"/>
      <c r="G1811" s="59"/>
      <c r="H1811" s="6"/>
      <c r="I1811" s="6"/>
      <c r="J1811" s="2"/>
      <c r="K1811" s="2"/>
      <c r="L1811" s="2"/>
      <c r="M1811" s="2"/>
      <c r="N1811" s="2"/>
      <c r="O1811" s="56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 spans="1:28" x14ac:dyDescent="0.3">
      <c r="A1812" s="2"/>
      <c r="B1812" s="8"/>
      <c r="C1812" s="8"/>
      <c r="D1812" s="8"/>
      <c r="E1812" s="8"/>
      <c r="F1812" s="13"/>
      <c r="G1812" s="59"/>
      <c r="H1812" s="6"/>
      <c r="I1812" s="6"/>
      <c r="J1812" s="2"/>
      <c r="K1812" s="2"/>
      <c r="L1812" s="2"/>
      <c r="M1812" s="2"/>
      <c r="N1812" s="2"/>
      <c r="O1812" s="56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 spans="1:28" x14ac:dyDescent="0.3">
      <c r="A1813" s="2"/>
      <c r="B1813" s="8"/>
      <c r="C1813" s="8"/>
      <c r="D1813" s="8"/>
      <c r="E1813" s="8"/>
      <c r="F1813" s="13"/>
      <c r="G1813" s="59"/>
      <c r="H1813" s="6"/>
      <c r="I1813" s="6"/>
      <c r="J1813" s="2"/>
      <c r="K1813" s="2"/>
      <c r="L1813" s="2"/>
      <c r="M1813" s="2"/>
      <c r="N1813" s="2"/>
      <c r="O1813" s="56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 spans="1:28" x14ac:dyDescent="0.3">
      <c r="A1814" s="2"/>
      <c r="B1814" s="8"/>
      <c r="C1814" s="8"/>
      <c r="D1814" s="8"/>
      <c r="E1814" s="8"/>
      <c r="F1814" s="13"/>
      <c r="G1814" s="59"/>
      <c r="H1814" s="6"/>
      <c r="I1814" s="6"/>
      <c r="J1814" s="2"/>
      <c r="K1814" s="2"/>
      <c r="L1814" s="2"/>
      <c r="M1814" s="2"/>
      <c r="N1814" s="2"/>
      <c r="O1814" s="56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 spans="1:28" x14ac:dyDescent="0.3">
      <c r="A1815" s="2"/>
      <c r="B1815" s="8"/>
      <c r="C1815" s="8"/>
      <c r="D1815" s="8"/>
      <c r="E1815" s="8"/>
      <c r="F1815" s="13"/>
      <c r="G1815" s="59"/>
      <c r="H1815" s="6"/>
      <c r="I1815" s="6"/>
      <c r="J1815" s="2"/>
      <c r="K1815" s="2"/>
      <c r="L1815" s="2"/>
      <c r="M1815" s="2"/>
      <c r="N1815" s="2"/>
      <c r="O1815" s="56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 spans="1:28" x14ac:dyDescent="0.3">
      <c r="A1816" s="2"/>
      <c r="B1816" s="8"/>
      <c r="C1816" s="8"/>
      <c r="D1816" s="8"/>
      <c r="E1816" s="8"/>
      <c r="F1816" s="13"/>
      <c r="G1816" s="59"/>
      <c r="H1816" s="6"/>
      <c r="I1816" s="6"/>
      <c r="J1816" s="2"/>
      <c r="K1816" s="2"/>
      <c r="L1816" s="2"/>
      <c r="M1816" s="2"/>
      <c r="N1816" s="2"/>
      <c r="O1816" s="56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 spans="1:28" x14ac:dyDescent="0.3">
      <c r="A1817" s="2"/>
      <c r="B1817" s="8"/>
      <c r="C1817" s="8"/>
      <c r="D1817" s="8"/>
      <c r="E1817" s="8"/>
      <c r="F1817" s="13"/>
      <c r="G1817" s="59"/>
      <c r="H1817" s="6"/>
      <c r="I1817" s="6"/>
      <c r="J1817" s="2"/>
      <c r="K1817" s="2"/>
      <c r="L1817" s="2"/>
      <c r="M1817" s="2"/>
      <c r="N1817" s="2"/>
      <c r="O1817" s="56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 spans="1:28" x14ac:dyDescent="0.3">
      <c r="A1818" s="2"/>
      <c r="B1818" s="8"/>
      <c r="C1818" s="8"/>
      <c r="D1818" s="8"/>
      <c r="E1818" s="8"/>
      <c r="F1818" s="13"/>
      <c r="G1818" s="59"/>
      <c r="H1818" s="6"/>
      <c r="I1818" s="6"/>
      <c r="J1818" s="2"/>
      <c r="K1818" s="2"/>
      <c r="L1818" s="2"/>
      <c r="M1818" s="2"/>
      <c r="N1818" s="2"/>
      <c r="O1818" s="56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 spans="1:28" x14ac:dyDescent="0.3">
      <c r="A1819" s="2"/>
      <c r="B1819" s="8"/>
      <c r="C1819" s="8"/>
      <c r="D1819" s="8"/>
      <c r="E1819" s="8"/>
      <c r="F1819" s="13"/>
      <c r="G1819" s="59"/>
      <c r="H1819" s="6"/>
      <c r="I1819" s="6"/>
      <c r="J1819" s="2"/>
      <c r="K1819" s="2"/>
      <c r="L1819" s="2"/>
      <c r="M1819" s="2"/>
      <c r="N1819" s="2"/>
      <c r="O1819" s="56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 spans="1:28" x14ac:dyDescent="0.3">
      <c r="A1820" s="2"/>
      <c r="B1820" s="8"/>
      <c r="C1820" s="8"/>
      <c r="D1820" s="8"/>
      <c r="E1820" s="8"/>
      <c r="F1820" s="13"/>
      <c r="G1820" s="59"/>
      <c r="H1820" s="6"/>
      <c r="I1820" s="6"/>
      <c r="J1820" s="2"/>
      <c r="K1820" s="2"/>
      <c r="L1820" s="2"/>
      <c r="M1820" s="2"/>
      <c r="N1820" s="2"/>
      <c r="O1820" s="56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28" x14ac:dyDescent="0.3">
      <c r="A1821" s="2"/>
      <c r="B1821" s="8"/>
      <c r="C1821" s="8"/>
      <c r="D1821" s="8"/>
      <c r="E1821" s="8"/>
      <c r="F1821" s="13"/>
      <c r="G1821" s="59"/>
      <c r="H1821" s="6"/>
      <c r="I1821" s="6"/>
      <c r="J1821" s="2"/>
      <c r="K1821" s="2"/>
      <c r="L1821" s="2"/>
      <c r="M1821" s="2"/>
      <c r="N1821" s="2"/>
      <c r="O1821" s="56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 spans="1:28" x14ac:dyDescent="0.3">
      <c r="A1822" s="2"/>
      <c r="B1822" s="8"/>
      <c r="C1822" s="8"/>
      <c r="D1822" s="8"/>
      <c r="E1822" s="8"/>
      <c r="F1822" s="13"/>
      <c r="G1822" s="59"/>
      <c r="H1822" s="6"/>
      <c r="I1822" s="6"/>
      <c r="J1822" s="2"/>
      <c r="K1822" s="2"/>
      <c r="L1822" s="2"/>
      <c r="M1822" s="2"/>
      <c r="N1822" s="2"/>
      <c r="O1822" s="56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 spans="1:28" x14ac:dyDescent="0.3">
      <c r="A1823" s="2"/>
      <c r="B1823" s="8"/>
      <c r="C1823" s="8"/>
      <c r="D1823" s="8"/>
      <c r="E1823" s="8"/>
      <c r="F1823" s="13"/>
      <c r="G1823" s="59"/>
      <c r="H1823" s="6"/>
      <c r="I1823" s="6"/>
      <c r="J1823" s="2"/>
      <c r="K1823" s="2"/>
      <c r="L1823" s="2"/>
      <c r="M1823" s="2"/>
      <c r="N1823" s="2"/>
      <c r="O1823" s="56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 spans="1:28" x14ac:dyDescent="0.3">
      <c r="A1824" s="2"/>
      <c r="B1824" s="8"/>
      <c r="C1824" s="8"/>
      <c r="D1824" s="8"/>
      <c r="E1824" s="8"/>
      <c r="F1824" s="13"/>
      <c r="G1824" s="59"/>
      <c r="H1824" s="6"/>
      <c r="I1824" s="6"/>
      <c r="J1824" s="2"/>
      <c r="K1824" s="2"/>
      <c r="L1824" s="2"/>
      <c r="M1824" s="2"/>
      <c r="N1824" s="2"/>
      <c r="O1824" s="56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 spans="1:28" x14ac:dyDescent="0.3">
      <c r="A1825" s="2"/>
      <c r="B1825" s="8"/>
      <c r="C1825" s="8"/>
      <c r="D1825" s="8"/>
      <c r="E1825" s="8"/>
      <c r="F1825" s="13"/>
      <c r="G1825" s="59"/>
      <c r="H1825" s="6"/>
      <c r="I1825" s="6"/>
      <c r="J1825" s="2"/>
      <c r="K1825" s="2"/>
      <c r="L1825" s="2"/>
      <c r="M1825" s="2"/>
      <c r="N1825" s="2"/>
      <c r="O1825" s="56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 spans="1:28" x14ac:dyDescent="0.3">
      <c r="A1826" s="2"/>
      <c r="B1826" s="8"/>
      <c r="C1826" s="8"/>
      <c r="D1826" s="8"/>
      <c r="E1826" s="8"/>
      <c r="F1826" s="13"/>
      <c r="G1826" s="59"/>
      <c r="H1826" s="6"/>
      <c r="I1826" s="6"/>
      <c r="J1826" s="2"/>
      <c r="K1826" s="2"/>
      <c r="L1826" s="2"/>
      <c r="M1826" s="2"/>
      <c r="N1826" s="2"/>
      <c r="O1826" s="56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 spans="1:28" x14ac:dyDescent="0.3">
      <c r="A1827" s="2"/>
      <c r="B1827" s="8"/>
      <c r="C1827" s="8"/>
      <c r="D1827" s="8"/>
      <c r="E1827" s="8"/>
      <c r="F1827" s="13"/>
      <c r="G1827" s="59"/>
      <c r="H1827" s="6"/>
      <c r="I1827" s="6"/>
      <c r="J1827" s="2"/>
      <c r="K1827" s="2"/>
      <c r="L1827" s="2"/>
      <c r="M1827" s="2"/>
      <c r="N1827" s="2"/>
      <c r="O1827" s="56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 spans="1:28" x14ac:dyDescent="0.3">
      <c r="A1828" s="2"/>
      <c r="B1828" s="8"/>
      <c r="C1828" s="8"/>
      <c r="D1828" s="8"/>
      <c r="E1828" s="8"/>
      <c r="F1828" s="13"/>
      <c r="G1828" s="59"/>
      <c r="H1828" s="6"/>
      <c r="I1828" s="6"/>
      <c r="J1828" s="2"/>
      <c r="K1828" s="2"/>
      <c r="L1828" s="2"/>
      <c r="M1828" s="2"/>
      <c r="N1828" s="2"/>
      <c r="O1828" s="56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 spans="1:28" x14ac:dyDescent="0.3">
      <c r="A1829" s="2"/>
      <c r="B1829" s="8"/>
      <c r="C1829" s="8"/>
      <c r="D1829" s="8"/>
      <c r="E1829" s="8"/>
      <c r="F1829" s="13"/>
      <c r="G1829" s="59"/>
      <c r="H1829" s="6"/>
      <c r="I1829" s="6"/>
      <c r="J1829" s="2"/>
      <c r="K1829" s="2"/>
      <c r="L1829" s="2"/>
      <c r="M1829" s="2"/>
      <c r="N1829" s="2"/>
      <c r="O1829" s="56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 spans="1:28" x14ac:dyDescent="0.3">
      <c r="A1830" s="2"/>
      <c r="B1830" s="8"/>
      <c r="C1830" s="8"/>
      <c r="D1830" s="8"/>
      <c r="E1830" s="8"/>
      <c r="F1830" s="13"/>
      <c r="G1830" s="59"/>
      <c r="H1830" s="6"/>
      <c r="I1830" s="6"/>
      <c r="J1830" s="2"/>
      <c r="K1830" s="2"/>
      <c r="L1830" s="2"/>
      <c r="M1830" s="2"/>
      <c r="N1830" s="2"/>
      <c r="O1830" s="56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 spans="1:28" x14ac:dyDescent="0.3">
      <c r="A1831" s="2"/>
      <c r="B1831" s="8"/>
      <c r="C1831" s="8"/>
      <c r="D1831" s="8"/>
      <c r="E1831" s="8"/>
      <c r="F1831" s="13"/>
      <c r="G1831" s="59"/>
      <c r="H1831" s="6"/>
      <c r="I1831" s="6"/>
      <c r="J1831" s="2"/>
      <c r="K1831" s="2"/>
      <c r="L1831" s="2"/>
      <c r="M1831" s="2"/>
      <c r="N1831" s="2"/>
      <c r="O1831" s="56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 spans="1:28" x14ac:dyDescent="0.3">
      <c r="A1832" s="2"/>
      <c r="B1832" s="8"/>
      <c r="C1832" s="8"/>
      <c r="D1832" s="8"/>
      <c r="E1832" s="8"/>
      <c r="F1832" s="13"/>
      <c r="G1832" s="59"/>
      <c r="H1832" s="6"/>
      <c r="I1832" s="6"/>
      <c r="J1832" s="2"/>
      <c r="K1832" s="2"/>
      <c r="L1832" s="2"/>
      <c r="M1832" s="2"/>
      <c r="N1832" s="2"/>
      <c r="O1832" s="56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 spans="1:28" x14ac:dyDescent="0.3">
      <c r="A1833" s="2"/>
      <c r="B1833" s="8"/>
      <c r="C1833" s="8"/>
      <c r="D1833" s="8"/>
      <c r="E1833" s="8"/>
      <c r="F1833" s="13"/>
      <c r="G1833" s="59"/>
      <c r="H1833" s="6"/>
      <c r="I1833" s="6"/>
      <c r="J1833" s="2"/>
      <c r="K1833" s="2"/>
      <c r="L1833" s="2"/>
      <c r="M1833" s="2"/>
      <c r="N1833" s="2"/>
      <c r="O1833" s="56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28" x14ac:dyDescent="0.3">
      <c r="A1834" s="2"/>
      <c r="B1834" s="8"/>
      <c r="C1834" s="8"/>
      <c r="D1834" s="8"/>
      <c r="E1834" s="8"/>
      <c r="F1834" s="13"/>
      <c r="G1834" s="59"/>
      <c r="H1834" s="6"/>
      <c r="I1834" s="6"/>
      <c r="J1834" s="2"/>
      <c r="K1834" s="2"/>
      <c r="L1834" s="2"/>
      <c r="M1834" s="2"/>
      <c r="N1834" s="2"/>
      <c r="O1834" s="56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</sheetData>
  <autoFilter ref="A4:AB1032" xr:uid="{00000000-0001-0000-0000-000000000000}">
    <filterColumn colId="3">
      <filters>
        <filter val="ES 0101"/>
      </filters>
    </filterColumn>
    <sortState xmlns:xlrd2="http://schemas.microsoft.com/office/spreadsheetml/2017/richdata2" ref="A5:AB1032">
      <sortCondition ref="A4:A811"/>
    </sortState>
  </autoFilter>
  <phoneticPr fontId="4" type="noConversion"/>
  <pageMargins left="0.75" right="0.75" top="1" bottom="1" header="0.5" footer="0.5"/>
  <pageSetup orientation="portrait" r:id="rId1"/>
  <headerFooter alignWithMargins="0"/>
  <ignoredErrors>
    <ignoredError sqref="J4:AC4 A1:A4 AC5:AC11 J1:N3 P1:AC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0152-60D1-47A9-8561-C0D4878ECA8A}">
  <dimension ref="A1:T12"/>
  <sheetViews>
    <sheetView zoomScale="90" zoomScaleNormal="90" workbookViewId="0">
      <selection activeCell="Q5" sqref="Q5"/>
    </sheetView>
  </sheetViews>
  <sheetFormatPr defaultRowHeight="13.8" x14ac:dyDescent="0.3"/>
  <cols>
    <col min="1" max="1" width="16.6640625" bestFit="1" customWidth="1"/>
    <col min="2" max="2" width="19.33203125" bestFit="1" customWidth="1"/>
    <col min="3" max="3" width="22.6640625" bestFit="1" customWidth="1"/>
    <col min="4" max="5" width="17.6640625" bestFit="1" customWidth="1"/>
    <col min="6" max="6" width="9.5546875" bestFit="1" customWidth="1"/>
    <col min="7" max="7" width="16.33203125" bestFit="1" customWidth="1"/>
    <col min="17" max="17" width="16.6640625" bestFit="1" customWidth="1"/>
    <col min="18" max="18" width="21.44140625" bestFit="1" customWidth="1"/>
    <col min="19" max="19" width="18.109375" bestFit="1" customWidth="1"/>
    <col min="20" max="20" width="19.5546875" bestFit="1" customWidth="1"/>
  </cols>
  <sheetData>
    <row r="1" spans="1:20" x14ac:dyDescent="0.3">
      <c r="Q1" s="9" t="s">
        <v>3458</v>
      </c>
      <c r="R1" t="s">
        <v>3459</v>
      </c>
      <c r="S1" t="s">
        <v>3460</v>
      </c>
      <c r="T1" t="s">
        <v>3461</v>
      </c>
    </row>
    <row r="2" spans="1:20" x14ac:dyDescent="0.3">
      <c r="Q2" s="18" t="s">
        <v>2974</v>
      </c>
      <c r="R2" s="19">
        <v>28356</v>
      </c>
      <c r="S2" s="19">
        <v>24000</v>
      </c>
      <c r="T2" s="19">
        <v>24262</v>
      </c>
    </row>
    <row r="3" spans="1:20" x14ac:dyDescent="0.3">
      <c r="A3" s="9" t="s">
        <v>3458</v>
      </c>
      <c r="B3" s="15" t="s">
        <v>3460</v>
      </c>
      <c r="C3" s="15" t="s">
        <v>3459</v>
      </c>
      <c r="D3" t="s">
        <v>3462</v>
      </c>
      <c r="Q3" s="18" t="s">
        <v>3094</v>
      </c>
      <c r="R3" s="19">
        <v>7965</v>
      </c>
      <c r="S3" s="19">
        <v>24000</v>
      </c>
      <c r="T3" s="19">
        <v>7087</v>
      </c>
    </row>
    <row r="4" spans="1:20" x14ac:dyDescent="0.3">
      <c r="A4" s="10" t="s">
        <v>3337</v>
      </c>
      <c r="B4" s="15">
        <v>90000</v>
      </c>
      <c r="C4" s="15">
        <v>55412</v>
      </c>
      <c r="D4">
        <v>37</v>
      </c>
      <c r="Q4" s="18" t="s">
        <v>3213</v>
      </c>
      <c r="R4" s="19">
        <v>24352</v>
      </c>
      <c r="S4" s="19">
        <v>24000</v>
      </c>
      <c r="T4" s="19">
        <v>18061</v>
      </c>
    </row>
    <row r="5" spans="1:20" x14ac:dyDescent="0.3">
      <c r="A5" s="11" t="s">
        <v>47</v>
      </c>
      <c r="B5" s="15">
        <v>90000</v>
      </c>
      <c r="C5" s="15">
        <v>55412</v>
      </c>
      <c r="D5">
        <v>37</v>
      </c>
      <c r="Q5" s="18" t="s">
        <v>3337</v>
      </c>
      <c r="R5" s="19">
        <v>31926</v>
      </c>
      <c r="S5" s="19">
        <v>23999.999999999996</v>
      </c>
      <c r="T5" s="19">
        <v>27090</v>
      </c>
    </row>
    <row r="6" spans="1:20" x14ac:dyDescent="0.3">
      <c r="A6" s="12">
        <v>46270</v>
      </c>
      <c r="B6" s="15">
        <v>15000</v>
      </c>
      <c r="C6" s="15">
        <v>1925</v>
      </c>
      <c r="D6">
        <v>7</v>
      </c>
      <c r="Q6" s="18" t="s">
        <v>3463</v>
      </c>
      <c r="R6" s="19">
        <v>92599</v>
      </c>
      <c r="S6" s="19">
        <v>96000</v>
      </c>
      <c r="T6" s="19">
        <v>76500</v>
      </c>
    </row>
    <row r="7" spans="1:20" x14ac:dyDescent="0.3">
      <c r="A7" s="12">
        <v>46269</v>
      </c>
      <c r="B7" s="15">
        <v>15000</v>
      </c>
      <c r="C7" s="15">
        <v>12907</v>
      </c>
      <c r="D7">
        <v>6</v>
      </c>
    </row>
    <row r="8" spans="1:20" x14ac:dyDescent="0.3">
      <c r="A8" s="12">
        <v>46268</v>
      </c>
      <c r="B8" s="15">
        <v>15000</v>
      </c>
      <c r="C8" s="15">
        <v>10974</v>
      </c>
      <c r="D8">
        <v>6</v>
      </c>
    </row>
    <row r="9" spans="1:20" x14ac:dyDescent="0.3">
      <c r="A9" s="12">
        <v>46267</v>
      </c>
      <c r="B9" s="15">
        <v>15000</v>
      </c>
      <c r="C9" s="15">
        <v>9139</v>
      </c>
      <c r="D9">
        <v>6</v>
      </c>
    </row>
    <row r="10" spans="1:20" x14ac:dyDescent="0.3">
      <c r="A10" s="12">
        <v>46266</v>
      </c>
      <c r="B10" s="15">
        <v>15000</v>
      </c>
      <c r="C10" s="15">
        <v>11391</v>
      </c>
      <c r="D10">
        <v>6</v>
      </c>
    </row>
    <row r="11" spans="1:20" x14ac:dyDescent="0.3">
      <c r="A11" s="12">
        <v>46265</v>
      </c>
      <c r="B11" s="15">
        <v>15000</v>
      </c>
      <c r="C11" s="15">
        <v>9076</v>
      </c>
      <c r="D11">
        <v>6</v>
      </c>
    </row>
    <row r="12" spans="1:20" hidden="1" x14ac:dyDescent="0.3">
      <c r="A12" s="10" t="s">
        <v>3463</v>
      </c>
      <c r="B12" s="15">
        <v>90000</v>
      </c>
      <c r="C12" s="15">
        <v>55412</v>
      </c>
      <c r="D12">
        <v>37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3D68-EE43-40A3-A615-1182C354E6BE}">
  <dimension ref="A3:Q11"/>
  <sheetViews>
    <sheetView topLeftCell="C5" workbookViewId="0">
      <selection activeCell="T12" sqref="T12"/>
    </sheetView>
  </sheetViews>
  <sheetFormatPr defaultRowHeight="13.8" x14ac:dyDescent="0.3"/>
  <cols>
    <col min="1" max="1" width="16.33203125" bestFit="1" customWidth="1"/>
    <col min="2" max="2" width="17.44140625" bestFit="1" customWidth="1"/>
    <col min="3" max="3" width="19" bestFit="1" customWidth="1"/>
    <col min="4" max="4" width="3.88671875" bestFit="1" customWidth="1"/>
    <col min="5" max="5" width="9.44140625" bestFit="1" customWidth="1"/>
    <col min="15" max="15" width="16.33203125" bestFit="1" customWidth="1"/>
    <col min="16" max="16" width="17.44140625" bestFit="1" customWidth="1"/>
    <col min="17" max="17" width="19" bestFit="1" customWidth="1"/>
  </cols>
  <sheetData>
    <row r="3" spans="1:17" x14ac:dyDescent="0.3">
      <c r="A3" s="9" t="s">
        <v>3458</v>
      </c>
      <c r="B3" t="s">
        <v>3460</v>
      </c>
      <c r="C3" t="s">
        <v>3464</v>
      </c>
      <c r="O3" s="9" t="s">
        <v>3458</v>
      </c>
      <c r="P3" t="s">
        <v>3460</v>
      </c>
      <c r="Q3" t="s">
        <v>3464</v>
      </c>
    </row>
    <row r="4" spans="1:17" x14ac:dyDescent="0.3">
      <c r="A4" s="10" t="s">
        <v>62</v>
      </c>
      <c r="B4" s="52">
        <v>12</v>
      </c>
      <c r="C4" s="52">
        <v>13.446791486291486</v>
      </c>
      <c r="O4" s="10" t="s">
        <v>35</v>
      </c>
      <c r="P4">
        <v>12</v>
      </c>
      <c r="Q4">
        <v>8.4977777777777774</v>
      </c>
    </row>
    <row r="5" spans="1:17" x14ac:dyDescent="0.3">
      <c r="A5" s="55">
        <v>46167</v>
      </c>
      <c r="B5" s="52">
        <v>2</v>
      </c>
      <c r="C5" s="52">
        <v>3.2472222222222222</v>
      </c>
      <c r="O5" s="10" t="s">
        <v>57</v>
      </c>
      <c r="P5">
        <v>12</v>
      </c>
      <c r="Q5">
        <v>6.1769166666666671</v>
      </c>
    </row>
    <row r="6" spans="1:17" x14ac:dyDescent="0.3">
      <c r="A6" s="55">
        <v>46168</v>
      </c>
      <c r="B6" s="52">
        <v>2</v>
      </c>
      <c r="C6" s="52">
        <v>2.375</v>
      </c>
      <c r="O6" s="10" t="s">
        <v>58</v>
      </c>
      <c r="P6">
        <v>12</v>
      </c>
      <c r="Q6">
        <v>7.8098349673202616</v>
      </c>
    </row>
    <row r="7" spans="1:17" x14ac:dyDescent="0.3">
      <c r="A7" s="55">
        <v>46169</v>
      </c>
      <c r="B7" s="52">
        <v>2</v>
      </c>
      <c r="C7" s="52">
        <v>1.83125</v>
      </c>
      <c r="O7" s="10" t="s">
        <v>62</v>
      </c>
      <c r="P7">
        <v>12</v>
      </c>
      <c r="Q7">
        <v>13.446791486291486</v>
      </c>
    </row>
    <row r="8" spans="1:17" x14ac:dyDescent="0.3">
      <c r="A8" s="55">
        <v>46170</v>
      </c>
      <c r="B8" s="52">
        <v>2</v>
      </c>
      <c r="C8" s="52">
        <v>2.2142500000000003</v>
      </c>
      <c r="O8" s="10" t="s">
        <v>3465</v>
      </c>
    </row>
    <row r="9" spans="1:17" x14ac:dyDescent="0.3">
      <c r="A9" s="55">
        <v>46171</v>
      </c>
      <c r="B9" s="52">
        <v>2</v>
      </c>
      <c r="C9" s="52">
        <v>2.0195454545454545</v>
      </c>
      <c r="O9" s="10" t="s">
        <v>3463</v>
      </c>
      <c r="P9">
        <v>48</v>
      </c>
      <c r="Q9">
        <v>35.931320898056192</v>
      </c>
    </row>
    <row r="10" spans="1:17" x14ac:dyDescent="0.3">
      <c r="A10" s="55">
        <v>46172</v>
      </c>
      <c r="B10" s="52">
        <v>2</v>
      </c>
      <c r="C10" s="52">
        <v>1.7595238095238097</v>
      </c>
    </row>
    <row r="11" spans="1:17" x14ac:dyDescent="0.3">
      <c r="A11" s="10" t="s">
        <v>3463</v>
      </c>
      <c r="B11" s="52">
        <v>12</v>
      </c>
      <c r="C11" s="52">
        <v>13.446791486291486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6C88-5924-4C13-9599-EB7CAD1F9CD7}">
  <dimension ref="F3:K6"/>
  <sheetViews>
    <sheetView workbookViewId="0">
      <selection activeCell="D27" sqref="D27"/>
    </sheetView>
  </sheetViews>
  <sheetFormatPr defaultRowHeight="13.8" x14ac:dyDescent="0.3"/>
  <cols>
    <col min="6" max="6" width="9.88671875" style="17" bestFit="1" customWidth="1"/>
    <col min="7" max="7" width="9" style="17" bestFit="1" customWidth="1"/>
    <col min="8" max="8" width="9.6640625" style="17" bestFit="1" customWidth="1"/>
    <col min="9" max="9" width="7.5546875" style="17" bestFit="1" customWidth="1"/>
    <col min="10" max="10" width="11.6640625" style="17" bestFit="1" customWidth="1"/>
    <col min="11" max="11" width="10.33203125" customWidth="1"/>
  </cols>
  <sheetData>
    <row r="3" spans="6:11" x14ac:dyDescent="0.3">
      <c r="F3" s="17" t="s">
        <v>3466</v>
      </c>
      <c r="G3" s="17" t="s">
        <v>3467</v>
      </c>
      <c r="H3" s="17" t="s">
        <v>3468</v>
      </c>
      <c r="I3" s="17" t="s">
        <v>3469</v>
      </c>
      <c r="J3" s="17" t="s">
        <v>3470</v>
      </c>
      <c r="K3" s="17" t="s">
        <v>3471</v>
      </c>
    </row>
    <row r="4" spans="6:11" x14ac:dyDescent="0.3">
      <c r="F4" s="17">
        <v>99</v>
      </c>
      <c r="G4" s="17">
        <v>101</v>
      </c>
      <c r="H4" s="17">
        <v>96</v>
      </c>
      <c r="I4" s="17">
        <v>97</v>
      </c>
      <c r="J4" s="17" t="s">
        <v>3472</v>
      </c>
    </row>
    <row r="5" spans="6:11" x14ac:dyDescent="0.3">
      <c r="F5" s="17">
        <v>116</v>
      </c>
      <c r="H5" s="17">
        <v>110</v>
      </c>
      <c r="J5" s="17" t="s">
        <v>3473</v>
      </c>
    </row>
    <row r="6" spans="6:11" x14ac:dyDescent="0.3">
      <c r="F6" s="17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853F-FBB5-4FF9-8DDE-DF9D0C3FE7D6}">
  <dimension ref="A1:Q67"/>
  <sheetViews>
    <sheetView showGridLines="0" topLeftCell="A45" workbookViewId="0">
      <selection activeCell="D27" sqref="D27"/>
    </sheetView>
  </sheetViews>
  <sheetFormatPr defaultRowHeight="13.8" x14ac:dyDescent="0.3"/>
  <cols>
    <col min="1" max="1" width="23.109375" customWidth="1"/>
    <col min="2" max="4" width="12.33203125" customWidth="1"/>
    <col min="5" max="5" width="14.33203125" customWidth="1"/>
    <col min="6" max="6" width="19.44140625" style="24" customWidth="1"/>
    <col min="8" max="8" width="20.6640625" customWidth="1"/>
    <col min="9" max="13" width="9.5546875" customWidth="1"/>
    <col min="15" max="15" width="10.5546875" bestFit="1" customWidth="1"/>
    <col min="16" max="16" width="11.6640625" customWidth="1"/>
    <col min="17" max="17" width="10.109375" customWidth="1"/>
  </cols>
  <sheetData>
    <row r="1" spans="1:17" ht="18" x14ac:dyDescent="0.35">
      <c r="A1" s="30"/>
    </row>
    <row r="2" spans="1:17" ht="18" x14ac:dyDescent="0.35">
      <c r="A2" s="30"/>
      <c r="O2" s="33" t="s">
        <v>3474</v>
      </c>
    </row>
    <row r="3" spans="1:17" x14ac:dyDescent="0.3">
      <c r="A3" s="25" t="s">
        <v>7</v>
      </c>
      <c r="B3" s="25" t="s">
        <v>3475</v>
      </c>
      <c r="C3" s="25" t="s">
        <v>3476</v>
      </c>
      <c r="D3" s="25" t="s">
        <v>3477</v>
      </c>
      <c r="E3" s="25" t="s">
        <v>3478</v>
      </c>
      <c r="F3" s="25" t="s">
        <v>3479</v>
      </c>
      <c r="H3" s="22" t="s">
        <v>3479</v>
      </c>
      <c r="I3" s="22" t="s">
        <v>3475</v>
      </c>
      <c r="J3" s="22" t="s">
        <v>3476</v>
      </c>
      <c r="K3" s="22" t="s">
        <v>3478</v>
      </c>
      <c r="L3" s="22" t="s">
        <v>3480</v>
      </c>
      <c r="M3" s="25" t="s">
        <v>3481</v>
      </c>
      <c r="O3" s="25" t="s">
        <v>7</v>
      </c>
      <c r="P3" s="25" t="s">
        <v>3478</v>
      </c>
      <c r="Q3" s="25" t="s">
        <v>14</v>
      </c>
    </row>
    <row r="4" spans="1:17" x14ac:dyDescent="0.3">
      <c r="A4" s="32">
        <v>46137</v>
      </c>
      <c r="B4" s="21">
        <v>716980</v>
      </c>
      <c r="C4" s="21">
        <v>716760</v>
      </c>
      <c r="D4" s="21" t="str">
        <f>MID(C4,1,3)</f>
        <v>716</v>
      </c>
      <c r="E4" s="19">
        <f>B4-C4</f>
        <v>220</v>
      </c>
      <c r="F4" s="24" t="s">
        <v>3482</v>
      </c>
      <c r="H4" s="28" t="s">
        <v>3482</v>
      </c>
      <c r="I4" s="20">
        <v>701000</v>
      </c>
      <c r="J4" s="20">
        <v>716980</v>
      </c>
      <c r="K4" s="20">
        <f>J4-I4</f>
        <v>15980</v>
      </c>
      <c r="L4" s="19">
        <f>SUMIFS($E$4:$E$20,$F$4:$F$20,H4)</f>
        <v>2660</v>
      </c>
      <c r="M4" s="29">
        <f>K4-L4</f>
        <v>13320</v>
      </c>
      <c r="O4" s="32">
        <v>46137</v>
      </c>
      <c r="P4">
        <f t="shared" ref="P4:P20" si="0">SUMIFS($E$14:$E$20,$A$14:$A$20,O4)+SUMIFS($E$4:$E$13,$A$4:$A$13,O4)</f>
        <v>220</v>
      </c>
      <c r="Q4" s="31">
        <f>5000/6</f>
        <v>833.33333333333337</v>
      </c>
    </row>
    <row r="5" spans="1:17" x14ac:dyDescent="0.3">
      <c r="A5" s="32">
        <v>46139</v>
      </c>
      <c r="B5" s="21">
        <v>716760</v>
      </c>
      <c r="C5" s="21">
        <v>716440</v>
      </c>
      <c r="D5" s="21" t="str">
        <f t="shared" ref="D5:D13" si="1">MID(C5,1,3)</f>
        <v>716</v>
      </c>
      <c r="E5" s="19">
        <f t="shared" ref="E5:E13" si="2">B5-C5</f>
        <v>320</v>
      </c>
      <c r="F5" s="24" t="s">
        <v>3482</v>
      </c>
      <c r="H5" s="28" t="s">
        <v>3483</v>
      </c>
      <c r="I5" s="20">
        <v>701000</v>
      </c>
      <c r="J5" s="20">
        <v>716980</v>
      </c>
      <c r="K5" s="20">
        <f>J5-I5</f>
        <v>15980</v>
      </c>
      <c r="L5" s="19">
        <f>SUMIFS($E$4:$E$20,$F$4:$F$20,H5)</f>
        <v>2400</v>
      </c>
      <c r="M5" s="29">
        <f>K5-L5</f>
        <v>13580</v>
      </c>
      <c r="O5" s="32">
        <v>46138</v>
      </c>
      <c r="P5">
        <f t="shared" si="0"/>
        <v>0</v>
      </c>
      <c r="Q5" s="31">
        <f t="shared" ref="Q5:Q20" si="3">5000/6</f>
        <v>833.33333333333337</v>
      </c>
    </row>
    <row r="6" spans="1:17" x14ac:dyDescent="0.3">
      <c r="A6" s="32">
        <v>46139</v>
      </c>
      <c r="B6" s="21">
        <v>715640</v>
      </c>
      <c r="C6" s="21">
        <v>715380</v>
      </c>
      <c r="D6" s="21" t="str">
        <f t="shared" si="1"/>
        <v>715</v>
      </c>
      <c r="E6" s="19">
        <f t="shared" si="2"/>
        <v>260</v>
      </c>
      <c r="F6" s="24" t="s">
        <v>3482</v>
      </c>
      <c r="H6" s="28" t="s">
        <v>3484</v>
      </c>
      <c r="I6" s="20">
        <v>701000</v>
      </c>
      <c r="J6" s="20">
        <v>716980</v>
      </c>
      <c r="K6" s="20">
        <f>J6-I6</f>
        <v>15980</v>
      </c>
      <c r="L6" s="19">
        <f>SUMIFS($E$4:$E$125,$F$4:$F$125,H6)</f>
        <v>3900</v>
      </c>
      <c r="M6" s="29">
        <f>K6-L6</f>
        <v>12080</v>
      </c>
      <c r="O6" s="32">
        <v>46139</v>
      </c>
      <c r="P6">
        <f t="shared" si="0"/>
        <v>580</v>
      </c>
      <c r="Q6" s="31">
        <f t="shared" si="3"/>
        <v>833.33333333333337</v>
      </c>
    </row>
    <row r="7" spans="1:17" x14ac:dyDescent="0.3">
      <c r="A7" s="32">
        <v>46141</v>
      </c>
      <c r="B7" s="21">
        <v>715380</v>
      </c>
      <c r="C7" s="21">
        <v>715080</v>
      </c>
      <c r="D7" s="21" t="str">
        <f t="shared" si="1"/>
        <v>715</v>
      </c>
      <c r="E7" s="19">
        <f t="shared" si="2"/>
        <v>300</v>
      </c>
      <c r="F7" s="24" t="s">
        <v>3482</v>
      </c>
      <c r="H7" s="28" t="s">
        <v>3485</v>
      </c>
      <c r="I7" s="20">
        <v>701000</v>
      </c>
      <c r="J7" s="20">
        <v>716980</v>
      </c>
      <c r="K7" s="20">
        <f>J7-I7</f>
        <v>15980</v>
      </c>
      <c r="L7" s="19">
        <f>SUMIFS($E$4:$E$125,$F$4:$F$125,H7)</f>
        <v>3940</v>
      </c>
      <c r="M7" s="29">
        <f>K7-L7</f>
        <v>12040</v>
      </c>
      <c r="O7" s="32">
        <v>46140</v>
      </c>
      <c r="P7">
        <f t="shared" si="0"/>
        <v>0</v>
      </c>
      <c r="Q7" s="31">
        <f t="shared" si="3"/>
        <v>833.33333333333337</v>
      </c>
    </row>
    <row r="8" spans="1:17" x14ac:dyDescent="0.3">
      <c r="A8" s="32">
        <v>46142</v>
      </c>
      <c r="B8" s="21">
        <v>716440</v>
      </c>
      <c r="C8" s="21">
        <v>716120</v>
      </c>
      <c r="D8" s="21" t="str">
        <f t="shared" si="1"/>
        <v>716</v>
      </c>
      <c r="E8" s="19">
        <f t="shared" si="2"/>
        <v>320</v>
      </c>
      <c r="F8" s="24" t="s">
        <v>3482</v>
      </c>
      <c r="O8" s="32">
        <v>46141</v>
      </c>
      <c r="P8">
        <f t="shared" si="0"/>
        <v>300</v>
      </c>
      <c r="Q8" s="31">
        <f t="shared" si="3"/>
        <v>833.33333333333337</v>
      </c>
    </row>
    <row r="9" spans="1:17" x14ac:dyDescent="0.3">
      <c r="A9" s="32">
        <v>46142</v>
      </c>
      <c r="B9" s="21">
        <v>715840</v>
      </c>
      <c r="C9" s="21">
        <v>715640</v>
      </c>
      <c r="D9" s="21" t="str">
        <f t="shared" si="1"/>
        <v>715</v>
      </c>
      <c r="E9" s="19">
        <f t="shared" si="2"/>
        <v>200</v>
      </c>
      <c r="F9" s="24" t="s">
        <v>3482</v>
      </c>
      <c r="O9" s="32">
        <v>46142</v>
      </c>
      <c r="P9">
        <f t="shared" si="0"/>
        <v>520</v>
      </c>
      <c r="Q9" s="31">
        <f t="shared" si="3"/>
        <v>833.33333333333337</v>
      </c>
    </row>
    <row r="10" spans="1:17" x14ac:dyDescent="0.3">
      <c r="A10" s="32">
        <v>46148</v>
      </c>
      <c r="B10" s="21">
        <v>714240</v>
      </c>
      <c r="C10" s="21">
        <v>714040</v>
      </c>
      <c r="D10" s="21" t="str">
        <f t="shared" si="1"/>
        <v>714</v>
      </c>
      <c r="E10" s="19">
        <f t="shared" si="2"/>
        <v>200</v>
      </c>
      <c r="F10" s="24" t="s">
        <v>3482</v>
      </c>
      <c r="O10" s="32">
        <v>46143</v>
      </c>
      <c r="P10">
        <f t="shared" si="0"/>
        <v>0</v>
      </c>
      <c r="Q10" s="31">
        <f t="shared" si="3"/>
        <v>833.33333333333337</v>
      </c>
    </row>
    <row r="11" spans="1:17" x14ac:dyDescent="0.3">
      <c r="A11" s="32">
        <v>46149</v>
      </c>
      <c r="B11" s="21">
        <v>714740</v>
      </c>
      <c r="C11" s="21">
        <v>714300</v>
      </c>
      <c r="D11" s="21" t="str">
        <f t="shared" si="1"/>
        <v>714</v>
      </c>
      <c r="E11" s="19">
        <f t="shared" si="2"/>
        <v>440</v>
      </c>
      <c r="F11" s="24" t="s">
        <v>3482</v>
      </c>
      <c r="M11" s="24"/>
      <c r="O11" s="32">
        <v>46144</v>
      </c>
      <c r="P11">
        <f t="shared" si="0"/>
        <v>240</v>
      </c>
      <c r="Q11" s="31">
        <f t="shared" si="3"/>
        <v>833.33333333333337</v>
      </c>
    </row>
    <row r="12" spans="1:17" x14ac:dyDescent="0.3">
      <c r="A12" s="32">
        <v>46150</v>
      </c>
      <c r="B12" s="21">
        <v>715080</v>
      </c>
      <c r="C12" s="21">
        <v>714740</v>
      </c>
      <c r="D12" s="21" t="str">
        <f t="shared" si="1"/>
        <v>714</v>
      </c>
      <c r="E12" s="19">
        <f t="shared" si="2"/>
        <v>340</v>
      </c>
      <c r="F12" s="24" t="s">
        <v>3482</v>
      </c>
      <c r="O12" s="32">
        <v>46145</v>
      </c>
      <c r="P12">
        <f t="shared" si="0"/>
        <v>0</v>
      </c>
      <c r="Q12" s="31">
        <f t="shared" si="3"/>
        <v>833.33333333333337</v>
      </c>
    </row>
    <row r="13" spans="1:17" x14ac:dyDescent="0.3">
      <c r="A13" s="32">
        <v>46150</v>
      </c>
      <c r="B13" s="21">
        <v>714300</v>
      </c>
      <c r="C13" s="21">
        <v>714240</v>
      </c>
      <c r="D13" s="21" t="str">
        <f t="shared" si="1"/>
        <v>714</v>
      </c>
      <c r="E13" s="19">
        <f t="shared" si="2"/>
        <v>60</v>
      </c>
      <c r="F13" s="24" t="s">
        <v>3482</v>
      </c>
      <c r="O13" s="32">
        <v>46146</v>
      </c>
      <c r="P13">
        <f t="shared" si="0"/>
        <v>0</v>
      </c>
      <c r="Q13" s="31">
        <f t="shared" si="3"/>
        <v>833.33333333333337</v>
      </c>
    </row>
    <row r="14" spans="1:17" x14ac:dyDescent="0.3">
      <c r="A14" s="32">
        <v>46144</v>
      </c>
      <c r="B14" s="27">
        <v>717000</v>
      </c>
      <c r="C14" s="27">
        <v>716760</v>
      </c>
      <c r="D14" s="21" t="str">
        <f t="shared" ref="D14:D21" si="4">MID(C14,1,3)</f>
        <v>716</v>
      </c>
      <c r="E14" s="19">
        <f t="shared" ref="E14:E20" si="5">B14-C14</f>
        <v>240</v>
      </c>
      <c r="F14" s="24" t="s">
        <v>3483</v>
      </c>
      <c r="H14" s="28"/>
      <c r="I14" s="28"/>
      <c r="J14" s="28"/>
      <c r="K14" s="22"/>
      <c r="L14" s="23"/>
      <c r="O14" s="32">
        <v>46147</v>
      </c>
      <c r="P14">
        <f t="shared" si="0"/>
        <v>1060</v>
      </c>
      <c r="Q14" s="31">
        <f t="shared" si="3"/>
        <v>833.33333333333337</v>
      </c>
    </row>
    <row r="15" spans="1:17" x14ac:dyDescent="0.3">
      <c r="A15" s="32">
        <v>46147</v>
      </c>
      <c r="B15" s="27">
        <v>716760</v>
      </c>
      <c r="C15" s="27">
        <v>716300</v>
      </c>
      <c r="D15" s="21" t="str">
        <f t="shared" si="4"/>
        <v>716</v>
      </c>
      <c r="E15" s="19">
        <f t="shared" si="5"/>
        <v>460</v>
      </c>
      <c r="F15" s="24" t="s">
        <v>3483</v>
      </c>
      <c r="O15" s="32">
        <v>46148</v>
      </c>
      <c r="P15">
        <f t="shared" si="0"/>
        <v>500</v>
      </c>
      <c r="Q15" s="31">
        <f t="shared" si="3"/>
        <v>833.33333333333337</v>
      </c>
    </row>
    <row r="16" spans="1:17" x14ac:dyDescent="0.3">
      <c r="A16" s="32">
        <v>46147</v>
      </c>
      <c r="B16" s="27">
        <v>716300</v>
      </c>
      <c r="C16" s="27">
        <v>716140</v>
      </c>
      <c r="D16" s="21" t="str">
        <f t="shared" si="4"/>
        <v>716</v>
      </c>
      <c r="E16" s="19">
        <f t="shared" si="5"/>
        <v>160</v>
      </c>
      <c r="F16" s="24" t="s">
        <v>3483</v>
      </c>
      <c r="O16" s="32">
        <v>46149</v>
      </c>
      <c r="P16">
        <f t="shared" si="0"/>
        <v>440</v>
      </c>
      <c r="Q16" s="31">
        <f t="shared" si="3"/>
        <v>833.33333333333337</v>
      </c>
    </row>
    <row r="17" spans="1:17" x14ac:dyDescent="0.3">
      <c r="A17" s="32">
        <v>46147</v>
      </c>
      <c r="B17" s="27">
        <v>715840</v>
      </c>
      <c r="C17" s="27">
        <v>715400</v>
      </c>
      <c r="D17" s="21" t="str">
        <f t="shared" si="4"/>
        <v>715</v>
      </c>
      <c r="E17" s="19">
        <f t="shared" si="5"/>
        <v>440</v>
      </c>
      <c r="F17" s="24" t="s">
        <v>3483</v>
      </c>
      <c r="O17" s="32">
        <v>46150</v>
      </c>
      <c r="P17">
        <f t="shared" si="0"/>
        <v>400</v>
      </c>
      <c r="Q17" s="31">
        <f t="shared" si="3"/>
        <v>833.33333333333337</v>
      </c>
    </row>
    <row r="18" spans="1:17" x14ac:dyDescent="0.3">
      <c r="A18" s="32">
        <v>46148</v>
      </c>
      <c r="B18" s="27">
        <v>715400</v>
      </c>
      <c r="C18" s="27">
        <v>715100</v>
      </c>
      <c r="D18" s="21" t="str">
        <f t="shared" si="4"/>
        <v>715</v>
      </c>
      <c r="E18" s="19">
        <f t="shared" si="5"/>
        <v>300</v>
      </c>
      <c r="F18" s="24" t="s">
        <v>3483</v>
      </c>
      <c r="O18" s="32">
        <v>46151</v>
      </c>
      <c r="P18">
        <f t="shared" si="0"/>
        <v>400</v>
      </c>
      <c r="Q18" s="31">
        <f t="shared" si="3"/>
        <v>833.33333333333337</v>
      </c>
    </row>
    <row r="19" spans="1:17" x14ac:dyDescent="0.3">
      <c r="A19" s="32">
        <v>46151</v>
      </c>
      <c r="B19" s="27">
        <v>714440</v>
      </c>
      <c r="C19" s="27">
        <v>714040</v>
      </c>
      <c r="D19" s="21" t="str">
        <f t="shared" si="4"/>
        <v>714</v>
      </c>
      <c r="E19" s="19">
        <f t="shared" si="5"/>
        <v>400</v>
      </c>
      <c r="F19" s="24" t="s">
        <v>3483</v>
      </c>
      <c r="O19" s="32">
        <v>46152</v>
      </c>
      <c r="P19">
        <f t="shared" si="0"/>
        <v>0</v>
      </c>
      <c r="Q19" s="31">
        <f t="shared" si="3"/>
        <v>833.33333333333337</v>
      </c>
    </row>
    <row r="20" spans="1:17" x14ac:dyDescent="0.3">
      <c r="A20" s="32">
        <v>46153</v>
      </c>
      <c r="B20" s="27">
        <v>714840</v>
      </c>
      <c r="C20" s="27">
        <v>714440</v>
      </c>
      <c r="D20" s="21" t="str">
        <f t="shared" si="4"/>
        <v>714</v>
      </c>
      <c r="E20" s="19">
        <f t="shared" si="5"/>
        <v>400</v>
      </c>
      <c r="F20" s="24" t="s">
        <v>3483</v>
      </c>
      <c r="O20" s="32">
        <v>46153</v>
      </c>
      <c r="P20">
        <f t="shared" si="0"/>
        <v>400</v>
      </c>
      <c r="Q20" s="31">
        <f t="shared" si="3"/>
        <v>833.33333333333337</v>
      </c>
    </row>
    <row r="21" spans="1:17" x14ac:dyDescent="0.3">
      <c r="A21" s="32">
        <v>46127</v>
      </c>
      <c r="B21" s="27">
        <v>716980</v>
      </c>
      <c r="C21" s="27">
        <v>716640</v>
      </c>
      <c r="D21" s="24" t="str">
        <f t="shared" si="4"/>
        <v>716</v>
      </c>
      <c r="E21" s="19">
        <f t="shared" ref="E21:E49" si="6">B21-C21</f>
        <v>340</v>
      </c>
      <c r="F21" t="s">
        <v>3484</v>
      </c>
    </row>
    <row r="22" spans="1:17" x14ac:dyDescent="0.3">
      <c r="A22" s="32">
        <v>46128</v>
      </c>
      <c r="B22" s="27">
        <v>716640</v>
      </c>
      <c r="C22" s="27">
        <v>716420</v>
      </c>
      <c r="D22" s="24" t="str">
        <f t="shared" ref="D22:D49" si="7">MID(C22,1,3)</f>
        <v>716</v>
      </c>
      <c r="E22" s="19">
        <f t="shared" si="6"/>
        <v>220</v>
      </c>
      <c r="F22" t="s">
        <v>3484</v>
      </c>
    </row>
    <row r="23" spans="1:17" x14ac:dyDescent="0.3">
      <c r="A23" s="32">
        <v>46128</v>
      </c>
      <c r="B23" s="27">
        <v>715660</v>
      </c>
      <c r="C23" s="27">
        <v>715360</v>
      </c>
      <c r="D23" s="24" t="str">
        <f t="shared" si="7"/>
        <v>715</v>
      </c>
      <c r="E23" s="19">
        <f t="shared" si="6"/>
        <v>300</v>
      </c>
      <c r="F23" t="s">
        <v>3484</v>
      </c>
    </row>
    <row r="24" spans="1:17" x14ac:dyDescent="0.3">
      <c r="A24" s="32">
        <v>46139</v>
      </c>
      <c r="B24" s="27">
        <v>716420</v>
      </c>
      <c r="C24" s="27">
        <v>716120</v>
      </c>
      <c r="D24" s="24" t="str">
        <f t="shared" si="7"/>
        <v>716</v>
      </c>
      <c r="E24" s="19">
        <f t="shared" si="6"/>
        <v>300</v>
      </c>
      <c r="F24" t="s">
        <v>3484</v>
      </c>
    </row>
    <row r="25" spans="1:17" x14ac:dyDescent="0.3">
      <c r="A25" s="32">
        <v>46139</v>
      </c>
      <c r="B25" s="27">
        <v>715360</v>
      </c>
      <c r="C25" s="27">
        <v>715040</v>
      </c>
      <c r="D25" s="24" t="str">
        <f t="shared" si="7"/>
        <v>715</v>
      </c>
      <c r="E25" s="19">
        <f t="shared" si="6"/>
        <v>320</v>
      </c>
      <c r="F25" t="s">
        <v>3484</v>
      </c>
    </row>
    <row r="26" spans="1:17" x14ac:dyDescent="0.3">
      <c r="A26" s="32">
        <v>46141</v>
      </c>
      <c r="B26" s="27">
        <v>707600</v>
      </c>
      <c r="C26" s="27">
        <v>707220</v>
      </c>
      <c r="D26" s="24" t="str">
        <f t="shared" si="7"/>
        <v>707</v>
      </c>
      <c r="E26" s="19">
        <f t="shared" si="6"/>
        <v>380</v>
      </c>
      <c r="F26" t="s">
        <v>3484</v>
      </c>
    </row>
    <row r="27" spans="1:17" x14ac:dyDescent="0.3">
      <c r="A27" s="32">
        <v>46142</v>
      </c>
      <c r="B27" s="27">
        <v>714240</v>
      </c>
      <c r="C27" s="27">
        <v>714040</v>
      </c>
      <c r="D27" s="24" t="str">
        <f t="shared" si="7"/>
        <v>714</v>
      </c>
      <c r="E27" s="19">
        <f t="shared" si="6"/>
        <v>200</v>
      </c>
      <c r="F27" t="s">
        <v>3484</v>
      </c>
    </row>
    <row r="28" spans="1:17" x14ac:dyDescent="0.3">
      <c r="A28" s="32">
        <v>46142</v>
      </c>
      <c r="B28" s="27">
        <v>712700</v>
      </c>
      <c r="C28" s="27">
        <v>712220</v>
      </c>
      <c r="D28" s="24" t="str">
        <f t="shared" si="7"/>
        <v>712</v>
      </c>
      <c r="E28" s="19">
        <f t="shared" si="6"/>
        <v>480</v>
      </c>
      <c r="F28" t="s">
        <v>3484</v>
      </c>
    </row>
    <row r="29" spans="1:17" x14ac:dyDescent="0.3">
      <c r="A29" s="32">
        <v>46142</v>
      </c>
      <c r="B29" s="27">
        <v>708220</v>
      </c>
      <c r="C29" s="27">
        <v>708000</v>
      </c>
      <c r="D29" s="24" t="str">
        <f t="shared" si="7"/>
        <v>708</v>
      </c>
      <c r="E29" s="19">
        <f t="shared" si="6"/>
        <v>220</v>
      </c>
      <c r="F29" t="s">
        <v>3484</v>
      </c>
    </row>
    <row r="30" spans="1:17" x14ac:dyDescent="0.3">
      <c r="A30" s="32">
        <v>46142</v>
      </c>
      <c r="B30" s="27">
        <v>708000</v>
      </c>
      <c r="C30" s="27">
        <v>707860</v>
      </c>
      <c r="D30" s="24" t="str">
        <f t="shared" si="7"/>
        <v>707</v>
      </c>
      <c r="E30" s="19">
        <f t="shared" si="6"/>
        <v>140</v>
      </c>
      <c r="F30" t="s">
        <v>3484</v>
      </c>
    </row>
    <row r="31" spans="1:17" x14ac:dyDescent="0.3">
      <c r="A31" s="32">
        <v>46142</v>
      </c>
      <c r="B31" s="27">
        <v>707860</v>
      </c>
      <c r="C31" s="27">
        <v>707600</v>
      </c>
      <c r="D31" s="24" t="str">
        <f t="shared" si="7"/>
        <v>707</v>
      </c>
      <c r="E31" s="19">
        <f t="shared" si="6"/>
        <v>260</v>
      </c>
      <c r="F31" t="s">
        <v>3484</v>
      </c>
    </row>
    <row r="32" spans="1:17" x14ac:dyDescent="0.3">
      <c r="A32" s="32">
        <v>46146</v>
      </c>
      <c r="B32" s="27">
        <v>714660</v>
      </c>
      <c r="C32" s="27">
        <v>714300</v>
      </c>
      <c r="D32" s="24" t="str">
        <f t="shared" si="7"/>
        <v>714</v>
      </c>
      <c r="E32" s="19">
        <f t="shared" si="6"/>
        <v>360</v>
      </c>
      <c r="F32" t="s">
        <v>3484</v>
      </c>
    </row>
    <row r="33" spans="1:10" x14ac:dyDescent="0.3">
      <c r="A33" s="32">
        <v>46148</v>
      </c>
      <c r="B33" s="27">
        <v>713080</v>
      </c>
      <c r="C33" s="27">
        <v>712700</v>
      </c>
      <c r="D33" s="24" t="str">
        <f t="shared" si="7"/>
        <v>712</v>
      </c>
      <c r="E33" s="19">
        <f t="shared" si="6"/>
        <v>380</v>
      </c>
      <c r="F33" t="s">
        <v>3484</v>
      </c>
    </row>
    <row r="34" spans="1:10" x14ac:dyDescent="0.3">
      <c r="A34" s="32">
        <v>46123</v>
      </c>
      <c r="B34" s="27">
        <v>715360</v>
      </c>
      <c r="C34" s="27">
        <v>715040</v>
      </c>
      <c r="D34" s="24" t="str">
        <f t="shared" si="7"/>
        <v>715</v>
      </c>
      <c r="E34" s="19">
        <f t="shared" si="6"/>
        <v>320</v>
      </c>
      <c r="F34" s="24" t="s">
        <v>3485</v>
      </c>
    </row>
    <row r="35" spans="1:10" x14ac:dyDescent="0.3">
      <c r="A35" s="32">
        <v>46127</v>
      </c>
      <c r="B35" s="27">
        <v>716400</v>
      </c>
      <c r="C35" s="27">
        <v>716120</v>
      </c>
      <c r="D35" s="24" t="str">
        <f t="shared" si="7"/>
        <v>716</v>
      </c>
      <c r="E35" s="19">
        <f t="shared" si="6"/>
        <v>280</v>
      </c>
      <c r="F35" s="24" t="s">
        <v>3485</v>
      </c>
      <c r="I35" s="26"/>
      <c r="J35" s="26"/>
    </row>
    <row r="36" spans="1:10" x14ac:dyDescent="0.3">
      <c r="A36" s="32">
        <v>46127</v>
      </c>
      <c r="B36" s="27">
        <v>714980</v>
      </c>
      <c r="C36" s="27">
        <v>714700</v>
      </c>
      <c r="D36" s="24" t="str">
        <f t="shared" si="7"/>
        <v>714</v>
      </c>
      <c r="E36" s="19">
        <f t="shared" si="6"/>
        <v>280</v>
      </c>
      <c r="F36" s="24" t="s">
        <v>3485</v>
      </c>
    </row>
    <row r="37" spans="1:10" x14ac:dyDescent="0.3">
      <c r="A37" s="32">
        <v>46128</v>
      </c>
      <c r="B37" s="27">
        <v>715900</v>
      </c>
      <c r="C37" s="27">
        <v>715660</v>
      </c>
      <c r="D37" s="24" t="str">
        <f t="shared" si="7"/>
        <v>715</v>
      </c>
      <c r="E37" s="19">
        <f t="shared" si="6"/>
        <v>240</v>
      </c>
      <c r="F37" s="24" t="s">
        <v>3485</v>
      </c>
    </row>
    <row r="38" spans="1:10" x14ac:dyDescent="0.3">
      <c r="A38" s="32">
        <v>46128</v>
      </c>
      <c r="B38" s="27">
        <v>714700</v>
      </c>
      <c r="C38" s="27">
        <v>714500</v>
      </c>
      <c r="D38" s="24" t="str">
        <f t="shared" si="7"/>
        <v>714</v>
      </c>
      <c r="E38" s="19">
        <f t="shared" si="6"/>
        <v>200</v>
      </c>
      <c r="F38" s="24" t="s">
        <v>3485</v>
      </c>
    </row>
    <row r="39" spans="1:10" x14ac:dyDescent="0.3">
      <c r="A39" s="32">
        <v>46128</v>
      </c>
      <c r="B39" s="27">
        <v>714500</v>
      </c>
      <c r="C39" s="27">
        <v>714300</v>
      </c>
      <c r="D39" s="24" t="str">
        <f t="shared" si="7"/>
        <v>714</v>
      </c>
      <c r="E39" s="19">
        <f t="shared" si="6"/>
        <v>200</v>
      </c>
      <c r="F39" s="24" t="s">
        <v>3485</v>
      </c>
    </row>
    <row r="40" spans="1:10" x14ac:dyDescent="0.3">
      <c r="A40" s="32">
        <v>46130</v>
      </c>
      <c r="B40" s="27">
        <v>714240</v>
      </c>
      <c r="C40" s="27">
        <v>714040</v>
      </c>
      <c r="D40" s="24" t="str">
        <f t="shared" si="7"/>
        <v>714</v>
      </c>
      <c r="E40" s="19">
        <f t="shared" si="6"/>
        <v>200</v>
      </c>
      <c r="F40" s="24" t="s">
        <v>3485</v>
      </c>
    </row>
    <row r="41" spans="1:10" x14ac:dyDescent="0.3">
      <c r="A41" s="32">
        <v>46142</v>
      </c>
      <c r="B41" s="27">
        <v>713080</v>
      </c>
      <c r="C41" s="27">
        <v>712700</v>
      </c>
      <c r="D41" s="24" t="str">
        <f t="shared" si="7"/>
        <v>712</v>
      </c>
      <c r="E41" s="19">
        <f t="shared" si="6"/>
        <v>380</v>
      </c>
      <c r="F41" s="24" t="s">
        <v>3485</v>
      </c>
    </row>
    <row r="42" spans="1:10" x14ac:dyDescent="0.3">
      <c r="A42" s="32">
        <v>46144</v>
      </c>
      <c r="B42" s="27">
        <v>713940</v>
      </c>
      <c r="C42" s="27">
        <v>713760</v>
      </c>
      <c r="D42" s="24" t="str">
        <f t="shared" si="7"/>
        <v>713</v>
      </c>
      <c r="E42" s="19">
        <f t="shared" si="6"/>
        <v>180</v>
      </c>
      <c r="F42" s="24" t="s">
        <v>3485</v>
      </c>
    </row>
    <row r="43" spans="1:10" x14ac:dyDescent="0.3">
      <c r="A43" s="32">
        <v>46144</v>
      </c>
      <c r="B43" s="27">
        <v>708700</v>
      </c>
      <c r="C43" s="27">
        <v>708220</v>
      </c>
      <c r="D43" s="24" t="str">
        <f t="shared" si="7"/>
        <v>708</v>
      </c>
      <c r="E43" s="19">
        <f t="shared" si="6"/>
        <v>480</v>
      </c>
      <c r="F43" s="24" t="s">
        <v>3485</v>
      </c>
    </row>
    <row r="44" spans="1:10" x14ac:dyDescent="0.3">
      <c r="A44" s="32">
        <v>46147</v>
      </c>
      <c r="B44" s="27">
        <v>715040</v>
      </c>
      <c r="C44" s="27">
        <v>714880</v>
      </c>
      <c r="D44" s="24" t="str">
        <f t="shared" si="7"/>
        <v>714</v>
      </c>
      <c r="E44" s="19">
        <f t="shared" si="6"/>
        <v>160</v>
      </c>
      <c r="F44" s="24" t="s">
        <v>3485</v>
      </c>
    </row>
    <row r="45" spans="1:10" x14ac:dyDescent="0.3">
      <c r="A45" s="32">
        <v>46147</v>
      </c>
      <c r="B45" s="27">
        <v>714880</v>
      </c>
      <c r="C45" s="27">
        <v>714660</v>
      </c>
      <c r="D45" s="24" t="str">
        <f t="shared" si="7"/>
        <v>714</v>
      </c>
      <c r="E45" s="19">
        <f t="shared" si="6"/>
        <v>220</v>
      </c>
      <c r="F45" s="24" t="s">
        <v>3485</v>
      </c>
    </row>
    <row r="46" spans="1:10" x14ac:dyDescent="0.3">
      <c r="A46" s="32">
        <v>46149</v>
      </c>
      <c r="B46" s="27">
        <v>716120</v>
      </c>
      <c r="C46" s="27">
        <v>715900</v>
      </c>
      <c r="D46" s="24" t="str">
        <f t="shared" si="7"/>
        <v>715</v>
      </c>
      <c r="E46" s="19">
        <f t="shared" si="6"/>
        <v>220</v>
      </c>
      <c r="F46" s="24" t="s">
        <v>3485</v>
      </c>
    </row>
    <row r="47" spans="1:10" x14ac:dyDescent="0.3">
      <c r="A47" s="32">
        <v>46150</v>
      </c>
      <c r="B47" s="27">
        <v>714300</v>
      </c>
      <c r="C47" s="27">
        <v>714240</v>
      </c>
      <c r="D47" s="24" t="str">
        <f t="shared" si="7"/>
        <v>714</v>
      </c>
      <c r="E47" s="19">
        <f t="shared" si="6"/>
        <v>60</v>
      </c>
      <c r="F47" s="24" t="s">
        <v>3485</v>
      </c>
    </row>
    <row r="48" spans="1:10" x14ac:dyDescent="0.3">
      <c r="A48" s="32">
        <v>46153</v>
      </c>
      <c r="B48" s="27">
        <v>709400</v>
      </c>
      <c r="C48" s="27">
        <v>709160</v>
      </c>
      <c r="D48" s="24" t="str">
        <f t="shared" si="7"/>
        <v>709</v>
      </c>
      <c r="E48" s="19">
        <f t="shared" si="6"/>
        <v>240</v>
      </c>
      <c r="F48" s="24" t="s">
        <v>3485</v>
      </c>
    </row>
    <row r="49" spans="1:6" x14ac:dyDescent="0.3">
      <c r="A49" s="32">
        <v>46153</v>
      </c>
      <c r="B49" s="27">
        <v>709680</v>
      </c>
      <c r="C49" s="27">
        <v>709400</v>
      </c>
      <c r="D49" s="24" t="str">
        <f t="shared" si="7"/>
        <v>709</v>
      </c>
      <c r="E49" s="19">
        <f t="shared" si="6"/>
        <v>280</v>
      </c>
      <c r="F49" s="24" t="s">
        <v>3485</v>
      </c>
    </row>
    <row r="50" spans="1:6" x14ac:dyDescent="0.3">
      <c r="A50" s="86" t="s">
        <v>3486</v>
      </c>
      <c r="B50" s="86"/>
      <c r="C50" s="86"/>
      <c r="E50" s="23">
        <f>SUM(E4:E49)</f>
        <v>12900</v>
      </c>
    </row>
    <row r="56" spans="1:6" ht="15.6" x14ac:dyDescent="0.3">
      <c r="A56" s="34" t="s">
        <v>3487</v>
      </c>
    </row>
    <row r="57" spans="1:6" ht="27.6" x14ac:dyDescent="0.3">
      <c r="A57" s="35" t="s">
        <v>3488</v>
      </c>
      <c r="B57" s="36" t="s">
        <v>3489</v>
      </c>
      <c r="C57" s="36" t="s">
        <v>3490</v>
      </c>
      <c r="D57" s="36" t="s">
        <v>3491</v>
      </c>
    </row>
    <row r="58" spans="1:6" x14ac:dyDescent="0.3">
      <c r="A58" s="40" t="s">
        <v>3492</v>
      </c>
      <c r="B58" s="37">
        <v>108384.01</v>
      </c>
      <c r="C58" s="37"/>
      <c r="D58" s="37">
        <v>108384.01</v>
      </c>
    </row>
    <row r="59" spans="1:6" x14ac:dyDescent="0.3">
      <c r="A59" s="40" t="s">
        <v>3493</v>
      </c>
      <c r="B59" s="37">
        <v>226208.87299999999</v>
      </c>
      <c r="C59" s="37"/>
      <c r="D59" s="37">
        <v>226208.87299999999</v>
      </c>
    </row>
    <row r="60" spans="1:6" x14ac:dyDescent="0.3">
      <c r="A60" s="40" t="s">
        <v>3494</v>
      </c>
      <c r="B60" s="37">
        <f>185.64+208.48</f>
        <v>394.12</v>
      </c>
      <c r="C60" s="37"/>
      <c r="D60" s="37">
        <f>185.64+208.48</f>
        <v>394.12</v>
      </c>
    </row>
    <row r="61" spans="1:6" x14ac:dyDescent="0.3">
      <c r="A61" s="40" t="s">
        <v>3495</v>
      </c>
      <c r="B61" s="37">
        <f>418.45+517.43</f>
        <v>935.87999999999988</v>
      </c>
      <c r="C61" s="37"/>
      <c r="D61" s="37">
        <f>418.45+517.43</f>
        <v>935.87999999999988</v>
      </c>
    </row>
    <row r="62" spans="1:6" x14ac:dyDescent="0.3">
      <c r="A62" s="40" t="s">
        <v>3496</v>
      </c>
      <c r="B62" s="37">
        <f>D62-C62</f>
        <v>47761.991999999998</v>
      </c>
      <c r="C62" s="37">
        <f>1848+2540+5985+4155+2397</f>
        <v>16925</v>
      </c>
      <c r="D62" s="37">
        <v>64686.991999999998</v>
      </c>
    </row>
    <row r="63" spans="1:6" x14ac:dyDescent="0.3">
      <c r="A63" s="40" t="s">
        <v>3497</v>
      </c>
      <c r="B63" s="37">
        <v>23784.219000000001</v>
      </c>
      <c r="C63" s="37"/>
      <c r="D63" s="37">
        <v>23784.219000000001</v>
      </c>
    </row>
    <row r="64" spans="1:6" x14ac:dyDescent="0.3">
      <c r="A64" s="40" t="s">
        <v>3498</v>
      </c>
      <c r="B64" s="37">
        <f>D64-C64</f>
        <v>65836.116999999998</v>
      </c>
      <c r="C64" s="37">
        <f>4605+2635+2540+9710</f>
        <v>19490</v>
      </c>
      <c r="D64" s="37">
        <v>85326.116999999998</v>
      </c>
    </row>
    <row r="65" spans="1:4" x14ac:dyDescent="0.3">
      <c r="A65" s="40" t="s">
        <v>3499</v>
      </c>
      <c r="B65" s="37">
        <v>23860.793000000001</v>
      </c>
      <c r="C65" s="37"/>
      <c r="D65" s="37"/>
    </row>
    <row r="66" spans="1:4" x14ac:dyDescent="0.3">
      <c r="A66" s="40" t="s">
        <v>3500</v>
      </c>
      <c r="B66" s="37">
        <v>1344.431</v>
      </c>
      <c r="C66" s="37"/>
      <c r="D66" s="37"/>
    </row>
    <row r="67" spans="1:4" x14ac:dyDescent="0.3">
      <c r="A67" s="38" t="s">
        <v>3486</v>
      </c>
      <c r="B67" s="39">
        <f>SUM(B58:B66)</f>
        <v>498510.435</v>
      </c>
      <c r="C67" s="39">
        <f>SUM(C58:C66)</f>
        <v>36415</v>
      </c>
      <c r="D67" s="39">
        <f>SUM(D58:D66)</f>
        <v>509720.21100000001</v>
      </c>
    </row>
  </sheetData>
  <mergeCells count="1">
    <mergeCell ref="A50:C50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A61B-DD29-49AB-BB5F-0B60048A161C}">
  <dimension ref="B2:L71"/>
  <sheetViews>
    <sheetView topLeftCell="B1" zoomScale="130" zoomScaleNormal="130" workbookViewId="0">
      <selection activeCell="L10" sqref="L10"/>
    </sheetView>
  </sheetViews>
  <sheetFormatPr defaultRowHeight="13.8" x14ac:dyDescent="0.3"/>
  <cols>
    <col min="1" max="1" width="5.44140625" customWidth="1"/>
    <col min="2" max="2" width="10.44140625" style="24" bestFit="1" customWidth="1"/>
    <col min="3" max="3" width="7.109375" style="24" bestFit="1" customWidth="1"/>
    <col min="4" max="4" width="13.109375" style="46" bestFit="1" customWidth="1"/>
    <col min="5" max="5" width="11.44140625" style="46" bestFit="1" customWidth="1"/>
    <col min="6" max="6" width="15" style="46" bestFit="1" customWidth="1"/>
    <col min="7" max="8" width="15" style="46" customWidth="1"/>
    <col min="9" max="9" width="8.109375" style="46" bestFit="1" customWidth="1"/>
    <col min="10" max="10" width="16" style="46" bestFit="1" customWidth="1"/>
    <col min="11" max="11" width="14" style="46" bestFit="1" customWidth="1"/>
    <col min="12" max="12" width="10.44140625" bestFit="1" customWidth="1"/>
  </cols>
  <sheetData>
    <row r="2" spans="2:12" x14ac:dyDescent="0.3">
      <c r="B2" s="47" t="s">
        <v>7</v>
      </c>
      <c r="C2" s="47" t="s">
        <v>8</v>
      </c>
      <c r="D2" s="48" t="s">
        <v>3501</v>
      </c>
      <c r="E2" s="48" t="s">
        <v>3502</v>
      </c>
      <c r="F2" s="48" t="s">
        <v>3503</v>
      </c>
      <c r="G2" s="48" t="s">
        <v>3504</v>
      </c>
      <c r="H2" s="48" t="s">
        <v>3505</v>
      </c>
      <c r="I2" s="48" t="s">
        <v>3506</v>
      </c>
      <c r="J2" s="48" t="s">
        <v>3507</v>
      </c>
      <c r="K2" s="48" t="s">
        <v>3508</v>
      </c>
      <c r="L2" s="48" t="s">
        <v>14</v>
      </c>
    </row>
    <row r="3" spans="2:12" x14ac:dyDescent="0.3">
      <c r="B3" s="49">
        <v>46160</v>
      </c>
      <c r="C3" s="49" t="s">
        <v>58</v>
      </c>
      <c r="D3" s="48">
        <v>4602</v>
      </c>
      <c r="E3" s="48">
        <v>3</v>
      </c>
      <c r="F3" s="48">
        <v>19</v>
      </c>
      <c r="G3" s="48">
        <v>2</v>
      </c>
      <c r="H3" s="48">
        <f>F3-G3</f>
        <v>17</v>
      </c>
      <c r="I3" s="48">
        <f>D3/H3</f>
        <v>270.70588235294116</v>
      </c>
      <c r="J3" s="48">
        <f>I3/25</f>
        <v>10.828235294117647</v>
      </c>
      <c r="K3" s="50">
        <f>J3/8</f>
        <v>1.3535294117647059</v>
      </c>
      <c r="L3" s="50">
        <v>2</v>
      </c>
    </row>
    <row r="4" spans="2:12" x14ac:dyDescent="0.3">
      <c r="B4" s="49">
        <v>46161</v>
      </c>
      <c r="C4" s="49" t="s">
        <v>58</v>
      </c>
      <c r="D4" s="48">
        <v>4601</v>
      </c>
      <c r="E4" s="48">
        <v>3</v>
      </c>
      <c r="F4" s="48">
        <v>20</v>
      </c>
      <c r="G4" s="48">
        <v>2</v>
      </c>
      <c r="H4" s="48">
        <f t="shared" ref="H4:H25" si="0">F4-G4</f>
        <v>18</v>
      </c>
      <c r="I4" s="48">
        <f t="shared" ref="I4:I25" si="1">D4/H4</f>
        <v>255.61111111111111</v>
      </c>
      <c r="J4" s="48">
        <f t="shared" ref="J4:J7" si="2">I4/25</f>
        <v>10.224444444444444</v>
      </c>
      <c r="K4" s="50">
        <f t="shared" ref="K4:K25" si="3">J4/8</f>
        <v>1.2780555555555555</v>
      </c>
      <c r="L4" s="50">
        <v>2</v>
      </c>
    </row>
    <row r="5" spans="2:12" x14ac:dyDescent="0.3">
      <c r="B5" s="49">
        <v>46162</v>
      </c>
      <c r="C5" s="49" t="s">
        <v>58</v>
      </c>
      <c r="D5" s="48">
        <v>3587</v>
      </c>
      <c r="E5" s="48">
        <v>3</v>
      </c>
      <c r="F5" s="48">
        <v>22</v>
      </c>
      <c r="G5" s="48">
        <v>2</v>
      </c>
      <c r="H5" s="48">
        <f t="shared" si="0"/>
        <v>20</v>
      </c>
      <c r="I5" s="48">
        <f t="shared" si="1"/>
        <v>179.35</v>
      </c>
      <c r="J5" s="48">
        <f t="shared" si="2"/>
        <v>7.1739999999999995</v>
      </c>
      <c r="K5" s="50">
        <f t="shared" si="3"/>
        <v>0.89674999999999994</v>
      </c>
      <c r="L5" s="50">
        <v>2</v>
      </c>
    </row>
    <row r="6" spans="2:12" x14ac:dyDescent="0.3">
      <c r="B6" s="49">
        <v>46163</v>
      </c>
      <c r="C6" s="49" t="s">
        <v>58</v>
      </c>
      <c r="D6" s="48">
        <v>3853</v>
      </c>
      <c r="E6" s="48">
        <v>4</v>
      </c>
      <c r="F6" s="48">
        <v>22</v>
      </c>
      <c r="G6" s="48">
        <v>2</v>
      </c>
      <c r="H6" s="48">
        <f t="shared" si="0"/>
        <v>20</v>
      </c>
      <c r="I6" s="48">
        <f t="shared" si="1"/>
        <v>192.65</v>
      </c>
      <c r="J6" s="48">
        <f t="shared" si="2"/>
        <v>7.7060000000000004</v>
      </c>
      <c r="K6" s="50">
        <f t="shared" si="3"/>
        <v>0.96325000000000005</v>
      </c>
      <c r="L6" s="50">
        <v>2</v>
      </c>
    </row>
    <row r="7" spans="2:12" x14ac:dyDescent="0.3">
      <c r="B7" s="49">
        <v>46164</v>
      </c>
      <c r="C7" s="49" t="s">
        <v>58</v>
      </c>
      <c r="D7" s="48">
        <v>6487</v>
      </c>
      <c r="E7" s="48">
        <v>5</v>
      </c>
      <c r="F7" s="48">
        <v>22</v>
      </c>
      <c r="G7" s="48">
        <v>2</v>
      </c>
      <c r="H7" s="48">
        <f t="shared" si="0"/>
        <v>20</v>
      </c>
      <c r="I7" s="48">
        <f t="shared" si="1"/>
        <v>324.35000000000002</v>
      </c>
      <c r="J7" s="48">
        <f t="shared" si="2"/>
        <v>12.974</v>
      </c>
      <c r="K7" s="50">
        <f t="shared" si="3"/>
        <v>1.62175</v>
      </c>
      <c r="L7" s="50">
        <v>2</v>
      </c>
    </row>
    <row r="8" spans="2:12" x14ac:dyDescent="0.3">
      <c r="B8" s="49">
        <v>46165</v>
      </c>
      <c r="C8" s="49" t="s">
        <v>58</v>
      </c>
      <c r="D8" s="48">
        <v>6786</v>
      </c>
      <c r="E8" s="48">
        <v>4</v>
      </c>
      <c r="F8" s="48">
        <v>22</v>
      </c>
      <c r="G8" s="48">
        <v>2</v>
      </c>
      <c r="H8" s="48">
        <f t="shared" si="0"/>
        <v>20</v>
      </c>
      <c r="I8" s="48">
        <f t="shared" si="1"/>
        <v>339.3</v>
      </c>
      <c r="J8" s="48">
        <f>I8/25</f>
        <v>13.572000000000001</v>
      </c>
      <c r="K8" s="50">
        <f t="shared" si="3"/>
        <v>1.6965000000000001</v>
      </c>
      <c r="L8" s="50">
        <v>2</v>
      </c>
    </row>
    <row r="9" spans="2:12" x14ac:dyDescent="0.3">
      <c r="B9" s="49">
        <v>46153</v>
      </c>
      <c r="C9" s="49" t="s">
        <v>57</v>
      </c>
      <c r="D9" s="48">
        <v>3615</v>
      </c>
      <c r="E9" s="48">
        <v>2</v>
      </c>
      <c r="F9" s="48">
        <v>20</v>
      </c>
      <c r="G9" s="48">
        <v>2</v>
      </c>
      <c r="H9" s="48">
        <f t="shared" si="0"/>
        <v>18</v>
      </c>
      <c r="I9" s="48">
        <f t="shared" si="1"/>
        <v>200.83333333333334</v>
      </c>
      <c r="J9" s="48">
        <f>I9/25</f>
        <v>8.0333333333333332</v>
      </c>
      <c r="K9" s="50">
        <f t="shared" si="3"/>
        <v>1.0041666666666667</v>
      </c>
      <c r="L9" s="50">
        <v>4</v>
      </c>
    </row>
    <row r="10" spans="2:12" x14ac:dyDescent="0.3">
      <c r="B10" s="49">
        <v>46154</v>
      </c>
      <c r="C10" s="49" t="s">
        <v>57</v>
      </c>
      <c r="D10" s="48">
        <v>5949</v>
      </c>
      <c r="E10" s="48">
        <v>3</v>
      </c>
      <c r="F10" s="48">
        <v>20</v>
      </c>
      <c r="G10" s="48">
        <v>2</v>
      </c>
      <c r="H10" s="48">
        <f t="shared" si="0"/>
        <v>18</v>
      </c>
      <c r="I10" s="48">
        <f t="shared" si="1"/>
        <v>330.5</v>
      </c>
      <c r="J10" s="48">
        <f t="shared" ref="J10:J16" si="4">I10/25</f>
        <v>13.22</v>
      </c>
      <c r="K10" s="50">
        <f t="shared" si="3"/>
        <v>1.6525000000000001</v>
      </c>
      <c r="L10" s="50">
        <v>2</v>
      </c>
    </row>
    <row r="11" spans="2:12" x14ac:dyDescent="0.3">
      <c r="B11" s="49">
        <v>46156</v>
      </c>
      <c r="C11" s="49" t="s">
        <v>57</v>
      </c>
      <c r="D11" s="48">
        <v>6222</v>
      </c>
      <c r="E11" s="48">
        <v>3</v>
      </c>
      <c r="F11" s="48">
        <v>22</v>
      </c>
      <c r="G11" s="48">
        <v>2</v>
      </c>
      <c r="H11" s="48">
        <f t="shared" si="0"/>
        <v>20</v>
      </c>
      <c r="I11" s="48">
        <f t="shared" si="1"/>
        <v>311.10000000000002</v>
      </c>
      <c r="J11" s="48">
        <f t="shared" si="4"/>
        <v>12.444000000000001</v>
      </c>
      <c r="K11" s="50">
        <f t="shared" si="3"/>
        <v>1.5555000000000001</v>
      </c>
      <c r="L11" s="50">
        <v>2</v>
      </c>
    </row>
    <row r="12" spans="2:12" x14ac:dyDescent="0.3">
      <c r="B12" s="49">
        <v>46157</v>
      </c>
      <c r="C12" s="49" t="s">
        <v>57</v>
      </c>
      <c r="D12" s="48">
        <v>5481</v>
      </c>
      <c r="E12" s="48">
        <v>2</v>
      </c>
      <c r="F12" s="48">
        <v>22</v>
      </c>
      <c r="G12" s="48">
        <v>2</v>
      </c>
      <c r="H12" s="48">
        <f t="shared" si="0"/>
        <v>20</v>
      </c>
      <c r="I12" s="48">
        <f t="shared" si="1"/>
        <v>274.05</v>
      </c>
      <c r="J12" s="48">
        <f t="shared" si="4"/>
        <v>10.962</v>
      </c>
      <c r="K12" s="50">
        <f t="shared" si="3"/>
        <v>1.37025</v>
      </c>
      <c r="L12" s="50">
        <v>2</v>
      </c>
    </row>
    <row r="13" spans="2:12" x14ac:dyDescent="0.3">
      <c r="B13" s="49">
        <v>46158</v>
      </c>
      <c r="C13" s="49" t="s">
        <v>57</v>
      </c>
      <c r="D13" s="48">
        <v>2378</v>
      </c>
      <c r="E13" s="48">
        <v>2</v>
      </c>
      <c r="F13" s="48">
        <v>22</v>
      </c>
      <c r="G13" s="48">
        <v>2</v>
      </c>
      <c r="H13" s="48">
        <f t="shared" si="0"/>
        <v>20</v>
      </c>
      <c r="I13" s="48">
        <f t="shared" si="1"/>
        <v>118.9</v>
      </c>
      <c r="J13" s="48">
        <f t="shared" si="4"/>
        <v>4.7560000000000002</v>
      </c>
      <c r="K13" s="50">
        <f t="shared" si="3"/>
        <v>0.59450000000000003</v>
      </c>
      <c r="L13" s="50">
        <v>2</v>
      </c>
    </row>
    <row r="14" spans="2:12" x14ac:dyDescent="0.3">
      <c r="B14" s="49">
        <v>46146</v>
      </c>
      <c r="C14" s="51" t="s">
        <v>35</v>
      </c>
      <c r="D14" s="48">
        <v>6571</v>
      </c>
      <c r="E14" s="48">
        <v>3</v>
      </c>
      <c r="F14" s="48">
        <v>20</v>
      </c>
      <c r="G14" s="48">
        <v>2</v>
      </c>
      <c r="H14" s="48">
        <f t="shared" si="0"/>
        <v>18</v>
      </c>
      <c r="I14" s="48">
        <f t="shared" si="1"/>
        <v>365.05555555555554</v>
      </c>
      <c r="J14" s="48">
        <f t="shared" si="4"/>
        <v>14.602222222222222</v>
      </c>
      <c r="K14" s="50">
        <f t="shared" si="3"/>
        <v>1.8252777777777778</v>
      </c>
      <c r="L14" s="50">
        <v>2</v>
      </c>
    </row>
    <row r="15" spans="2:12" x14ac:dyDescent="0.3">
      <c r="B15" s="49">
        <v>46147</v>
      </c>
      <c r="C15" s="51" t="s">
        <v>35</v>
      </c>
      <c r="D15" s="48">
        <v>5905</v>
      </c>
      <c r="E15" s="48">
        <v>2</v>
      </c>
      <c r="F15" s="48">
        <v>20</v>
      </c>
      <c r="G15" s="48">
        <v>2</v>
      </c>
      <c r="H15" s="48">
        <f t="shared" si="0"/>
        <v>18</v>
      </c>
      <c r="I15" s="48">
        <f t="shared" si="1"/>
        <v>328.05555555555554</v>
      </c>
      <c r="J15" s="48">
        <f t="shared" si="4"/>
        <v>13.122222222222222</v>
      </c>
      <c r="K15" s="50">
        <f t="shared" si="3"/>
        <v>1.6402777777777777</v>
      </c>
      <c r="L15" s="50">
        <v>2</v>
      </c>
    </row>
    <row r="16" spans="2:12" x14ac:dyDescent="0.3">
      <c r="B16" s="49">
        <v>46148</v>
      </c>
      <c r="C16" s="51" t="s">
        <v>35</v>
      </c>
      <c r="D16" s="48">
        <v>3942</v>
      </c>
      <c r="E16" s="48">
        <v>2</v>
      </c>
      <c r="F16" s="48">
        <v>20</v>
      </c>
      <c r="G16" s="48">
        <v>2</v>
      </c>
      <c r="H16" s="48">
        <f t="shared" si="0"/>
        <v>18</v>
      </c>
      <c r="I16" s="48">
        <f t="shared" si="1"/>
        <v>219</v>
      </c>
      <c r="J16" s="48">
        <f t="shared" si="4"/>
        <v>8.76</v>
      </c>
      <c r="K16" s="50">
        <f t="shared" si="3"/>
        <v>1.095</v>
      </c>
      <c r="L16" s="50">
        <v>2</v>
      </c>
    </row>
    <row r="17" spans="2:12" x14ac:dyDescent="0.3">
      <c r="B17" s="49">
        <v>46149</v>
      </c>
      <c r="C17" s="51" t="s">
        <v>35</v>
      </c>
      <c r="D17" s="48">
        <v>4670</v>
      </c>
      <c r="E17" s="48">
        <v>2</v>
      </c>
      <c r="F17" s="48">
        <v>20</v>
      </c>
      <c r="G17" s="48">
        <v>2</v>
      </c>
      <c r="H17" s="48">
        <f t="shared" si="0"/>
        <v>18</v>
      </c>
      <c r="I17" s="48">
        <f t="shared" si="1"/>
        <v>259.44444444444446</v>
      </c>
      <c r="J17" s="48">
        <f t="shared" ref="J17:J25" si="5">I17/25</f>
        <v>10.377777777777778</v>
      </c>
      <c r="K17" s="50">
        <f t="shared" si="3"/>
        <v>1.2972222222222223</v>
      </c>
      <c r="L17" s="50">
        <v>2</v>
      </c>
    </row>
    <row r="18" spans="2:12" x14ac:dyDescent="0.3">
      <c r="B18" s="49">
        <v>46150</v>
      </c>
      <c r="C18" s="51" t="s">
        <v>35</v>
      </c>
      <c r="D18" s="48">
        <v>5774</v>
      </c>
      <c r="E18" s="48">
        <v>2</v>
      </c>
      <c r="F18" s="48">
        <v>20</v>
      </c>
      <c r="G18" s="48">
        <v>2</v>
      </c>
      <c r="H18" s="48">
        <f t="shared" si="0"/>
        <v>18</v>
      </c>
      <c r="I18" s="48">
        <f t="shared" si="1"/>
        <v>320.77777777777777</v>
      </c>
      <c r="J18" s="48">
        <f t="shared" si="5"/>
        <v>12.831111111111111</v>
      </c>
      <c r="K18" s="50">
        <f t="shared" si="3"/>
        <v>1.6038888888888889</v>
      </c>
      <c r="L18" s="50">
        <v>2</v>
      </c>
    </row>
    <row r="19" spans="2:12" x14ac:dyDescent="0.3">
      <c r="B19" s="49">
        <v>46151</v>
      </c>
      <c r="C19" s="51" t="s">
        <v>35</v>
      </c>
      <c r="D19" s="48">
        <v>3730</v>
      </c>
      <c r="E19" s="48">
        <v>2</v>
      </c>
      <c r="F19" s="48">
        <v>20</v>
      </c>
      <c r="G19" s="48">
        <v>2</v>
      </c>
      <c r="H19" s="48">
        <f t="shared" si="0"/>
        <v>18</v>
      </c>
      <c r="I19" s="48">
        <f t="shared" si="1"/>
        <v>207.22222222222223</v>
      </c>
      <c r="J19" s="48">
        <f t="shared" si="5"/>
        <v>8.2888888888888896</v>
      </c>
      <c r="K19" s="50">
        <f t="shared" si="3"/>
        <v>1.0361111111111112</v>
      </c>
      <c r="L19" s="50">
        <v>2</v>
      </c>
    </row>
    <row r="20" spans="2:12" x14ac:dyDescent="0.3">
      <c r="B20" s="49">
        <v>46167</v>
      </c>
      <c r="C20" s="51" t="s">
        <v>62</v>
      </c>
      <c r="D20" s="48">
        <v>11690</v>
      </c>
      <c r="E20" s="48">
        <v>2</v>
      </c>
      <c r="F20" s="48">
        <v>20</v>
      </c>
      <c r="G20" s="48">
        <v>2</v>
      </c>
      <c r="H20" s="48">
        <f t="shared" si="0"/>
        <v>18</v>
      </c>
      <c r="I20" s="48">
        <f t="shared" si="1"/>
        <v>649.44444444444446</v>
      </c>
      <c r="J20" s="48">
        <f t="shared" si="5"/>
        <v>25.977777777777778</v>
      </c>
      <c r="K20" s="50">
        <f t="shared" si="3"/>
        <v>3.2472222222222222</v>
      </c>
      <c r="L20" s="50">
        <v>2</v>
      </c>
    </row>
    <row r="21" spans="2:12" x14ac:dyDescent="0.3">
      <c r="B21" s="49">
        <v>46168</v>
      </c>
      <c r="C21" s="51" t="s">
        <v>62</v>
      </c>
      <c r="D21" s="48">
        <v>9500</v>
      </c>
      <c r="E21" s="48">
        <v>2</v>
      </c>
      <c r="F21" s="48">
        <v>22</v>
      </c>
      <c r="G21" s="48">
        <v>2</v>
      </c>
      <c r="H21" s="48">
        <f t="shared" si="0"/>
        <v>20</v>
      </c>
      <c r="I21" s="48">
        <f t="shared" si="1"/>
        <v>475</v>
      </c>
      <c r="J21" s="48">
        <f t="shared" si="5"/>
        <v>19</v>
      </c>
      <c r="K21" s="50">
        <f t="shared" si="3"/>
        <v>2.375</v>
      </c>
      <c r="L21" s="50">
        <v>2</v>
      </c>
    </row>
    <row r="22" spans="2:12" x14ac:dyDescent="0.3">
      <c r="B22" s="49">
        <v>46169</v>
      </c>
      <c r="C22" s="51" t="s">
        <v>62</v>
      </c>
      <c r="D22" s="48">
        <v>7325</v>
      </c>
      <c r="E22" s="48">
        <v>2</v>
      </c>
      <c r="F22" s="48">
        <v>22</v>
      </c>
      <c r="G22" s="48">
        <v>2</v>
      </c>
      <c r="H22" s="48">
        <f t="shared" si="0"/>
        <v>20</v>
      </c>
      <c r="I22" s="48">
        <f t="shared" si="1"/>
        <v>366.25</v>
      </c>
      <c r="J22" s="48">
        <f t="shared" si="5"/>
        <v>14.65</v>
      </c>
      <c r="K22" s="50">
        <f t="shared" si="3"/>
        <v>1.83125</v>
      </c>
      <c r="L22" s="50">
        <v>2</v>
      </c>
    </row>
    <row r="23" spans="2:12" x14ac:dyDescent="0.3">
      <c r="B23" s="49">
        <v>46170</v>
      </c>
      <c r="C23" s="51" t="s">
        <v>62</v>
      </c>
      <c r="D23" s="48">
        <v>8857</v>
      </c>
      <c r="E23" s="48">
        <v>2</v>
      </c>
      <c r="F23" s="48">
        <v>22</v>
      </c>
      <c r="G23" s="48">
        <v>2</v>
      </c>
      <c r="H23" s="48">
        <f t="shared" si="0"/>
        <v>20</v>
      </c>
      <c r="I23" s="48">
        <f t="shared" si="1"/>
        <v>442.85</v>
      </c>
      <c r="J23" s="48">
        <f t="shared" si="5"/>
        <v>17.714000000000002</v>
      </c>
      <c r="K23" s="50">
        <f t="shared" si="3"/>
        <v>2.2142500000000003</v>
      </c>
      <c r="L23" s="50">
        <v>2</v>
      </c>
    </row>
    <row r="24" spans="2:12" x14ac:dyDescent="0.3">
      <c r="B24" s="49">
        <v>46171</v>
      </c>
      <c r="C24" s="51" t="s">
        <v>62</v>
      </c>
      <c r="D24" s="48">
        <v>8886</v>
      </c>
      <c r="E24" s="48">
        <v>2</v>
      </c>
      <c r="F24" s="48">
        <v>24</v>
      </c>
      <c r="G24" s="48">
        <v>2</v>
      </c>
      <c r="H24" s="48">
        <f t="shared" si="0"/>
        <v>22</v>
      </c>
      <c r="I24" s="48">
        <f t="shared" si="1"/>
        <v>403.90909090909093</v>
      </c>
      <c r="J24" s="48">
        <f t="shared" si="5"/>
        <v>16.156363636363636</v>
      </c>
      <c r="K24" s="50">
        <f t="shared" si="3"/>
        <v>2.0195454545454545</v>
      </c>
      <c r="L24" s="50">
        <v>2</v>
      </c>
    </row>
    <row r="25" spans="2:12" x14ac:dyDescent="0.3">
      <c r="B25" s="49">
        <v>46172</v>
      </c>
      <c r="C25" s="51" t="s">
        <v>62</v>
      </c>
      <c r="D25" s="48">
        <v>7390</v>
      </c>
      <c r="E25" s="48">
        <v>2</v>
      </c>
      <c r="F25" s="48">
        <v>23</v>
      </c>
      <c r="G25" s="48">
        <v>2</v>
      </c>
      <c r="H25" s="48">
        <f t="shared" si="0"/>
        <v>21</v>
      </c>
      <c r="I25" s="48">
        <f t="shared" si="1"/>
        <v>351.90476190476193</v>
      </c>
      <c r="J25" s="48">
        <f t="shared" si="5"/>
        <v>14.076190476190478</v>
      </c>
      <c r="K25" s="50">
        <f t="shared" si="3"/>
        <v>1.7595238095238097</v>
      </c>
      <c r="L25" s="50">
        <v>2</v>
      </c>
    </row>
    <row r="26" spans="2:12" x14ac:dyDescent="0.3">
      <c r="B26" s="49"/>
      <c r="C26" s="51"/>
      <c r="D26" s="48"/>
      <c r="E26" s="48"/>
      <c r="F26" s="48"/>
      <c r="G26" s="48"/>
      <c r="H26" s="48"/>
      <c r="I26" s="48"/>
      <c r="J26" s="48"/>
      <c r="K26" s="50"/>
      <c r="L26" s="50"/>
    </row>
    <row r="27" spans="2:12" x14ac:dyDescent="0.3">
      <c r="B27" s="49"/>
      <c r="C27" s="51"/>
      <c r="D27" s="48"/>
      <c r="E27" s="48"/>
      <c r="F27" s="48"/>
      <c r="G27" s="48"/>
      <c r="H27" s="48"/>
      <c r="I27" s="48"/>
      <c r="J27" s="48"/>
      <c r="K27" s="50"/>
      <c r="L27" s="50"/>
    </row>
    <row r="28" spans="2:12" x14ac:dyDescent="0.3">
      <c r="B28" s="49"/>
      <c r="C28" s="51"/>
      <c r="D28" s="48"/>
      <c r="E28" s="48"/>
      <c r="F28" s="48"/>
      <c r="G28" s="48"/>
      <c r="H28" s="48"/>
      <c r="I28" s="48"/>
      <c r="J28" s="48"/>
      <c r="K28" s="50"/>
      <c r="L28" s="50"/>
    </row>
    <row r="29" spans="2:12" x14ac:dyDescent="0.3">
      <c r="B29" s="49"/>
      <c r="C29" s="51"/>
      <c r="D29" s="48"/>
      <c r="E29" s="48"/>
      <c r="F29" s="48"/>
      <c r="G29" s="48"/>
      <c r="H29" s="48"/>
      <c r="I29" s="48"/>
      <c r="J29" s="48"/>
      <c r="K29" s="50"/>
      <c r="L29" s="50"/>
    </row>
    <row r="30" spans="2:12" x14ac:dyDescent="0.3">
      <c r="B30" s="49"/>
      <c r="C30" s="51"/>
      <c r="D30" s="48"/>
      <c r="E30" s="48"/>
      <c r="F30" s="48"/>
      <c r="G30" s="48"/>
      <c r="H30" s="48"/>
      <c r="I30" s="48"/>
      <c r="J30" s="48"/>
      <c r="K30" s="50"/>
      <c r="L30" s="50"/>
    </row>
    <row r="31" spans="2:12" x14ac:dyDescent="0.3">
      <c r="B31" s="49"/>
      <c r="C31" s="51"/>
      <c r="D31" s="48"/>
      <c r="E31" s="48"/>
      <c r="F31" s="48"/>
      <c r="G31" s="48"/>
      <c r="H31" s="48"/>
      <c r="I31" s="48"/>
      <c r="J31" s="48"/>
      <c r="K31" s="50"/>
      <c r="L31" s="50"/>
    </row>
    <row r="32" spans="2:12" x14ac:dyDescent="0.3">
      <c r="B32" s="49"/>
      <c r="C32" s="51"/>
      <c r="D32" s="48"/>
      <c r="E32" s="48"/>
      <c r="F32" s="48"/>
      <c r="G32" s="48"/>
      <c r="H32" s="48"/>
      <c r="I32" s="48"/>
      <c r="J32" s="48"/>
      <c r="K32" s="50"/>
      <c r="L32" s="50"/>
    </row>
    <row r="33" spans="2:12" x14ac:dyDescent="0.3">
      <c r="B33" s="49"/>
      <c r="C33" s="51"/>
      <c r="D33" s="48"/>
      <c r="E33" s="48"/>
      <c r="F33" s="48"/>
      <c r="G33" s="48"/>
      <c r="H33" s="48"/>
      <c r="I33" s="48"/>
      <c r="J33" s="48"/>
      <c r="K33" s="50"/>
      <c r="L33" s="50"/>
    </row>
    <row r="34" spans="2:12" x14ac:dyDescent="0.3">
      <c r="B34" s="49"/>
      <c r="C34" s="51"/>
      <c r="D34" s="48"/>
      <c r="E34" s="48"/>
      <c r="F34" s="48"/>
      <c r="G34" s="48"/>
      <c r="H34" s="48"/>
      <c r="I34" s="48"/>
      <c r="J34" s="48"/>
      <c r="K34" s="50"/>
      <c r="L34" s="50"/>
    </row>
    <row r="35" spans="2:12" x14ac:dyDescent="0.3">
      <c r="B35" s="49"/>
      <c r="C35" s="51"/>
      <c r="D35" s="48"/>
      <c r="E35" s="48"/>
      <c r="F35" s="48"/>
      <c r="G35" s="48"/>
      <c r="H35" s="48"/>
      <c r="I35" s="48"/>
      <c r="J35" s="48"/>
      <c r="K35" s="50"/>
      <c r="L35" s="50"/>
    </row>
    <row r="36" spans="2:12" x14ac:dyDescent="0.3">
      <c r="B36" s="49"/>
      <c r="C36" s="51"/>
      <c r="D36" s="48"/>
      <c r="E36" s="48"/>
      <c r="F36" s="48"/>
      <c r="G36" s="48"/>
      <c r="H36" s="48"/>
      <c r="I36" s="48"/>
      <c r="J36" s="48"/>
      <c r="K36" s="50"/>
      <c r="L36" s="50"/>
    </row>
    <row r="37" spans="2:12" x14ac:dyDescent="0.3">
      <c r="B37" s="49"/>
      <c r="C37" s="51"/>
      <c r="D37" s="48"/>
      <c r="E37" s="48"/>
      <c r="F37" s="48"/>
      <c r="G37" s="48"/>
      <c r="H37" s="48"/>
      <c r="I37" s="48"/>
      <c r="J37" s="48"/>
      <c r="K37" s="50"/>
      <c r="L37" s="50"/>
    </row>
    <row r="38" spans="2:12" x14ac:dyDescent="0.3">
      <c r="B38" s="49"/>
      <c r="C38" s="51"/>
      <c r="D38" s="48"/>
      <c r="E38" s="48"/>
      <c r="F38" s="48"/>
      <c r="G38" s="48"/>
      <c r="H38" s="48"/>
      <c r="I38" s="48"/>
      <c r="J38" s="48"/>
      <c r="K38" s="50"/>
      <c r="L38" s="50"/>
    </row>
    <row r="39" spans="2:12" x14ac:dyDescent="0.3">
      <c r="B39" s="49"/>
      <c r="C39" s="51"/>
      <c r="D39" s="48"/>
      <c r="E39" s="48"/>
      <c r="F39" s="48"/>
      <c r="G39" s="48"/>
      <c r="H39" s="48"/>
      <c r="I39" s="48"/>
      <c r="J39" s="48"/>
      <c r="K39" s="50"/>
      <c r="L39" s="50"/>
    </row>
    <row r="40" spans="2:12" x14ac:dyDescent="0.3">
      <c r="B40" s="49"/>
      <c r="C40" s="51"/>
      <c r="D40" s="48"/>
      <c r="E40" s="48"/>
      <c r="F40" s="48"/>
      <c r="G40" s="48"/>
      <c r="H40" s="48"/>
      <c r="I40" s="48"/>
      <c r="J40" s="48"/>
      <c r="K40" s="50"/>
      <c r="L40" s="50"/>
    </row>
    <row r="41" spans="2:12" x14ac:dyDescent="0.3">
      <c r="B41" s="49"/>
      <c r="C41" s="51"/>
      <c r="D41" s="48"/>
      <c r="E41" s="48"/>
      <c r="F41" s="48"/>
      <c r="G41" s="48"/>
      <c r="H41" s="48"/>
      <c r="I41" s="48"/>
      <c r="J41" s="48"/>
      <c r="K41" s="50"/>
      <c r="L41" s="50"/>
    </row>
    <row r="42" spans="2:12" x14ac:dyDescent="0.3">
      <c r="B42" s="49"/>
      <c r="C42" s="51"/>
      <c r="D42" s="48"/>
      <c r="E42" s="48"/>
      <c r="F42" s="48"/>
      <c r="G42" s="48"/>
      <c r="H42" s="48"/>
      <c r="I42" s="48"/>
      <c r="J42" s="48"/>
      <c r="K42" s="50"/>
      <c r="L42" s="50"/>
    </row>
    <row r="43" spans="2:12" x14ac:dyDescent="0.3">
      <c r="B43" s="49"/>
      <c r="C43" s="51"/>
      <c r="D43" s="48"/>
      <c r="E43" s="48"/>
      <c r="F43" s="48"/>
      <c r="G43" s="48"/>
      <c r="H43" s="48"/>
      <c r="I43" s="48"/>
      <c r="J43" s="48"/>
      <c r="K43" s="50"/>
      <c r="L43" s="50"/>
    </row>
    <row r="44" spans="2:12" x14ac:dyDescent="0.3">
      <c r="B44" s="49"/>
      <c r="C44" s="51"/>
      <c r="D44" s="48"/>
      <c r="E44" s="48"/>
      <c r="F44" s="48"/>
      <c r="G44" s="48"/>
      <c r="H44" s="48"/>
      <c r="I44" s="48"/>
      <c r="J44" s="48"/>
      <c r="K44" s="50"/>
      <c r="L44" s="50"/>
    </row>
    <row r="45" spans="2:12" x14ac:dyDescent="0.3">
      <c r="B45" s="49"/>
      <c r="C45" s="51"/>
      <c r="D45" s="48"/>
      <c r="E45" s="48"/>
      <c r="F45" s="48"/>
      <c r="G45" s="48"/>
      <c r="H45" s="48"/>
      <c r="I45" s="48"/>
      <c r="J45" s="48"/>
      <c r="K45" s="50"/>
      <c r="L45" s="50"/>
    </row>
    <row r="46" spans="2:12" x14ac:dyDescent="0.3">
      <c r="B46" s="49"/>
      <c r="C46" s="51"/>
      <c r="D46" s="48"/>
      <c r="E46" s="48"/>
      <c r="F46" s="48"/>
      <c r="G46" s="48"/>
      <c r="H46" s="48"/>
      <c r="I46" s="48"/>
      <c r="J46" s="48"/>
      <c r="K46" s="50"/>
      <c r="L46" s="50"/>
    </row>
    <row r="47" spans="2:12" x14ac:dyDescent="0.3">
      <c r="B47" s="49"/>
      <c r="C47" s="51"/>
      <c r="D47" s="48"/>
      <c r="E47" s="48"/>
      <c r="F47" s="48"/>
      <c r="G47" s="48"/>
      <c r="H47" s="48"/>
      <c r="I47" s="48"/>
      <c r="J47" s="48"/>
      <c r="K47" s="50"/>
      <c r="L47" s="50"/>
    </row>
    <row r="48" spans="2:12" x14ac:dyDescent="0.3">
      <c r="B48" s="49"/>
      <c r="C48" s="51"/>
      <c r="D48" s="48"/>
      <c r="E48" s="48"/>
      <c r="F48" s="48"/>
      <c r="G48" s="48"/>
      <c r="H48" s="48"/>
      <c r="I48" s="48"/>
      <c r="J48" s="48"/>
      <c r="K48" s="50"/>
      <c r="L48" s="50"/>
    </row>
    <row r="49" spans="2:12" x14ac:dyDescent="0.3">
      <c r="B49" s="49"/>
      <c r="C49" s="51"/>
      <c r="D49" s="48"/>
      <c r="E49" s="48"/>
      <c r="F49" s="48"/>
      <c r="G49" s="48"/>
      <c r="H49" s="48"/>
      <c r="I49" s="48"/>
      <c r="J49" s="48"/>
      <c r="K49" s="50"/>
      <c r="L49" s="50"/>
    </row>
    <row r="50" spans="2:12" x14ac:dyDescent="0.3">
      <c r="B50" s="49"/>
      <c r="C50" s="51"/>
      <c r="D50" s="48"/>
      <c r="E50" s="48"/>
      <c r="F50" s="48"/>
      <c r="G50" s="48"/>
      <c r="H50" s="48"/>
      <c r="I50" s="48"/>
      <c r="J50" s="48"/>
      <c r="K50" s="50"/>
      <c r="L50" s="50"/>
    </row>
    <row r="51" spans="2:12" x14ac:dyDescent="0.3">
      <c r="B51" s="49"/>
      <c r="C51" s="51"/>
      <c r="D51" s="48"/>
      <c r="E51" s="48"/>
      <c r="F51" s="48"/>
      <c r="G51" s="48"/>
      <c r="H51" s="48"/>
      <c r="I51" s="48"/>
      <c r="J51" s="48"/>
      <c r="K51" s="50"/>
      <c r="L51" s="50"/>
    </row>
    <row r="52" spans="2:12" x14ac:dyDescent="0.3">
      <c r="B52" s="49"/>
      <c r="C52" s="51"/>
      <c r="D52" s="48"/>
      <c r="E52" s="48"/>
      <c r="F52" s="48"/>
      <c r="G52" s="48"/>
      <c r="H52" s="48"/>
      <c r="I52" s="48"/>
      <c r="J52" s="48"/>
      <c r="K52" s="50"/>
      <c r="L52" s="50"/>
    </row>
    <row r="53" spans="2:12" x14ac:dyDescent="0.3">
      <c r="B53" s="49"/>
      <c r="C53" s="51"/>
      <c r="D53" s="48"/>
      <c r="E53" s="48"/>
      <c r="F53" s="48"/>
      <c r="G53" s="48"/>
      <c r="H53" s="48"/>
      <c r="I53" s="48"/>
      <c r="J53" s="48"/>
      <c r="K53" s="50"/>
      <c r="L53" s="50"/>
    </row>
    <row r="54" spans="2:12" x14ac:dyDescent="0.3">
      <c r="B54" s="49"/>
      <c r="C54" s="51"/>
      <c r="D54" s="48"/>
      <c r="E54" s="48"/>
      <c r="F54" s="48"/>
      <c r="G54" s="48"/>
      <c r="H54" s="48"/>
      <c r="I54" s="48"/>
      <c r="J54" s="48"/>
      <c r="K54" s="50"/>
      <c r="L54" s="50"/>
    </row>
    <row r="55" spans="2:12" x14ac:dyDescent="0.3">
      <c r="B55" s="49"/>
      <c r="C55" s="51"/>
      <c r="D55" s="48"/>
      <c r="E55" s="48"/>
      <c r="F55" s="48"/>
      <c r="G55" s="48"/>
      <c r="H55" s="48"/>
      <c r="I55" s="48"/>
      <c r="J55" s="48"/>
      <c r="K55" s="50"/>
      <c r="L55" s="50"/>
    </row>
    <row r="56" spans="2:12" x14ac:dyDescent="0.3">
      <c r="B56" s="49"/>
      <c r="C56" s="51"/>
      <c r="D56" s="48"/>
      <c r="E56" s="48"/>
      <c r="F56" s="48"/>
      <c r="G56" s="48"/>
      <c r="H56" s="48"/>
      <c r="I56" s="48"/>
      <c r="J56" s="48"/>
      <c r="K56" s="50"/>
      <c r="L56" s="50"/>
    </row>
    <row r="57" spans="2:12" x14ac:dyDescent="0.3">
      <c r="B57" s="49"/>
      <c r="C57" s="51"/>
      <c r="D57" s="48"/>
      <c r="E57" s="48"/>
      <c r="F57" s="48"/>
      <c r="G57" s="48"/>
      <c r="H57" s="48"/>
      <c r="I57" s="48"/>
      <c r="J57" s="48"/>
      <c r="K57" s="50"/>
      <c r="L57" s="50"/>
    </row>
    <row r="58" spans="2:12" x14ac:dyDescent="0.3">
      <c r="B58" s="49"/>
      <c r="C58" s="51"/>
      <c r="D58" s="48"/>
      <c r="E58" s="48"/>
      <c r="F58" s="48"/>
      <c r="G58" s="48"/>
      <c r="H58" s="48"/>
      <c r="I58" s="48"/>
      <c r="J58" s="48"/>
      <c r="K58" s="50"/>
      <c r="L58" s="50"/>
    </row>
    <row r="59" spans="2:12" x14ac:dyDescent="0.3">
      <c r="B59" s="49"/>
      <c r="C59" s="51"/>
      <c r="D59" s="48"/>
      <c r="E59" s="48"/>
      <c r="F59" s="48"/>
      <c r="G59" s="48"/>
      <c r="H59" s="48"/>
      <c r="I59" s="48"/>
      <c r="J59" s="48"/>
      <c r="K59" s="50"/>
      <c r="L59" s="50"/>
    </row>
    <row r="60" spans="2:12" x14ac:dyDescent="0.3">
      <c r="B60" s="49"/>
      <c r="C60" s="51"/>
      <c r="D60" s="48"/>
      <c r="E60" s="48"/>
      <c r="F60" s="48"/>
      <c r="G60" s="48"/>
      <c r="H60" s="48"/>
      <c r="I60" s="48"/>
      <c r="J60" s="48"/>
      <c r="K60" s="50"/>
      <c r="L60" s="50"/>
    </row>
    <row r="61" spans="2:12" x14ac:dyDescent="0.3">
      <c r="B61" s="49"/>
      <c r="C61" s="51"/>
      <c r="D61" s="48"/>
      <c r="E61" s="48"/>
      <c r="F61" s="48"/>
      <c r="G61" s="48"/>
      <c r="H61" s="48"/>
      <c r="I61" s="48"/>
      <c r="J61" s="48"/>
      <c r="K61" s="50"/>
      <c r="L61" s="50"/>
    </row>
    <row r="62" spans="2:12" x14ac:dyDescent="0.3">
      <c r="B62" s="49"/>
      <c r="C62" s="51"/>
      <c r="D62" s="48"/>
      <c r="E62" s="48"/>
      <c r="F62" s="48"/>
      <c r="G62" s="48"/>
      <c r="H62" s="48"/>
      <c r="I62" s="48"/>
      <c r="J62" s="48"/>
      <c r="K62" s="50"/>
      <c r="L62" s="50"/>
    </row>
    <row r="63" spans="2:12" x14ac:dyDescent="0.3">
      <c r="B63" s="49"/>
      <c r="C63" s="51"/>
      <c r="D63" s="48"/>
      <c r="E63" s="48"/>
      <c r="F63" s="48"/>
      <c r="G63" s="48"/>
      <c r="H63" s="48"/>
      <c r="I63" s="48"/>
      <c r="J63" s="48"/>
      <c r="K63" s="50"/>
      <c r="L63" s="50"/>
    </row>
    <row r="64" spans="2:12" x14ac:dyDescent="0.3">
      <c r="B64" s="49"/>
      <c r="C64" s="51"/>
      <c r="D64" s="48"/>
      <c r="E64" s="48"/>
      <c r="F64" s="48"/>
      <c r="G64" s="48"/>
      <c r="H64" s="48"/>
      <c r="I64" s="48"/>
      <c r="J64" s="48"/>
      <c r="K64" s="50"/>
      <c r="L64" s="50"/>
    </row>
    <row r="65" spans="2:12" x14ac:dyDescent="0.3">
      <c r="B65" s="49"/>
      <c r="C65" s="51"/>
      <c r="D65" s="48"/>
      <c r="E65" s="48"/>
      <c r="F65" s="48"/>
      <c r="G65" s="48"/>
      <c r="H65" s="48"/>
      <c r="I65" s="48"/>
      <c r="J65" s="48"/>
      <c r="K65" s="50"/>
      <c r="L65" s="50"/>
    </row>
    <row r="66" spans="2:12" x14ac:dyDescent="0.3">
      <c r="B66" s="49"/>
      <c r="C66" s="51"/>
      <c r="D66" s="48"/>
      <c r="E66" s="48"/>
      <c r="F66" s="48"/>
      <c r="G66" s="48"/>
      <c r="H66" s="48"/>
      <c r="I66" s="48"/>
      <c r="J66" s="48"/>
      <c r="K66" s="50"/>
      <c r="L66" s="50"/>
    </row>
    <row r="67" spans="2:12" x14ac:dyDescent="0.3">
      <c r="B67" s="49"/>
      <c r="C67" s="51"/>
      <c r="D67" s="48"/>
      <c r="E67" s="48"/>
      <c r="F67" s="48"/>
      <c r="G67" s="48"/>
      <c r="H67" s="48"/>
      <c r="I67" s="48"/>
      <c r="J67" s="48"/>
      <c r="K67" s="50"/>
      <c r="L67" s="50"/>
    </row>
    <row r="68" spans="2:12" x14ac:dyDescent="0.3">
      <c r="B68" s="49"/>
      <c r="C68" s="51"/>
      <c r="D68" s="48"/>
      <c r="E68" s="48"/>
      <c r="F68" s="48"/>
      <c r="G68" s="48"/>
      <c r="H68" s="48"/>
      <c r="I68" s="48"/>
      <c r="J68" s="48"/>
      <c r="K68" s="50"/>
      <c r="L68" s="50"/>
    </row>
    <row r="69" spans="2:12" x14ac:dyDescent="0.3">
      <c r="B69" s="49"/>
      <c r="C69" s="51"/>
      <c r="D69" s="48"/>
      <c r="E69" s="48"/>
      <c r="F69" s="48"/>
      <c r="G69" s="48"/>
      <c r="H69" s="48"/>
      <c r="I69" s="48"/>
      <c r="J69" s="48"/>
      <c r="K69" s="50"/>
      <c r="L69" s="50"/>
    </row>
    <row r="70" spans="2:12" x14ac:dyDescent="0.3">
      <c r="B70" s="49"/>
      <c r="C70" s="51"/>
      <c r="D70" s="48"/>
      <c r="E70" s="48"/>
      <c r="F70" s="48"/>
      <c r="G70" s="48"/>
      <c r="H70" s="48"/>
      <c r="I70" s="48"/>
      <c r="J70" s="48"/>
      <c r="K70" s="50"/>
      <c r="L70" s="50"/>
    </row>
    <row r="71" spans="2:12" x14ac:dyDescent="0.3">
      <c r="B71" s="49"/>
      <c r="C71" s="51"/>
      <c r="D71" s="48"/>
      <c r="E71" s="48"/>
      <c r="F71" s="48"/>
      <c r="G71" s="48"/>
      <c r="H71" s="48"/>
      <c r="I71" s="48"/>
      <c r="J71" s="48"/>
      <c r="K71" s="50"/>
      <c r="L71" s="50"/>
    </row>
  </sheetData>
  <autoFilter ref="B2:L2" xr:uid="{1A7EA61B-DD29-49AB-BB5F-0B60048A161C}"/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Ind. Produção Escavad. Prod.</vt:lpstr>
      <vt:lpstr>Ind. Produção Escavadeiras Casc</vt:lpstr>
      <vt:lpstr>BD</vt:lpstr>
      <vt:lpstr>TabDin</vt:lpstr>
      <vt:lpstr>TabDin CBM</vt:lpstr>
      <vt:lpstr>Disposição Máquinas</vt:lpstr>
      <vt:lpstr>Liberações de Camadas</vt:lpstr>
      <vt:lpstr>CBM</vt:lpstr>
      <vt:lpstr>'Ind. Produção Escavad. Prod.'!Area_de_impressao</vt:lpstr>
      <vt:lpstr>'Ind. Produção Escavadeiras Casc'!Area_de_impressao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Kamila Oliveira Barroso</cp:lastModifiedBy>
  <cp:revision/>
  <cp:lastPrinted>2026-09-08T10:53:15Z</cp:lastPrinted>
  <dcterms:created xsi:type="dcterms:W3CDTF">2026-05-12T12:10:54Z</dcterms:created>
  <dcterms:modified xsi:type="dcterms:W3CDTF">2026-09-10T12:09:17Z</dcterms:modified>
  <cp:category/>
  <cp:contentStatus/>
</cp:coreProperties>
</file>