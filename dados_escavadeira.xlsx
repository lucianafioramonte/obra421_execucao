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197" documentId="8_{CE5C6F22-4BE2-41D0-BCDC-905D26C0C4E3}" xr6:coauthVersionLast="47" xr6:coauthVersionMax="47" xr10:uidLastSave="{88D8581A-8D4F-4674-8245-5FFB243AEF48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0" i="1" l="1"/>
  <c r="I891" i="1"/>
  <c r="I888" i="1"/>
  <c r="I889" i="1"/>
  <c r="I886" i="1"/>
  <c r="I887" i="1"/>
  <c r="I884" i="1"/>
  <c r="I885" i="1"/>
  <c r="I881" i="1"/>
  <c r="I882" i="1"/>
  <c r="I883" i="1"/>
  <c r="I880" i="1"/>
  <c r="I879" i="1"/>
  <c r="I878" i="1"/>
  <c r="I877" i="1"/>
  <c r="I876" i="1"/>
  <c r="I874" i="1"/>
  <c r="I875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<sst xmlns="http://schemas.openxmlformats.org/spreadsheetml/2006/main" count="11208" uniqueCount="3227">
  <si>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</si>
  <si>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</si>
  <si>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</si>
  <si>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</si>
  <si>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</si>
  <si>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</si>
  <si>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</si>
  <si>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</si>
  <si>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</si>
  <si>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</si>
  <si>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</si>
  <si>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</si>
  <si>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</si>
  <si>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</si>
  <si>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</si>
  <si>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</si>
  <si>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</si>
  <si>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</si>
  <si>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</si>
  <si>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</si>
  <si>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</si>
  <si>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</si>
  <si>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</si>
  <si>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</si>
  <si>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</si>
  <si>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</si>
  <si>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</si>
  <si>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</si>
  <si>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</si>
  <si>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</si>
  <si>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</si>
  <si>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</si>
  <si>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</si>
  <si>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</si>
  <si>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</si>
  <si>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</si>
  <si>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</si>
  <si>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</si>
  <si>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</si>
  <si>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</si>
  <si>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</si>
  <si>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</si>
  <si>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</si>
  <si>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</si>
  <si>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</si>
  <si>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</si>
  <si>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</si>
  <si>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</si>
  <si>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</si>
  <si>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</si>
  <si>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</si>
  <si>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</si>
  <si>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</si>
  <si>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</si>
  <si>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</si>
  <si>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</si>
  <si>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</si>
  <si>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</si>
  <si>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</si>
  <si>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</si>
  <si>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</si>
  <si>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</si>
  <si>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</si>
  <si>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</si>
  <si>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</si>
  <si>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</si>
  <si>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</si>
  <si>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</si>
  <si>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</si>
  <si>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</si>
  <si>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</si>
  <si>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</si>
  <si>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</si>
  <si>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</si>
  <si>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</si>
  <si>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</si>
  <si>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</si>
  <si>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</si>
  <si>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</si>
  <si>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</si>
  <si>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</si>
  <si>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</si>
  <si>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</si>
  <si>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</si>
  <si>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</si>
  <si>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</si>
  <si>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</si>
  <si>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</si>
  <si>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</si>
  <si>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</si>
  <si>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</si>
  <si>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</si>
  <si>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</si>
  <si>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</si>
  <si>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</si>
  <si>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</si>
  <si>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</si>
  <si>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</si>
  <si>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</si>
  <si>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</si>
  <si>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</si>
  <si>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</si>
  <si>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</si>
  <si>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</si>
  <si>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</si>
  <si>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</si>
  <si>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</si>
  <si>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</si>
  <si>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</si>
  <si>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</si>
  <si>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</si>
  <si>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</si>
  <si>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</si>
  <si>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</si>
  <si>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</si>
  <si>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</si>
  <si>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</si>
  <si>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</si>
  <si>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</si>
  <si>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</si>
  <si>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</si>
  <si>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</si>
  <si>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</si>
  <si>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</si>
  <si>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</si>
  <si>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</si>
  <si>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</si>
  <si>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</si>
  <si>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</si>
  <si>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</si>
  <si>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</si>
  <si>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</si>
  <si>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</si>
  <si>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</si>
  <si>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</si>
  <si>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</si>
  <si>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</si>
  <si>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</si>
  <si>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</si>
  <si>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</si>
  <si>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</si>
  <si>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</si>
  <si>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</si>
  <si>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</si>
  <si>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</si>
  <si>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</si>
  <si>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</si>
  <si>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</si>
  <si>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</si>
  <si>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</si>
  <si>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</si>
  <si>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</si>
  <si>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</si>
  <si>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</si>
  <si>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</si>
  <si>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</si>
  <si>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</si>
  <si>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</si>
  <si>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</si>
  <si>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</si>
  <si>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</si>
  <si>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</si>
  <si>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</si>
  <si>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</si>
  <si>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</si>
  <si>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</si>
  <si>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</si>
  <si>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</si>
  <si>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</si>
  <si>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</si>
  <si>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</si>
  <si>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</si>
  <si>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</si>
  <si>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</si>
  <si>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</si>
  <si>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</si>
  <si>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</si>
  <si>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</si>
  <si>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</si>
  <si>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</si>
  <si>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</si>
  <si>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</si>
  <si>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</si>
  <si>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</si>
  <si>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</si>
  <si>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</si>
  <si>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</si>
  <si>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</si>
  <si>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</si>
  <si>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</si>
  <si>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</si>
  <si>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</si>
  <si>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</si>
  <si>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</si>
  <si>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</si>
  <si>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</si>
  <si>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</si>
  <si>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</si>
  <si>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</si>
  <si>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</si>
  <si>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</si>
  <si>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</si>
  <si>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</si>
  <si>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</si>
  <si>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</si>
  <si>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</si>
  <si>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</si>
  <si>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</si>
  <si>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</si>
  <si>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</si>
  <si>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</si>
  <si>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</si>
  <si>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</si>
  <si>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</si>
  <si>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</si>
  <si>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</si>
  <si>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</si>
  <si>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</si>
  <si>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</si>
  <si>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</si>
  <si>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</si>
  <si>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</si>
  <si>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</si>
  <si>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</si>
  <si>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</si>
  <si>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</si>
  <si>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</si>
  <si>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</si>
  <si>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</si>
  <si>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</si>
  <si>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</si>
  <si>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</si>
  <si>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</si>
  <si>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</si>
  <si>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</si>
  <si>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</si>
  <si>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</si>
  <si>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</si>
  <si>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</si>
  <si>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</si>
  <si>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</si>
  <si>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</si>
  <si>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</si>
  <si>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</si>
  <si>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</si>
  <si>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</si>
  <si>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</si>
  <si>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</si>
  <si>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</si>
  <si>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</si>
  <si>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</si>
  <si>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</si>
  <si>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</si>
  <si>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</si>
  <si>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</si>
  <si>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</si>
  <si>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</si>
  <si>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</si>
  <si>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</si>
  <si>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</si>
  <si>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</si>
  <si>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</si>
  <si>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</si>
  <si>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</si>
  <si>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</si>
  <si>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</si>
  <si>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</si>
  <si>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</si>
  <si>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</si>
  <si>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</si>
  <si>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</si>
  <si>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</si>
  <si>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</si>
  <si>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</si>
  <si>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</si>
  <si>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</si>
  <si>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</si>
  <si>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</si>
  <si>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</si>
  <si>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</si>
  <si>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</si>
  <si>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</si>
  <si>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</si>
  <si>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</si>
  <si>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</si>
  <si>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</si>
  <si>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</si>
  <si>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</si>
  <si>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</si>
  <si>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</si>
  <si>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</si>
  <si>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</si>
  <si>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</si>
  <si>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</si>
  <si>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</si>
  <si>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</si>
  <si>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</si>
  <si>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</si>
  <si>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</si>
  <si>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</si>
  <si>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</si>
  <si>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</si>
  <si>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</si>
  <si>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</si>
  <si>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</si>
  <si>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</si>
  <si>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</si>
  <si>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</si>
  <si>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</si>
  <si>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</si>
  <si>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</si>
  <si>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</si>
  <si>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</si>
  <si>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</si>
  <si>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</si>
  <si>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</si>
  <si>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</si>
  <si>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</si>
  <si>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</si>
  <si>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</si>
  <si>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</si>
  <si>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</si>
  <si>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</si>
  <si>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</si>
  <si>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</si>
  <si>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</si>
  <si>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</si>
  <si>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</si>
  <si>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</si>
  <si>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</si>
  <si>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</si>
  <si>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</si>
  <si>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</si>
  <si>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</si>
  <si>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</si>
  <si>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</si>
  <si>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</si>
  <si>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</si>
  <si>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</si>
  <si>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</si>
  <si>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</si>
  <si>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</si>
  <si>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</si>
  <si>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</si>
  <si>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</si>
  <si>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</si>
  <si>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</si>
  <si>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</si>
  <si>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</si>
  <si>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</si>
  <si>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</si>
  <si>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</si>
  <si>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</si>
  <si>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</si>
  <si>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</si>
  <si>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</si>
  <si>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</si>
  <si>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</si>
  <si>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</si>
  <si>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</si>
  <si>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</si>
  <si>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</si>
  <si>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</si>
  <si>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</si>
  <si>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</si>
  <si>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</si>
  <si>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</si>
  <si>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</si>
  <si>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</si>
  <si>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</si>
  <si>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</si>
  <si>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</si>
  <si>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</si>
  <si>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</si>
  <si>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</si>
  <si>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</si>
  <si>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</si>
  <si>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</si>
  <si>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</si>
  <si>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</si>
  <si>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</si>
  <si>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</si>
  <si>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</si>
  <si>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</si>
  <si>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</si>
  <si>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</si>
  <si>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</si>
  <si>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</si>
  <si>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</si>
  <si>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</si>
  <si>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</si>
  <si>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</si>
  <si>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</si>
  <si>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</si>
  <si>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</si>
  <si>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</si>
  <si>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</si>
  <si>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</si>
  <si>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</si>
  <si>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</si>
  <si>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</si>
  <si>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</si>
  <si>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</si>
  <si>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</si>
  <si>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</si>
  <si>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</si>
  <si>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</si>
  <si>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</si>
  <si>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</si>
  <si>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</si>
  <si>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</si>
  <si>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</si>
  <si>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</si>
  <si>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</si>
  <si>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</si>
  <si>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</si>
  <si>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</si>
  <si>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</si>
  <si>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</si>
  <si>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</si>
  <si>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</si>
  <si>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</si>
  <si>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</si>
  <si>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</si>
  <si>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</si>
  <si>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</si>
  <si>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</si>
  <si>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</si>
  <si>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</si>
  <si>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</si>
  <si>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</si>
  <si>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</si>
  <si>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</si>
  <si>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</si>
  <si>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</si>
  <si>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</si>
  <si>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</si>
  <si>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</si>
  <si>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</si>
  <si>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</si>
  <si>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</si>
  <si>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</si>
  <si>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</si>
  <si>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</si>
  <si>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</si>
  <si>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</si>
  <si>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</si>
  <si>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</si>
  <si>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</si>
  <si>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</si>
  <si>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</si>
  <si>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</si>
  <si>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</si>
  <si>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</si>
  <si>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</si>
  <si>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</si>
  <si>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</si>
  <si>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</si>
  <si>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</si>
  <si>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</si>
  <si>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</si>
  <si>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</si>
  <si>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</si>
  <si>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</si>
  <si>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</si>
  <si>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</si>
  <si>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</si>
  <si>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</si>
  <si>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</si>
  <si>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</si>
  <si>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</si>
  <si>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</si>
  <si>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</si>
  <si>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</si>
  <si>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</si>
  <si>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</si>
  <si>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</si>
  <si>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</si>
  <si>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</si>
  <si>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</si>
  <si>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</si>
  <si>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</si>
  <si>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</si>
  <si>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</si>
  <si>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</si>
  <si>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</si>
  <si>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</si>
  <si>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</si>
  <si>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</si>
  <si>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</si>
  <si>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</si>
  <si>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</si>
  <si>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</si>
  <si>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</si>
  <si>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</si>
  <si>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</si>
  <si>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</si>
  <si>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</si>
  <si>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</si>
  <si>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</si>
  <si>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</si>
  <si>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</si>
  <si>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</si>
  <si>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</si>
  <si>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</si>
  <si>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</si>
  <si>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</si>
  <si>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</si>
  <si>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</si>
  <si>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</si>
  <si>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</si>
  <si>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</si>
  <si>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</si>
  <si>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</si>
  <si>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</si>
  <si>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</si>
  <si>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</si>
  <si>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</si>
  <si>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</si>
  <si>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</si>
  <si>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</si>
  <si>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</si>
  <si>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</si>
  <si>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</si>
  <si>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</si>
  <si>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</si>
  <si>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</si>
  <si>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</si>
  <si>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</si>
  <si>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</si>
  <si>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</si>
  <si>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</si>
  <si>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</si>
  <si>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</si>
  <si>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</si>
  <si>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</si>
  <si>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</si>
  <si>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</si>
  <si>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</si>
  <si>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</si>
  <si>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</si>
  <si>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</si>
  <si>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</si>
  <si>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</si>
  <si>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</si>
  <si>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</si>
  <si>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</si>
  <si>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</si>
  <si>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</si>
  <si>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</si>
  <si>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</si>
  <si>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</si>
  <si>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</si>
  <si>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</si>
  <si>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</si>
  <si>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</si>
  <si>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</si>
  <si>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</si>
  <si>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</si>
  <si>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</si>
  <si>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</si>
  <si>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</si>
  <si>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</si>
  <si>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</si>
  <si>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</si>
  <si>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</si>
  <si>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</si>
  <si>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</si>
  <si>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</si>
  <si>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</si>
  <si>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</si>
  <si>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</si>
  <si>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</si>
  <si>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</si>
  <si>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</si>
  <si>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</si>
  <si>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</si>
  <si>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</si>
  <si>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</si>
  <si>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</si>
  <si>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</si>
  <si>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</si>
  <si>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</si>
  <si>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</si>
  <si>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</si>
  <si>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</si>
  <si>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</si>
  <si>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</si>
  <si>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</si>
  <si>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</si>
  <si>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</si>
  <si>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</si>
  <si>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</si>
  <si>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</si>
  <si>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</si>
  <si>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</si>
  <si>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</si>
  <si>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</si>
  <si>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</si>
  <si>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</si>
  <si>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</si>
  <si>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</si>
  <si>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</si>
  <si>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</si>
  <si>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</si>
  <si>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</si>
  <si>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</si>
  <si>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</si>
  <si>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</si>
  <si>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</si>
  <si>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</si>
  <si>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</si>
  <si>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</si>
  <si>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</si>
  <si>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</si>
  <si>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</si>
  <si>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</si>
  <si>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</si>
  <si>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</si>
  <si>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</si>
  <si>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</si>
  <si>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</si>
  <si>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</si>
  <si>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</si>
  <si>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</si>
  <si>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</si>
  <si>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</si>
  <si>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</si>
  <si>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</si>
  <si>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</si>
  <si>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</si>
  <si>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</si>
  <si>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</si>
  <si>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</si>
  <si>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</si>
  <si>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</si>
  <si>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</si>
  <si>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</si>
  <si>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</si>
  <si>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</si>
  <si>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</si>
  <si>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</si>
  <si>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</si>
  <si>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</si>
  <si>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</si>
  <si>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</si>
  <si>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</si>
  <si>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</si>
  <si>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</si>
  <si>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</si>
  <si>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</si>
  <si>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</si>
  <si>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</si>
  <si>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</si>
  <si>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</si>
  <si>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</si>
  <si>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</si>
  <si>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</si>
  <si>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</si>
  <si>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</si>
  <si>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</si>
  <si>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</si>
  <si>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</si>
  <si>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</si>
  <si>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</si>
  <si>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</si>
  <si>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</si>
  <si>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</si>
  <si>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</si>
  <si>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</si>
  <si>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</si>
  <si>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</si>
  <si>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</si>
  <si>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</si>
  <si>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</si>
  <si>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</si>
  <si>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</si>
  <si>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</si>
  <si>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</si>
  <si>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</si>
  <si>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</si>
  <si>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</si>
  <si>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</si>
  <si>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</si>
  <si>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</si>
  <si>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</si>
  <si>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</si>
  <si>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</si>
  <si>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</si>
  <si>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</si>
  <si>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</si>
  <si>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</si>
  <si>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</si>
  <si>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</si>
  <si>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</si>
  <si>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</si>
  <si>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</si>
  <si>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</si>
  <si>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</si>
  <si>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</si>
  <si>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</si>
  <si>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</si>
  <si>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</si>
  <si>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</si>
  <si>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</si>
  <si>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</si>
  <si>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</si>
  <si>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</si>
  <si>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</si>
  <si>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</si>
  <si>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</si>
  <si>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</si>
  <si>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</si>
  <si>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</si>
  <si>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</si>
  <si>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</si>
  <si>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</si>
  <si>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</si>
  <si>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</si>
  <si>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</si>
  <si>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</si>
  <si>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</si>
  <si>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</si>
  <si>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</si>
  <si>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</si>
  <si>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</si>
  <si>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</si>
  <si>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</si>
  <si>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</si>
  <si>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</si>
  <si>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</si>
  <si>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</si>
  <si>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</si>
  <si>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</si>
  <si>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</si>
  <si>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</si>
  <si>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</si>
  <si>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</si>
  <si>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</si>
  <si>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</si>
  <si>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</si>
  <si>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</si>
  <si>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</si>
  <si>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</si>
  <si>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</si>
  <si>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</si>
  <si>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</si>
  <si>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</si>
  <si>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</si>
  <si>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</si>
  <si>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</si>
  <si>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</si>
  <si>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</si>
  <si>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</si>
  <si>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</si>
  <si>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</si>
  <si>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</si>
  <si>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</si>
  <si>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</si>
  <si>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</si>
  <si>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</si>
  <si>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</si>
  <si>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</si>
  <si>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</si>
  <si>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</si>
  <si>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</si>
  <si>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</si>
  <si>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</si>
  <si>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</si>
  <si>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</si>
  <si>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</si>
  <si>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</si>
  <si>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</si>
  <si>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</si>
  <si>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</si>
  <si>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</si>
  <si>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</si>
  <si>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</si>
  <si>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</si>
  <si>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</si>
  <si>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</si>
  <si>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</si>
  <si>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</si>
  <si>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</si>
  <si>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</si>
  <si>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</si>
  <si>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</si>
  <si>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</si>
  <si>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</si>
  <si>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</si>
  <si>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</si>
  <si>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</si>
  <si>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</si>
  <si>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</si>
  <si>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</si>
  <si>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</si>
  <si>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</si>
  <si>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</si>
  <si>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</si>
  <si>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</si>
  <si>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</si>
  <si>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</si>
  <si>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</si>
  <si>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</si>
  <si>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</si>
  <si>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</si>
  <si>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</si>
  <si>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</si>
  <si>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</si>
  <si>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</si>
  <si>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</si>
  <si>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</si>
  <si>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</si>
  <si>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</si>
  <si>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</si>
  <si>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</si>
  <si>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</si>
  <si>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</si>
  <si>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</si>
  <si>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</si>
  <si>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</si>
  <si>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</si>
  <si>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</si>
  <si>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</si>
  <si>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</si>
  <si>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</si>
  <si>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</si>
  <si>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</si>
  <si>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</si>
  <si>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</si>
  <si>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</si>
  <si>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</si>
  <si>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</si>
  <si>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</si>
  <si>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</si>
  <si>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</si>
  <si>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</si>
  <si>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</si>
  <si>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</si>
  <si>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</si>
  <si>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</si>
  <si>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</si>
  <si>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</si>
  <si>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</si>
  <si>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</si>
  <si>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</si>
  <si>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</si>
  <si>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</si>
  <si>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</si>
  <si>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</si>
  <si>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</si>
  <si>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</si>
  <si>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</si>
  <si>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</si>
  <si>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</si>
  <si>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</si>
  <si>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</si>
  <si>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</si>
  <si>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</si>
  <si>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</si>
  <si>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</si>
  <si>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</si>
  <si>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</si>
  <si>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</si>
  <si>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</si>
  <si>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</si>
  <si>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</si>
  <si>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</si>
  <si>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</si>
  <si>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</si>
  <si>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</si>
  <si>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</si>
  <si>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</si>
  <si>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</si>
  <si>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</si>
  <si>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</si>
  <si>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</si>
  <si>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</si>
  <si>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</si>
  <si>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</si>
  <si>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</si>
  <si>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</si>
  <si>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</si>
  <si>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</si>
  <si>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</si>
  <si>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</si>
  <si>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</si>
  <si>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</si>
  <si>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</si>
  <si>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</si>
  <si>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</si>
  <si>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</si>
  <si>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</si>
  <si>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</si>
  <si>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</si>
  <si>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</si>
  <si>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</si>
  <si>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</si>
  <si>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</si>
  <si>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</si>
  <si>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</si>
  <si>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</si>
  <si>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</si>
  <si>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</si>
  <si>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</si>
  <si>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</si>
  <si>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</si>
  <si>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</si>
  <si>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</si>
  <si>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</si>
  <si>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</si>
  <si>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</si>
  <si>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</si>
  <si>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</si>
  <si>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</si>
  <si>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</si>
  <si>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</si>
  <si>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</si>
  <si>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</si>
  <si>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</si>
  <si>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</si>
  <si>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</si>
  <si>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</si>
  <si>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</si>
  <si>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</si>
  <si>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</si>
  <si>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</si>
  <si>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</si>
  <si>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</si>
  <si>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</si>
  <si>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</si>
  <si>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</si>
  <si>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</si>
  <si>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</si>
  <si>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</si>
  <si>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</si>
  <si>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</si>
  <si>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</si>
  <si>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</si>
  <si>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</si>
  <si>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</si>
  <si>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</si>
  <si>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</si>
  <si>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</si>
  <si>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</si>
  <si>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</si>
  <si>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</si>
  <si>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</si>
  <si>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</si>
  <si>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</si>
  <si>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</si>
  <si>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</si>
  <si>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</si>
  <si>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</si>
  <si>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</si>
  <si>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</si>
  <si>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</si>
  <si>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</si>
  <si>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</si>
  <si>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</si>
  <si>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</si>
  <si>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</si>
  <si>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</si>
  <si>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</si>
  <si>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</si>
  <si>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</si>
  <si>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</si>
  <si>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</si>
  <si>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</si>
  <si>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</si>
  <si>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</si>
  <si>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</si>
  <si>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</si>
  <si>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</si>
  <si>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</si>
  <si>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</si>
  <si>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</si>
  <si>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</si>
  <si>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</si>
  <si>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</si>
  <si>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</si>
  <si>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</si>
  <si>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</si>
  <si>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</si>
  <si>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</si>
  <si>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</si>
  <si>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</si>
  <si>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</si>
  <si>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</si>
  <si>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</si>
  <si>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</si>
  <si>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</si>
  <si>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</si>
  <si>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</si>
  <si>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</si>
  <si>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</si>
  <si>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</si>
  <si>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</si>
  <si>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</si>
  <si>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</si>
  <si>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</si>
  <si>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</si>
  <si>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</si>
  <si>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</si>
  <si>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</si>
  <si>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</si>
  <si>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</si>
  <si>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</si>
  <si>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</si>
  <si>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</si>
  <si>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</si>
  <si>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</si>
  <si>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</si>
  <si>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</si>
  <si>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</si>
  <si>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</si>
  <si>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</si>
  <si>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</si>
  <si>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</si>
  <si>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</si>
  <si>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</si>
  <si>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</si>
  <si>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</si>
  <si>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</si>
  <si>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</si>
  <si>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</si>
  <si>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</si>
  <si>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</si>
  <si>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</si>
  <si>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</si>
  <si>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</si>
  <si>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</si>
  <si>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</si>
  <si>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</si>
  <si>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</si>
  <si>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</si>
  <si>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</si>
  <si>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</si>
  <si>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</si>
  <si>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</si>
  <si>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</si>
  <si>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</si>
  <si>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</si>
  <si>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</si>
  <si>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</si>
  <si>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</si>
  <si>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</si>
  <si>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</si>
  <si>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</si>
  <si>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</si>
  <si>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</si>
  <si>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</si>
  <si>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</si>
  <si>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</si>
  <si>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</si>
  <si>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</si>
  <si>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</si>
  <si>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</si>
  <si>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</si>
  <si>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</si>
  <si>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</si>
  <si>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</si>
  <si>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</si>
  <si>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</si>
  <si>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</si>
  <si>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</si>
  <si>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</si>
  <si>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</si>
  <si>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</si>
  <si>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</si>
  <si>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</si>
  <si>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</si>
  <si>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</si>
  <si>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</si>
  <si>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</si>
  <si>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</si>
  <si>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</si>
  <si>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</si>
  <si>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</si>
  <si>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</si>
  <si>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</si>
  <si>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</si>
  <si>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</si>
  <si>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</si>
  <si>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</si>
  <si>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</si>
  <si>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</si>
  <si>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</si>
  <si>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</si>
  <si>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</si>
  <si>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</si>
  <si>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</si>
  <si>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</si>
  <si>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</si>
  <si>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</si>
  <si>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</si>
  <si>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</si>
  <si>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</si>
  <si>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</si>
  <si>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</si>
  <si>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</si>
  <si>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</si>
  <si>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</si>
  <si>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</si>
  <si>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</si>
  <si>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</si>
  <si>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</si>
  <si>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</si>
  <si>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</si>
  <si>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</si>
  <si>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</si>
  <si>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</si>
  <si>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</si>
  <si>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</si>
  <si>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</si>
  <si>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</si>
  <si>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</si>
  <si>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</si>
  <si>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</si>
  <si>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</si>
  <si>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</si>
  <si>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</si>
  <si>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</si>
  <si>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</si>
  <si>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</si>
  <si>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</si>
  <si>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</si>
  <si>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</si>
  <si>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</si>
  <si>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</si>
  <si>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</si>
  <si>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</si>
  <si>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</si>
  <si>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</si>
  <si>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</si>
  <si>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</si>
  <si>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</si>
  <si>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</si>
  <si>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</si>
  <si>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</si>
  <si>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</si>
  <si>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</si>
  <si>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</si>
  <si>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</si>
  <si>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</si>
  <si>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</si>
  <si>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</si>
  <si>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</si>
  <si>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</si>
  <si>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</si>
  <si>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</si>
  <si>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</si>
  <si>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</si>
  <si>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</si>
  <si>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</si>
  <si>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</si>
  <si>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</si>
  <si>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</si>
  <si>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</si>
  <si>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</si>
  <si>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</si>
  <si>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</si>
  <si>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</si>
  <si>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</si>
  <si>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</si>
  <si>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</si>
  <si>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</si>
  <si>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</si>
  <si>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</si>
  <si>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</si>
  <si>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</si>
  <si>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</si>
  <si>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</si>
  <si>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</si>
  <si>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</si>
  <si>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</si>
  <si>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</si>
  <si>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</si>
  <si>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</si>
  <si>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</si>
  <si>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</si>
  <si>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</si>
  <si>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</si>
  <si>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</si>
  <si>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</si>
  <si>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</si>
  <si>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</si>
  <si>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</si>
  <si>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</si>
  <si>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</si>
  <si>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</si>
  <si>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</si>
  <si>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</si>
  <si>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</si>
  <si>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</si>
  <si>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</si>
  <si>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</si>
  <si>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</si>
  <si>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</si>
  <si>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</si>
  <si>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</si>
  <si>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</si>
  <si>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</si>
  <si>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</si>
  <si>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</si>
  <si>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</si>
  <si>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</si>
  <si>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</si>
  <si>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</si>
  <si>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</si>
  <si>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</si>
  <si>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</si>
  <si>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</si>
  <si>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</si>
  <si>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</si>
  <si>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</si>
  <si>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</si>
  <si>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</si>
  <si>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</si>
  <si>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</si>
  <si>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</si>
  <si>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</si>
  <si>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</si>
  <si>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</si>
  <si>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</si>
  <si>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</si>
  <si>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</si>
  <si>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</si>
  <si>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</si>
  <si>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</si>
  <si>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</si>
  <si>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</si>
  <si>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</si>
  <si>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</si>
  <si>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</si>
  <si>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</si>
  <si>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</si>
  <si>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</si>
  <si>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</si>
  <si>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</si>
  <si>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</si>
  <si>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</si>
  <si>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</si>
  <si>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</si>
  <si>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</si>
  <si>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</si>
  <si>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</si>
  <si>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</si>
  <si>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</si>
  <si>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</si>
  <si>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</si>
  <si>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</si>
  <si>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</si>
  <si>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</si>
  <si>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</si>
  <si>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</si>
  <si>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</si>
  <si>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</si>
  <si>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</si>
  <si>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</si>
  <si>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</si>
  <si>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</si>
  <si>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</si>
  <si>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</si>
  <si>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</si>
  <si>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</si>
  <si>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</si>
  <si>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</si>
  <si>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</si>
  <si>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</si>
  <si>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</si>
  <si>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</si>
  <si>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</si>
  <si>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</si>
  <si>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</si>
  <si>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</si>
  <si>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</si>
  <si>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</si>
  <si>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</si>
  <si>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</si>
  <si>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</si>
  <si>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</si>
  <si>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</si>
  <si>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</si>
  <si>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</si>
  <si>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</si>
  <si>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</si>
  <si>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</si>
  <si>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</si>
  <si>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</si>
  <si>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</si>
  <si>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</si>
  <si>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</si>
  <si>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</si>
  <si>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</si>
  <si>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</si>
  <si>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</si>
  <si>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</si>
  <si>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</si>
  <si>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</si>
  <si>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</si>
  <si>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</si>
  <si>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</si>
  <si>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</si>
  <si>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</si>
  <si>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</si>
  <si>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</si>
  <si>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</si>
  <si>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</si>
  <si>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</si>
  <si>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</si>
  <si>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</si>
  <si>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</si>
  <si>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</si>
  <si>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</si>
  <si>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</si>
  <si>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</si>
  <si>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</si>
  <si>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</si>
  <si>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</si>
  <si>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</si>
  <si>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</si>
  <si>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</si>
  <si>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</si>
  <si>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</si>
  <si>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</si>
  <si>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</si>
  <si>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</si>
  <si>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</si>
  <si>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</si>
  <si>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</si>
  <si>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</si>
  <si>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</si>
  <si>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</si>
  <si>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</si>
  <si>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</si>
  <si>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</si>
  <si>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</si>
  <si>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</si>
  <si>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</si>
  <si>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</si>
  <si>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</si>
  <si>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</si>
  <si>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</si>
  <si>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</si>
  <si>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</si>
  <si>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</si>
  <si>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</si>
  <si>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</si>
  <si>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</si>
  <si>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</si>
  <si>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</si>
  <si>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</si>
  <si>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</si>
  <si>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</si>
  <si>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</si>
  <si>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</si>
  <si>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</si>
  <si>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</si>
  <si>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</si>
  <si>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</si>
  <si>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</si>
  <si>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</si>
  <si>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</si>
  <si>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</si>
  <si>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</si>
  <si>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</si>
  <si>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</si>
  <si>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</si>
  <si>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</si>
  <si>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</si>
  <si>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</si>
  <si>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</si>
  <si>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</si>
  <si>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</si>
  <si>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</si>
  <si>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</si>
  <si>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</si>
  <si>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</si>
  <si>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</si>
  <si>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</si>
  <si>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</si>
  <si>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</si>
  <si>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</si>
  <si>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</si>
  <si>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</si>
  <si>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</si>
  <si>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</si>
  <si>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</si>
  <si>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</si>
  <si>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</si>
  <si>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</si>
  <si>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</si>
  <si>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</si>
  <si>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</si>
  <si>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</si>
  <si>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</si>
  <si>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</si>
  <si>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</si>
  <si>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</si>
  <si>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</si>
  <si>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</si>
  <si>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</si>
  <si>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</si>
  <si>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</si>
  <si>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</si>
  <si>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</si>
  <si>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</si>
  <si>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</si>
  <si>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</si>
  <si>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</si>
  <si>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</si>
  <si>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</si>
  <si>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</si>
  <si>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</si>
  <si>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</si>
  <si>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</si>
  <si>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</si>
  <si>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</si>
  <si>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</si>
  <si>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</si>
  <si>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</si>
  <si>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</si>
  <si>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</si>
  <si>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</si>
  <si>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</si>
  <si>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</si>
  <si>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</si>
  <si>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</si>
  <si>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</si>
  <si>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</si>
  <si>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</si>
  <si>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</si>
  <si>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</si>
  <si>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</si>
  <si>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</si>
  <si>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</si>
  <si>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</si>
  <si>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</si>
  <si>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</si>
  <si>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</si>
  <si>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</si>
  <si>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</si>
  <si>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</si>
  <si>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</si>
  <si>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</si>
  <si>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</si>
  <si>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</si>
  <si>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</si>
  <si>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</si>
  <si>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</si>
  <si>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</si>
  <si>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</si>
  <si>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</si>
  <si>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</si>
  <si>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</si>
  <si>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</si>
  <si>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</si>
  <si>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</si>
  <si>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</si>
  <si>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</si>
  <si>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</si>
  <si>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</si>
  <si>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</si>
  <si>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</si>
  <si>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</si>
  <si>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</si>
  <si>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</si>
  <si>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</si>
  <si>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</si>
  <si>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</si>
  <si>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</si>
  <si>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</si>
  <si>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</si>
  <si>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</si>
  <si>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</si>
  <si>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</si>
  <si>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</si>
  <si>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</si>
  <si>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</si>
  <si>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</si>
  <si>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</si>
  <si>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</si>
  <si>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</si>
  <si>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</si>
  <si>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</si>
  <si>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</si>
  <si>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</si>
  <si>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</si>
  <si>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</si>
  <si>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</si>
  <si>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</si>
  <si>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</si>
  <si>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</si>
  <si>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</si>
  <si>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</si>
  <si>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</si>
  <si>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</si>
  <si>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</si>
  <si>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</si>
  <si>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</si>
  <si>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</si>
  <si>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</si>
  <si>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</si>
  <si>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</si>
  <si>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</si>
  <si>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</si>
  <si>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</si>
  <si>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</si>
  <si>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</si>
  <si>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</si>
  <si>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</si>
  <si>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</si>
  <si>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</si>
  <si>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</si>
  <si>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</si>
  <si>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</si>
  <si>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</si>
  <si>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</si>
  <si>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</si>
  <si>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</si>
  <si>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</si>
  <si>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</si>
  <si>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</si>
  <si>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</si>
  <si>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</si>
  <si>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</si>
  <si>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</si>
  <si>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</si>
  <si>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</si>
  <si>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</si>
  <si>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</si>
  <si>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</si>
  <si>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</si>
  <si>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</si>
  <si>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</si>
  <si>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</si>
  <si>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</si>
  <si>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</si>
  <si>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</si>
  <si>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</si>
  <si>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</si>
  <si>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</si>
  <si>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</si>
  <si>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</si>
  <si>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</si>
  <si>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</si>
  <si>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</si>
  <si>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</si>
  <si>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</si>
  <si>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</si>
  <si>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</si>
  <si>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</si>
  <si>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</si>
  <si>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</si>
  <si>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</si>
  <si>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</si>
  <si>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</si>
  <si>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</si>
  <si>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</si>
  <si>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</si>
  <si>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</si>
  <si>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</si>
  <si>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</si>
  <si>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</si>
  <si>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</si>
  <si>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</si>
  <si>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</si>
  <si>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</si>
  <si>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</si>
  <si>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</si>
  <si>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</si>
  <si>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</si>
  <si>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</si>
  <si>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</si>
  <si>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</si>
  <si>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</si>
  <si>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</si>
  <si>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</si>
  <si>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</si>
  <si>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</si>
  <si>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</si>
  <si>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</si>
  <si>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</si>
  <si>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</si>
  <si>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</si>
  <si>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</si>
  <si>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</si>
  <si>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</si>
  <si>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</si>
  <si>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</si>
  <si>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</si>
  <si>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</si>
  <si>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</si>
  <si>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</si>
  <si>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</si>
  <si>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</si>
  <si>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</si>
  <si>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</si>
  <si>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</si>
  <si>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</si>
  <si>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</si>
  <si>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</si>
  <si>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</si>
  <si>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</si>
  <si>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</si>
  <si>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</si>
  <si>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</si>
  <si>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</si>
  <si>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</si>
  <si>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</si>
  <si>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</si>
  <si>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</si>
  <si>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</si>
  <si>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</si>
  <si>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</si>
  <si>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</si>
  <si>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</si>
  <si>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</si>
  <si>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</si>
  <si>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</si>
  <si>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</si>
  <si>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</si>
  <si>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</si>
  <si>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</si>
  <si>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</si>
  <si>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</si>
  <si>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</si>
  <si>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</si>
  <si>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</si>
  <si>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</si>
  <si>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</si>
  <si>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</si>
  <si>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</si>
  <si>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</si>
  <si>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</si>
  <si>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</si>
  <si>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</si>
  <si>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</si>
  <si>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</si>
  <si>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</si>
  <si>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</si>
  <si>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</si>
  <si>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</si>
  <si>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</si>
  <si>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</si>
  <si>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</si>
  <si>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</si>
  <si>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</si>
  <si>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</si>
  <si>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</si>
  <si>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</si>
  <si>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</si>
  <si>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</si>
  <si>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</si>
  <si>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</si>
  <si>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</si>
  <si>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</si>
  <si>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</si>
  <si>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</si>
  <si>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</si>
  <si>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</si>
  <si>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</si>
  <si>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</si>
  <si>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</si>
  <si>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</si>
  <si>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</si>
  <si>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</si>
  <si>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</si>
  <si>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</si>
  <si>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</si>
  <si>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</si>
  <si>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</si>
  <si>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</si>
  <si>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</si>
  <si>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</si>
  <si>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</si>
  <si>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</si>
  <si>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</si>
  <si>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</si>
  <si>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</si>
  <si>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</si>
  <si>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</si>
  <si>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</si>
  <si>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</si>
  <si>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</si>
  <si>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</si>
  <si>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</si>
  <si>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</si>
  <si>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</si>
  <si>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</si>
  <si>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</si>
  <si>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</si>
  <si>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</si>
  <si>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</si>
  <si>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</si>
  <si>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</si>
  <si>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</si>
  <si>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</si>
  <si>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</si>
  <si>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</si>
  <si>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</si>
  <si>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</si>
  <si>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</si>
  <si>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</si>
  <si>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</si>
  <si>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</si>
  <si>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</si>
  <si>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</si>
  <si>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</si>
  <si>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</si>
  <si>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</si>
  <si>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</si>
  <si>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</si>
  <si>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</si>
  <si>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</si>
  <si>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</si>
  <si>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</si>
  <si>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</si>
  <si>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</si>
  <si>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</si>
  <si>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</si>
  <si>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</si>
  <si>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</si>
  <si>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</si>
  <si>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</si>
  <si>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</si>
  <si>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</si>
  <si>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</si>
  <si>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</si>
  <si>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</si>
  <si>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</si>
  <si>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</si>
  <si>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</si>
  <si>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</si>
  <si>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</si>
  <si>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</si>
  <si>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</si>
  <si>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</si>
  <si>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</si>
  <si>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</si>
  <si>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</si>
  <si>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</si>
  <si>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</si>
  <si>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</si>
  <si>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</si>
  <si>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</si>
  <si>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</si>
  <si>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</si>
  <si>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</si>
  <si>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</si>
  <si>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</si>
  <si>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</si>
  <si>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</si>
  <si>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</si>
  <si>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</si>
  <si>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</si>
  <si>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</si>
  <si>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</si>
  <si>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</si>
  <si>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</si>
  <si>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</si>
  <si>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</si>
  <si>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</si>
  <si>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</si>
  <si>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</si>
  <si>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</si>
  <si>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</si>
  <si>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</si>
  <si>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</si>
  <si>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</si>
  <si>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</si>
  <si>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</si>
  <si>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</si>
  <si>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</si>
  <si>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</si>
  <si>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</si>
  <si>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</si>
  <si>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</si>
  <si>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</si>
  <si>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</si>
  <si>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</si>
  <si>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</si>
  <si>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</si>
  <si>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</si>
  <si>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</si>
  <si>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</si>
  <si>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</si>
  <si>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</si>
  <si>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</si>
  <si>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</si>
  <si>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</si>
  <si>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</si>
  <si>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</si>
  <si>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</si>
  <si>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</si>
  <si>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</si>
  <si>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</si>
  <si>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</si>
  <si>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</si>
  <si>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</si>
  <si>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</si>
  <si>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</si>
  <si>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</si>
  <si>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</si>
  <si>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</si>
  <si>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</si>
  <si>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</si>
  <si>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</si>
  <si>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</si>
  <si>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</si>
  <si>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</si>
  <si>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</si>
  <si>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</si>
  <si>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</si>
  <si>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</si>
  <si>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</si>
  <si>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</si>
  <si>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</si>
  <si>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</si>
  <si>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</si>
  <si>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</si>
  <si>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</si>
  <si>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</si>
  <si>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</si>
  <si>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</si>
  <si>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</si>
  <si>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</si>
  <si>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</si>
  <si>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</si>
  <si>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</si>
  <si>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</si>
  <si>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</si>
  <si>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</si>
  <si>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</si>
  <si>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</si>
  <si>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</si>
  <si>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</si>
  <si>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</si>
  <si>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</si>
  <si>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</si>
  <si>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</si>
  <si>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</si>
  <si>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</si>
  <si>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</si>
  <si>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</si>
  <si>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</si>
  <si>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</si>
  <si>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</si>
  <si>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</si>
  <si>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</si>
  <si>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</si>
  <si>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</si>
  <si>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</si>
  <si>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</si>
  <si>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</si>
  <si>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</si>
  <si>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</si>
  <si>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</si>
  <si>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</si>
  <si>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</si>
  <si>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</si>
  <si>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</si>
  <si>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</si>
  <si>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</si>
  <si>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</si>
  <si>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</si>
  <si>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</si>
  <si>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</si>
  <si>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</si>
  <si>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</si>
  <si>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</si>
  <si>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</si>
  <si>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</si>
  <si>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</si>
  <si>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</si>
  <si>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</si>
  <si>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</si>
  <si>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</si>
  <si>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</si>
  <si>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</si>
  <si>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</si>
  <si>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</si>
  <si>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</si>
  <si>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</si>
  <si>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</si>
  <si>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</si>
  <si>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</si>
  <si>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</si>
  <si>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</si>
  <si>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</si>
  <si>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</si>
  <si>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</si>
  <si>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</si>
  <si>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</si>
  <si>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</si>
  <si>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</si>
  <si>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</si>
  <si>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</si>
  <si>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</si>
  <si>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</si>
  <si>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</si>
  <si>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</si>
  <si>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</si>
  <si>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</si>
  <si>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</si>
  <si>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</si>
  <si>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</si>
  <si>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</si>
  <si>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</si>
  <si>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</si>
  <si>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</si>
  <si>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</si>
  <si>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</si>
  <si>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</si>
  <si>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</si>
  <si>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</si>
  <si>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</si>
  <si>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</si>
  <si>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</si>
  <si>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</si>
  <si>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</si>
  <si>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</si>
  <si>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</si>
  <si>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</si>
  <si>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</si>
  <si>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</si>
  <si>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</si>
  <si>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</si>
  <si>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</si>
  <si>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</si>
  <si>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</si>
  <si>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</si>
  <si>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</si>
  <si>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</si>
  <si>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</si>
  <si>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</si>
  <si>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</si>
  <si>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</si>
  <si>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</si>
  <si>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</si>
  <si>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</si>
  <si>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</si>
  <si>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</si>
  <si>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</si>
  <si>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</si>
  <si>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</si>
  <si>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</si>
  <si>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</si>
  <si>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</si>
  <si>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</si>
  <si>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</si>
  <si>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</si>
  <si>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</si>
  <si>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</si>
  <si>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</si>
  <si>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</si>
  <si>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</si>
  <si>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</si>
  <si>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</si>
  <si>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</si>
  <si>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</si>
  <si>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</si>
  <si>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</si>
  <si>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</si>
  <si>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</si>
  <si>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</si>
  <si>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</si>
  <si>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</si>
  <si>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</si>
  <si>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</si>
  <si>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</si>
  <si>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</si>
  <si>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</si>
  <si>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</si>
  <si>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</si>
  <si>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</si>
  <si>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</si>
  <si>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</si>
  <si>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</si>
  <si>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</si>
  <si>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</si>
  <si>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</si>
  <si>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</si>
  <si>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</si>
  <si>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</si>
  <si>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</si>
  <si>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</si>
  <si>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</si>
  <si>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</si>
  <si>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</si>
  <si>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</si>
  <si>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</si>
  <si>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</si>
  <si>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</si>
  <si>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</si>
  <si>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</si>
  <si>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</si>
  <si>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</si>
  <si>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</si>
  <si>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</si>
  <si>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</si>
  <si>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</si>
  <si>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</si>
  <si>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</si>
  <si>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</si>
  <si>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</si>
  <si>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</si>
  <si>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</si>
  <si>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</si>
  <si>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</si>
  <si>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</si>
  <si>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</si>
  <si>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</si>
  <si>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</si>
  <si>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</si>
  <si>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</si>
  <si>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</si>
  <si>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</si>
  <si>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</si>
  <si>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</si>
  <si>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</si>
  <si>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</si>
  <si>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</si>
  <si>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</si>
  <si>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</si>
  <si>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</si>
  <si>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</si>
  <si>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</si>
  <si>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</si>
  <si>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</si>
  <si>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</si>
  <si>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</si>
  <si>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</si>
  <si>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</si>
  <si>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</si>
  <si>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</si>
  <si>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</si>
  <si>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</si>
  <si>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</si>
  <si>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</si>
  <si>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</si>
  <si>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</si>
  <si>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</si>
  <si>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</si>
  <si>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</si>
  <si>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</si>
  <si>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</si>
  <si>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</si>
  <si>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</si>
  <si>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</si>
  <si>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</si>
  <si>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</si>
  <si>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</si>
  <si>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</si>
  <si>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</si>
  <si>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</si>
  <si>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</si>
  <si>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</si>
  <si>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</si>
  <si>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</si>
  <si>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</si>
  <si>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</si>
  <si>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</si>
  <si>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</si>
  <si>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</si>
  <si>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</si>
  <si>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</si>
  <si>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</si>
  <si>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</si>
  <si>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</si>
  <si>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</si>
  <si>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</si>
  <si>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</si>
  <si>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</si>
  <si>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</si>
  <si>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</si>
  <si>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</si>
  <si>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</si>
  <si>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</si>
  <si>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</si>
  <si>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</si>
  <si>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</si>
  <si>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</si>
  <si>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</si>
  <si>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</si>
  <si>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</si>
  <si>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</si>
  <si>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</si>
  <si>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</si>
  <si>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</si>
  <si>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</si>
  <si>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</si>
  <si>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</si>
  <si>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</si>
  <si>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</si>
  <si>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</si>
  <si>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</si>
  <si>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</si>
  <si>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</si>
  <si>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</si>
  <si>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</si>
  <si>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</si>
  <si>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</si>
  <si>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</si>
  <si>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</si>
  <si>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</si>
  <si>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</si>
  <si>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</si>
  <si>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</si>
  <si>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</si>
  <si>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</si>
  <si>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</si>
  <si>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</si>
  <si>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</si>
  <si>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</si>
  <si>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</si>
  <si>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</si>
  <si>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</si>
  <si>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</si>
  <si>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</si>
  <si>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</si>
  <si>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</si>
  <si>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</si>
  <si>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</si>
  <si>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</si>
  <si>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</si>
  <si>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</si>
  <si>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</si>
  <si>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</si>
  <si>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</si>
  <si>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</si>
  <si>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</si>
  <si>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</si>
  <si>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</si>
  <si>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</si>
  <si>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</si>
  <si>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</si>
  <si>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</si>
  <si>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</si>
  <si>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</si>
  <si>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</si>
  <si>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</si>
  <si>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</si>
  <si>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</si>
  <si>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</si>
  <si>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</si>
  <si>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</si>
  <si>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</si>
  <si>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</si>
  <si>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</si>
  <si>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</si>
  <si>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</si>
  <si>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</si>
  <si>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</si>
  <si>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</si>
  <si>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</si>
  <si>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</si>
  <si>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</si>
  <si>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</si>
  <si>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</si>
  <si>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</si>
  <si>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</si>
  <si>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</si>
  <si>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</si>
  <si>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</si>
  <si>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</si>
  <si>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</si>
  <si>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</si>
  <si>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</si>
  <si>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</si>
  <si>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</si>
  <si>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</si>
  <si>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</si>
  <si>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</si>
  <si>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</si>
  <si>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</si>
  <si>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</si>
  <si>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</si>
  <si>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</si>
  <si>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</si>
  <si>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</si>
  <si>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</si>
  <si>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</si>
  <si>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</si>
  <si>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</si>
  <si>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</si>
  <si>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</si>
  <si>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</si>
  <si>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</si>
  <si>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</si>
  <si>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</si>
  <si>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</si>
  <si>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</si>
  <si>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</si>
  <si>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</si>
  <si>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</si>
  <si>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</si>
  <si>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</si>
  <si>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</si>
  <si>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</si>
  <si>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</si>
  <si>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</si>
  <si>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</si>
  <si>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</si>
  <si>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</si>
  <si>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</si>
  <si>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</si>
  <si>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</si>
  <si>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</si>
  <si>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</si>
  <si>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</si>
  <si>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</si>
  <si>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</si>
  <si>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</si>
  <si>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</si>
  <si>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</si>
  <si>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</si>
  <si>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</si>
  <si>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</si>
  <si>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</si>
  <si>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</si>
  <si>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</si>
  <si>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</si>
  <si>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</si>
  <si>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</si>
  <si>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</si>
  <si>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</si>
  <si>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</si>
  <si>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</si>
  <si>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</si>
  <si>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</si>
  <si>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</si>
  <si>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</si>
  <si>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</si>
  <si>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</si>
  <si>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</si>
  <si>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</si>
  <si>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</si>
  <si>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</si>
  <si>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</si>
  <si>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</si>
  <si>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</si>
  <si>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</si>
  <si>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</si>
  <si>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</si>
  <si>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</si>
  <si>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</si>
  <si>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</si>
  <si>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</si>
  <si>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</si>
  <si>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</si>
  <si>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</si>
  <si>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</si>
  <si>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</si>
  <si>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</si>
  <si>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</si>
  <si>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</si>
  <si>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</si>
  <si>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</si>
  <si>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</si>
  <si>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</si>
  <si>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</si>
  <si>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</si>
  <si>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</si>
  <si>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</si>
  <si>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</si>
  <si>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</si>
  <si>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</si>
  <si>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</si>
  <si>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</si>
  <si>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</si>
  <si>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</si>
  <si>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</si>
  <si>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</si>
  <si>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</si>
  <si>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</si>
  <si>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</si>
  <si>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</si>
  <si>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</si>
  <si>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</si>
  <si>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</si>
  <si>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</si>
  <si>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</si>
  <si>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</si>
  <si>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</si>
  <si>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</si>
  <si>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</si>
  <si>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</si>
  <si>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</si>
  <si>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</si>
  <si>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</si>
  <si>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</si>
  <si>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</si>
  <si>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</si>
  <si>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</si>
  <si>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</si>
  <si>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</si>
  <si>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</si>
  <si>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</si>
  <si>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</si>
  <si>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</si>
  <si>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</si>
  <si>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</si>
  <si>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</si>
  <si>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</si>
  <si>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</si>
  <si>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</si>
  <si>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</si>
  <si>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</si>
  <si>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</si>
  <si>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</si>
  <si>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</si>
  <si>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</si>
  <si>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</si>
  <si>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</si>
  <si>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</si>
  <si>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</si>
  <si>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</si>
  <si>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</si>
  <si>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</si>
  <si>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</si>
  <si>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</si>
  <si>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</si>
  <si>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</si>
  <si>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</si>
  <si>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</si>
  <si>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</si>
  <si>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</si>
  <si>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</si>
  <si>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</si>
  <si>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</si>
  <si>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</si>
  <si>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</si>
  <si>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</si>
  <si>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</si>
  <si>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</si>
  <si>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</si>
  <si>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</si>
  <si>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</si>
  <si>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</si>
  <si>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</si>
  <si>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</si>
  <si>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</si>
  <si>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</si>
  <si>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</si>
  <si>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</si>
  <si>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</si>
  <si>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</si>
  <si>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</si>
  <si>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</si>
  <si>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</si>
  <si>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</si>
  <si>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</si>
  <si>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</si>
  <si>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</si>
  <si>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</si>
  <si>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</si>
  <si>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</si>
  <si>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</si>
  <si>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</si>
  <si>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</si>
  <si>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</si>
  <si>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</si>
  <si>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</si>
  <si>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</si>
  <si>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</si>
  <si>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</si>
  <si>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</si>
  <si>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</si>
  <si>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</si>
  <si>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</si>
  <si>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</si>
  <si>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</si>
  <si>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</si>
  <si>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</si>
  <si>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</si>
  <si>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</si>
  <si>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</si>
  <si>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</si>
  <si>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</si>
  <si>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</si>
  <si>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</si>
  <si>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</si>
  <si>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</si>
  <si>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</si>
  <si>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</si>
  <si>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</si>
  <si>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</si>
  <si>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</si>
  <si>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</si>
  <si>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</si>
  <si>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</si>
  <si>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</si>
  <si>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</si>
  <si>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</si>
  <si>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</si>
  <si>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</si>
  <si>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</si>
  <si>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</si>
  <si>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</si>
  <si>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</si>
  <si>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</si>
  <si>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</si>
  <si>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</si>
  <si>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</si>
  <si>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</si>
  <si>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</si>
  <si>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</si>
  <si>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</si>
  <si>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</si>
  <si>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</si>
  <si>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</si>
  <si>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</si>
  <si>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</si>
  <si>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</si>
  <si>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</si>
  <si>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</si>
  <si>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</si>
  <si>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</si>
  <si>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</si>
  <si>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</si>
  <si>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</si>
  <si>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</si>
  <si>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</si>
  <si>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</si>
  <si>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</si>
  <si>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</si>
  <si>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</si>
  <si>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</si>
  <si>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</si>
  <si>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</si>
  <si>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</si>
  <si>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</si>
  <si>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</si>
  <si>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</si>
  <si>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</si>
  <si>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</si>
  <si>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</si>
  <si>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</si>
  <si>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</si>
  <si>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</si>
  <si>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</si>
  <si>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</si>
  <si>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</si>
  <si>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</si>
  <si>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</si>
  <si>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</si>
  <si>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</si>
  <si>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</si>
  <si>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</si>
  <si>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</si>
  <si>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</si>
  <si>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</si>
  <si>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</si>
  <si>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</si>
  <si>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</si>
  <si>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</si>
  <si>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</si>
  <si>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</si>
  <si>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</si>
  <si>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</si>
  <si>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</si>
  <si>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</si>
  <si>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</si>
  <si>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</si>
  <si>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</si>
  <si>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</si>
  <si>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</si>
  <si>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</si>
  <si>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</si>
  <si>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</si>
  <si>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</si>
  <si>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</si>
  <si>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</si>
  <si>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</si>
  <si>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</si>
  <si>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</si>
  <si>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</si>
  <si>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</si>
  <si>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</si>
  <si>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</si>
  <si>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</si>
  <si>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</si>
  <si>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</si>
  <si>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</si>
  <si>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</si>
  <si>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</si>
  <si>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</si>
  <si>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</si>
  <si>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</si>
  <si>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</si>
  <si>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</si>
  <si>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</si>
  <si>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</si>
  <si>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</si>
  <si>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</si>
  <si>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</si>
  <si>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</si>
  <si>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</si>
  <si>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</si>
  <si>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</si>
  <si>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</si>
  <si>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</si>
  <si>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</si>
  <si>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</si>
  <si>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</si>
  <si>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</si>
  <si>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</si>
  <si>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</si>
  <si>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</si>
  <si>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</si>
  <si>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</si>
  <si>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</si>
  <si>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</si>
  <si>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</si>
  <si>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</si>
  <si>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</si>
  <si>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</si>
  <si>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</si>
  <si>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</si>
  <si>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</si>
  <si>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</si>
  <si>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</si>
  <si>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</si>
  <si>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</si>
  <si>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</si>
  <si>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</si>
  <si>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</si>
  <si>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</si>
  <si>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</si>
  <si>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</si>
  <si>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</si>
  <si>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</si>
  <si>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</si>
  <si>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</si>
  <si>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</si>
  <si>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</si>
  <si>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</si>
  <si>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</si>
  <si>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</si>
  <si>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</si>
  <si>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</si>
  <si>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</si>
  <si>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</si>
  <si>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</si>
  <si>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</si>
  <si>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</si>
  <si>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</si>
  <si>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</si>
  <si>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</si>
  <si>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</si>
  <si>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</si>
  <si>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</si>
  <si>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</si>
  <si>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</si>
  <si>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</si>
  <si>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</si>
  <si>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</si>
  <si>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</si>
  <si>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</si>
  <si>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</si>
  <si>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</si>
  <si>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</si>
  <si>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</si>
  <si>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</si>
  <si>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</si>
  <si>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</si>
  <si>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</si>
  <si>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</si>
  <si>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</si>
  <si>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</si>
  <si>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</si>
  <si>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</si>
  <si>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</si>
  <si>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</si>
  <si>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</si>
  <si>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</si>
  <si>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</si>
  <si>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</si>
  <si>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</si>
  <si>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</si>
  <si>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</si>
  <si>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</si>
  <si>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</si>
  <si>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</si>
  <si>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</si>
  <si>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</si>
  <si>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</si>
  <si>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</si>
  <si>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</si>
  <si>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</si>
  <si>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</si>
  <si>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</si>
  <si>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</si>
  <si>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</si>
  <si>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</si>
  <si>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</si>
  <si>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</si>
  <si>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</si>
  <si>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</si>
  <si>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</si>
  <si>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</si>
  <si>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</si>
  <si>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</si>
  <si>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</si>
  <si>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</si>
  <si>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</si>
  <si>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</si>
  <si>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</si>
  <si>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</si>
  <si>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</si>
  <si>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</si>
  <si>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</si>
  <si>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</si>
  <si>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</si>
  <si>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</si>
  <si>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</si>
  <si>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</si>
  <si>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</si>
  <si>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</si>
  <si>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</si>
  <si>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</si>
  <si>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</si>
  <si>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</si>
  <si>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</si>
  <si>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</si>
  <si>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</si>
  <si>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</si>
  <si>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</si>
  <si>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</si>
  <si>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</si>
  <si>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</si>
  <si>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</si>
  <si>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</si>
  <si>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</si>
  <si>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</si>
  <si>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</si>
  <si>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</si>
  <si>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</si>
  <si>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</si>
  <si>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</si>
  <si>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</si>
  <si>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</si>
  <si>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</si>
  <si>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</si>
  <si>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</si>
  <si>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</si>
  <si>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</si>
  <si>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</si>
  <si>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</si>
  <si>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</si>
  <si>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</si>
  <si>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</si>
  <si>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</si>
  <si>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</si>
  <si>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</si>
  <si>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</si>
  <si>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</si>
  <si>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</si>
  <si>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</si>
  <si>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</si>
  <si>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</si>
  <si>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</si>
  <si>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</si>
  <si>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</si>
  <si>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</si>
  <si>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</si>
  <si>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</si>
  <si>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</si>
  <si>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</si>
  <si>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</si>
  <si>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</si>
  <si>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</si>
  <si>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</si>
  <si>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</si>
  <si>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</si>
  <si>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</si>
  <si>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</si>
  <si>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</si>
  <si>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</si>
  <si>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</si>
  <si>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</si>
  <si>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</si>
  <si>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</si>
  <si>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</si>
  <si>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</si>
  <si>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</si>
  <si>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</si>
  <si>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</si>
  <si>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</si>
  <si>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</si>
  <si>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</si>
  <si>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</si>
  <si>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</si>
  <si>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</si>
  <si>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</si>
  <si>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</si>
  <si>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</si>
  <si>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</si>
  <si>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</si>
  <si>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</si>
  <si>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</si>
  <si>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</si>
  <si>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</si>
  <si>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</si>
  <si>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</si>
  <si>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</si>
  <si>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</si>
  <si>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</si>
  <si>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</si>
  <si>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</si>
  <si>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</si>
  <si>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</si>
  <si>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</si>
  <si>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</si>
  <si>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</si>
  <si>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</si>
  <si>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</si>
  <si>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</si>
  <si>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</si>
  <si>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</si>
  <si>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</si>
  <si>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</si>
  <si>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</si>
  <si>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</si>
  <si>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</si>
  <si>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</si>
  <si>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</si>
  <si>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</si>
  <si>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</si>
  <si>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</si>
  <si>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</si>
  <si>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</si>
  <si>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</si>
  <si>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</si>
  <si>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</si>
  <si>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</si>
  <si>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</si>
  <si>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</si>
  <si>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</si>
  <si>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</si>
  <si>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</si>
  <si>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</si>
  <si>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</si>
  <si>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</si>
  <si>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</si>
  <si>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</si>
  <si>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</si>
  <si>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</si>
  <si>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</si>
  <si>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</si>
  <si>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</si>
  <si>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</si>
  <si>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</si>
  <si>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</si>
  <si>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</si>
  <si>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</si>
  <si>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</si>
  <si>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</si>
  <si>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</si>
  <si>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</si>
  <si>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</si>
  <si>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</si>
  <si>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</si>
  <si>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</si>
  <si>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</si>
  <si>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</si>
  <si>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</si>
  <si>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</si>
  <si>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</si>
  <si>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</si>
  <si>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</si>
  <si>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</si>
  <si>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</si>
  <si>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</si>
  <si>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</si>
  <si>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</si>
  <si>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</si>
  <si>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</si>
  <si>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</si>
  <si>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</si>
  <si>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</si>
  <si>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</si>
  <si>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</si>
  <si>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</si>
  <si>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</si>
  <si>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</si>
  <si>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</si>
  <si>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</si>
  <si>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</si>
  <si>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</si>
  <si>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</si>
  <si>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</si>
  <si>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</si>
  <si>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</si>
  <si>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</si>
  <si>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</si>
  <si>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</si>
  <si>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</si>
  <si>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</si>
  <si>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</si>
  <si>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</si>
  <si>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</si>
  <si>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</si>
  <si>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</si>
  <si>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</si>
  <si>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</si>
  <si>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</si>
  <si>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</si>
  <si>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</si>
  <si>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</si>
  <si>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</si>
  <si>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</si>
  <si>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</si>
  <si>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</si>
  <si>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</si>
  <si>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</si>
  <si>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</si>
  <si>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</si>
  <si>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</si>
  <si>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</si>
  <si>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</si>
  <si>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</si>
  <si>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</si>
  <si>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</si>
  <si>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</si>
  <si>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</si>
  <si>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</si>
  <si>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</si>
  <si>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</si>
  <si>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</si>
  <si>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</si>
  <si>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</si>
  <si>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</si>
  <si>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</si>
  <si>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</si>
  <si>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</si>
  <si>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</si>
  <si>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</si>
  <si>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</si>
  <si>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</si>
  <si>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</si>
  <si>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</si>
  <si>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</si>
  <si>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</si>
  <si>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</si>
  <si>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</si>
  <si>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</si>
  <si>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</si>
  <si>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</si>
  <si>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</si>
  <si>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</si>
  <si>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</si>
  <si>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</si>
  <si>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</si>
  <si>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</si>
  <si>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</si>
  <si>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</si>
  <si>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</si>
  <si>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</si>
  <si>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</si>
  <si>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</si>
  <si>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</si>
  <si>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</si>
  <si>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</si>
  <si>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</si>
  <si>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</si>
  <si>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</si>
  <si>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</si>
  <si>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</si>
  <si>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</si>
  <si>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</si>
  <si>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</si>
  <si>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</si>
  <si>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</si>
  <si>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</si>
  <si>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</si>
  <si>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</si>
  <si>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</si>
  <si>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</si>
  <si>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</si>
  <si>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</si>
  <si>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</si>
  <si>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</si>
  <si>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</si>
  <si>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</si>
  <si>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</si>
  <si>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</si>
  <si>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</si>
  <si>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</si>
  <si>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</si>
  <si>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</si>
  <si>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</si>
  <si>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</si>
  <si>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</si>
  <si>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</si>
  <si>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</si>
  <si>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</si>
  <si>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</si>
  <si>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</si>
  <si>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</si>
  <si>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</si>
  <si>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</si>
  <si>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</si>
  <si>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</si>
  <si>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</si>
  <si>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</si>
  <si>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</si>
  <si>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</si>
  <si>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</si>
  <si>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</si>
  <si>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</si>
  <si>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</si>
  <si>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</si>
  <si>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</si>
  <si>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</si>
  <si>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</si>
  <si>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</si>
  <si>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</si>
  <si>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</si>
  <si>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</si>
  <si>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</si>
  <si>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</si>
  <si>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</si>
  <si>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</si>
  <si>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</si>
  <si>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</si>
  <si>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</si>
  <si>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</si>
  <si>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</si>
  <si>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</si>
  <si>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</si>
  <si>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</si>
  <si>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</si>
  <si>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</si>
  <si>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</si>
  <si>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</si>
  <si>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</si>
  <si>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</si>
  <si>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</si>
  <si>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</si>
  <si>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</si>
  <si>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</si>
  <si>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</si>
  <si>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</si>
  <si>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</si>
  <si>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</si>
  <si>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</si>
  <si>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</si>
  <si>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</si>
  <si>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</si>
  <si>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</si>
  <si>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</si>
  <si>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</si>
  <si>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</si>
  <si>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</si>
  <si>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</si>
  <si>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</si>
  <si>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</si>
  <si>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</si>
  <si>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</si>
  <si>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</si>
  <si>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</si>
  <si>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</si>
  <si>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</si>
  <si>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</si>
  <si>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</si>
  <si>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</si>
  <si>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</si>
  <si>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</si>
  <si>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</si>
  <si>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</si>
  <si>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</si>
  <si>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</si>
  <si>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</si>
  <si>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</si>
  <si>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</si>
  <si>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</si>
  <si>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</si>
  <si>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</si>
  <si>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</si>
  <si>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</si>
  <si>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</si>
  <si>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</si>
  <si>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</si>
  <si>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</si>
  <si>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</si>
  <si>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</si>
  <si>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</si>
  <si>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</si>
  <si>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</si>
  <si>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</si>
  <si>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</si>
  <si>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</si>
  <si>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</si>
  <si>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</si>
  <si>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</si>
  <si>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</si>
  <si>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</si>
  <si>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</si>
  <si>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</si>
  <si>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</si>
  <si>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</si>
  <si>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</si>
  <si>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</si>
  <si>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</si>
  <si>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</si>
  <si>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</si>
  <si>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</si>
  <si>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</si>
  <si>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</si>
  <si>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</si>
  <si>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</si>
  <si>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</si>
  <si>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</si>
  <si>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</si>
  <si>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</si>
  <si>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</si>
  <si>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</si>
  <si>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</si>
  <si>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</si>
  <si>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</si>
  <si>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</si>
  <si>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</si>
  <si>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</si>
  <si>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</si>
  <si>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</si>
  <si>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</si>
  <si>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</si>
  <si>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</si>
  <si>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</si>
  <si>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</si>
  <si>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</si>
  <si>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</si>
  <si>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</si>
  <si>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</si>
  <si>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</si>
  <si>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</si>
  <si>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</si>
  <si>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</si>
  <si>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</si>
  <si>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</si>
  <si>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</si>
  <si>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</si>
  <si>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</si>
  <si>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</si>
  <si>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</si>
  <si>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</si>
  <si>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</si>
  <si>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</si>
  <si>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</si>
  <si>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</si>
  <si>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</si>
  <si>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</si>
  <si>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</si>
  <si>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</si>
  <si>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</si>
  <si>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</si>
  <si>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</si>
  <si>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</si>
  <si>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</si>
  <si>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</si>
  <si>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</si>
  <si>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</si>
  <si>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</si>
  <si>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</si>
  <si>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</si>
  <si>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</si>
  <si>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</si>
  <si>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</si>
  <si>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</si>
  <si>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</si>
  <si>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</si>
  <si>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</si>
  <si>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</si>
  <si>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</si>
  <si>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</si>
  <si>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</si>
  <si>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</si>
  <si>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</si>
  <si>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</si>
  <si>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</si>
  <si>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</si>
  <si>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</si>
  <si>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</si>
  <si>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</si>
  <si>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</si>
  <si>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</si>
  <si>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</si>
  <si>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</si>
  <si>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</si>
  <si>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</si>
  <si>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</si>
  <si>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 xml:space="preserve"> 17 Aug 2026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</si>
  <si>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</si>
  <si>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</si>
  <si>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</si>
  <si>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</si>
  <si>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</si>
  <si>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</si>
  <si>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</si>
  <si>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</si>
  <si>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</si>
  <si>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</si>
  <si>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</si>
  <si>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</si>
  <si>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</si>
  <si>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</si>
  <si>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</si>
  <si>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</si>
  <si>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</si>
  <si>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</si>
  <si>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</si>
  <si>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</si>
  <si>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</si>
  <si>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 xml:space="preserve"> 18 Aug 2026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</si>
  <si>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</si>
  <si>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</si>
  <si>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</si>
  <si>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</si>
  <si>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</si>
  <si>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</si>
  <si>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</si>
  <si>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</si>
  <si>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</si>
  <si>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</si>
  <si>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</si>
  <si>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</si>
  <si>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</si>
  <si>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</si>
  <si>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</si>
  <si>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</si>
  <si>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</si>
  <si>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</si>
  <si>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</si>
  <si>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</si>
  <si>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</si>
  <si>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</si>
  <si>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</si>
  <si>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</si>
  <si>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</si>
  <si>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</si>
  <si>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</si>
  <si>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</si>
  <si>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</si>
  <si>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</si>
  <si>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</si>
  <si>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</si>
  <si>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</si>
  <si>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</si>
  <si>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</si>
  <si>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</si>
  <si>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</si>
  <si>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</si>
  <si>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</si>
  <si>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</si>
  <si>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</si>
  <si>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</si>
  <si>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</si>
  <si>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</si>
  <si>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</si>
  <si>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</si>
  <si>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</si>
  <si>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</si>
  <si>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</si>
  <si>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</si>
  <si>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</si>
  <si>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</si>
  <si>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</si>
  <si>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</si>
  <si>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</si>
  <si>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</si>
  <si>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</si>
  <si>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</si>
  <si>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</si>
  <si>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</si>
  <si>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</si>
  <si>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</si>
  <si>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</si>
  <si>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</si>
  <si>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</si>
  <si>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</si>
  <si>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</si>
  <si>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</si>
  <si>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</si>
  <si>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</si>
  <si>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20 Aug 2026</t>
  </si>
  <si>
    <t>105071</t>
  </si>
  <si>
    <t>158758</t>
  </si>
  <si>
    <t xml:space="preserve"> 19 Aug 2026</t>
  </si>
  <si>
    <t>538</t>
  </si>
  <si>
    <t>104770</t>
  </si>
  <si>
    <t>158270</t>
  </si>
  <si>
    <t>618</t>
  </si>
  <si>
    <t>77610</t>
  </si>
  <si>
    <t>154839</t>
  </si>
  <si>
    <t>755</t>
  </si>
  <si>
    <t>76992</t>
  </si>
  <si>
    <t>154069</t>
  </si>
  <si>
    <t>895</t>
  </si>
  <si>
    <t>2617</t>
  </si>
  <si>
    <t>181906</t>
  </si>
  <si>
    <t>350391</t>
  </si>
  <si>
    <t>181011</t>
  </si>
  <si>
    <t>348775</t>
  </si>
  <si>
    <t>997</t>
  </si>
  <si>
    <t>127707</t>
  </si>
  <si>
    <t>281139</t>
  </si>
  <si>
    <t>125</t>
  </si>
  <si>
    <t>1475</t>
  </si>
  <si>
    <t>126710</t>
  </si>
  <si>
    <t>279150</t>
  </si>
  <si>
    <t>903</t>
  </si>
  <si>
    <t>141721</t>
  </si>
  <si>
    <t>421060</t>
  </si>
  <si>
    <t>987</t>
  </si>
  <si>
    <t>140818</t>
  </si>
  <si>
    <t>418772</t>
  </si>
  <si>
    <t>439405</t>
  </si>
  <si>
    <t>1598434</t>
  </si>
  <si>
    <t>698</t>
  </si>
  <si>
    <t>210004</t>
  </si>
  <si>
    <t>706855</t>
  </si>
  <si>
    <t>958</t>
  </si>
  <si>
    <t>209306</t>
  </si>
  <si>
    <t>704570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</si>
</sst>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3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7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R7" sqref="R7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1"/>
  <sheetViews>
    <sheetView tabSelected="1" zoomScaleNormal="100" workbookViewId="0">
      <pane ySplit="4" topLeftCell="A875" activePane="bottomLeft" state="frozen"/>
      <selection pane="bottomLeft" activeCell="M894" sqref="M894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56"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56"/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56"/>
        <v>2142.8571428571427</v>
      </c>
      <c r="I797" s="6">
        <f t="shared" ref="I797:I804" si="57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56"/>
        <v>2142.8571428571427</v>
      </c>
      <c r="I798" s="6">
        <f t="shared" si="57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56"/>
        <v>2142.8571428571427</v>
      </c>
      <c r="I799" s="6">
        <f t="shared" si="57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7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56"/>
        <v>2142.8571428571427</v>
      </c>
      <c r="I801" s="6">
        <f t="shared" si="57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7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7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7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8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8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8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8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8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8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9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60">15000/6</f>
        <v>2500</v>
      </c>
      <c r="I817" s="6">
        <f t="shared" si="59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60"/>
        <v>2500</v>
      </c>
      <c r="I818" s="6">
        <f t="shared" si="59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9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60"/>
        <v>2500</v>
      </c>
      <c r="I820" s="6">
        <f t="shared" si="59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9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9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9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61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61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61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62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62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3:H838" si="63">15000/6</f>
        <v>2500</v>
      </c>
      <c r="I833" s="6">
        <f t="shared" si="62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63"/>
        <v>2500</v>
      </c>
      <c r="I834" s="6">
        <f t="shared" si="62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63"/>
        <v>2500</v>
      </c>
      <c r="I835" s="6">
        <f t="shared" si="62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63"/>
        <v>2500</v>
      </c>
      <c r="I836" s="6">
        <f t="shared" si="62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62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63"/>
        <v>2500</v>
      </c>
      <c r="I838" s="6">
        <f t="shared" si="62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62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62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64">15000/5</f>
        <v>3000</v>
      </c>
      <c r="I841" s="6">
        <f t="shared" si="62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64"/>
        <v>3000</v>
      </c>
      <c r="I842" s="6">
        <f t="shared" si="62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64"/>
        <v>3000</v>
      </c>
      <c r="I843" s="6">
        <f t="shared" si="62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64"/>
        <v>3000</v>
      </c>
      <c r="I844" s="6">
        <f t="shared" si="62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62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64"/>
        <v>3000</v>
      </c>
      <c r="I846" s="6">
        <f t="shared" si="62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62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62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62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62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62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62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62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62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2" t="s">
        <v>3094</v>
      </c>
      <c r="B855" s="8" t="s">
        <v>3095</v>
      </c>
      <c r="C855" s="8" t="s">
        <v>36</v>
      </c>
      <c r="D855" s="8" t="s">
        <v>39</v>
      </c>
      <c r="E855" s="8" t="s">
        <v>47</v>
      </c>
      <c r="F855" s="13"/>
      <c r="G855" s="59"/>
      <c r="H855" s="6"/>
      <c r="I855" s="6">
        <f t="shared" si="62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3096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3097</v>
      </c>
      <c r="X855" s="2" t="s">
        <v>3098</v>
      </c>
      <c r="Y855" s="2" t="s">
        <v>3099</v>
      </c>
      <c r="Z855" s="2">
        <v>0.4</v>
      </c>
      <c r="AA855" s="2" t="s">
        <v>548</v>
      </c>
      <c r="AB855" s="2">
        <v>292.8</v>
      </c>
    </row>
    <row r="856" spans="1:28" x14ac:dyDescent="0.25">
      <c r="A856" s="2" t="s">
        <v>3094</v>
      </c>
      <c r="B856" s="8" t="s">
        <v>3095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62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3100</v>
      </c>
    </row>
    <row r="857" spans="1:28" x14ac:dyDescent="0.25">
      <c r="A857" s="2" t="s">
        <v>3094</v>
      </c>
      <c r="B857" s="8" t="s">
        <v>3095</v>
      </c>
      <c r="C857" s="8" t="s">
        <v>36</v>
      </c>
      <c r="D857" s="8" t="s">
        <v>67</v>
      </c>
      <c r="E857" s="8" t="s">
        <v>47</v>
      </c>
      <c r="F857" s="13"/>
      <c r="G857" s="59"/>
      <c r="H857" s="6"/>
      <c r="I857" s="6">
        <f t="shared" si="62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3101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3102</v>
      </c>
      <c r="Y857" s="2" t="s">
        <v>3103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2" t="s">
        <v>3094</v>
      </c>
      <c r="B858" s="8" t="s">
        <v>3095</v>
      </c>
      <c r="C858" s="8" t="s">
        <v>36</v>
      </c>
      <c r="D858" s="8" t="s">
        <v>50</v>
      </c>
      <c r="E858" s="8" t="s">
        <v>47</v>
      </c>
      <c r="F858" s="13"/>
      <c r="G858" s="59"/>
      <c r="H858" s="6"/>
      <c r="I858" s="6">
        <f t="shared" si="62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3104</v>
      </c>
      <c r="Y858" s="2" t="s">
        <v>3105</v>
      </c>
      <c r="Z858" s="2">
        <v>0.1</v>
      </c>
      <c r="AA858" s="2" t="s">
        <v>548</v>
      </c>
      <c r="AB858" s="2">
        <v>337.5</v>
      </c>
    </row>
    <row r="859" spans="1:28" x14ac:dyDescent="0.25">
      <c r="A859" s="2" t="s">
        <v>3094</v>
      </c>
      <c r="B859" s="8" t="s">
        <v>3095</v>
      </c>
      <c r="C859" s="8" t="s">
        <v>36</v>
      </c>
      <c r="D859" s="8" t="s">
        <v>52</v>
      </c>
      <c r="E859" s="8" t="s">
        <v>47</v>
      </c>
      <c r="F859" s="13"/>
      <c r="G859" s="59"/>
      <c r="H859" s="6"/>
      <c r="I859" s="6">
        <f t="shared" si="62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3106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3107</v>
      </c>
      <c r="Y859" s="2" t="s">
        <v>3108</v>
      </c>
      <c r="Z859" s="2">
        <v>0.1</v>
      </c>
      <c r="AA859" s="2" t="s">
        <v>548</v>
      </c>
      <c r="AB859" s="2">
        <v>121.5</v>
      </c>
    </row>
    <row r="860" spans="1:28" x14ac:dyDescent="0.25">
      <c r="A860" s="2" t="s">
        <v>3094</v>
      </c>
      <c r="B860" s="8" t="s">
        <v>3095</v>
      </c>
      <c r="C860" s="8" t="s">
        <v>36</v>
      </c>
      <c r="D860" s="7" t="s">
        <v>46</v>
      </c>
      <c r="E860" s="8" t="s">
        <v>47</v>
      </c>
      <c r="F860" s="13"/>
      <c r="G860" s="59"/>
      <c r="H860" s="6"/>
      <c r="I860" s="6">
        <f t="shared" si="62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3109</v>
      </c>
      <c r="Y860" s="2" t="s">
        <v>3110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2" t="s">
        <v>3094</v>
      </c>
      <c r="B861" s="8" t="s">
        <v>3095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/>
      <c r="I861" s="6">
        <f t="shared" si="62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3111</v>
      </c>
      <c r="Y861" s="2" t="s">
        <v>3112</v>
      </c>
      <c r="Z861" s="2">
        <v>0.1</v>
      </c>
      <c r="AA861" s="2" t="s">
        <v>548</v>
      </c>
      <c r="AB861" s="2">
        <v>49.7</v>
      </c>
    </row>
    <row r="862" spans="1:28" x14ac:dyDescent="0.25">
      <c r="A862" s="2" t="s">
        <v>3094</v>
      </c>
      <c r="B862" s="8" t="s">
        <v>3095</v>
      </c>
      <c r="C862" s="8" t="s">
        <v>36</v>
      </c>
      <c r="D862" s="8" t="s">
        <v>49</v>
      </c>
      <c r="E862" s="8" t="s">
        <v>47</v>
      </c>
      <c r="F862" s="13"/>
      <c r="G862" s="59"/>
      <c r="H862" s="6"/>
      <c r="I862" s="6">
        <f t="shared" si="62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3113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3114</v>
      </c>
      <c r="Y862" s="2" t="s">
        <v>3115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2" t="s">
        <v>3094</v>
      </c>
      <c r="B863" s="8" t="s">
        <v>3095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67" si="65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2" t="s">
        <v>3116</v>
      </c>
      <c r="B864" s="8" t="s">
        <v>3095</v>
      </c>
      <c r="C864" s="8" t="s">
        <v>36</v>
      </c>
      <c r="D864" s="8" t="s">
        <v>39</v>
      </c>
      <c r="E864" s="8" t="s">
        <v>47</v>
      </c>
      <c r="F864" s="13"/>
      <c r="G864" s="59"/>
      <c r="H864" s="6"/>
      <c r="I864" s="6">
        <f t="shared" si="65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3117</v>
      </c>
      <c r="Y864" s="2" t="s">
        <v>3118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2" t="s">
        <v>3116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5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2" t="s">
        <v>3116</v>
      </c>
      <c r="B866" s="8" t="s">
        <v>3095</v>
      </c>
      <c r="C866" s="8" t="s">
        <v>36</v>
      </c>
      <c r="D866" s="8" t="s">
        <v>67</v>
      </c>
      <c r="E866" s="8" t="s">
        <v>47</v>
      </c>
      <c r="F866" s="13"/>
      <c r="G866" s="6"/>
      <c r="H866" s="6"/>
      <c r="I866" s="6">
        <f t="shared" si="65"/>
        <v>200.42857142857142</v>
      </c>
      <c r="J866" s="2">
        <v>9.15</v>
      </c>
      <c r="K866" s="2" t="s">
        <v>3119</v>
      </c>
      <c r="L866" s="2">
        <v>2.15</v>
      </c>
      <c r="M866" s="2">
        <v>23.5</v>
      </c>
      <c r="N866" s="2" t="s">
        <v>3120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3121</v>
      </c>
      <c r="Y866" s="2" t="s">
        <v>3122</v>
      </c>
      <c r="Z866" s="2">
        <v>0.7</v>
      </c>
      <c r="AA866" s="2" t="s">
        <v>548</v>
      </c>
      <c r="AB866" s="2" t="s">
        <v>3123</v>
      </c>
    </row>
    <row r="867" spans="1:28" x14ac:dyDescent="0.25">
      <c r="A867" s="2" t="s">
        <v>3116</v>
      </c>
      <c r="B867" s="8" t="s">
        <v>3095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5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2" t="s">
        <v>3116</v>
      </c>
      <c r="B868" s="8" t="s">
        <v>3095</v>
      </c>
      <c r="C868" s="8" t="s">
        <v>36</v>
      </c>
      <c r="D868" s="8" t="s">
        <v>50</v>
      </c>
      <c r="E868" s="8" t="s">
        <v>47</v>
      </c>
      <c r="F868" s="13"/>
      <c r="G868" s="59"/>
      <c r="H868" s="6"/>
      <c r="I868" s="6">
        <f t="shared" ref="I868:I870" si="66">IFERROR(O868/K868,)</f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3124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3125</v>
      </c>
      <c r="Y868" s="2" t="s">
        <v>3126</v>
      </c>
      <c r="Z868" s="2">
        <v>0.6</v>
      </c>
      <c r="AA868" s="2" t="s">
        <v>548</v>
      </c>
      <c r="AB868" s="2">
        <v>338.1</v>
      </c>
    </row>
    <row r="869" spans="1:28" x14ac:dyDescent="0.25">
      <c r="A869" s="2" t="s">
        <v>3116</v>
      </c>
      <c r="B869" s="8" t="s">
        <v>3095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6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2" t="s">
        <v>3116</v>
      </c>
      <c r="B870" s="8" t="s">
        <v>3095</v>
      </c>
      <c r="C870" s="8" t="s">
        <v>36</v>
      </c>
      <c r="D870" s="8" t="s">
        <v>52</v>
      </c>
      <c r="E870" s="8" t="s">
        <v>47</v>
      </c>
      <c r="F870" s="13"/>
      <c r="G870" s="59"/>
      <c r="H870" s="6"/>
      <c r="I870" s="6">
        <f t="shared" si="66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3127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3128</v>
      </c>
      <c r="Y870" s="2" t="s">
        <v>3129</v>
      </c>
      <c r="Z870" s="2">
        <v>0.1</v>
      </c>
      <c r="AA870" s="2" t="s">
        <v>548</v>
      </c>
      <c r="AB870" s="2">
        <v>121.6</v>
      </c>
    </row>
    <row r="871" spans="1:28" x14ac:dyDescent="0.25">
      <c r="A871" s="2" t="s">
        <v>3116</v>
      </c>
      <c r="B871" s="8" t="s">
        <v>3095</v>
      </c>
      <c r="C871" s="8" t="s">
        <v>36</v>
      </c>
      <c r="D871" s="7" t="s">
        <v>46</v>
      </c>
      <c r="E871" s="8" t="s">
        <v>47</v>
      </c>
      <c r="F871" s="13"/>
      <c r="G871" s="59"/>
      <c r="H871" s="6"/>
      <c r="I871" s="6">
        <f t="shared" ref="I871" si="67">IFERROR(O871/K871,)</f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3130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3131</v>
      </c>
      <c r="Y871" s="2" t="s">
        <v>3132</v>
      </c>
      <c r="Z871" s="2">
        <v>0.9</v>
      </c>
      <c r="AA871" s="2" t="s">
        <v>548</v>
      </c>
      <c r="AB871" s="2">
        <v>257.3</v>
      </c>
    </row>
    <row r="872" spans="1:28" x14ac:dyDescent="0.25">
      <c r="A872" s="2" t="s">
        <v>3116</v>
      </c>
      <c r="B872" s="8" t="s">
        <v>3095</v>
      </c>
      <c r="C872" s="8" t="s">
        <v>36</v>
      </c>
      <c r="D872" s="8" t="s">
        <v>48</v>
      </c>
      <c r="E872" s="7" t="s">
        <v>38</v>
      </c>
      <c r="F872" s="13"/>
      <c r="G872" s="59"/>
      <c r="H872" s="6"/>
      <c r="I872" s="6">
        <f t="shared" ref="I872" si="68">IFERROR(O872/K872,)</f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3133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3134</v>
      </c>
      <c r="Y872" s="2" t="s">
        <v>3135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73" t="s">
        <v>3116</v>
      </c>
      <c r="B873" s="8" t="s">
        <v>3095</v>
      </c>
      <c r="C873" s="8" t="s">
        <v>36</v>
      </c>
      <c r="D873" s="8" t="s">
        <v>49</v>
      </c>
      <c r="E873" s="8" t="s">
        <v>47</v>
      </c>
      <c r="F873" s="13"/>
      <c r="G873" s="59"/>
      <c r="H873" s="6"/>
      <c r="I873" s="6">
        <f t="shared" ref="I873:I879" si="69">IFERROR(O873/K873,)</f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2" t="s">
        <v>3187</v>
      </c>
      <c r="B874" s="8" t="s">
        <v>3095</v>
      </c>
      <c r="C874" s="8" t="s">
        <v>36</v>
      </c>
      <c r="D874" s="8" t="s">
        <v>39</v>
      </c>
      <c r="E874" s="8" t="s">
        <v>47</v>
      </c>
      <c r="F874" s="13"/>
      <c r="G874" s="59"/>
      <c r="H874" s="6"/>
      <c r="I874" s="6">
        <f t="shared" si="69"/>
        <v>264.22764227642278</v>
      </c>
      <c r="J874" s="2">
        <v>3.11</v>
      </c>
      <c r="K874" s="2">
        <v>2.46</v>
      </c>
      <c r="L874" s="2">
        <v>0.65</v>
      </c>
      <c r="M874" s="2">
        <v>20.91</v>
      </c>
      <c r="N874" s="2" t="s">
        <v>3080</v>
      </c>
      <c r="O874" s="56">
        <v>650</v>
      </c>
      <c r="P874" s="2">
        <v>1.62</v>
      </c>
      <c r="Q874" s="2">
        <v>10.31</v>
      </c>
      <c r="R874" s="2">
        <v>47.32</v>
      </c>
      <c r="S874" s="2">
        <v>2.37</v>
      </c>
      <c r="T874" s="2">
        <v>3.64</v>
      </c>
      <c r="U874" s="2">
        <v>44.95</v>
      </c>
      <c r="V874" s="2">
        <v>18.28</v>
      </c>
      <c r="W874" s="2">
        <v>9365.85</v>
      </c>
      <c r="X874" s="2" t="s">
        <v>3188</v>
      </c>
      <c r="Y874" s="2" t="s">
        <v>3189</v>
      </c>
      <c r="Z874" s="2" t="s">
        <v>548</v>
      </c>
      <c r="AA874" s="2" t="s">
        <v>548</v>
      </c>
      <c r="AB874" s="2">
        <v>292.89999999999998</v>
      </c>
    </row>
    <row r="875" spans="1:28" x14ac:dyDescent="0.25">
      <c r="A875" s="2" t="s">
        <v>3190</v>
      </c>
      <c r="B875" s="8" t="s">
        <v>3095</v>
      </c>
      <c r="C875" s="8" t="s">
        <v>36</v>
      </c>
      <c r="D875" s="8" t="s">
        <v>39</v>
      </c>
      <c r="E875" s="8" t="s">
        <v>47</v>
      </c>
      <c r="F875" s="13"/>
      <c r="G875" s="59"/>
      <c r="H875" s="6"/>
      <c r="I875" s="6">
        <f t="shared" si="69"/>
        <v>164.60905349794237</v>
      </c>
      <c r="J875" s="2">
        <v>6.36</v>
      </c>
      <c r="K875" s="2">
        <v>4.8600000000000003</v>
      </c>
      <c r="L875" s="2">
        <v>1.5</v>
      </c>
      <c r="M875" s="2">
        <v>23.57</v>
      </c>
      <c r="N875" s="2" t="s">
        <v>3191</v>
      </c>
      <c r="O875" s="56">
        <v>800</v>
      </c>
      <c r="P875" s="2">
        <v>1.48</v>
      </c>
      <c r="Q875" s="2">
        <v>8.56</v>
      </c>
      <c r="R875" s="2">
        <v>92.74</v>
      </c>
      <c r="S875" s="2">
        <v>6.15</v>
      </c>
      <c r="T875" s="2">
        <v>4.0999999999999996</v>
      </c>
      <c r="U875" s="2">
        <v>86.59</v>
      </c>
      <c r="V875" s="2">
        <v>17.8</v>
      </c>
      <c r="W875" s="2">
        <v>9362.75</v>
      </c>
      <c r="X875" s="2" t="s">
        <v>3192</v>
      </c>
      <c r="Y875" s="2" t="s">
        <v>3193</v>
      </c>
      <c r="Z875" s="2">
        <v>0.1</v>
      </c>
      <c r="AA875" s="2" t="s">
        <v>548</v>
      </c>
      <c r="AB875" s="2">
        <v>292.89999999999998</v>
      </c>
    </row>
    <row r="876" spans="1:28" x14ac:dyDescent="0.25">
      <c r="A876" s="2" t="s">
        <v>3187</v>
      </c>
      <c r="B876" s="8" t="s">
        <v>55</v>
      </c>
      <c r="C876" s="8" t="s">
        <v>56</v>
      </c>
      <c r="D876" s="8" t="s">
        <v>43</v>
      </c>
      <c r="E876" s="8" t="s">
        <v>2994</v>
      </c>
      <c r="F876" s="13"/>
      <c r="G876" s="59" t="s">
        <v>146</v>
      </c>
      <c r="H876" s="6"/>
      <c r="I876" s="6">
        <f t="shared" si="69"/>
        <v>0</v>
      </c>
      <c r="J876" s="2" t="s">
        <v>45</v>
      </c>
      <c r="K876" s="2" t="s">
        <v>45</v>
      </c>
      <c r="L876" s="2" t="s">
        <v>45</v>
      </c>
      <c r="M876" s="2" t="s">
        <v>45</v>
      </c>
      <c r="N876" s="2" t="s">
        <v>45</v>
      </c>
      <c r="O876" s="56" t="s">
        <v>45</v>
      </c>
      <c r="P876" s="2" t="s">
        <v>45</v>
      </c>
      <c r="Q876" s="2" t="s">
        <v>45</v>
      </c>
      <c r="R876" s="2" t="s">
        <v>45</v>
      </c>
      <c r="S876" s="2" t="s">
        <v>45</v>
      </c>
      <c r="T876" s="2" t="s">
        <v>45</v>
      </c>
      <c r="U876" s="2" t="s">
        <v>45</v>
      </c>
      <c r="V876" s="2" t="s">
        <v>45</v>
      </c>
      <c r="W876" s="2" t="s">
        <v>45</v>
      </c>
      <c r="X876" s="2" t="s">
        <v>45</v>
      </c>
      <c r="Y876" s="2" t="s">
        <v>45</v>
      </c>
      <c r="Z876" s="2" t="s">
        <v>45</v>
      </c>
      <c r="AA876" s="2" t="s">
        <v>45</v>
      </c>
      <c r="AB876" s="2" t="s">
        <v>45</v>
      </c>
    </row>
    <row r="877" spans="1:28" x14ac:dyDescent="0.25">
      <c r="A877" s="2" t="s">
        <v>3190</v>
      </c>
      <c r="B877" s="8" t="s">
        <v>55</v>
      </c>
      <c r="C877" s="8" t="s">
        <v>56</v>
      </c>
      <c r="D877" s="8" t="s">
        <v>43</v>
      </c>
      <c r="E877" s="8" t="s">
        <v>2994</v>
      </c>
      <c r="F877" s="13"/>
      <c r="G877" s="59" t="s">
        <v>146</v>
      </c>
      <c r="H877" s="6"/>
      <c r="I877" s="6">
        <f t="shared" si="69"/>
        <v>0</v>
      </c>
      <c r="J877" s="2">
        <v>7.0000000000000007E-2</v>
      </c>
      <c r="K877" s="2">
        <v>0.02</v>
      </c>
      <c r="L877" s="2">
        <v>0.05</v>
      </c>
      <c r="M877" s="2">
        <v>68.400000000000006</v>
      </c>
      <c r="N877" s="2" t="s">
        <v>45</v>
      </c>
      <c r="O877" s="56" t="s">
        <v>45</v>
      </c>
      <c r="P877" s="2" t="s">
        <v>45</v>
      </c>
      <c r="Q877" s="2" t="s">
        <v>45</v>
      </c>
      <c r="R877" s="2">
        <v>0.47</v>
      </c>
      <c r="S877" s="2" t="s">
        <v>548</v>
      </c>
      <c r="T877" s="2" t="s">
        <v>548</v>
      </c>
      <c r="U877" s="2">
        <v>0.47</v>
      </c>
      <c r="V877" s="2">
        <v>20.48</v>
      </c>
      <c r="W877" s="2">
        <v>8939.2199999999993</v>
      </c>
      <c r="X877" s="2" t="s">
        <v>45</v>
      </c>
      <c r="Y877" s="2" t="s">
        <v>45</v>
      </c>
      <c r="Z877" s="2" t="s">
        <v>548</v>
      </c>
      <c r="AA877" s="2" t="s">
        <v>45</v>
      </c>
      <c r="AB877" s="2" t="s">
        <v>3100</v>
      </c>
    </row>
    <row r="878" spans="1:28" x14ac:dyDescent="0.25">
      <c r="A878" s="2" t="s">
        <v>3187</v>
      </c>
      <c r="B878" s="8" t="s">
        <v>3095</v>
      </c>
      <c r="C878" s="8" t="s">
        <v>36</v>
      </c>
      <c r="D878" s="8" t="s">
        <v>67</v>
      </c>
      <c r="E878" s="8" t="s">
        <v>47</v>
      </c>
      <c r="F878" s="13"/>
      <c r="G878" s="6"/>
      <c r="H878" s="6"/>
      <c r="I878" s="6">
        <f t="shared" si="69"/>
        <v>69.664902998236329</v>
      </c>
      <c r="J878" s="2">
        <v>7.72</v>
      </c>
      <c r="K878" s="2">
        <v>5.67</v>
      </c>
      <c r="L878" s="2">
        <v>2.0499999999999998</v>
      </c>
      <c r="M878" s="2">
        <v>26.57</v>
      </c>
      <c r="N878" s="2" t="s">
        <v>3194</v>
      </c>
      <c r="O878" s="56">
        <v>395</v>
      </c>
      <c r="P878" s="2">
        <v>1.25</v>
      </c>
      <c r="Q878" s="2">
        <v>8.06</v>
      </c>
      <c r="R878" s="2">
        <v>95.58</v>
      </c>
      <c r="S878" s="2">
        <v>7.1</v>
      </c>
      <c r="T878" s="2">
        <v>3.46</v>
      </c>
      <c r="U878" s="2">
        <v>88.48</v>
      </c>
      <c r="V878" s="2">
        <v>15.62</v>
      </c>
      <c r="W878" s="2">
        <v>790.08</v>
      </c>
      <c r="X878" s="2" t="s">
        <v>3195</v>
      </c>
      <c r="Y878" s="2" t="s">
        <v>3196</v>
      </c>
      <c r="Z878" s="2" t="s">
        <v>1380</v>
      </c>
      <c r="AA878" s="2" t="s">
        <v>548</v>
      </c>
      <c r="AB878" s="2">
        <v>76.5</v>
      </c>
    </row>
    <row r="879" spans="1:28" x14ac:dyDescent="0.25">
      <c r="A879" s="2" t="s">
        <v>3187</v>
      </c>
      <c r="B879" s="8" t="s">
        <v>3095</v>
      </c>
      <c r="C879" s="8" t="s">
        <v>36</v>
      </c>
      <c r="D879" s="8" t="s">
        <v>67</v>
      </c>
      <c r="E879" s="8" t="s">
        <v>61</v>
      </c>
      <c r="F879" s="13"/>
      <c r="G879" s="6"/>
      <c r="H879" s="6"/>
      <c r="I879" s="6">
        <f t="shared" si="69"/>
        <v>0</v>
      </c>
      <c r="J879" s="2"/>
      <c r="K879" s="2"/>
      <c r="L879" s="2"/>
      <c r="M879" s="2"/>
      <c r="N879" s="2"/>
      <c r="O879" s="56">
        <v>375</v>
      </c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x14ac:dyDescent="0.25">
      <c r="A880" s="2" t="s">
        <v>3190</v>
      </c>
      <c r="B880" s="8" t="s">
        <v>3095</v>
      </c>
      <c r="C880" s="8" t="s">
        <v>36</v>
      </c>
      <c r="D880" s="8" t="s">
        <v>67</v>
      </c>
      <c r="E880" s="8" t="s">
        <v>47</v>
      </c>
      <c r="F880" s="13"/>
      <c r="G880" s="6"/>
      <c r="H880" s="6"/>
      <c r="I880" s="6">
        <f t="shared" ref="I880" si="70">IFERROR(O880/K880,)</f>
        <v>70.260869565217391</v>
      </c>
      <c r="J880" s="2">
        <v>8.25</v>
      </c>
      <c r="K880" s="2">
        <v>5.75</v>
      </c>
      <c r="L880" s="2">
        <v>2.5</v>
      </c>
      <c r="M880" s="2">
        <v>30.29</v>
      </c>
      <c r="N880" s="2" t="s">
        <v>3197</v>
      </c>
      <c r="O880" s="85">
        <v>404</v>
      </c>
      <c r="P880" s="2">
        <v>1.7</v>
      </c>
      <c r="Q880" s="2">
        <v>10.64</v>
      </c>
      <c r="R880" s="2">
        <v>120.66</v>
      </c>
      <c r="S880" s="2">
        <v>8.52</v>
      </c>
      <c r="T880" s="2">
        <v>3.41</v>
      </c>
      <c r="U880" s="2">
        <v>112.14</v>
      </c>
      <c r="V880" s="2">
        <v>19.489999999999998</v>
      </c>
      <c r="W880" s="2">
        <v>782.36</v>
      </c>
      <c r="X880" s="2" t="s">
        <v>3198</v>
      </c>
      <c r="Y880" s="2" t="s">
        <v>3199</v>
      </c>
      <c r="Z880" s="2">
        <v>1.5</v>
      </c>
      <c r="AA880" s="2" t="s">
        <v>548</v>
      </c>
      <c r="AB880" s="2">
        <v>74.5</v>
      </c>
    </row>
    <row r="881" spans="1:28" x14ac:dyDescent="0.25">
      <c r="A881" s="2" t="s">
        <v>3190</v>
      </c>
      <c r="B881" s="8" t="s">
        <v>3095</v>
      </c>
      <c r="C881" s="8" t="s">
        <v>36</v>
      </c>
      <c r="D881" s="8" t="s">
        <v>67</v>
      </c>
      <c r="E881" s="8" t="s">
        <v>61</v>
      </c>
      <c r="F881" s="13"/>
      <c r="G881" s="6"/>
      <c r="H881" s="6"/>
      <c r="I881" s="6">
        <f t="shared" ref="I881:I883" si="71">IFERROR(O881/K881,)</f>
        <v>0</v>
      </c>
      <c r="J881" s="2"/>
      <c r="K881" s="2"/>
      <c r="L881" s="2"/>
      <c r="M881" s="2"/>
      <c r="N881" s="2"/>
      <c r="O881" s="56">
        <v>880</v>
      </c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x14ac:dyDescent="0.25">
      <c r="A882" s="2" t="s">
        <v>3187</v>
      </c>
      <c r="B882" s="8" t="s">
        <v>3095</v>
      </c>
      <c r="C882" s="8" t="s">
        <v>36</v>
      </c>
      <c r="D882" s="8" t="s">
        <v>50</v>
      </c>
      <c r="E882" s="8" t="s">
        <v>47</v>
      </c>
      <c r="F882" s="13"/>
      <c r="G882" s="6"/>
      <c r="H882" s="6"/>
      <c r="I882" s="6">
        <f t="shared" si="71"/>
        <v>250.1547987616099</v>
      </c>
      <c r="J882" s="2">
        <v>7.91</v>
      </c>
      <c r="K882" s="2">
        <v>6.46</v>
      </c>
      <c r="L882" s="2">
        <v>1.45</v>
      </c>
      <c r="M882" s="2">
        <v>18.34</v>
      </c>
      <c r="N882" s="2" t="s">
        <v>3200</v>
      </c>
      <c r="O882" s="85">
        <v>1616</v>
      </c>
      <c r="P882" s="2">
        <v>1.81</v>
      </c>
      <c r="Q882" s="2">
        <v>11.27</v>
      </c>
      <c r="R882" s="2">
        <v>143.37</v>
      </c>
      <c r="S882" s="2">
        <v>6.15</v>
      </c>
      <c r="T882" s="2">
        <v>4.24</v>
      </c>
      <c r="U882" s="2">
        <v>137.22</v>
      </c>
      <c r="V882" s="2">
        <v>21.25</v>
      </c>
      <c r="W882" s="2" t="s">
        <v>3201</v>
      </c>
      <c r="X882" s="2" t="s">
        <v>3202</v>
      </c>
      <c r="Y882" s="2" t="s">
        <v>3203</v>
      </c>
      <c r="Z882" s="2">
        <v>0.9</v>
      </c>
      <c r="AA882" s="2" t="s">
        <v>548</v>
      </c>
      <c r="AB882" s="2">
        <v>339.1</v>
      </c>
    </row>
    <row r="883" spans="1:28" x14ac:dyDescent="0.25">
      <c r="A883" s="2" t="s">
        <v>3190</v>
      </c>
      <c r="B883" s="8" t="s">
        <v>3095</v>
      </c>
      <c r="C883" s="8" t="s">
        <v>36</v>
      </c>
      <c r="D883" s="8" t="s">
        <v>50</v>
      </c>
      <c r="E883" s="8" t="s">
        <v>47</v>
      </c>
      <c r="F883" s="13"/>
      <c r="G883" s="6"/>
      <c r="H883" s="6"/>
      <c r="I883" s="6">
        <f t="shared" si="71"/>
        <v>411.92368839427661</v>
      </c>
      <c r="J883" s="2">
        <v>7.14</v>
      </c>
      <c r="K883" s="2">
        <v>6.29</v>
      </c>
      <c r="L883" s="2">
        <v>0.85</v>
      </c>
      <c r="M883" s="2">
        <v>11.91</v>
      </c>
      <c r="N883" s="2" t="s">
        <v>3101</v>
      </c>
      <c r="O883" s="85">
        <v>2591</v>
      </c>
      <c r="P883" s="2">
        <v>2.15</v>
      </c>
      <c r="Q883" s="2">
        <v>18.88</v>
      </c>
      <c r="R883" s="2">
        <v>137.22</v>
      </c>
      <c r="S883" s="2">
        <v>3.31</v>
      </c>
      <c r="T883" s="2">
        <v>3.9</v>
      </c>
      <c r="U883" s="2">
        <v>133.91</v>
      </c>
      <c r="V883" s="2">
        <v>21.31</v>
      </c>
      <c r="W883" s="2">
        <v>2609.09</v>
      </c>
      <c r="X883" s="2" t="s">
        <v>3204</v>
      </c>
      <c r="Y883" s="2" t="s">
        <v>3205</v>
      </c>
      <c r="Z883" s="2">
        <v>0.1</v>
      </c>
      <c r="AA883" s="2" t="s">
        <v>548</v>
      </c>
      <c r="AB883" s="2">
        <v>338.2</v>
      </c>
    </row>
    <row r="884" spans="1:28" x14ac:dyDescent="0.25">
      <c r="A884" s="2" t="s">
        <v>3187</v>
      </c>
      <c r="B884" s="8" t="s">
        <v>3095</v>
      </c>
      <c r="C884" s="8" t="s">
        <v>36</v>
      </c>
      <c r="D884" s="8" t="s">
        <v>52</v>
      </c>
      <c r="E884" s="8" t="s">
        <v>47</v>
      </c>
      <c r="F884" s="13"/>
      <c r="G884" s="6"/>
      <c r="H884" s="6"/>
      <c r="I884" s="6">
        <f t="shared" ref="I884:I885" si="72">IFERROR(O884/K884,)</f>
        <v>275.103734439834</v>
      </c>
      <c r="J884" s="2">
        <v>9.0299999999999994</v>
      </c>
      <c r="K884" s="2">
        <v>7.23</v>
      </c>
      <c r="L884" s="2">
        <v>1.8</v>
      </c>
      <c r="M884" s="2">
        <v>19.93</v>
      </c>
      <c r="N884" s="2" t="s">
        <v>3206</v>
      </c>
      <c r="O884" s="85">
        <v>1989</v>
      </c>
      <c r="P884" s="2">
        <v>1.99</v>
      </c>
      <c r="Q884" s="2">
        <v>12.51</v>
      </c>
      <c r="R884" s="2">
        <v>158.99</v>
      </c>
      <c r="S884" s="2">
        <v>6.62</v>
      </c>
      <c r="T884" s="2">
        <v>3.68</v>
      </c>
      <c r="U884" s="2">
        <v>152.36000000000001</v>
      </c>
      <c r="V884" s="2">
        <v>21.07</v>
      </c>
      <c r="W884" s="2">
        <v>1227.05</v>
      </c>
      <c r="X884" s="2" t="s">
        <v>3207</v>
      </c>
      <c r="Y884" s="2" t="s">
        <v>3208</v>
      </c>
      <c r="Z884" s="2" t="s">
        <v>548</v>
      </c>
      <c r="AA884" s="2" t="s">
        <v>548</v>
      </c>
      <c r="AB884" s="2" t="s">
        <v>3209</v>
      </c>
    </row>
    <row r="885" spans="1:28" x14ac:dyDescent="0.25">
      <c r="A885" s="2" t="s">
        <v>3190</v>
      </c>
      <c r="B885" s="8" t="s">
        <v>3095</v>
      </c>
      <c r="C885" s="8" t="s">
        <v>36</v>
      </c>
      <c r="D885" s="8" t="s">
        <v>52</v>
      </c>
      <c r="E885" s="8" t="s">
        <v>47</v>
      </c>
      <c r="F885" s="13"/>
      <c r="G885" s="6"/>
      <c r="H885" s="6"/>
      <c r="I885" s="6">
        <f t="shared" si="72"/>
        <v>240.96989966555182</v>
      </c>
      <c r="J885" s="2">
        <v>13.56</v>
      </c>
      <c r="K885" s="2">
        <v>11.96</v>
      </c>
      <c r="L885" s="2">
        <v>1.6</v>
      </c>
      <c r="M885" s="2">
        <v>11.8</v>
      </c>
      <c r="N885" s="2" t="s">
        <v>3210</v>
      </c>
      <c r="O885" s="85">
        <v>2882</v>
      </c>
      <c r="P885" s="2">
        <v>1.95</v>
      </c>
      <c r="Q885" s="2">
        <v>11.47</v>
      </c>
      <c r="R885" s="2">
        <v>251.26</v>
      </c>
      <c r="S885" s="2">
        <v>6.15</v>
      </c>
      <c r="T885" s="2">
        <v>3.84</v>
      </c>
      <c r="U885" s="2">
        <v>245.11</v>
      </c>
      <c r="V885" s="2">
        <v>20.49</v>
      </c>
      <c r="W885" s="2">
        <v>1218.02</v>
      </c>
      <c r="X885" s="2" t="s">
        <v>3211</v>
      </c>
      <c r="Y885" s="2" t="s">
        <v>3212</v>
      </c>
      <c r="Z885" s="2">
        <v>3.4</v>
      </c>
      <c r="AA885" s="2" t="s">
        <v>548</v>
      </c>
      <c r="AB885" s="2" t="s">
        <v>3209</v>
      </c>
    </row>
    <row r="886" spans="1:28" x14ac:dyDescent="0.25">
      <c r="A886" s="2" t="s">
        <v>3187</v>
      </c>
      <c r="B886" s="8" t="s">
        <v>3095</v>
      </c>
      <c r="C886" s="8" t="s">
        <v>36</v>
      </c>
      <c r="D886" s="7" t="s">
        <v>46</v>
      </c>
      <c r="E886" s="8" t="s">
        <v>47</v>
      </c>
      <c r="F886" s="13"/>
      <c r="G886" s="6"/>
      <c r="H886" s="6"/>
      <c r="I886" s="6">
        <f t="shared" ref="I886:I887" si="73">IFERROR(O886/K886,)</f>
        <v>239.33054393305437</v>
      </c>
      <c r="J886" s="2">
        <v>11.86</v>
      </c>
      <c r="K886" s="2">
        <v>9.56</v>
      </c>
      <c r="L886" s="2">
        <v>2.2999999999999998</v>
      </c>
      <c r="M886" s="2">
        <v>19.399999999999999</v>
      </c>
      <c r="N886" s="2" t="s">
        <v>3213</v>
      </c>
      <c r="O886" s="85">
        <v>2288</v>
      </c>
      <c r="P886" s="2">
        <v>2.5299999999999998</v>
      </c>
      <c r="Q886" s="2">
        <v>7.84</v>
      </c>
      <c r="R886" s="2">
        <v>291.95</v>
      </c>
      <c r="S886" s="2">
        <v>12.78</v>
      </c>
      <c r="T886" s="2">
        <v>5.55</v>
      </c>
      <c r="U886" s="2">
        <v>279.17</v>
      </c>
      <c r="V886" s="2">
        <v>29.21</v>
      </c>
      <c r="W886" s="2">
        <v>8208.67</v>
      </c>
      <c r="X886" s="2" t="s">
        <v>3214</v>
      </c>
      <c r="Y886" s="2" t="s">
        <v>3215</v>
      </c>
      <c r="Z886" s="2">
        <v>1.1000000000000001</v>
      </c>
      <c r="AA886" s="2" t="s">
        <v>548</v>
      </c>
      <c r="AB886" s="2">
        <v>258.89999999999998</v>
      </c>
    </row>
    <row r="887" spans="1:28" x14ac:dyDescent="0.25">
      <c r="A887" s="2" t="s">
        <v>3190</v>
      </c>
      <c r="B887" s="8" t="s">
        <v>3095</v>
      </c>
      <c r="C887" s="8" t="s">
        <v>36</v>
      </c>
      <c r="D887" s="7" t="s">
        <v>46</v>
      </c>
      <c r="E887" s="8" t="s">
        <v>47</v>
      </c>
      <c r="F887" s="13"/>
      <c r="G887" s="6"/>
      <c r="H887" s="6"/>
      <c r="I887" s="6">
        <f t="shared" si="73"/>
        <v>347.3047304730473</v>
      </c>
      <c r="J887" s="2">
        <v>10.44</v>
      </c>
      <c r="K887" s="2">
        <v>9.09</v>
      </c>
      <c r="L887" s="2">
        <v>1.35</v>
      </c>
      <c r="M887" s="2">
        <v>12.93</v>
      </c>
      <c r="N887" s="2" t="s">
        <v>3216</v>
      </c>
      <c r="O887" s="85">
        <v>3157</v>
      </c>
      <c r="P887" s="2">
        <v>3.2</v>
      </c>
      <c r="Q887" s="2">
        <v>11.1</v>
      </c>
      <c r="R887" s="2">
        <v>284.38</v>
      </c>
      <c r="S887" s="2">
        <v>7.57</v>
      </c>
      <c r="T887" s="2">
        <v>5.61</v>
      </c>
      <c r="U887" s="2">
        <v>276.81</v>
      </c>
      <c r="V887" s="2">
        <v>30.44</v>
      </c>
      <c r="W887" s="2">
        <v>8196.81</v>
      </c>
      <c r="X887" s="2" t="s">
        <v>3217</v>
      </c>
      <c r="Y887" s="2" t="s">
        <v>3218</v>
      </c>
      <c r="Z887" s="2">
        <v>0.5</v>
      </c>
      <c r="AA887" s="2" t="s">
        <v>548</v>
      </c>
      <c r="AB887" s="2">
        <v>257.8</v>
      </c>
    </row>
    <row r="888" spans="1:28" x14ac:dyDescent="0.25">
      <c r="A888" s="2" t="s">
        <v>3187</v>
      </c>
      <c r="B888" s="8" t="s">
        <v>3095</v>
      </c>
      <c r="C888" s="8" t="s">
        <v>36</v>
      </c>
      <c r="D888" s="8" t="s">
        <v>48</v>
      </c>
      <c r="E888" s="7" t="s">
        <v>38</v>
      </c>
      <c r="F888" s="13"/>
      <c r="G888" s="59" t="s">
        <v>146</v>
      </c>
      <c r="H888" s="6"/>
      <c r="I888" s="6">
        <f t="shared" ref="I888:I891" si="74">IFERROR(O888/K888,)</f>
        <v>0</v>
      </c>
      <c r="J888" s="2">
        <v>0.94</v>
      </c>
      <c r="K888" s="2">
        <v>0.28999999999999998</v>
      </c>
      <c r="L888" s="2">
        <v>0.65</v>
      </c>
      <c r="M888" s="2">
        <v>69.459999999999994</v>
      </c>
      <c r="N888" s="2" t="s">
        <v>548</v>
      </c>
      <c r="O888" s="85">
        <v>0</v>
      </c>
      <c r="P888" s="2" t="s">
        <v>45</v>
      </c>
      <c r="Q888" s="2" t="s">
        <v>548</v>
      </c>
      <c r="R888" s="2">
        <v>10.88</v>
      </c>
      <c r="S888" s="2">
        <v>3.31</v>
      </c>
      <c r="T888" s="2">
        <v>5.0999999999999996</v>
      </c>
      <c r="U888" s="2">
        <v>7.57</v>
      </c>
      <c r="V888" s="2">
        <v>26.49</v>
      </c>
      <c r="W888" s="2">
        <v>6799.09</v>
      </c>
      <c r="X888" s="2" t="s">
        <v>3219</v>
      </c>
      <c r="Y888" s="2" t="s">
        <v>3220</v>
      </c>
      <c r="Z888" s="2" t="s">
        <v>548</v>
      </c>
      <c r="AA888" s="2" t="s">
        <v>45</v>
      </c>
      <c r="AB888" s="2">
        <v>49.7</v>
      </c>
    </row>
    <row r="889" spans="1:28" x14ac:dyDescent="0.25">
      <c r="A889" s="2" t="s">
        <v>3190</v>
      </c>
      <c r="B889" s="8" t="s">
        <v>3095</v>
      </c>
      <c r="C889" s="8" t="s">
        <v>36</v>
      </c>
      <c r="D889" s="8" t="s">
        <v>48</v>
      </c>
      <c r="E889" s="7" t="s">
        <v>38</v>
      </c>
      <c r="F889" s="13">
        <v>2485</v>
      </c>
      <c r="G889" s="6"/>
      <c r="H889" s="6"/>
      <c r="I889" s="6">
        <f t="shared" si="74"/>
        <v>462.04986149584488</v>
      </c>
      <c r="J889" s="2">
        <v>7.86</v>
      </c>
      <c r="K889" s="2">
        <v>7.22</v>
      </c>
      <c r="L889" s="2">
        <v>0.65</v>
      </c>
      <c r="M889" s="2">
        <v>8.26</v>
      </c>
      <c r="N889" s="2" t="s">
        <v>3197</v>
      </c>
      <c r="O889" s="85">
        <v>3336</v>
      </c>
      <c r="P889" s="2">
        <v>4.42</v>
      </c>
      <c r="Q889" s="2">
        <v>11.99</v>
      </c>
      <c r="R889" s="2">
        <v>278.23</v>
      </c>
      <c r="S889" s="2">
        <v>4.7300000000000004</v>
      </c>
      <c r="T889" s="2">
        <v>7.28</v>
      </c>
      <c r="U889" s="2">
        <v>273.5</v>
      </c>
      <c r="V889" s="2">
        <v>37.909999999999997</v>
      </c>
      <c r="W889" s="2">
        <v>6798.15</v>
      </c>
      <c r="X889" s="2" t="s">
        <v>3219</v>
      </c>
      <c r="Y889" s="2" t="s">
        <v>3220</v>
      </c>
      <c r="Z889" s="2" t="s">
        <v>548</v>
      </c>
      <c r="AA889" s="2" t="s">
        <v>548</v>
      </c>
      <c r="AB889" s="2">
        <v>49.7</v>
      </c>
    </row>
    <row r="890" spans="1:28" x14ac:dyDescent="0.25">
      <c r="A890" s="2" t="s">
        <v>3187</v>
      </c>
      <c r="B890" s="8" t="s">
        <v>3095</v>
      </c>
      <c r="C890" s="8" t="s">
        <v>36</v>
      </c>
      <c r="D890" s="8" t="s">
        <v>49</v>
      </c>
      <c r="E890" s="8" t="s">
        <v>47</v>
      </c>
      <c r="F890" s="13"/>
      <c r="G890" s="59"/>
      <c r="H890" s="6"/>
      <c r="I890" s="6">
        <f t="shared" si="74"/>
        <v>477.03549060542798</v>
      </c>
      <c r="J890" s="2">
        <v>6.79</v>
      </c>
      <c r="K890" s="2">
        <v>4.79</v>
      </c>
      <c r="L890" s="2" t="s">
        <v>1380</v>
      </c>
      <c r="M890" s="2">
        <v>29.44</v>
      </c>
      <c r="N890" s="2" t="s">
        <v>3221</v>
      </c>
      <c r="O890" s="85">
        <v>2285</v>
      </c>
      <c r="P890" s="2">
        <v>3.27</v>
      </c>
      <c r="Q890" s="2">
        <v>11.15</v>
      </c>
      <c r="R890" s="2">
        <v>204.89</v>
      </c>
      <c r="S890" s="2">
        <v>8.99</v>
      </c>
      <c r="T890" s="2">
        <v>4.5</v>
      </c>
      <c r="U890" s="2">
        <v>195.89</v>
      </c>
      <c r="V890" s="2">
        <v>40.869999999999997</v>
      </c>
      <c r="W890" s="2">
        <v>2134.4</v>
      </c>
      <c r="X890" s="2" t="s">
        <v>3222</v>
      </c>
      <c r="Y890" s="2" t="s">
        <v>3223</v>
      </c>
      <c r="Z890" s="2" t="s">
        <v>548</v>
      </c>
      <c r="AA890" s="2" t="s">
        <v>548</v>
      </c>
      <c r="AB890" s="2">
        <v>5.7</v>
      </c>
    </row>
    <row r="891" spans="1:28" x14ac:dyDescent="0.25">
      <c r="A891" s="2" t="s">
        <v>3190</v>
      </c>
      <c r="B891" s="8" t="s">
        <v>3095</v>
      </c>
      <c r="C891" s="8" t="s">
        <v>36</v>
      </c>
      <c r="D891" s="8" t="s">
        <v>49</v>
      </c>
      <c r="E891" s="8" t="s">
        <v>47</v>
      </c>
      <c r="F891" s="13"/>
      <c r="G891" s="59"/>
      <c r="H891" s="6"/>
      <c r="I891" s="6">
        <f t="shared" si="74"/>
        <v>559.96784565916403</v>
      </c>
      <c r="J891" s="2">
        <v>7.82</v>
      </c>
      <c r="K891" s="2">
        <v>6.22</v>
      </c>
      <c r="L891" s="2">
        <v>1.6</v>
      </c>
      <c r="M891" s="2">
        <v>20.47</v>
      </c>
      <c r="N891" s="2" t="s">
        <v>3224</v>
      </c>
      <c r="O891" s="85">
        <v>3483</v>
      </c>
      <c r="P891" s="2">
        <v>3.64</v>
      </c>
      <c r="Q891" s="2">
        <v>13.22</v>
      </c>
      <c r="R891" s="2">
        <v>263.56</v>
      </c>
      <c r="S891" s="2">
        <v>8.0399999999999991</v>
      </c>
      <c r="T891" s="2">
        <v>5.03</v>
      </c>
      <c r="U891" s="2">
        <v>255.52</v>
      </c>
      <c r="V891" s="2">
        <v>41.1</v>
      </c>
      <c r="W891" s="2">
        <v>2127.6</v>
      </c>
      <c r="X891" s="2" t="s">
        <v>3225</v>
      </c>
      <c r="Y891" s="2" t="s">
        <v>3226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2"/>
      <c r="B892" s="8"/>
      <c r="C892" s="8"/>
      <c r="D892" s="8"/>
      <c r="E892" s="8"/>
      <c r="F892" s="13"/>
      <c r="G892" s="59"/>
      <c r="H892" s="6"/>
      <c r="I892" s="6"/>
      <c r="J892" s="2"/>
      <c r="K892" s="2"/>
      <c r="L892" s="2"/>
      <c r="M892" s="2"/>
      <c r="N892" s="2"/>
      <c r="O892" s="56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x14ac:dyDescent="0.25">
      <c r="A893" s="2"/>
      <c r="B893" s="8"/>
      <c r="C893" s="8"/>
      <c r="D893" s="8"/>
      <c r="E893" s="8"/>
      <c r="F893" s="13"/>
      <c r="G893" s="59"/>
      <c r="H893" s="6"/>
      <c r="I893" s="6"/>
      <c r="J893" s="2"/>
      <c r="K893" s="2"/>
      <c r="L893" s="2"/>
      <c r="M893" s="2"/>
      <c r="N893" s="2"/>
      <c r="O893" s="56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x14ac:dyDescent="0.25">
      <c r="A894" s="2"/>
      <c r="B894" s="8"/>
      <c r="C894" s="8"/>
      <c r="D894" s="8"/>
      <c r="E894" s="8"/>
      <c r="F894" s="13"/>
      <c r="G894" s="59"/>
      <c r="H894" s="6"/>
      <c r="I894" s="6"/>
      <c r="J894" s="2"/>
      <c r="K894" s="2"/>
      <c r="L894" s="2"/>
      <c r="M894" s="2"/>
      <c r="N894" s="2"/>
      <c r="O894" s="56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x14ac:dyDescent="0.25">
      <c r="A895" s="2"/>
      <c r="B895" s="8"/>
      <c r="C895" s="8"/>
      <c r="D895" s="8"/>
      <c r="E895" s="8"/>
      <c r="F895" s="13"/>
      <c r="G895" s="59"/>
      <c r="H895" s="6"/>
      <c r="I895" s="6"/>
      <c r="J895" s="2"/>
      <c r="K895" s="2"/>
      <c r="L895" s="2"/>
      <c r="M895" s="2"/>
      <c r="N895" s="2"/>
      <c r="O895" s="56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2"/>
      <c r="B896" s="8"/>
      <c r="C896" s="8"/>
      <c r="D896" s="8"/>
      <c r="E896" s="8"/>
      <c r="F896" s="13"/>
      <c r="G896" s="59"/>
      <c r="H896" s="6"/>
      <c r="I896" s="6"/>
      <c r="J896" s="2"/>
      <c r="K896" s="2"/>
      <c r="L896" s="2"/>
      <c r="M896" s="2"/>
      <c r="N896" s="2"/>
      <c r="O896" s="56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x14ac:dyDescent="0.25">
      <c r="A897" s="2"/>
      <c r="B897" s="8"/>
      <c r="C897" s="8"/>
      <c r="D897" s="8"/>
      <c r="E897" s="8"/>
      <c r="F897" s="13"/>
      <c r="G897" s="59"/>
      <c r="H897" s="6"/>
      <c r="I897" s="6"/>
      <c r="J897" s="2"/>
      <c r="K897" s="2"/>
      <c r="L897" s="2"/>
      <c r="M897" s="2"/>
      <c r="N897" s="2"/>
      <c r="O897" s="56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x14ac:dyDescent="0.25">
      <c r="A898" s="2"/>
      <c r="B898" s="8"/>
      <c r="C898" s="8"/>
      <c r="D898" s="8"/>
      <c r="E898" s="8"/>
      <c r="F898" s="13"/>
      <c r="G898" s="59"/>
      <c r="H898" s="6"/>
      <c r="I898" s="6"/>
      <c r="J898" s="2"/>
      <c r="K898" s="2"/>
      <c r="L898" s="2"/>
      <c r="M898" s="2"/>
      <c r="N898" s="2"/>
      <c r="O898" s="56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x14ac:dyDescent="0.25">
      <c r="A899" s="2"/>
      <c r="B899" s="8"/>
      <c r="C899" s="8"/>
      <c r="D899" s="8"/>
      <c r="E899" s="8"/>
      <c r="F899" s="13"/>
      <c r="G899" s="59"/>
      <c r="H899" s="6"/>
      <c r="I899" s="6"/>
      <c r="J899" s="2"/>
      <c r="K899" s="2"/>
      <c r="L899" s="2"/>
      <c r="M899" s="2"/>
      <c r="N899" s="2"/>
      <c r="O899" s="56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x14ac:dyDescent="0.25">
      <c r="A900" s="2"/>
      <c r="B900" s="8"/>
      <c r="C900" s="8"/>
      <c r="D900" s="8"/>
      <c r="E900" s="8"/>
      <c r="F900" s="13"/>
      <c r="G900" s="59"/>
      <c r="H900" s="6"/>
      <c r="I900" s="6"/>
      <c r="J900" s="2"/>
      <c r="K900" s="2"/>
      <c r="L900" s="2"/>
      <c r="M900" s="2"/>
      <c r="N900" s="2"/>
      <c r="O900" s="56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x14ac:dyDescent="0.25">
      <c r="A901" s="2"/>
      <c r="B901" s="8"/>
      <c r="C901" s="8"/>
      <c r="D901" s="8"/>
      <c r="E901" s="8"/>
      <c r="F901" s="13"/>
      <c r="G901" s="59"/>
      <c r="H901" s="6"/>
      <c r="I901" s="6"/>
      <c r="J901" s="2"/>
      <c r="K901" s="2"/>
      <c r="L901" s="2"/>
      <c r="M901" s="2"/>
      <c r="N901" s="2"/>
      <c r="O901" s="56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x14ac:dyDescent="0.25">
      <c r="A902" s="2"/>
      <c r="B902" s="8"/>
      <c r="C902" s="8"/>
      <c r="D902" s="8"/>
      <c r="E902" s="8"/>
      <c r="F902" s="13"/>
      <c r="G902" s="59"/>
      <c r="H902" s="6"/>
      <c r="I902" s="6"/>
      <c r="J902" s="2"/>
      <c r="K902" s="2"/>
      <c r="L902" s="2"/>
      <c r="M902" s="2"/>
      <c r="N902" s="2"/>
      <c r="O902" s="56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x14ac:dyDescent="0.25">
      <c r="A903" s="2"/>
      <c r="B903" s="8"/>
      <c r="C903" s="8"/>
      <c r="D903" s="8"/>
      <c r="E903" s="8"/>
      <c r="F903" s="13"/>
      <c r="G903" s="59"/>
      <c r="H903" s="6"/>
      <c r="I903" s="6"/>
      <c r="J903" s="2"/>
      <c r="K903" s="2"/>
      <c r="L903" s="2"/>
      <c r="M903" s="2"/>
      <c r="N903" s="2"/>
      <c r="O903" s="56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x14ac:dyDescent="0.25">
      <c r="A904" s="2"/>
      <c r="B904" s="8"/>
      <c r="C904" s="8"/>
      <c r="D904" s="8"/>
      <c r="E904" s="8"/>
      <c r="F904" s="13"/>
      <c r="G904" s="59"/>
      <c r="H904" s="6"/>
      <c r="I904" s="6"/>
      <c r="J904" s="2"/>
      <c r="K904" s="2"/>
      <c r="L904" s="2"/>
      <c r="M904" s="2"/>
      <c r="N904" s="2"/>
      <c r="O904" s="56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x14ac:dyDescent="0.25">
      <c r="A905" s="2"/>
      <c r="B905" s="8"/>
      <c r="C905" s="8"/>
      <c r="D905" s="8"/>
      <c r="E905" s="8"/>
      <c r="F905" s="13"/>
      <c r="G905" s="59"/>
      <c r="H905" s="6"/>
      <c r="I905" s="6"/>
      <c r="J905" s="2"/>
      <c r="K905" s="2"/>
      <c r="L905" s="2"/>
      <c r="M905" s="2"/>
      <c r="N905" s="2"/>
      <c r="O905" s="56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x14ac:dyDescent="0.25">
      <c r="A906" s="2"/>
      <c r="B906" s="8"/>
      <c r="C906" s="8"/>
      <c r="D906" s="8"/>
      <c r="E906" s="8"/>
      <c r="F906" s="13"/>
      <c r="G906" s="59"/>
      <c r="H906" s="6"/>
      <c r="I906" s="6"/>
      <c r="J906" s="2"/>
      <c r="K906" s="2"/>
      <c r="L906" s="2"/>
      <c r="M906" s="2"/>
      <c r="N906" s="2"/>
      <c r="O906" s="56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x14ac:dyDescent="0.25">
      <c r="A907" s="2"/>
      <c r="B907" s="8"/>
      <c r="C907" s="8"/>
      <c r="D907" s="8"/>
      <c r="E907" s="8"/>
      <c r="F907" s="13"/>
      <c r="G907" s="59"/>
      <c r="H907" s="6"/>
      <c r="I907" s="6"/>
      <c r="J907" s="2"/>
      <c r="K907" s="2"/>
      <c r="L907" s="2"/>
      <c r="M907" s="2"/>
      <c r="N907" s="2"/>
      <c r="O907" s="56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x14ac:dyDescent="0.25">
      <c r="A908" s="2"/>
      <c r="B908" s="8"/>
      <c r="C908" s="8"/>
      <c r="D908" s="8"/>
      <c r="E908" s="8"/>
      <c r="F908" s="13"/>
      <c r="G908" s="59"/>
      <c r="H908" s="6"/>
      <c r="I908" s="6"/>
      <c r="J908" s="2"/>
      <c r="K908" s="2"/>
      <c r="L908" s="2"/>
      <c r="M908" s="2"/>
      <c r="N908" s="2"/>
      <c r="O908" s="56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x14ac:dyDescent="0.25">
      <c r="A909" s="2"/>
      <c r="B909" s="8"/>
      <c r="C909" s="8"/>
      <c r="D909" s="8"/>
      <c r="E909" s="8"/>
      <c r="F909" s="13"/>
      <c r="G909" s="59"/>
      <c r="H909" s="6"/>
      <c r="I909" s="6"/>
      <c r="J909" s="2"/>
      <c r="K909" s="2"/>
      <c r="L909" s="2"/>
      <c r="M909" s="2"/>
      <c r="N909" s="2"/>
      <c r="O909" s="56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x14ac:dyDescent="0.25">
      <c r="A910" s="2"/>
      <c r="B910" s="8"/>
      <c r="C910" s="8"/>
      <c r="D910" s="8"/>
      <c r="E910" s="8"/>
      <c r="F910" s="13"/>
      <c r="G910" s="59"/>
      <c r="H910" s="6"/>
      <c r="I910" s="6"/>
      <c r="J910" s="2"/>
      <c r="K910" s="2"/>
      <c r="L910" s="2"/>
      <c r="M910" s="2"/>
      <c r="N910" s="2"/>
      <c r="O910" s="56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x14ac:dyDescent="0.25">
      <c r="A911" s="2"/>
      <c r="B911" s="8"/>
      <c r="C911" s="8"/>
      <c r="D911" s="8"/>
      <c r="E911" s="8"/>
      <c r="F911" s="13"/>
      <c r="G911" s="59"/>
      <c r="H911" s="6"/>
      <c r="I911" s="6"/>
      <c r="J911" s="2"/>
      <c r="K911" s="2"/>
      <c r="L911" s="2"/>
      <c r="M911" s="2"/>
      <c r="N911" s="2"/>
      <c r="O911" s="56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x14ac:dyDescent="0.25">
      <c r="A912" s="2"/>
      <c r="B912" s="8"/>
      <c r="C912" s="8"/>
      <c r="D912" s="8"/>
      <c r="E912" s="8"/>
      <c r="F912" s="13"/>
      <c r="G912" s="59"/>
      <c r="H912" s="6"/>
      <c r="I912" s="6"/>
      <c r="J912" s="2"/>
      <c r="K912" s="2"/>
      <c r="L912" s="2"/>
      <c r="M912" s="2"/>
      <c r="N912" s="2"/>
      <c r="O912" s="56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x14ac:dyDescent="0.25">
      <c r="A913" s="2"/>
      <c r="B913" s="8"/>
      <c r="C913" s="8"/>
      <c r="D913" s="8"/>
      <c r="E913" s="8"/>
      <c r="F913" s="13"/>
      <c r="G913" s="59"/>
      <c r="H913" s="6"/>
      <c r="I913" s="6"/>
      <c r="J913" s="2"/>
      <c r="K913" s="2"/>
      <c r="L913" s="2"/>
      <c r="M913" s="2"/>
      <c r="N913" s="2"/>
      <c r="O913" s="56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x14ac:dyDescent="0.25">
      <c r="A914" s="2"/>
      <c r="B914" s="8"/>
      <c r="C914" s="8"/>
      <c r="D914" s="8"/>
      <c r="E914" s="8"/>
      <c r="F914" s="13"/>
      <c r="G914" s="59"/>
      <c r="H914" s="6"/>
      <c r="I914" s="6"/>
      <c r="J914" s="2"/>
      <c r="K914" s="2"/>
      <c r="L914" s="2"/>
      <c r="M914" s="2"/>
      <c r="N914" s="2"/>
      <c r="O914" s="56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x14ac:dyDescent="0.25">
      <c r="A915" s="2"/>
      <c r="B915" s="8"/>
      <c r="C915" s="8"/>
      <c r="D915" s="8"/>
      <c r="E915" s="8"/>
      <c r="F915" s="13"/>
      <c r="G915" s="59"/>
      <c r="H915" s="6"/>
      <c r="I915" s="6"/>
      <c r="J915" s="2"/>
      <c r="K915" s="2"/>
      <c r="L915" s="2"/>
      <c r="M915" s="2"/>
      <c r="N915" s="2"/>
      <c r="O915" s="56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x14ac:dyDescent="0.25">
      <c r="A916" s="2"/>
      <c r="B916" s="8"/>
      <c r="C916" s="8"/>
      <c r="D916" s="8"/>
      <c r="E916" s="8"/>
      <c r="F916" s="13"/>
      <c r="G916" s="59"/>
      <c r="H916" s="6"/>
      <c r="I916" s="6"/>
      <c r="J916" s="2"/>
      <c r="K916" s="2"/>
      <c r="L916" s="2"/>
      <c r="M916" s="2"/>
      <c r="N916" s="2"/>
      <c r="O916" s="56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x14ac:dyDescent="0.25">
      <c r="A917" s="2"/>
      <c r="B917" s="8"/>
      <c r="C917" s="8"/>
      <c r="D917" s="8"/>
      <c r="E917" s="8"/>
      <c r="F917" s="13"/>
      <c r="G917" s="59"/>
      <c r="H917" s="6"/>
      <c r="I917" s="6"/>
      <c r="J917" s="2"/>
      <c r="K917" s="2"/>
      <c r="L917" s="2"/>
      <c r="M917" s="2"/>
      <c r="N917" s="2"/>
      <c r="O917" s="56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x14ac:dyDescent="0.25">
      <c r="A918" s="2"/>
      <c r="B918" s="8"/>
      <c r="C918" s="8"/>
      <c r="D918" s="8"/>
      <c r="E918" s="8"/>
      <c r="F918" s="13"/>
      <c r="G918" s="59"/>
      <c r="H918" s="6"/>
      <c r="I918" s="6"/>
      <c r="J918" s="2"/>
      <c r="K918" s="2"/>
      <c r="L918" s="2"/>
      <c r="M918" s="2"/>
      <c r="N918" s="2"/>
      <c r="O918" s="56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x14ac:dyDescent="0.25">
      <c r="A919" s="2"/>
      <c r="B919" s="8"/>
      <c r="C919" s="8"/>
      <c r="D919" s="8"/>
      <c r="E919" s="8"/>
      <c r="F919" s="13"/>
      <c r="G919" s="59"/>
      <c r="H919" s="6"/>
      <c r="I919" s="6"/>
      <c r="J919" s="2"/>
      <c r="K919" s="2"/>
      <c r="L919" s="2"/>
      <c r="M919" s="2"/>
      <c r="N919" s="2"/>
      <c r="O919" s="56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x14ac:dyDescent="0.25">
      <c r="A920" s="2"/>
      <c r="B920" s="8"/>
      <c r="C920" s="8"/>
      <c r="D920" s="8"/>
      <c r="E920" s="8"/>
      <c r="F920" s="13"/>
      <c r="G920" s="59"/>
      <c r="H920" s="6"/>
      <c r="I920" s="6"/>
      <c r="J920" s="2"/>
      <c r="K920" s="2"/>
      <c r="L920" s="2"/>
      <c r="M920" s="2"/>
      <c r="N920" s="2"/>
      <c r="O920" s="56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2"/>
      <c r="B921" s="8"/>
      <c r="C921" s="8"/>
      <c r="D921" s="8"/>
      <c r="E921" s="8"/>
      <c r="F921" s="13"/>
      <c r="G921" s="59"/>
      <c r="H921" s="6"/>
      <c r="I921" s="6"/>
      <c r="J921" s="2"/>
      <c r="K921" s="2"/>
      <c r="L921" s="2"/>
      <c r="M921" s="2"/>
      <c r="N921" s="2"/>
      <c r="O921" s="56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x14ac:dyDescent="0.25">
      <c r="A922" s="2"/>
      <c r="B922" s="8"/>
      <c r="C922" s="8"/>
      <c r="D922" s="8"/>
      <c r="E922" s="8"/>
      <c r="F922" s="13"/>
      <c r="G922" s="59"/>
      <c r="H922" s="6"/>
      <c r="I922" s="6"/>
      <c r="J922" s="2"/>
      <c r="K922" s="2"/>
      <c r="L922" s="2"/>
      <c r="M922" s="2"/>
      <c r="N922" s="2"/>
      <c r="O922" s="56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x14ac:dyDescent="0.25">
      <c r="A923" s="2"/>
      <c r="B923" s="8"/>
      <c r="C923" s="8"/>
      <c r="D923" s="8"/>
      <c r="E923" s="8"/>
      <c r="F923" s="13"/>
      <c r="G923" s="59"/>
      <c r="H923" s="6"/>
      <c r="I923" s="6"/>
      <c r="J923" s="2"/>
      <c r="K923" s="2"/>
      <c r="L923" s="2"/>
      <c r="M923" s="2"/>
      <c r="N923" s="2"/>
      <c r="O923" s="56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x14ac:dyDescent="0.25">
      <c r="A924" s="2"/>
      <c r="B924" s="8"/>
      <c r="C924" s="8"/>
      <c r="D924" s="8"/>
      <c r="E924" s="8"/>
      <c r="F924" s="13"/>
      <c r="G924" s="59"/>
      <c r="H924" s="6"/>
      <c r="I924" s="6"/>
      <c r="J924" s="2"/>
      <c r="K924" s="2"/>
      <c r="L924" s="2"/>
      <c r="M924" s="2"/>
      <c r="N924" s="2"/>
      <c r="O924" s="56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x14ac:dyDescent="0.25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x14ac:dyDescent="0.25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x14ac:dyDescent="0.25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x14ac:dyDescent="0.25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x14ac:dyDescent="0.25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x14ac:dyDescent="0.25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x14ac:dyDescent="0.25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x14ac:dyDescent="0.25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x14ac:dyDescent="0.25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3136</v>
      </c>
      <c r="R1" t="s">
        <v>3137</v>
      </c>
      <c r="S1" t="s">
        <v>3138</v>
      </c>
      <c r="T1" t="s">
        <v>3139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3136</v>
      </c>
      <c r="B3" s="15" t="s">
        <v>3138</v>
      </c>
      <c r="C3" s="15" t="s">
        <v>3137</v>
      </c>
      <c r="D3" t="s">
        <v>3140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>
        <v>5</v>
      </c>
      <c r="Q6" s="18" t="s">
        <v>3141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>
        <v>6</v>
      </c>
    </row>
    <row r="8" spans="1:20" x14ac:dyDescent="0.2">
      <c r="A8" s="12">
        <v>46247</v>
      </c>
      <c r="B8" s="15">
        <v>15000</v>
      </c>
      <c r="C8" s="15">
        <v>12708</v>
      </c>
      <c r="D8">
        <v>6</v>
      </c>
    </row>
    <row r="9" spans="1:20" x14ac:dyDescent="0.2">
      <c r="A9" s="12">
        <v>46246</v>
      </c>
      <c r="B9" s="15">
        <v>15000</v>
      </c>
      <c r="C9" s="15">
        <v>12153</v>
      </c>
      <c r="D9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>
        <v>7</v>
      </c>
    </row>
    <row r="12" spans="1:20" hidden="1" x14ac:dyDescent="0.2">
      <c r="A12" s="10" t="s">
        <v>3141</v>
      </c>
      <c r="B12" s="15">
        <v>90000.000000000015</v>
      </c>
      <c r="C12" s="15">
        <v>61676</v>
      </c>
      <c r="D12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3136</v>
      </c>
      <c r="B3" t="s">
        <v>3138</v>
      </c>
      <c r="C3" t="s">
        <v>3142</v>
      </c>
      <c r="O3" s="9" t="s">
        <v>3136</v>
      </c>
      <c r="P3" t="s">
        <v>3138</v>
      </c>
      <c r="Q3" t="s">
        <v>3142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3143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3141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3141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3144</v>
      </c>
      <c r="G3" s="17" t="s">
        <v>3145</v>
      </c>
      <c r="H3" s="17" t="s">
        <v>3146</v>
      </c>
      <c r="I3" s="17" t="s">
        <v>3147</v>
      </c>
      <c r="J3" s="17" t="s">
        <v>3148</v>
      </c>
      <c r="K3" s="17" t="s">
        <v>3149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3150</v>
      </c>
    </row>
    <row r="5" spans="6:11" x14ac:dyDescent="0.2">
      <c r="F5" s="17">
        <v>116</v>
      </c>
      <c r="H5" s="17">
        <v>110</v>
      </c>
      <c r="J5" s="17" t="s">
        <v>3151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3152</v>
      </c>
    </row>
    <row r="3" spans="1:17" x14ac:dyDescent="0.2">
      <c r="A3" s="25" t="s">
        <v>7</v>
      </c>
      <c r="B3" s="25" t="s">
        <v>3153</v>
      </c>
      <c r="C3" s="25" t="s">
        <v>3154</v>
      </c>
      <c r="D3" s="25" t="s">
        <v>3155</v>
      </c>
      <c r="E3" s="25" t="s">
        <v>3156</v>
      </c>
      <c r="F3" s="25" t="s">
        <v>3157</v>
      </c>
      <c r="H3" s="22" t="s">
        <v>3157</v>
      </c>
      <c r="I3" s="22" t="s">
        <v>3153</v>
      </c>
      <c r="J3" s="22" t="s">
        <v>3154</v>
      </c>
      <c r="K3" s="22" t="s">
        <v>3156</v>
      </c>
      <c r="L3" s="22" t="s">
        <v>3158</v>
      </c>
      <c r="M3" s="25" t="s">
        <v>3159</v>
      </c>
      <c r="O3" s="25" t="s">
        <v>7</v>
      </c>
      <c r="P3" s="25" t="s">
        <v>3156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3160</v>
      </c>
      <c r="H4" s="28" t="s">
        <v>3160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3160</v>
      </c>
      <c r="H5" s="28" t="s">
        <v>3161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3160</v>
      </c>
      <c r="H6" s="28" t="s">
        <v>3162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3160</v>
      </c>
      <c r="H7" s="28" t="s">
        <v>3163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3160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3160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3160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3160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3160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3160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3161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3161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3161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3161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3161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3161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3161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3162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3162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3162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3162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3162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3162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3162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3162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3162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3162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3162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3162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3162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3163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3163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3163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3163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3163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3163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3163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3163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3163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3163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3163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3163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3163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3163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3163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3163</v>
      </c>
    </row>
    <row r="50" spans="1:6" x14ac:dyDescent="0.2">
      <c r="A50" s="84" t="s">
        <v>3164</v>
      </c>
      <c r="B50" s="84"/>
      <c r="C50" s="84"/>
      <c r="E50" s="23">
        <f>SUM(E4:E49)</f>
        <v>12900</v>
      </c>
    </row>
    <row r="56" spans="1:6" ht="15.75" x14ac:dyDescent="0.25">
      <c r="A56" s="34" t="s">
        <v>3165</v>
      </c>
    </row>
    <row r="57" spans="1:6" ht="25.5" x14ac:dyDescent="0.2">
      <c r="A57" s="35" t="s">
        <v>3166</v>
      </c>
      <c r="B57" s="36" t="s">
        <v>3167</v>
      </c>
      <c r="C57" s="36" t="s">
        <v>3168</v>
      </c>
      <c r="D57" s="36" t="s">
        <v>3169</v>
      </c>
    </row>
    <row r="58" spans="1:6" x14ac:dyDescent="0.2">
      <c r="A58" s="40" t="s">
        <v>3170</v>
      </c>
      <c r="B58" s="37">
        <v>108384.01</v>
      </c>
      <c r="C58" s="37"/>
      <c r="D58" s="37">
        <v>108384.01</v>
      </c>
    </row>
    <row r="59" spans="1:6" x14ac:dyDescent="0.2">
      <c r="A59" s="40" t="s">
        <v>3171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3172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3173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3174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3175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3176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3177</v>
      </c>
      <c r="B65" s="37">
        <v>23860.793000000001</v>
      </c>
      <c r="C65" s="37"/>
      <c r="D65" s="37"/>
    </row>
    <row r="66" spans="1:4" x14ac:dyDescent="0.2">
      <c r="A66" s="40" t="s">
        <v>3178</v>
      </c>
      <c r="B66" s="37">
        <v>1344.431</v>
      </c>
      <c r="C66" s="37"/>
      <c r="D66" s="37"/>
    </row>
    <row r="67" spans="1:4" x14ac:dyDescent="0.2">
      <c r="A67" s="38" t="s">
        <v>3164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3179</v>
      </c>
      <c r="E2" s="48" t="s">
        <v>3180</v>
      </c>
      <c r="F2" s="48" t="s">
        <v>3181</v>
      </c>
      <c r="G2" s="48" t="s">
        <v>3182</v>
      </c>
      <c r="H2" s="48" t="s">
        <v>3183</v>
      </c>
      <c r="I2" s="48" t="s">
        <v>3184</v>
      </c>
      <c r="J2" s="48" t="s">
        <v>3185</v>
      </c>
      <c r="K2" s="48" t="s">
        <v>3186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2026-08-21T20:29:31Z</dcterms:modified>
  <cp:category/>
  <cp:contentStatus/>
</cp:coreProperties>
</file>