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914" documentId="8_{CE5C6F22-4BE2-41D0-BCDC-905D26C0C4E3}" xr6:coauthVersionLast="47" xr6:coauthVersionMax="47" xr10:uidLastSave="{9A632231-C40F-43A1-9381-62A920F3C934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1" i="1" l="1"/>
  <c r="I980" i="1"/>
  <c r="I979" i="1"/>
  <c r="I978" i="1"/>
  <c r="I977" i="1"/>
  <c r="H975" i="1"/>
  <c r="H967" i="1"/>
  <c r="H959" i="1"/>
  <c r="H951" i="1"/>
  <c r="H943" i="1"/>
  <c r="H934" i="1"/>
  <c r="H968" i="1"/>
  <c r="H966" i="1"/>
  <c r="H965" i="1"/>
  <c r="H964" i="1"/>
  <c r="H963" i="1"/>
  <c r="H961" i="1"/>
  <c r="H960" i="1"/>
  <c r="H958" i="1"/>
  <c r="H957" i="1"/>
  <c r="H956" i="1"/>
  <c r="H955" i="1"/>
  <c r="H953" i="1"/>
  <c r="H952" i="1"/>
  <c r="H950" i="1"/>
  <c r="H949" i="1"/>
  <c r="H948" i="1"/>
  <c r="H947" i="1"/>
  <c r="H945" i="1"/>
  <c r="H944" i="1"/>
  <c r="H942" i="1"/>
  <c r="H941" i="1"/>
  <c r="H939" i="1"/>
  <c r="H938" i="1"/>
  <c r="H936" i="1"/>
  <c r="H935" i="1"/>
  <c r="H933" i="1"/>
  <c r="H932" i="1"/>
  <c r="H930" i="1"/>
  <c r="H929" i="1"/>
  <c r="H922" i="1"/>
  <c r="H923" i="1"/>
  <c r="H924" i="1"/>
  <c r="H925" i="1"/>
  <c r="H921" i="1"/>
  <c r="H919" i="1"/>
  <c r="H91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<sst xmlns="http://schemas.openxmlformats.org/spreadsheetml/2006/main" count="12183" uniqueCount="3406">
  <si>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</si>
  <si>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</si>
  <si>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</si>
  <si>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</si>
  <si>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</si>
  <si>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</si>
  <si>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</si>
  <si>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</si>
  <si>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</si>
  <si>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</si>
  <si>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</si>
  <si>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</si>
  <si>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</si>
  <si>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</si>
  <si>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</si>
  <si>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</si>
  <si>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</si>
  <si>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</si>
  <si>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</si>
  <si>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</si>
  <si>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</si>
  <si>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</si>
  <si>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</si>
  <si>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</si>
  <si>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</si>
  <si>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</si>
  <si>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</si>
  <si>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</si>
  <si>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</si>
  <si>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</si>
  <si>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</si>
  <si>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</si>
  <si>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</si>
  <si>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</si>
  <si>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</si>
  <si>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</si>
  <si>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</si>
  <si>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</si>
  <si>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</si>
  <si>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</si>
  <si>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</si>
  <si>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</si>
  <si>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</si>
  <si>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</si>
  <si>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</si>
  <si>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</si>
  <si>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</si>
  <si>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</si>
  <si>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</si>
  <si>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</si>
  <si>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</si>
  <si>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</si>
  <si>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</si>
  <si>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</si>
  <si>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</si>
  <si>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</si>
  <si>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</si>
  <si>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</si>
  <si>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</si>
  <si>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</si>
  <si>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</si>
  <si>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</si>
  <si>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</si>
  <si>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</si>
  <si>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</si>
  <si>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</si>
  <si>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</si>
  <si>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</si>
  <si>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</si>
  <si>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</si>
  <si>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</si>
  <si>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</si>
  <si>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</si>
  <si>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</si>
  <si>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</si>
  <si>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</si>
  <si>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</si>
  <si>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</si>
  <si>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</si>
  <si>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</si>
  <si>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</si>
  <si>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</si>
  <si>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</si>
  <si>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</si>
  <si>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</si>
  <si>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</si>
  <si>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</si>
  <si>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</si>
  <si>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</si>
  <si>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</si>
  <si>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</si>
  <si>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</si>
  <si>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</si>
  <si>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</si>
  <si>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</si>
  <si>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</si>
  <si>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</si>
  <si>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</si>
  <si>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</si>
  <si>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</si>
  <si>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</si>
  <si>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</si>
  <si>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</si>
  <si>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</si>
  <si>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</si>
  <si>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</si>
  <si>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</si>
  <si>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</si>
  <si>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</si>
  <si>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</si>
  <si>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</si>
  <si>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</si>
  <si>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</si>
  <si>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</si>
  <si>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</si>
  <si>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</si>
  <si>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</si>
  <si>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</si>
  <si>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</si>
  <si>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</si>
  <si>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</si>
  <si>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</si>
  <si>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</si>
  <si>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</si>
  <si>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</si>
  <si>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</si>
  <si>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</si>
  <si>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</si>
  <si>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</si>
  <si>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</si>
  <si>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</si>
  <si>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</si>
  <si>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</si>
  <si>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</si>
  <si>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</si>
  <si>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</si>
  <si>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</si>
  <si>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</si>
  <si>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</si>
  <si>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</si>
  <si>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</si>
  <si>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</si>
  <si>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</si>
  <si>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</si>
  <si>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</si>
  <si>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</si>
  <si>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</si>
  <si>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</si>
  <si>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</si>
  <si>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</si>
  <si>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</si>
  <si>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</si>
  <si>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</si>
  <si>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</si>
  <si>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</si>
  <si>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</si>
  <si>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</si>
  <si>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</si>
  <si>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</si>
  <si>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</si>
  <si>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</si>
  <si>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</si>
  <si>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</si>
  <si>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</si>
  <si>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</si>
  <si>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</si>
  <si>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</si>
  <si>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</si>
  <si>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</si>
  <si>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</si>
  <si>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</si>
  <si>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</si>
  <si>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</si>
  <si>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</si>
  <si>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</si>
  <si>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</si>
  <si>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</si>
  <si>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</si>
  <si>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</si>
  <si>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</si>
  <si>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</si>
  <si>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</si>
  <si>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</si>
  <si>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</si>
  <si>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</si>
  <si>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</si>
  <si>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</si>
  <si>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</si>
  <si>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</si>
  <si>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</si>
  <si>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</si>
  <si>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</si>
  <si>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</si>
  <si>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</si>
  <si>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</si>
  <si>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</si>
  <si>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</si>
  <si>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</si>
  <si>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</si>
  <si>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</si>
  <si>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</si>
  <si>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</si>
  <si>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</si>
  <si>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</si>
  <si>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</si>
  <si>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</si>
  <si>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</si>
  <si>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</si>
  <si>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</si>
  <si>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</si>
  <si>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</si>
  <si>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</si>
  <si>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</si>
  <si>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</si>
  <si>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</si>
  <si>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</si>
  <si>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</si>
  <si>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</si>
  <si>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</si>
  <si>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</si>
  <si>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</si>
  <si>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</si>
  <si>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</si>
  <si>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</si>
  <si>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</si>
  <si>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</si>
  <si>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</si>
  <si>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</si>
  <si>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</si>
  <si>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</si>
  <si>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</si>
  <si>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</si>
  <si>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</si>
  <si>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</si>
  <si>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</si>
  <si>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</si>
  <si>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</si>
  <si>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</si>
  <si>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</si>
  <si>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</si>
  <si>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</si>
  <si>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</si>
  <si>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</si>
  <si>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</si>
  <si>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</si>
  <si>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</si>
  <si>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</si>
  <si>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</si>
  <si>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</si>
  <si>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</si>
  <si>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</si>
  <si>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</si>
  <si>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</si>
  <si>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</si>
  <si>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</si>
  <si>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</si>
  <si>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</si>
  <si>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</si>
  <si>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</si>
  <si>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</si>
  <si>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</si>
  <si>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</si>
  <si>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</si>
  <si>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</si>
  <si>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</si>
  <si>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</si>
  <si>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</si>
  <si>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</si>
  <si>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</si>
  <si>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</si>
  <si>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</si>
  <si>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</si>
  <si>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</si>
  <si>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</si>
  <si>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</si>
  <si>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</si>
  <si>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</si>
  <si>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</si>
  <si>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</si>
  <si>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</si>
  <si>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</si>
  <si>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</si>
  <si>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</si>
  <si>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</si>
  <si>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</si>
  <si>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</si>
  <si>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</si>
  <si>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</si>
  <si>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</si>
  <si>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</si>
  <si>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</si>
  <si>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</si>
  <si>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</si>
  <si>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</si>
  <si>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</si>
  <si>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</si>
  <si>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</si>
  <si>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</si>
  <si>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</si>
  <si>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</si>
  <si>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</si>
  <si>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</si>
  <si>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</si>
  <si>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</si>
  <si>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</si>
  <si>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</si>
  <si>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</si>
  <si>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</si>
  <si>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</si>
  <si>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</si>
  <si>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</si>
  <si>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</si>
  <si>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</si>
  <si>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</si>
  <si>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</si>
  <si>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</si>
  <si>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</si>
  <si>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</si>
  <si>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</si>
  <si>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</si>
  <si>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</si>
  <si>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</si>
  <si>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</si>
  <si>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</si>
  <si>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</si>
  <si>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</si>
  <si>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</si>
  <si>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</si>
  <si>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</si>
  <si>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</si>
  <si>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</si>
  <si>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</si>
  <si>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</si>
  <si>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</si>
  <si>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</si>
  <si>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</si>
  <si>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</si>
  <si>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</si>
  <si>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</si>
  <si>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</si>
  <si>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</si>
  <si>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</si>
  <si>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</si>
  <si>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</si>
  <si>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</si>
  <si>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</si>
  <si>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</si>
  <si>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</si>
  <si>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</si>
  <si>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</si>
  <si>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</si>
  <si>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</si>
  <si>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</si>
  <si>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</si>
  <si>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</si>
  <si>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</si>
  <si>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</si>
  <si>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</si>
  <si>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</si>
  <si>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</si>
  <si>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</si>
  <si>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</si>
  <si>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</si>
  <si>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</si>
  <si>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</si>
  <si>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</si>
  <si>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</si>
  <si>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</si>
  <si>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</si>
  <si>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</si>
  <si>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</si>
  <si>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</si>
  <si>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</si>
  <si>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</si>
  <si>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</si>
  <si>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</si>
  <si>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</si>
  <si>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</si>
  <si>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</si>
  <si>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</si>
  <si>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</si>
  <si>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</si>
  <si>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</si>
  <si>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</si>
  <si>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</si>
  <si>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</si>
  <si>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</si>
  <si>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</si>
  <si>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</si>
  <si>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</si>
  <si>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</si>
  <si>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</si>
  <si>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</si>
  <si>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</si>
  <si>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</si>
  <si>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</si>
  <si>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</si>
  <si>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</si>
  <si>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</si>
  <si>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</si>
  <si>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</si>
  <si>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</si>
  <si>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</si>
  <si>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</si>
  <si>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</si>
  <si>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</si>
  <si>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</si>
  <si>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</si>
  <si>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</si>
  <si>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</si>
  <si>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</si>
  <si>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</si>
  <si>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</si>
  <si>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</si>
  <si>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</si>
  <si>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</si>
  <si>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</si>
  <si>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</si>
  <si>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</si>
  <si>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</si>
  <si>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</si>
  <si>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</si>
  <si>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</si>
  <si>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</si>
  <si>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</si>
  <si>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</si>
  <si>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</si>
  <si>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</si>
  <si>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</si>
  <si>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</si>
  <si>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</si>
  <si>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</si>
  <si>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</si>
  <si>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</si>
  <si>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</si>
  <si>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</si>
  <si>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</si>
  <si>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</si>
  <si>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</si>
  <si>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</si>
  <si>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</si>
  <si>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</si>
  <si>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</si>
  <si>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</si>
  <si>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</si>
  <si>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</si>
  <si>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</si>
  <si>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</si>
  <si>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</si>
  <si>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</si>
  <si>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</si>
  <si>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</si>
  <si>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</si>
  <si>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</si>
  <si>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</si>
  <si>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</si>
  <si>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</si>
  <si>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</si>
  <si>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</si>
  <si>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</si>
  <si>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</si>
  <si>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</si>
  <si>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</si>
  <si>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</si>
  <si>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</si>
  <si>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</si>
  <si>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</si>
  <si>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</si>
  <si>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</si>
  <si>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</si>
  <si>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</si>
  <si>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</si>
  <si>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</si>
  <si>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</si>
  <si>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</si>
  <si>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</si>
  <si>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</si>
  <si>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</si>
  <si>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</si>
  <si>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</si>
  <si>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</si>
  <si>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</si>
  <si>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</si>
  <si>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</si>
  <si>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</si>
  <si>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</si>
  <si>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</si>
  <si>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</si>
  <si>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</si>
  <si>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</si>
  <si>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</si>
  <si>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</si>
  <si>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</si>
  <si>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</si>
  <si>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</si>
  <si>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</si>
  <si>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</si>
  <si>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</si>
  <si>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</si>
  <si>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</si>
  <si>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</si>
  <si>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</si>
  <si>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</si>
  <si>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</si>
  <si>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</si>
  <si>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</si>
  <si>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</si>
  <si>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</si>
  <si>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</si>
  <si>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</si>
  <si>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</si>
  <si>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</si>
  <si>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</si>
  <si>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</si>
  <si>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</si>
  <si>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</si>
  <si>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</si>
  <si>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</si>
  <si>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</si>
  <si>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</si>
  <si>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</si>
  <si>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</si>
  <si>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</si>
  <si>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</si>
  <si>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</si>
  <si>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</si>
  <si>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</si>
  <si>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</si>
  <si>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</si>
  <si>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</si>
  <si>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</si>
  <si>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</si>
  <si>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</si>
  <si>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</si>
  <si>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</si>
  <si>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</si>
  <si>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</si>
  <si>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</si>
  <si>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</si>
  <si>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</si>
  <si>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</si>
  <si>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</si>
  <si>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</si>
  <si>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</si>
  <si>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</si>
  <si>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</si>
  <si>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</si>
  <si>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</si>
  <si>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</si>
  <si>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</si>
  <si>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</si>
  <si>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</si>
  <si>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</si>
  <si>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</si>
  <si>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</si>
  <si>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</si>
  <si>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</si>
  <si>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</si>
  <si>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</si>
  <si>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</si>
  <si>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</si>
  <si>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</si>
  <si>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</si>
  <si>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</si>
  <si>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</si>
  <si>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</si>
  <si>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</si>
  <si>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</si>
  <si>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</si>
  <si>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</si>
  <si>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</si>
  <si>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</si>
  <si>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</si>
  <si>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</si>
  <si>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</si>
  <si>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</si>
  <si>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</si>
  <si>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</si>
  <si>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</si>
  <si>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</si>
  <si>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</si>
  <si>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</si>
  <si>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</si>
  <si>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</si>
  <si>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</si>
  <si>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</si>
  <si>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</si>
  <si>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</si>
  <si>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</si>
  <si>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</si>
  <si>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</si>
  <si>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</si>
  <si>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</si>
  <si>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</si>
  <si>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</si>
  <si>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</si>
  <si>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</si>
  <si>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</si>
  <si>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</si>
  <si>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</si>
  <si>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</si>
  <si>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</si>
  <si>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</si>
  <si>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</si>
  <si>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</si>
  <si>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</si>
  <si>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</si>
  <si>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</si>
  <si>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</si>
  <si>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</si>
  <si>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</si>
  <si>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</si>
  <si>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</si>
  <si>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</si>
  <si>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</si>
  <si>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</si>
  <si>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</si>
  <si>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</si>
  <si>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</si>
  <si>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</si>
  <si>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</si>
  <si>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</si>
  <si>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</si>
  <si>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</si>
  <si>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</si>
  <si>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</si>
  <si>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</si>
  <si>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</si>
  <si>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</si>
  <si>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</si>
  <si>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</si>
  <si>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</si>
  <si>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</si>
  <si>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</si>
  <si>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</si>
  <si>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</si>
  <si>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</si>
  <si>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</si>
  <si>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</si>
  <si>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</si>
  <si>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</si>
  <si>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</si>
  <si>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</si>
  <si>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</si>
  <si>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</si>
  <si>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</si>
  <si>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</si>
  <si>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</si>
  <si>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</si>
  <si>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</si>
  <si>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</si>
  <si>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</si>
  <si>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</si>
  <si>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</si>
  <si>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</si>
  <si>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</si>
  <si>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</si>
  <si>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</si>
  <si>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</si>
  <si>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</si>
  <si>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</si>
  <si>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</si>
  <si>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</si>
  <si>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</si>
  <si>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</si>
  <si>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</si>
  <si>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</si>
  <si>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</si>
  <si>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</si>
  <si>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</si>
  <si>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</si>
  <si>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</si>
  <si>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</si>
  <si>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</si>
  <si>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</si>
  <si>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</si>
  <si>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</si>
  <si>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</si>
  <si>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</si>
  <si>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</si>
  <si>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</si>
  <si>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</si>
  <si>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</si>
  <si>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</si>
  <si>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</si>
  <si>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</si>
  <si>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</si>
  <si>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</si>
  <si>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</si>
  <si>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</si>
  <si>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</si>
  <si>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</si>
  <si>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</si>
  <si>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</si>
  <si>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</si>
  <si>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</si>
  <si>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</si>
  <si>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</si>
  <si>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</si>
  <si>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</si>
  <si>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</si>
  <si>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</si>
  <si>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</si>
  <si>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</si>
  <si>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</si>
  <si>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</si>
  <si>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</si>
  <si>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</si>
  <si>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</si>
  <si>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</si>
  <si>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</si>
  <si>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</si>
  <si>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</si>
  <si>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</si>
  <si>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</si>
  <si>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</si>
  <si>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</si>
  <si>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</si>
  <si>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</si>
  <si>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</si>
  <si>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</si>
  <si>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</si>
  <si>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</si>
  <si>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</si>
  <si>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</si>
  <si>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</si>
  <si>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</si>
  <si>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</si>
  <si>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</si>
  <si>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</si>
  <si>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</si>
  <si>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</si>
  <si>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</si>
  <si>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</si>
  <si>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</si>
  <si>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</si>
  <si>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</si>
  <si>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</si>
  <si>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</si>
  <si>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</si>
  <si>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</si>
  <si>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</si>
  <si>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</si>
  <si>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</si>
  <si>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</si>
  <si>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</si>
  <si>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</si>
  <si>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</si>
  <si>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</si>
  <si>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</si>
  <si>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</si>
  <si>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</si>
  <si>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</si>
  <si>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</si>
  <si>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</si>
  <si>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</si>
  <si>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</si>
  <si>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</si>
  <si>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</si>
  <si>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</si>
  <si>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</si>
  <si>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</si>
  <si>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</si>
  <si>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</si>
  <si>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</si>
  <si>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</si>
  <si>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</si>
  <si>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</si>
  <si>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</si>
  <si>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</si>
  <si>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</si>
  <si>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</si>
  <si>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</si>
  <si>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</si>
  <si>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</si>
  <si>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</si>
  <si>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</si>
  <si>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</si>
  <si>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</si>
  <si>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</si>
  <si>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</si>
  <si>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</si>
  <si>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</si>
  <si>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</si>
  <si>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</si>
  <si>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</si>
  <si>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</si>
  <si>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</si>
  <si>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</si>
  <si>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</si>
  <si>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</si>
  <si>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</si>
  <si>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</si>
  <si>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</si>
  <si>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</si>
  <si>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</si>
  <si>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</si>
  <si>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</si>
  <si>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</si>
  <si>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</si>
  <si>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</si>
  <si>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</si>
  <si>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</si>
  <si>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</si>
  <si>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</si>
  <si>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</si>
  <si>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</si>
  <si>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</si>
  <si>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</si>
  <si>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</si>
  <si>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</si>
  <si>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</si>
  <si>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</si>
  <si>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</si>
  <si>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</si>
  <si>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</si>
  <si>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</si>
  <si>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</si>
  <si>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</si>
  <si>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</si>
  <si>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</si>
  <si>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</si>
  <si>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</si>
  <si>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</si>
  <si>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</si>
  <si>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</si>
  <si>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</si>
  <si>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</si>
  <si>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</si>
  <si>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</si>
  <si>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</si>
  <si>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</si>
  <si>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</si>
  <si>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</si>
  <si>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</si>
  <si>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</si>
  <si>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</si>
  <si>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</si>
  <si>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</si>
  <si>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</si>
  <si>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</si>
  <si>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</si>
  <si>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</si>
  <si>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</si>
  <si>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</si>
  <si>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</si>
  <si>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</si>
  <si>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</si>
  <si>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</si>
  <si>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</si>
  <si>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</si>
  <si>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</si>
  <si>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</si>
  <si>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</si>
  <si>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</si>
  <si>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</si>
  <si>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</si>
  <si>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</si>
  <si>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</si>
  <si>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</si>
  <si>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</si>
  <si>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</si>
  <si>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</si>
  <si>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</si>
  <si>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</si>
  <si>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</si>
  <si>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</si>
  <si>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</si>
  <si>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</si>
  <si>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</si>
  <si>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</si>
  <si>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</si>
  <si>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</si>
  <si>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</si>
  <si>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</si>
  <si>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</si>
  <si>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</si>
  <si>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</si>
  <si>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</si>
  <si>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</si>
  <si>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</si>
  <si>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</si>
  <si>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</si>
  <si>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</si>
  <si>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</si>
  <si>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</si>
  <si>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</si>
  <si>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</si>
  <si>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</si>
  <si>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</si>
  <si>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</si>
  <si>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</si>
  <si>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</si>
  <si>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</si>
  <si>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</si>
  <si>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</si>
  <si>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</si>
  <si>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</si>
  <si>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</si>
  <si>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</si>
  <si>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</si>
  <si>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</si>
  <si>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</si>
  <si>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</si>
  <si>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</si>
  <si>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</si>
  <si>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</si>
  <si>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</si>
  <si>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</si>
  <si>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</si>
  <si>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</si>
  <si>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</si>
  <si>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</si>
  <si>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</si>
  <si>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</si>
  <si>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</si>
  <si>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</si>
  <si>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</si>
  <si>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</si>
  <si>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</si>
  <si>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</si>
  <si>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</si>
  <si>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</si>
  <si>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</si>
  <si>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</si>
  <si>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</si>
  <si>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</si>
  <si>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</si>
  <si>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</si>
  <si>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</si>
  <si>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</si>
  <si>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</si>
  <si>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</si>
  <si>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</si>
  <si>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</si>
  <si>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</si>
  <si>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</si>
  <si>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</si>
  <si>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</si>
  <si>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</si>
  <si>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</si>
  <si>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</si>
  <si>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</si>
  <si>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</si>
  <si>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</si>
  <si>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</si>
  <si>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</si>
  <si>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</si>
  <si>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</si>
  <si>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</si>
  <si>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</si>
  <si>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</si>
  <si>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</si>
  <si>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</si>
  <si>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</si>
  <si>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</si>
  <si>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</si>
  <si>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</si>
  <si>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</si>
  <si>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</si>
  <si>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</si>
  <si>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</si>
  <si>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</si>
  <si>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</si>
  <si>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</si>
  <si>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</si>
  <si>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</si>
  <si>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</si>
  <si>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</si>
  <si>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</si>
  <si>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</si>
  <si>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</si>
  <si>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</si>
  <si>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</si>
  <si>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</si>
  <si>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</si>
  <si>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</si>
  <si>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</si>
  <si>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</si>
  <si>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</si>
  <si>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</si>
  <si>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</si>
  <si>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</si>
  <si>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</si>
  <si>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</si>
  <si>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</si>
  <si>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</si>
  <si>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</si>
  <si>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</si>
  <si>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</si>
  <si>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</si>
  <si>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</si>
  <si>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</si>
  <si>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</si>
  <si>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</si>
  <si>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</si>
  <si>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</si>
  <si>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</si>
  <si>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</si>
  <si>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</si>
  <si>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</si>
  <si>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</si>
  <si>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</si>
  <si>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</si>
  <si>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</si>
  <si>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</si>
  <si>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</si>
  <si>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</si>
  <si>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</si>
  <si>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</si>
  <si>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</si>
  <si>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</si>
  <si>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</si>
  <si>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</si>
  <si>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</si>
  <si>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</si>
  <si>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</si>
  <si>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</si>
  <si>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</si>
  <si>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</si>
  <si>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</si>
  <si>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</si>
  <si>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</si>
  <si>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</si>
  <si>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</si>
  <si>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</si>
  <si>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</si>
  <si>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</si>
  <si>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</si>
  <si>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</si>
  <si>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</si>
  <si>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</si>
  <si>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</si>
  <si>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</si>
  <si>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</si>
  <si>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</si>
  <si>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</si>
  <si>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</si>
  <si>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</si>
  <si>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</si>
  <si>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</si>
  <si>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</si>
  <si>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</si>
  <si>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</si>
  <si>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</si>
  <si>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</si>
  <si>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</si>
  <si>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</si>
  <si>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</si>
  <si>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</si>
  <si>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</si>
  <si>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</si>
  <si>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</si>
  <si>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</si>
  <si>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</si>
  <si>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</si>
  <si>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</si>
  <si>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</si>
  <si>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</si>
  <si>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</si>
  <si>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</si>
  <si>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</si>
  <si>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</si>
  <si>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</si>
  <si>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</si>
  <si>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</si>
  <si>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</si>
  <si>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</si>
  <si>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</si>
  <si>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</si>
  <si>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</si>
  <si>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</si>
  <si>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</si>
  <si>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</si>
  <si>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</si>
  <si>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</si>
  <si>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</si>
  <si>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</si>
  <si>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</si>
  <si>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</si>
  <si>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</si>
  <si>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</si>
  <si>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</si>
  <si>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</si>
  <si>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</si>
  <si>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</si>
  <si>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</si>
  <si>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</si>
  <si>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</si>
  <si>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</si>
  <si>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</si>
  <si>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</si>
  <si>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</si>
  <si>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</si>
  <si>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</si>
  <si>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</si>
  <si>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</si>
  <si>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</si>
  <si>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</si>
  <si>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</si>
  <si>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</si>
  <si>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</si>
  <si>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</si>
  <si>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</si>
  <si>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</si>
  <si>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</si>
  <si>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</si>
  <si>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</si>
  <si>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</si>
  <si>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</si>
  <si>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</si>
  <si>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</si>
  <si>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</si>
  <si>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</si>
  <si>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</si>
  <si>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</si>
  <si>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</si>
  <si>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</si>
  <si>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</si>
  <si>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</si>
  <si>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</si>
  <si>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</si>
  <si>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</si>
  <si>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</si>
  <si>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</si>
  <si>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</si>
  <si>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</si>
  <si>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</si>
  <si>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</si>
  <si>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</si>
  <si>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</si>
  <si>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</si>
  <si>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</si>
  <si>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</si>
  <si>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</si>
  <si>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</si>
  <si>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</si>
  <si>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</si>
  <si>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</si>
  <si>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</si>
  <si>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</si>
  <si>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</si>
  <si>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</si>
  <si>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</si>
  <si>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</si>
  <si>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</si>
  <si>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</si>
  <si>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</si>
  <si>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</si>
  <si>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</si>
  <si>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</si>
  <si>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</si>
  <si>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</si>
  <si>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</si>
  <si>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</si>
  <si>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</si>
  <si>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</si>
  <si>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</si>
  <si>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</si>
  <si>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</si>
  <si>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</si>
  <si>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</si>
  <si>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</si>
  <si>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</si>
  <si>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</si>
  <si>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</si>
  <si>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</si>
  <si>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</si>
  <si>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</si>
  <si>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</si>
  <si>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</si>
  <si>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</si>
  <si>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</si>
  <si>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</si>
  <si>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</si>
  <si>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</si>
  <si>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</si>
  <si>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</si>
  <si>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</si>
  <si>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</si>
  <si>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</si>
  <si>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</si>
  <si>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</si>
  <si>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</si>
  <si>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</si>
  <si>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</si>
  <si>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</si>
  <si>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</si>
  <si>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</si>
  <si>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</si>
  <si>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</si>
  <si>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</si>
  <si>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</si>
  <si>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</si>
  <si>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</si>
  <si>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</si>
  <si>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</si>
  <si>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</si>
  <si>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</si>
  <si>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</si>
  <si>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</si>
  <si>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</si>
  <si>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</si>
  <si>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</si>
  <si>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</si>
  <si>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</si>
  <si>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</si>
  <si>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</si>
  <si>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</si>
  <si>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</si>
  <si>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</si>
  <si>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</si>
  <si>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</si>
  <si>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</si>
  <si>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</si>
  <si>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</si>
  <si>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</si>
  <si>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</si>
  <si>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</si>
  <si>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</si>
  <si>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</si>
  <si>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</si>
  <si>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</si>
  <si>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</si>
  <si>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</si>
  <si>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</si>
  <si>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</si>
  <si>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</si>
  <si>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</si>
  <si>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</si>
  <si>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</si>
  <si>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</si>
  <si>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</si>
  <si>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</si>
  <si>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</si>
  <si>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</si>
  <si>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</si>
  <si>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</si>
  <si>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</si>
  <si>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</si>
  <si>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</si>
  <si>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</si>
  <si>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</si>
  <si>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</si>
  <si>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</si>
  <si>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</si>
  <si>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</si>
  <si>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</si>
  <si>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</si>
  <si>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</si>
  <si>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</si>
  <si>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</si>
  <si>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</si>
  <si>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</si>
  <si>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</si>
  <si>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</si>
  <si>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</si>
  <si>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</si>
  <si>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</si>
  <si>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</si>
  <si>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</si>
  <si>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</si>
  <si>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</si>
  <si>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</si>
  <si>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</si>
  <si>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</si>
  <si>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</si>
  <si>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</si>
  <si>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</si>
  <si>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</si>
  <si>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</si>
  <si>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</si>
  <si>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</si>
  <si>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</si>
  <si>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</si>
  <si>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</si>
  <si>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</si>
  <si>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</si>
  <si>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</si>
  <si>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</si>
  <si>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</si>
  <si>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</si>
  <si>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</si>
  <si>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</si>
  <si>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</si>
  <si>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</si>
  <si>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</si>
  <si>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</si>
  <si>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</si>
  <si>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</si>
  <si>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</si>
  <si>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</si>
  <si>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</si>
  <si>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</si>
  <si>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</si>
  <si>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</si>
  <si>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</si>
  <si>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</si>
  <si>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</si>
  <si>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</si>
  <si>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</si>
  <si>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</si>
  <si>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</si>
  <si>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</si>
  <si>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</si>
  <si>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</si>
  <si>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</si>
  <si>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</si>
  <si>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</si>
  <si>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</si>
  <si>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</si>
  <si>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</si>
  <si>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</si>
  <si>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</si>
  <si>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</si>
  <si>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</si>
  <si>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</si>
  <si>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</si>
  <si>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</si>
  <si>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</si>
  <si>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</si>
  <si>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</si>
  <si>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</si>
  <si>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</si>
  <si>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</si>
  <si>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</si>
  <si>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</si>
  <si>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</si>
  <si>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</si>
  <si>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</si>
  <si>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</si>
  <si>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</si>
  <si>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</si>
  <si>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</si>
  <si>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</si>
  <si>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</si>
  <si>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</si>
  <si>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</si>
  <si>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</si>
  <si>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</si>
  <si>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</si>
  <si>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</si>
  <si>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</si>
  <si>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</si>
  <si>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</si>
  <si>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</si>
  <si>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</si>
  <si>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</si>
  <si>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</si>
  <si>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</si>
  <si>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</si>
  <si>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</si>
  <si>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</si>
  <si>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</si>
  <si>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</si>
  <si>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</si>
  <si>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</si>
  <si>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</si>
  <si>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</si>
  <si>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</si>
  <si>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</si>
  <si>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</si>
  <si>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</si>
  <si>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</si>
  <si>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</si>
  <si>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</si>
  <si>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</si>
  <si>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</si>
  <si>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</si>
  <si>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</si>
  <si>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</si>
  <si>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</si>
  <si>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</si>
  <si>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</si>
  <si>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</si>
  <si>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</si>
  <si>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</si>
  <si>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</si>
  <si>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</si>
  <si>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</si>
  <si>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</si>
  <si>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</si>
  <si>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</si>
  <si>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</si>
  <si>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</si>
  <si>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</si>
  <si>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</si>
  <si>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</si>
  <si>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</si>
  <si>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</si>
  <si>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</si>
  <si>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</si>
  <si>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</si>
  <si>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</si>
  <si>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</si>
  <si>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</si>
  <si>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</si>
  <si>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</si>
  <si>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</si>
  <si>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</si>
  <si>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</si>
  <si>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</si>
  <si>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</si>
  <si>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</si>
  <si>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</si>
  <si>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</si>
  <si>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</si>
  <si>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</si>
  <si>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</si>
  <si>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</si>
  <si>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</si>
  <si>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</si>
  <si>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</si>
  <si>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</si>
  <si>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</si>
  <si>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</si>
  <si>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</si>
  <si>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</si>
  <si>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</si>
  <si>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</si>
  <si>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</si>
  <si>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</si>
  <si>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</si>
  <si>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</si>
  <si>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</si>
  <si>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</si>
  <si>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</si>
  <si>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</si>
  <si>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</si>
  <si>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</si>
  <si>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</si>
  <si>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</si>
  <si>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</si>
  <si>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</si>
  <si>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</si>
  <si>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</si>
  <si>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</si>
  <si>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</si>
  <si>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</si>
  <si>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</si>
  <si>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</si>
  <si>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</si>
  <si>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</si>
  <si>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</si>
  <si>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</si>
  <si>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</si>
  <si>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</si>
  <si>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</si>
  <si>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</si>
  <si>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</si>
  <si>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</si>
  <si>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</si>
  <si>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</si>
  <si>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</si>
  <si>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</si>
  <si>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</si>
  <si>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</si>
  <si>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</si>
  <si>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</si>
  <si>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</si>
  <si>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</si>
  <si>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</si>
  <si>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</si>
  <si>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</si>
  <si>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</si>
  <si>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</si>
  <si>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</si>
  <si>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</si>
  <si>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</si>
  <si>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</si>
  <si>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</si>
  <si>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</si>
  <si>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</si>
  <si>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</si>
  <si>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</si>
  <si>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</si>
  <si>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</si>
  <si>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</si>
  <si>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</si>
  <si>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</si>
  <si>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</si>
  <si>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</si>
  <si>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</si>
  <si>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</si>
  <si>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</si>
  <si>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</si>
  <si>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</si>
  <si>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</si>
  <si>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</si>
  <si>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</si>
  <si>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</si>
  <si>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</si>
  <si>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</si>
  <si>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</si>
  <si>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</si>
  <si>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</si>
  <si>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</si>
  <si>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</si>
  <si>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</si>
  <si>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</si>
  <si>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</si>
  <si>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</si>
  <si>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</si>
  <si>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</si>
  <si>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</si>
  <si>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</si>
  <si>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</si>
  <si>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</si>
  <si>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</si>
  <si>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</si>
  <si>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</si>
  <si>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</si>
  <si>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</si>
  <si>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</si>
  <si>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</si>
  <si>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</si>
  <si>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</si>
  <si>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</si>
  <si>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</si>
  <si>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</si>
  <si>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</si>
  <si>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</si>
  <si>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</si>
  <si>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</si>
  <si>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</si>
  <si>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</si>
  <si>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</si>
  <si>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</si>
  <si>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</si>
  <si>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</si>
  <si>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</si>
  <si>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</si>
  <si>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</si>
  <si>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</si>
  <si>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</si>
  <si>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</si>
  <si>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</si>
  <si>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</si>
  <si>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</si>
  <si>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</si>
  <si>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</si>
  <si>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</si>
  <si>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</si>
  <si>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</si>
  <si>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</si>
  <si>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</si>
  <si>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</si>
  <si>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</si>
  <si>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</si>
  <si>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</si>
  <si>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</si>
  <si>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</si>
  <si>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</si>
  <si>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</si>
  <si>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</si>
  <si>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</si>
  <si>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</si>
  <si>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</si>
  <si>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</si>
  <si>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</si>
  <si>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</si>
  <si>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</si>
  <si>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</si>
  <si>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</si>
  <si>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</si>
  <si>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</si>
  <si>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</si>
  <si>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</si>
  <si>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</si>
  <si>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</si>
  <si>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</si>
  <si>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</si>
  <si>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</si>
  <si>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</si>
  <si>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</si>
  <si>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</si>
  <si>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</si>
  <si>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</si>
  <si>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</si>
  <si>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</si>
  <si>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</si>
  <si>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</si>
  <si>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</si>
  <si>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</si>
  <si>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</si>
  <si>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</si>
  <si>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</si>
  <si>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</si>
  <si>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</si>
  <si>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</si>
  <si>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</si>
  <si>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</si>
  <si>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</si>
  <si>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</si>
  <si>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</si>
  <si>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</si>
  <si>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</si>
  <si>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</si>
  <si>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</si>
  <si>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</si>
  <si>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</si>
  <si>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</si>
  <si>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</si>
  <si>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</si>
  <si>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</si>
  <si>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</si>
  <si>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</si>
  <si>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</si>
  <si>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</si>
  <si>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</si>
  <si>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</si>
  <si>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</si>
  <si>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</si>
  <si>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</si>
  <si>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</si>
  <si>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</si>
  <si>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</si>
  <si>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</si>
  <si>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</si>
  <si>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</si>
  <si>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</si>
  <si>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</si>
  <si>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</si>
  <si>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</si>
  <si>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</si>
  <si>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</si>
  <si>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</si>
  <si>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</si>
  <si>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</si>
  <si>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</si>
  <si>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</si>
  <si>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</si>
  <si>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</si>
  <si>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</si>
  <si>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</si>
  <si>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</si>
  <si>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</si>
  <si>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</si>
  <si>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</si>
  <si>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</si>
  <si>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</si>
  <si>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</si>
  <si>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</si>
  <si>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</si>
  <si>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</si>
  <si>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</si>
  <si>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</si>
  <si>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</si>
  <si>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</si>
  <si>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</si>
  <si>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</si>
  <si>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</si>
  <si>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</si>
  <si>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</si>
  <si>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</si>
  <si>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</si>
  <si>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</si>
  <si>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</si>
  <si>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</si>
  <si>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</si>
  <si>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</si>
  <si>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</si>
  <si>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</si>
  <si>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</si>
  <si>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</si>
  <si>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</si>
  <si>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</si>
  <si>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</si>
  <si>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</si>
  <si>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</si>
  <si>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</si>
  <si>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</si>
  <si>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</si>
  <si>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</si>
  <si>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</si>
  <si>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</si>
  <si>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</si>
  <si>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</si>
  <si>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</si>
  <si>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</si>
  <si>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</si>
  <si>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</si>
  <si>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</si>
  <si>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</si>
  <si>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</si>
  <si>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</si>
  <si>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</si>
  <si>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</si>
  <si>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</si>
  <si>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</si>
  <si>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</si>
  <si>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</si>
  <si>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</si>
  <si>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</si>
  <si>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</si>
  <si>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</si>
  <si>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</si>
  <si>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</si>
  <si>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</si>
  <si>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</si>
  <si>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</si>
  <si>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</si>
  <si>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</si>
  <si>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</si>
  <si>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</si>
  <si>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</si>
  <si>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</si>
  <si>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</si>
  <si>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</si>
  <si>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</si>
  <si>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</si>
  <si>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</si>
  <si>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</si>
  <si>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</si>
  <si>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</si>
  <si>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</si>
  <si>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</si>
  <si>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</si>
  <si>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</si>
  <si>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</si>
  <si>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</si>
  <si>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</si>
  <si>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</si>
  <si>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</si>
  <si>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</si>
  <si>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</si>
  <si>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</si>
  <si>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</si>
  <si>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</si>
  <si>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</si>
  <si>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</si>
  <si>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</si>
  <si>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</si>
  <si>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</si>
  <si>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</si>
  <si>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</si>
  <si>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</si>
  <si>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</si>
  <si>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</si>
  <si>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</si>
  <si>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</si>
  <si>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</si>
  <si>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</si>
  <si>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</si>
  <si>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</si>
  <si>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</si>
  <si>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</si>
  <si>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</si>
  <si>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</si>
  <si>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</si>
  <si>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</si>
  <si>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</si>
  <si>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</si>
  <si>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</si>
  <si>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</si>
  <si>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</si>
  <si>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</si>
  <si>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</si>
  <si>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</si>
  <si>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</si>
  <si>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</si>
  <si>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</si>
  <si>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</si>
  <si>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</si>
  <si>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</si>
  <si>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</si>
  <si>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</si>
  <si>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</si>
  <si>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</si>
  <si>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</si>
  <si>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</si>
  <si>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</si>
  <si>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</si>
  <si>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</si>
  <si>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</si>
  <si>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</si>
  <si>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</si>
  <si>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</si>
  <si>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</si>
  <si>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</si>
  <si>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</si>
  <si>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</si>
  <si>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</si>
  <si>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</si>
  <si>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</si>
  <si>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</si>
  <si>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</si>
  <si>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</si>
  <si>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</si>
  <si>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</si>
  <si>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</si>
  <si>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</si>
  <si>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</si>
  <si>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</si>
  <si>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</si>
  <si>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</si>
  <si>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</si>
  <si>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</si>
  <si>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</si>
  <si>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</si>
  <si>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</si>
  <si>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</si>
  <si>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</si>
  <si>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</si>
  <si>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</si>
  <si>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</si>
  <si>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</si>
  <si>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</si>
  <si>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</si>
  <si>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</si>
  <si>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</si>
  <si>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</si>
  <si>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</si>
  <si>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</si>
  <si>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</si>
  <si>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</si>
  <si>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</si>
  <si>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</si>
  <si>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</si>
  <si>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</si>
  <si>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</si>
  <si>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</si>
  <si>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</si>
  <si>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</si>
  <si>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</si>
  <si>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</si>
  <si>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</si>
  <si>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</si>
  <si>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</si>
  <si>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</si>
  <si>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</si>
  <si>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</si>
  <si>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</si>
  <si>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</si>
  <si>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</si>
  <si>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</si>
  <si>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</si>
  <si>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</si>
  <si>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</si>
  <si>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</si>
  <si>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</si>
  <si>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</si>
  <si>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</si>
  <si>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</si>
  <si>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</si>
  <si>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</si>
  <si>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</si>
  <si>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</si>
  <si>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</si>
  <si>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</si>
  <si>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</si>
  <si>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</si>
  <si>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</si>
  <si>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</si>
  <si>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</si>
  <si>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</si>
  <si>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</si>
  <si>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</si>
  <si>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</si>
  <si>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</si>
  <si>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</si>
  <si>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</si>
  <si>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</si>
  <si>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</si>
  <si>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</si>
  <si>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</si>
  <si>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</si>
  <si>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</si>
  <si>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</si>
  <si>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</si>
  <si>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</si>
  <si>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</si>
  <si>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</si>
  <si>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</si>
  <si>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</si>
  <si>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</si>
  <si>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</si>
  <si>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</si>
  <si>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</si>
  <si>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</si>
  <si>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</si>
  <si>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</si>
  <si>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</si>
  <si>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</si>
  <si>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</si>
  <si>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</si>
  <si>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</si>
  <si>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</si>
  <si>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</si>
  <si>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</si>
  <si>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</si>
  <si>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</si>
  <si>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</si>
  <si>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</si>
  <si>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</si>
  <si>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</si>
  <si>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</si>
  <si>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</si>
  <si>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</si>
  <si>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</si>
  <si>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</si>
  <si>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</si>
  <si>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</si>
  <si>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</si>
  <si>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</si>
  <si>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</si>
  <si>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</si>
  <si>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</si>
  <si>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</si>
  <si>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</si>
  <si>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</si>
  <si>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</si>
  <si>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</si>
  <si>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</si>
  <si>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</si>
  <si>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</si>
  <si>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</si>
  <si>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</si>
  <si>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</si>
  <si>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</si>
  <si>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</si>
  <si>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</si>
  <si>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</si>
  <si>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</si>
  <si>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</si>
  <si>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</si>
  <si>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</si>
  <si>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</si>
  <si>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</si>
  <si>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</si>
  <si>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</si>
  <si>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</si>
  <si>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</si>
  <si>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</si>
  <si>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</si>
  <si>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</si>
  <si>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</si>
  <si>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</si>
  <si>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</si>
  <si>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</si>
  <si>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</si>
  <si>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</si>
  <si>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</si>
  <si>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</si>
  <si>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</si>
  <si>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</si>
  <si>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</si>
  <si>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</si>
  <si>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</si>
  <si>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</si>
  <si>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</si>
  <si>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</si>
  <si>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</si>
  <si>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</si>
  <si>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</si>
  <si>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</si>
  <si>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</si>
  <si>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</si>
  <si>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</si>
  <si>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</si>
  <si>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</si>
  <si>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</si>
  <si>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</si>
  <si>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</si>
  <si>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</si>
  <si>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</si>
  <si>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</si>
  <si>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</si>
  <si>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</si>
  <si>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</si>
  <si>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</si>
  <si>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</si>
  <si>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</si>
  <si>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</si>
  <si>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</si>
  <si>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</si>
  <si>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</si>
  <si>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</si>
  <si>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</si>
  <si>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</si>
  <si>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</si>
  <si>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</si>
  <si>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</si>
  <si>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</si>
  <si>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</si>
  <si>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</si>
  <si>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</si>
  <si>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</si>
  <si>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</si>
  <si>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</si>
  <si>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</si>
  <si>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</si>
  <si>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</si>
  <si>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</si>
  <si>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</si>
  <si>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</si>
  <si>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</si>
  <si>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</si>
  <si>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</si>
  <si>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</si>
  <si>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</si>
  <si>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</si>
  <si>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</si>
  <si>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</si>
  <si>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</si>
  <si>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</si>
  <si>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</si>
  <si>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</si>
  <si>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</si>
  <si>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</si>
  <si>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</si>
  <si>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</si>
  <si>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</si>
  <si>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</si>
  <si>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</si>
  <si>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</si>
  <si>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</si>
  <si>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</si>
  <si>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</si>
  <si>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</si>
  <si>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</si>
  <si>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</si>
  <si>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</si>
  <si>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</si>
  <si>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</si>
  <si>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</si>
  <si>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</si>
  <si>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</si>
  <si>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</si>
  <si>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</si>
  <si>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</si>
  <si>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</si>
  <si>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</si>
  <si>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</si>
  <si>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</si>
  <si>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</si>
  <si>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</si>
  <si>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</si>
  <si>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</si>
  <si>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</si>
  <si>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</si>
  <si>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</si>
  <si>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</si>
  <si>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</si>
  <si>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</si>
  <si>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</si>
  <si>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</si>
  <si>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</si>
  <si>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</si>
  <si>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</si>
  <si>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</si>
  <si>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</si>
  <si>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</si>
  <si>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</si>
  <si>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</si>
  <si>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</si>
  <si>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</si>
  <si>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</si>
  <si>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</si>
  <si>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</si>
  <si>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</si>
  <si>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</si>
  <si>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</si>
  <si>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</si>
  <si>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</si>
  <si>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</si>
  <si>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</si>
  <si>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</si>
  <si>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</si>
  <si>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</si>
  <si>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</si>
  <si>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</si>
  <si>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</si>
  <si>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</si>
  <si>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</si>
  <si>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</si>
  <si>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</si>
  <si>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</si>
  <si>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</si>
  <si>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</si>
  <si>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</si>
  <si>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</si>
  <si>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</si>
  <si>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</si>
  <si>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</si>
  <si>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</si>
  <si>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</si>
  <si>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</si>
  <si>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</si>
  <si>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</si>
  <si>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</si>
  <si>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</si>
  <si>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</si>
  <si>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</si>
  <si>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</si>
  <si>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</si>
  <si>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</si>
  <si>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</si>
  <si>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</si>
  <si>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</si>
  <si>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</si>
  <si>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</si>
  <si>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</si>
  <si>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</si>
  <si>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</si>
  <si>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</si>
  <si>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</si>
  <si>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</si>
  <si>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</si>
  <si>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</si>
  <si>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</si>
  <si>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</si>
  <si>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</si>
  <si>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</si>
  <si>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</si>
  <si>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</si>
  <si>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</si>
  <si>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</si>
  <si>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</si>
  <si>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</si>
  <si>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</si>
  <si>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</si>
  <si>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</si>
  <si>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</si>
  <si>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</si>
  <si>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</si>
  <si>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</si>
  <si>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</si>
  <si>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</si>
  <si>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</si>
  <si>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</si>
  <si>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</si>
  <si>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</si>
  <si>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</si>
  <si>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</si>
  <si>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</si>
  <si>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</si>
  <si>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</si>
  <si>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</si>
  <si>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</si>
  <si>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</si>
  <si>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</si>
  <si>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</si>
  <si>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</si>
  <si>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</si>
  <si>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</si>
  <si>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</si>
  <si>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</si>
  <si>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</si>
  <si>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</si>
  <si>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</si>
  <si>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</si>
  <si>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</si>
  <si>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</si>
  <si>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</si>
  <si>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</si>
  <si>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</si>
  <si>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</si>
  <si>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</si>
  <si>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</si>
  <si>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</si>
  <si>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</si>
  <si>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</si>
  <si>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</si>
  <si>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</si>
  <si>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</si>
  <si>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</si>
  <si>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</si>
  <si>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</si>
  <si>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</si>
  <si>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</si>
  <si>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</si>
  <si>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</si>
  <si>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</si>
  <si>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</si>
  <si>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</si>
  <si>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</si>
  <si>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</si>
  <si>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</si>
  <si>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</si>
  <si>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</si>
  <si>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</si>
  <si>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</si>
  <si>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</si>
  <si>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</si>
  <si>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</si>
  <si>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</si>
  <si>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</si>
  <si>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</si>
  <si>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</si>
  <si>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</si>
  <si>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</si>
  <si>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</si>
  <si>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</si>
  <si>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</si>
  <si>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</si>
  <si>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</si>
  <si>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</si>
  <si>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</si>
  <si>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</si>
  <si>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</si>
  <si>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</si>
  <si>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</si>
  <si>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</si>
  <si>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</si>
  <si>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</si>
  <si>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</si>
  <si>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</si>
  <si>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</si>
  <si>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</si>
  <si>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</si>
  <si>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</si>
  <si>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</si>
  <si>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</si>
  <si>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</si>
  <si>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</si>
  <si>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</si>
  <si>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</si>
  <si>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</si>
  <si>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</si>
  <si>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</si>
  <si>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</si>
  <si>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</si>
  <si>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</si>
  <si>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</si>
  <si>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</si>
  <si>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</si>
  <si>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</si>
  <si>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</si>
  <si>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</si>
  <si>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</si>
  <si>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</si>
  <si>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</si>
  <si>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</si>
  <si>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</si>
  <si>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</si>
  <si>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</si>
  <si>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</si>
  <si>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</si>
  <si>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</si>
  <si>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</si>
  <si>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</si>
  <si>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</si>
  <si>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</si>
  <si>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</si>
  <si>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</si>
  <si>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</si>
  <si>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</si>
  <si>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</si>
  <si>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</si>
  <si>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</si>
  <si>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</si>
  <si>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</si>
  <si>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</si>
  <si>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</si>
  <si>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</si>
  <si>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</si>
  <si>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</si>
  <si>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</si>
  <si>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</si>
  <si>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</si>
  <si>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</si>
  <si>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</si>
  <si>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</si>
  <si>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</si>
  <si>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</si>
  <si>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</si>
  <si>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</si>
  <si>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</si>
  <si>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</si>
  <si>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</si>
  <si>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</si>
  <si>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</si>
  <si>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</si>
  <si>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</si>
  <si>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</si>
  <si>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</si>
  <si>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</si>
  <si>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</si>
  <si>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</si>
  <si>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</si>
  <si>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</si>
  <si>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</si>
  <si>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</si>
  <si>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</si>
  <si>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</si>
  <si>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</si>
  <si>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</si>
  <si>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</si>
  <si>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</si>
  <si>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</si>
  <si>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</si>
  <si>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</si>
  <si>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</si>
  <si>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</si>
  <si>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</si>
  <si>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</si>
  <si>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</si>
  <si>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</si>
  <si>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</si>
  <si>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</si>
  <si>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</si>
  <si>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</si>
  <si>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</si>
  <si>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</si>
  <si>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</si>
  <si>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</si>
  <si>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</si>
  <si>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</si>
  <si>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</si>
  <si>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</si>
  <si>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</si>
  <si>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</si>
  <si>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</si>
  <si>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</si>
  <si>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</si>
  <si>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</si>
  <si>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</si>
  <si>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</si>
  <si>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</si>
  <si>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</si>
  <si>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</si>
  <si>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</si>
  <si>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</si>
  <si>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</si>
  <si>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</si>
  <si>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</si>
  <si>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</si>
  <si>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</si>
  <si>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</si>
  <si>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</si>
  <si>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</si>
  <si>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</si>
  <si>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</si>
  <si>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</si>
  <si>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</si>
  <si>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</si>
  <si>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</si>
  <si>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</si>
  <si>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</si>
  <si>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</si>
  <si>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</si>
  <si>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</si>
  <si>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</si>
  <si>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</si>
  <si>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</si>
  <si>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</si>
  <si>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</si>
  <si>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</si>
  <si>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</si>
  <si>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</si>
  <si>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</si>
  <si>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</si>
  <si>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</si>
  <si>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</si>
  <si>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</si>
  <si>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</si>
  <si>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</si>
  <si>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</si>
  <si>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</si>
  <si>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</si>
  <si>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</si>
  <si>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</si>
  <si>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</si>
  <si>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</si>
  <si>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</si>
  <si>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</si>
  <si>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</si>
  <si>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</si>
  <si>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</si>
  <si>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</si>
  <si>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</si>
  <si>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</si>
  <si>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</si>
  <si>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</si>
  <si>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</si>
  <si>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</si>
  <si>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</si>
  <si>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</si>
  <si>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</si>
  <si>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</si>
  <si>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</si>
  <si>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</si>
  <si>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</si>
  <si>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</si>
  <si>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</si>
  <si>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</si>
  <si>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</si>
  <si>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</si>
  <si>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</si>
  <si>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</si>
  <si>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</si>
  <si>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</si>
  <si>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</si>
  <si>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</si>
  <si>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</si>
  <si>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</si>
  <si>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</si>
  <si>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</si>
  <si>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</si>
  <si>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</si>
  <si>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</si>
  <si>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</si>
  <si>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</si>
  <si>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</si>
  <si>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</si>
  <si>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</si>
  <si>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</si>
  <si>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</si>
  <si>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</si>
  <si>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</si>
  <si>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</si>
  <si>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</si>
  <si>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</si>
  <si>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</si>
  <si>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</si>
  <si>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</si>
  <si>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</si>
  <si>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</si>
  <si>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</si>
  <si>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</si>
  <si>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</si>
  <si>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</si>
  <si>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</si>
  <si>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</si>
  <si>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</si>
  <si>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</si>
  <si>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</si>
  <si>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</si>
  <si>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</si>
  <si>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</si>
  <si>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</si>
  <si>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</si>
  <si>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</si>
  <si>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</si>
  <si>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</si>
  <si>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</si>
  <si>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</si>
  <si>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</si>
  <si>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</si>
  <si>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</si>
  <si>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</si>
  <si>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</si>
  <si>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</si>
  <si>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</si>
  <si>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</si>
  <si>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</si>
  <si>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</si>
  <si>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</si>
  <si>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</si>
  <si>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</si>
  <si>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</si>
  <si>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</si>
  <si>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</si>
  <si>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</si>
  <si>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</si>
  <si>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</si>
  <si>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</si>
  <si>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</si>
  <si>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</si>
  <si>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</si>
  <si>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</si>
  <si>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</si>
  <si>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</si>
  <si>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</si>
  <si>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</si>
  <si>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</si>
  <si>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</si>
  <si>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</si>
  <si>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</si>
  <si>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</si>
  <si>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</si>
  <si>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</si>
  <si>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</si>
  <si>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</si>
  <si>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</si>
  <si>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</si>
  <si>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</si>
  <si>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</si>
  <si>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</si>
  <si>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</si>
  <si>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</si>
  <si>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</si>
  <si>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</si>
  <si>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</si>
  <si>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</si>
  <si>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</si>
  <si>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</si>
  <si>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</si>
  <si>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</si>
  <si>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</si>
  <si>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</si>
  <si>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</si>
  <si>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</si>
  <si>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</si>
  <si>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</si>
  <si>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</si>
  <si>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</si>
  <si>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</si>
  <si>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</si>
  <si>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</si>
  <si>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</si>
  <si>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</si>
  <si>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</si>
  <si>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</si>
  <si>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</si>
  <si>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</si>
  <si>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</si>
  <si>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</si>
  <si>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</si>
  <si>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</si>
  <si>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</si>
  <si>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</si>
  <si>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</si>
  <si>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</si>
  <si>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</si>
  <si>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</si>
  <si>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</si>
  <si>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</si>
  <si>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</si>
  <si>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</si>
  <si>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</si>
  <si>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</si>
  <si>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</si>
  <si>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</si>
  <si>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</si>
  <si>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</si>
  <si>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</si>
  <si>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</si>
  <si>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</si>
  <si>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</si>
  <si>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</si>
  <si>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</si>
  <si>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</si>
  <si>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</si>
  <si>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</si>
  <si>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</si>
  <si>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</si>
  <si>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</si>
  <si>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</si>
  <si>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</si>
  <si>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</si>
  <si>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</si>
  <si>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</si>
  <si>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</si>
  <si>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</si>
  <si>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</si>
  <si>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</si>
  <si>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</si>
  <si>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</si>
  <si>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</si>
  <si>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</si>
  <si>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</si>
  <si>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</si>
  <si>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</si>
  <si>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</si>
  <si>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</si>
  <si>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</si>
  <si>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</si>
  <si>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</si>
  <si>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</si>
  <si>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</si>
  <si>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</si>
  <si>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</si>
  <si>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</si>
  <si>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</si>
  <si>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</si>
  <si>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</si>
  <si>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</si>
  <si>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</si>
  <si>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</si>
  <si>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</si>
  <si>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</si>
  <si>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</si>
  <si>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</si>
  <si>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</si>
  <si>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</si>
  <si>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</si>
  <si>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</si>
  <si>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</si>
  <si>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</si>
  <si>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</si>
  <si>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</si>
  <si>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</si>
  <si>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</si>
  <si>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</si>
  <si>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</si>
  <si>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</si>
  <si>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</si>
  <si>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</si>
  <si>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</si>
  <si>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</si>
  <si>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</si>
  <si>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</si>
  <si>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</si>
  <si>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</si>
  <si>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</si>
  <si>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</si>
  <si>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</si>
  <si>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</si>
  <si>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</si>
  <si>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</si>
  <si>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</si>
  <si>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</si>
  <si>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</si>
  <si>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</si>
  <si>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</si>
  <si>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</si>
  <si>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</si>
  <si>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</si>
  <si>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</si>
  <si>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</si>
  <si>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</si>
  <si>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</si>
  <si>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</si>
  <si>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</si>
  <si>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</si>
  <si>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</si>
  <si>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</si>
  <si>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</si>
  <si>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</si>
  <si>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</si>
  <si>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</si>
  <si>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</si>
  <si>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</si>
  <si>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</si>
  <si>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</si>
  <si>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</si>
  <si>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</si>
  <si>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</si>
  <si>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</si>
  <si>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</si>
  <si>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</si>
  <si>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</si>
  <si>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</si>
  <si>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</si>
  <si>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</si>
  <si>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</si>
  <si>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</si>
  <si>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</si>
  <si>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</si>
  <si>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</si>
  <si>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</si>
  <si>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</si>
  <si>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</si>
  <si>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</si>
  <si>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</si>
  <si>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</si>
  <si>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</si>
  <si>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</si>
  <si>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</si>
  <si>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</si>
  <si>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</si>
  <si>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</si>
  <si>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</si>
  <si>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</si>
  <si>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</si>
  <si>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</si>
  <si>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</si>
  <si>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</si>
  <si>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</si>
  <si>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</si>
  <si>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</si>
  <si>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</si>
  <si>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</si>
  <si>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</si>
  <si>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</si>
  <si>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</si>
  <si>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</si>
  <si>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</si>
  <si>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</si>
  <si>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</si>
  <si>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</si>
  <si>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</si>
  <si>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</si>
  <si>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</si>
  <si>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</si>
  <si>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</si>
  <si>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</si>
  <si>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</si>
  <si>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</si>
  <si>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</si>
  <si>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</si>
  <si>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</si>
  <si>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</si>
  <si>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</si>
  <si>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</si>
  <si>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</si>
  <si>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</si>
  <si>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</si>
  <si>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</si>
  <si>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</si>
  <si>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</si>
  <si>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</si>
  <si>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</si>
  <si>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</si>
  <si>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</si>
  <si>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</si>
  <si>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</si>
  <si>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</si>
  <si>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</si>
  <si>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</si>
  <si>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</si>
  <si>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</si>
  <si>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</si>
  <si>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</si>
  <si>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</si>
  <si>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</si>
  <si>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</si>
  <si>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</si>
  <si>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</si>
  <si>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</si>
  <si>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</si>
  <si>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</si>
  <si>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</si>
  <si>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</si>
  <si>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</si>
  <si>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</si>
  <si>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</si>
  <si>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</si>
  <si>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</si>
  <si>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</si>
  <si>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</si>
  <si>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</si>
  <si>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</si>
  <si>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</si>
  <si>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</si>
  <si>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</si>
  <si>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</si>
  <si>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</si>
  <si>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</si>
  <si>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</si>
  <si>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</si>
  <si>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</si>
  <si>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</si>
  <si>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</si>
  <si>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</si>
  <si>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</si>
  <si>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</si>
  <si>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</si>
  <si>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</si>
  <si>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</si>
  <si>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</si>
  <si>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</si>
  <si>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</si>
  <si>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</si>
  <si>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</si>
  <si>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</si>
  <si>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</si>
  <si>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</si>
  <si>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</si>
  <si>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</si>
  <si>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</si>
  <si>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</si>
  <si>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</si>
  <si>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</si>
  <si>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</si>
  <si>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</si>
  <si>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</si>
  <si>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</si>
  <si>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</si>
  <si>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</si>
  <si>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</si>
  <si>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</si>
  <si>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</si>
  <si>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</si>
  <si>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</si>
  <si>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</si>
  <si>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</si>
  <si>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</si>
  <si>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</si>
  <si>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</si>
  <si>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</si>
  <si>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</si>
  <si>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</si>
  <si>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</si>
  <si>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</si>
  <si>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</si>
  <si>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</si>
  <si>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</si>
  <si>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</si>
  <si>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</si>
  <si>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</si>
  <si>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</si>
  <si>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</si>
  <si>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</si>
  <si>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</si>
  <si>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</si>
  <si>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</si>
  <si>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</si>
  <si>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</si>
  <si>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</si>
  <si>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</si>
  <si>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</si>
  <si>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</si>
  <si>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</si>
  <si>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</si>
  <si>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</si>
  <si>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</si>
  <si>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</si>
  <si>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</si>
  <si>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</si>
  <si>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</si>
  <si>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</si>
  <si>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</si>
  <si>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</si>
  <si>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</si>
  <si>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</si>
  <si>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</si>
  <si>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</si>
  <si>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</si>
  <si>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</si>
  <si>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</si>
  <si>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</si>
  <si>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</si>
  <si>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</si>
  <si>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</si>
  <si>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</si>
  <si>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</si>
  <si>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</si>
  <si>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</si>
  <si>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</si>
  <si>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</si>
  <si>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</si>
  <si>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</si>
  <si>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</si>
  <si>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</si>
  <si>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</si>
  <si>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</si>
  <si>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</si>
  <si>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</si>
  <si>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</si>
  <si>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</si>
  <si>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</si>
  <si>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</si>
  <si>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</si>
  <si>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</si>
  <si>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</si>
  <si>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</si>
  <si>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</si>
  <si>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</si>
  <si>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</si>
  <si>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</si>
  <si>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</si>
  <si>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</si>
  <si>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</si>
  <si>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</si>
  <si>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</si>
  <si>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</si>
  <si>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</si>
  <si>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</si>
  <si>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</si>
  <si>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</si>
  <si>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</si>
  <si>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</si>
  <si>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</si>
  <si>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</si>
  <si>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</si>
  <si>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</si>
  <si>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</si>
  <si>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</si>
  <si>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</si>
  <si>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</si>
  <si>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</si>
  <si>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</si>
  <si>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</si>
  <si>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</si>
  <si>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</si>
  <si>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</si>
  <si>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</si>
  <si>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</si>
  <si>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</si>
  <si>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</si>
  <si>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</si>
  <si>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</si>
  <si>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</si>
  <si>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</si>
  <si>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</si>
  <si>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</si>
  <si>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</si>
  <si>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</si>
  <si>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</si>
  <si>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</si>
  <si>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</si>
  <si>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</si>
  <si>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</si>
  <si>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</si>
  <si>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</si>
  <si>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</si>
  <si>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</si>
  <si>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</si>
  <si>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</si>
  <si>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</si>
  <si>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</si>
  <si>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</si>
  <si>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</si>
  <si>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</si>
  <si>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</si>
  <si>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</si>
  <si>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</si>
  <si>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</si>
  <si>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</si>
  <si>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</si>
  <si>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</si>
  <si>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</si>
  <si>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</si>
  <si>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</si>
  <si>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</si>
  <si>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</si>
  <si>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</si>
  <si>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</si>
  <si>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</si>
  <si>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</si>
  <si>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</si>
  <si>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</si>
  <si>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</si>
  <si>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</si>
  <si>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</si>
  <si>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</si>
  <si>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</si>
  <si>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</si>
  <si>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</si>
  <si>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</si>
  <si>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</si>
  <si>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</si>
  <si>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</si>
  <si>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</si>
  <si>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</si>
  <si>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</si>
  <si>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</si>
  <si>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</si>
  <si>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</si>
  <si>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</si>
  <si>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</si>
  <si>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</si>
  <si>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</si>
  <si>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</si>
  <si>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</si>
  <si>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</si>
  <si>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</si>
  <si>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</si>
  <si>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</si>
  <si>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</si>
  <si>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</si>
  <si>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</si>
  <si>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</si>
  <si>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</si>
  <si>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</si>
  <si>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</si>
  <si>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</si>
  <si>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</si>
  <si>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</si>
  <si>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</si>
  <si>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</si>
  <si>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</si>
  <si>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</si>
  <si>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</si>
  <si>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</si>
  <si>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</si>
  <si>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</si>
  <si>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</si>
  <si>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</si>
  <si>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</si>
  <si>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</si>
  <si>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</si>
  <si>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</si>
  <si>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</si>
  <si>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</si>
  <si>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</si>
  <si>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</si>
  <si>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</si>
  <si>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</si>
  <si>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</si>
  <si>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</si>
  <si>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</si>
  <si>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</si>
  <si>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</si>
  <si>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</si>
  <si>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</si>
  <si>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</si>
  <si>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</si>
  <si>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</si>
  <si>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</si>
  <si>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</si>
  <si>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</si>
  <si>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</si>
  <si>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</si>
  <si>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</si>
  <si>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</si>
  <si>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</si>
  <si>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</si>
  <si>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</si>
  <si>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</si>
  <si>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</si>
  <si>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</si>
  <si>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</si>
  <si>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</si>
  <si>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</si>
  <si>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</si>
  <si>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</si>
  <si>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</si>
  <si>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</si>
  <si>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</si>
  <si>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</si>
  <si>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</si>
  <si>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</si>
  <si>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</si>
  <si>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</si>
  <si>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</si>
  <si>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</si>
  <si>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</si>
  <si>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</si>
  <si>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</si>
  <si>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</si>
  <si>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</si>
  <si>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</si>
  <si>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</si>
  <si>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</si>
  <si>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</si>
  <si>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</si>
  <si>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</si>
  <si>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</si>
  <si>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</si>
  <si>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</si>
  <si>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</si>
  <si>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</si>
  <si>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</si>
  <si>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</si>
  <si>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</si>
  <si>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</si>
  <si>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</si>
  <si>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</si>
  <si>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</si>
  <si>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</si>
  <si>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</si>
  <si>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</si>
  <si>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</si>
  <si>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</si>
  <si>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</si>
  <si>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</si>
  <si>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</si>
  <si>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</si>
  <si>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</si>
  <si>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</si>
  <si>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</si>
  <si>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</si>
  <si>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</si>
  <si>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</si>
  <si>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</si>
  <si>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</si>
  <si>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</si>
  <si>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</si>
  <si>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</si>
  <si>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</si>
  <si>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</si>
  <si>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</si>
  <si>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</si>
  <si>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</si>
  <si>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</si>
  <si>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</si>
  <si>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</si>
  <si>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</si>
  <si>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</si>
  <si>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</si>
  <si>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</si>
  <si>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</si>
  <si>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</si>
  <si>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</si>
  <si>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</si>
  <si>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</si>
  <si>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</si>
  <si>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</si>
  <si>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</si>
  <si>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</si>
  <si>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</si>
  <si>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</si>
  <si>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</si>
  <si>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</si>
  <si>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</si>
  <si>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</si>
  <si>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</si>
  <si>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</si>
  <si>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</si>
  <si>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</si>
  <si>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</si>
  <si>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</si>
  <si>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</si>
  <si>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</si>
  <si>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</si>
  <si>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</si>
  <si>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</si>
  <si>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</si>
  <si>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</si>
  <si>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</si>
  <si>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</si>
  <si>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</si>
  <si>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</si>
  <si>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</si>
  <si>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</si>
  <si>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</si>
  <si>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</si>
  <si>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</si>
  <si>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</si>
  <si>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</si>
  <si>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</si>
  <si>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</si>
  <si>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</si>
  <si>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</si>
  <si>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</si>
  <si>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</si>
  <si>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</si>
  <si>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</si>
  <si>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</si>
  <si>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</si>
  <si>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</si>
  <si>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</si>
  <si>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</si>
  <si>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</si>
  <si>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</si>
  <si>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</si>
  <si>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</si>
  <si>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</si>
  <si>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</si>
  <si>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</si>
  <si>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</si>
  <si>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</si>
  <si>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</si>
  <si>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</si>
  <si>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</si>
  <si>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</si>
  <si>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</si>
  <si>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</si>
  <si>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</si>
  <si>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</si>
  <si>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</si>
  <si>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</si>
  <si>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</si>
  <si>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</si>
  <si>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</si>
  <si>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</si>
  <si>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</si>
  <si>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</si>
  <si>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</si>
  <si>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</si>
  <si>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</si>
  <si>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</si>
  <si>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</si>
  <si>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</si>
  <si>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</si>
  <si>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</si>
  <si>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</si>
  <si>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</si>
  <si>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</si>
  <si>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</si>
  <si>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</si>
  <si>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</si>
  <si>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</si>
  <si>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</si>
  <si>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</si>
  <si>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</si>
  <si>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</si>
  <si>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</si>
  <si>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</si>
  <si>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</si>
  <si>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</si>
  <si>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</si>
  <si>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</si>
  <si>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</si>
  <si>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</si>
  <si>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</si>
  <si>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</si>
  <si>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</si>
  <si>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</si>
  <si>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</si>
  <si>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</si>
  <si>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</si>
  <si>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</si>
  <si>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</si>
  <si>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</si>
  <si>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</si>
  <si>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</si>
  <si>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</si>
  <si>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</si>
  <si>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</si>
  <si>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</si>
  <si>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</si>
  <si>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</si>
  <si>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</si>
  <si>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</si>
  <si>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</si>
  <si>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</si>
  <si>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</si>
  <si>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</si>
  <si>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</si>
  <si>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</si>
  <si>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</si>
  <si>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</si>
  <si>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</si>
  <si>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</si>
  <si>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</si>
  <si>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</si>
  <si>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</si>
  <si>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</si>
  <si>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</si>
  <si>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</si>
  <si>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</si>
  <si>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</si>
  <si>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</si>
  <si>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</si>
  <si>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</si>
  <si>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</si>
  <si>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</si>
  <si>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</si>
  <si>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</si>
  <si>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</si>
  <si>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</si>
  <si>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</si>
  <si>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</si>
  <si>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</si>
  <si>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</si>
  <si>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</si>
  <si>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</si>
  <si>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</si>
  <si>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</si>
  <si>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</si>
  <si>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</si>
  <si>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</si>
  <si>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</si>
  <si>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</si>
  <si>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</si>
  <si>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</si>
  <si>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</si>
  <si>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</si>
  <si>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</si>
  <si>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</si>
  <si>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</si>
  <si>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</si>
  <si>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</si>
  <si>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</si>
  <si>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</si>
  <si>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</si>
  <si>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</si>
  <si>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</si>
  <si>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</si>
  <si>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</si>
  <si>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</si>
  <si>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</si>
  <si>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</si>
  <si>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</si>
  <si>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</si>
  <si>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</si>
  <si>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</si>
  <si>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</si>
  <si>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</si>
  <si>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</si>
  <si>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</si>
  <si>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</si>
  <si>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</si>
  <si>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</si>
  <si>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</si>
  <si>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</si>
  <si>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</si>
  <si>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</si>
  <si>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</si>
  <si>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</si>
  <si>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</si>
  <si>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</si>
  <si>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</si>
  <si>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</si>
  <si>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</si>
  <si>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</si>
  <si>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</si>
  <si>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</si>
  <si>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</si>
  <si>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</si>
  <si>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</si>
  <si>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</si>
  <si>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</si>
  <si>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</si>
  <si>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</si>
  <si>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</si>
  <si>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</si>
  <si>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</si>
  <si>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</si>
  <si>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</si>
  <si>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</si>
  <si>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</si>
  <si>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</si>
  <si>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</si>
  <si>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</si>
  <si>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</si>
  <si>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</si>
  <si>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</si>
  <si>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</si>
  <si>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</si>
  <si>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</si>
  <si>
    <t>1245</t>
  </si>
  <si>
    <t>109807</t>
  </si>
  <si>
    <t>165823</t>
  </si>
  <si>
    <t>83920</t>
  </si>
  <si>
    <t>166048</t>
  </si>
  <si>
    <t>340</t>
  </si>
  <si>
    <t>188549</t>
  </si>
  <si>
    <t>364684</t>
  </si>
  <si>
    <t>1521</t>
  </si>
  <si>
    <t>133575</t>
  </si>
  <si>
    <t>293581</t>
  </si>
  <si>
    <t>631</t>
  </si>
  <si>
    <t>150704</t>
  </si>
  <si>
    <t>453110</t>
  </si>
  <si>
    <t>444786</t>
  </si>
  <si>
    <t>1621348</t>
  </si>
  <si>
    <t>535</t>
  </si>
  <si>
    <t>213677</t>
  </si>
  <si>
    <t>719340</t>
  </si>
  <si>
    <t>774</t>
  </si>
  <si>
    <t>110581</t>
  </si>
  <si>
    <t>167147</t>
  </si>
  <si>
    <t>713</t>
  </si>
  <si>
    <t>84633</t>
  </si>
  <si>
    <t>167559</t>
  </si>
  <si>
    <t>1004</t>
  </si>
  <si>
    <t>189553</t>
  </si>
  <si>
    <t>366912</t>
  </si>
  <si>
    <t>1540</t>
  </si>
  <si>
    <t>135115</t>
  </si>
  <si>
    <t>297074</t>
  </si>
  <si>
    <t>150955</t>
  </si>
  <si>
    <t>454008</t>
  </si>
  <si>
    <t>829</t>
  </si>
  <si>
    <t>445615</t>
  </si>
  <si>
    <t>1625439</t>
  </si>
  <si>
    <t>386</t>
  </si>
  <si>
    <t>214064</t>
  </si>
  <si>
    <t>720405</t>
  </si>
  <si>
    <t>446017</t>
  </si>
  <si>
    <t>1627215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</si>
  <si>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</si>
  <si>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</si>
  <si>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</si>
  <si>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</si>
  <si>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</si>
  <si>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</si>
  <si>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</si>
  <si>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</si>
  <si>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</si>
  <si>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</si>
  <si>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</si>
  <si>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</si>
  <si>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</si>
  <si>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</si>
  <si>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</si>
  <si>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</si>
  <si>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</si>
  <si>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</si>
  <si>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</si>
  <si>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</si>
  <si>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</si>
  <si>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</si>
  <si>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</si>
  <si>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</si>
  <si>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</si>
  <si>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</si>
  <si>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</si>
  <si>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</si>
  <si>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</si>
  <si>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</si>
  <si>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</si>
  <si>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</si>
  <si>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</si>
  <si>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</si>
  <si>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</si>
  <si>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</si>
  <si>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</si>
  <si>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</si>
  <si>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</si>
  <si>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</si>
  <si>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</si>
  <si>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</si>
  <si>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</si>
  <si>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</si>
  <si>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</si>
  <si>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</si>
  <si>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</si>
  <si>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</si>
  <si>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</si>
  <si>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</si>
  <si>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</si>
  <si>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31 Aug 2026</t>
  </si>
  <si>
    <t>570</t>
  </si>
  <si>
    <t>111151</t>
  </si>
  <si>
    <t>168133</t>
  </si>
  <si>
    <t>S36</t>
  </si>
  <si>
    <t>84974</t>
  </si>
  <si>
    <t>168184</t>
  </si>
  <si>
    <t>2399</t>
  </si>
  <si>
    <t>190728</t>
  </si>
  <si>
    <t>369311</t>
  </si>
  <si>
    <t>1568</t>
  </si>
  <si>
    <t>3432</t>
  </si>
  <si>
    <t>137161</t>
  </si>
  <si>
    <t>301522</t>
  </si>
  <si>
    <t>467</t>
  </si>
  <si>
    <t>1570</t>
  </si>
  <si>
    <t>151422</t>
  </si>
  <si>
    <t>455578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</si>
</sst>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66FF33"/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9045643153526972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fld id="{C9BAB789-0592-4EE8-B90A-7B7D224A38A2}" type="VALUE">
                  <a:rPr lang="en-US" b="1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dk1"/>
                      </a:solidFill>
                    </a:defRPr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 w="25400" cap="flat" cmpd="sng" algn="ctr">
              <a:solidFill>
                <a:srgbClr val="00B050"/>
              </a:solidFill>
              <a:prstDash val="solid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10519</c:v>
                </c:pt>
                <c:pt idx="1">
                  <c:v>12007</c:v>
                </c:pt>
                <c:pt idx="2">
                  <c:v>14016</c:v>
                </c:pt>
                <c:pt idx="3">
                  <c:v>12976</c:v>
                </c:pt>
                <c:pt idx="4">
                  <c:v>12332</c:v>
                </c:pt>
                <c:pt idx="5">
                  <c:v>14761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3"/>
              <c:layout>
                <c:manualLayout>
                  <c:x val="-2.9045643153526972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9BAB789-0592-4EE8-B90A-7B7D224A38A2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dk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 w="25400" cap="flat" cmpd="sng" algn="ctr">
                  <a:solidFill>
                    <a:srgbClr val="00B050"/>
                  </a:solidFill>
                  <a:prstDash val="solid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37834</c:v>
                </c:pt>
                <c:pt idx="1">
                  <c:v>28356</c:v>
                </c:pt>
                <c:pt idx="2">
                  <c:v>7965</c:v>
                </c:pt>
                <c:pt idx="3">
                  <c:v>24352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29549</c:v>
                </c:pt>
                <c:pt idx="1">
                  <c:v>24262</c:v>
                </c:pt>
                <c:pt idx="2">
                  <c:v>7087</c:v>
                </c:pt>
                <c:pt idx="3">
                  <c:v>18061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layout>
                <c:manualLayout>
                  <c:x val="-8.2546344875830818E-2"/>
                  <c:y val="-0.13418986438258387"/>
                </c:manualLayout>
              </c:layout>
              <c:spPr>
                <a:solidFill>
                  <a:srgbClr val="DD9411"/>
                </a:solidFill>
                <a:ln>
                  <a:solidFill>
                    <a:schemeClr val="accent6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23999.999999999996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157409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38888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851848" createdVersion="8" refreshedVersion="8" minRefreshableVersion="3" recordCount="1831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2430556" createdVersion="8" refreshedVersion="8" minRefreshableVersion="3" recordCount="1831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20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axis="axisRow" showAll="0" sortType="ascending">
      <items count="20">
        <item h="1" sd="0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sd="0" x="14"/>
        <item sd="0" x="15"/>
        <item sd="0" x="16"/>
        <item sd="0" x="17"/>
        <item h="1" x="18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  <chartFormat chart="25" format="62">
      <pivotArea type="data" outline="0" fieldPosition="0">
        <references count="2">
          <reference field="4294967294" count="1" selected="0">
            <x v="1"/>
          </reference>
          <reference field="1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2" firstHeaderRow="0" firstDataRow="1" firstDataCol="1"/>
  <pivotFields count="28">
    <pivotField axis="axisRow" showAll="0" sortType="descending">
      <items count="121"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1">
        <item h="1" sd="0" x="1"/>
        <item h="1" m="1" x="19"/>
        <item h="1" sd="0" x="0"/>
        <item h="1" x="18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x="17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9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15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7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9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43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9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20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 s="1"/>
        <i x="19" nd="1"/>
        <i x="18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9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5" s="1"/>
        <i x="16" s="1"/>
        <i x="17" s="1"/>
        <i x="18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3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2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view="pageBreakPreview" topLeftCell="A2" zoomScaleNormal="100" zoomScaleSheetLayoutView="100" workbookViewId="0">
      <selection activeCell="R8" sqref="R8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46258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35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view="pageBreakPreview" zoomScale="60" zoomScaleNormal="100" workbookViewId="0">
      <selection activeCell="T20" sqref="T20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362204722" right="0.51181102362204722" top="0.78740157480314965" bottom="0.78740157480314965" header="0.31496062992125984" footer="0.31496062992125984"/>
  <pageSetup paperSize="9" scale="10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968" activePane="bottomLeft" state="frozen"/>
      <selection pane="bottomLeft" activeCell="H980" sqref="H980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>
        <f>15000/7</f>
        <v>2142.8571428571427</v>
      </c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>
        <f>15000/7</f>
        <v>2142.8571428571427</v>
      </c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>
        <f>15000/7</f>
        <v>2142.8571428571427</v>
      </c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>
        <f t="shared" ref="H922:H925" si="65">15000/7</f>
        <v>2142.8571428571427</v>
      </c>
      <c r="I922" s="6">
        <f t="shared" ref="I922" si="66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>
        <f t="shared" si="65"/>
        <v>2142.8571428571427</v>
      </c>
      <c r="I923" s="6">
        <f t="shared" ref="I923" si="67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>
        <f t="shared" si="65"/>
        <v>2142.8571428571427</v>
      </c>
      <c r="I924" s="6">
        <f t="shared" ref="I924" si="68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>
        <f t="shared" si="65"/>
        <v>2142.8571428571427</v>
      </c>
      <c r="I925" s="6">
        <f t="shared" ref="I925:I930" si="69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9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9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9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>
        <f>15000/5</f>
        <v>3000</v>
      </c>
      <c r="I929" s="6">
        <f t="shared" si="69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>
        <f>15000/5</f>
        <v>3000</v>
      </c>
      <c r="I930" s="6">
        <f t="shared" si="69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>
        <f>15000/5</f>
        <v>3000</v>
      </c>
      <c r="I932" s="6">
        <f t="shared" ref="I932:I935" si="70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>
        <f>15000/5</f>
        <v>3000</v>
      </c>
      <c r="I933" s="6">
        <f t="shared" si="70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>
        <f>24000/6</f>
        <v>4000</v>
      </c>
      <c r="I934" s="6">
        <f t="shared" si="70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>
        <f>15000/5</f>
        <v>3000</v>
      </c>
      <c r="I935" s="6">
        <f t="shared" si="70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4">
        <v>46260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>
        <f>15000/6</f>
        <v>2500</v>
      </c>
      <c r="I936" s="6">
        <f t="shared" ref="I936" si="71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3253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3254</v>
      </c>
      <c r="Y936" s="2" t="s">
        <v>3255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4">
        <v>46260</v>
      </c>
      <c r="B937" s="8" t="s">
        <v>3213</v>
      </c>
      <c r="C937" s="8" t="s">
        <v>36</v>
      </c>
      <c r="D937" s="8" t="s">
        <v>43</v>
      </c>
      <c r="E937" s="8" t="s">
        <v>61</v>
      </c>
      <c r="F937" s="13"/>
      <c r="G937" s="59"/>
      <c r="H937" s="6"/>
      <c r="I937" s="6">
        <f t="shared" ref="I937:I942" si="72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4">
        <v>46260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>
        <f>15000/6</f>
        <v>2500</v>
      </c>
      <c r="I938" s="6">
        <f t="shared" si="72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3256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3257</v>
      </c>
      <c r="Y938" s="2" t="s">
        <v>3258</v>
      </c>
      <c r="Z938" s="2">
        <v>0.4</v>
      </c>
      <c r="AA938" s="2" t="s">
        <v>548</v>
      </c>
      <c r="AB938" s="2">
        <v>82.7</v>
      </c>
    </row>
    <row r="939" spans="1:28" x14ac:dyDescent="0.25">
      <c r="A939" s="4">
        <v>46260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>
        <f>15000/6</f>
        <v>2500</v>
      </c>
      <c r="I939" s="6">
        <f t="shared" si="72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3259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3260</v>
      </c>
      <c r="Y939" s="2" t="s">
        <v>3261</v>
      </c>
      <c r="Z939" s="2">
        <v>0.1</v>
      </c>
      <c r="AA939" s="2" t="s">
        <v>548</v>
      </c>
      <c r="AB939" s="2">
        <v>341.4</v>
      </c>
    </row>
    <row r="940" spans="1:28" x14ac:dyDescent="0.25">
      <c r="A940" s="4">
        <v>46260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2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4">
        <v>46260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>
        <f>15000/6</f>
        <v>2500</v>
      </c>
      <c r="I941" s="6">
        <f t="shared" si="72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3262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3263</v>
      </c>
      <c r="Y941" s="2" t="s">
        <v>3264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4">
        <v>46260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>
        <f>15000/6</f>
        <v>2500</v>
      </c>
      <c r="I942" s="6">
        <f t="shared" si="72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3265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3266</v>
      </c>
      <c r="Y942" s="2" t="s">
        <v>3267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4">
        <v>46260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>
        <f>24000/6</f>
        <v>4000</v>
      </c>
      <c r="I943" s="6">
        <f t="shared" ref="I943:I966" si="73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3268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3269</v>
      </c>
      <c r="Y943" s="2" t="s">
        <v>3270</v>
      </c>
      <c r="Z943" s="2">
        <v>0.1</v>
      </c>
      <c r="AA943" s="2" t="s">
        <v>548</v>
      </c>
      <c r="AB943" s="2">
        <v>49.9</v>
      </c>
    </row>
    <row r="944" spans="1:28" x14ac:dyDescent="0.25">
      <c r="A944" s="4">
        <v>46260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>
        <f>15000/6</f>
        <v>2500</v>
      </c>
      <c r="I944" s="6">
        <f t="shared" si="73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3271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3272</v>
      </c>
      <c r="Y944" s="2" t="s">
        <v>3273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4">
        <v>46261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>
        <f>15000/6</f>
        <v>2500</v>
      </c>
      <c r="I945" s="6">
        <f t="shared" si="73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3274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3275</v>
      </c>
      <c r="Y945" s="2" t="s">
        <v>3276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4">
        <v>46261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73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4">
        <v>46261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>
        <f>15000/6</f>
        <v>2500</v>
      </c>
      <c r="I947" s="6">
        <f t="shared" si="73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3277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3278</v>
      </c>
      <c r="Y947" s="2" t="s">
        <v>3279</v>
      </c>
      <c r="Z947" s="2">
        <v>0.3</v>
      </c>
      <c r="AA947" s="2" t="s">
        <v>548</v>
      </c>
      <c r="AB947" s="2" t="s">
        <v>3280</v>
      </c>
    </row>
    <row r="948" spans="1:28" x14ac:dyDescent="0.25">
      <c r="A948" s="4">
        <v>46261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>
        <f>15000/6</f>
        <v>2500</v>
      </c>
      <c r="I948" s="6">
        <f t="shared" si="73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3281</v>
      </c>
      <c r="O948" s="56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3282</v>
      </c>
      <c r="Y948" s="2" t="s">
        <v>3283</v>
      </c>
      <c r="Z948" s="2">
        <v>0.4</v>
      </c>
      <c r="AA948" s="2" t="s">
        <v>548</v>
      </c>
      <c r="AB948" s="2">
        <v>341.8</v>
      </c>
    </row>
    <row r="949" spans="1:28" x14ac:dyDescent="0.25">
      <c r="A949" s="4">
        <v>46261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>
        <f>15000/6</f>
        <v>2500</v>
      </c>
      <c r="I949" s="6">
        <f t="shared" si="73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3284</v>
      </c>
      <c r="O949" s="56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3285</v>
      </c>
      <c r="Y949" s="2" t="s">
        <v>3286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4">
        <v>46261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>
        <f>15000/6</f>
        <v>2500</v>
      </c>
      <c r="I950" s="6">
        <f t="shared" si="73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3287</v>
      </c>
      <c r="O950" s="56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3288</v>
      </c>
      <c r="Y950" s="2" t="s">
        <v>3289</v>
      </c>
      <c r="Z950" s="2">
        <v>0.1</v>
      </c>
      <c r="AA950" s="2" t="s">
        <v>548</v>
      </c>
      <c r="AB950" s="2">
        <v>259.5</v>
      </c>
    </row>
    <row r="951" spans="1:28" x14ac:dyDescent="0.25">
      <c r="A951" s="4">
        <v>46261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>
        <f>24000/6</f>
        <v>4000</v>
      </c>
      <c r="I951" s="6">
        <f t="shared" si="73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3290</v>
      </c>
      <c r="O951" s="56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3291</v>
      </c>
      <c r="Y951" s="2" t="s">
        <v>3292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4">
        <v>46261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>
        <f>15000/6</f>
        <v>2500</v>
      </c>
      <c r="I952" s="6">
        <f t="shared" si="73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3293</v>
      </c>
      <c r="O952" s="56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3294</v>
      </c>
      <c r="Y952" s="2" t="s">
        <v>3295</v>
      </c>
      <c r="Z952" s="2">
        <v>0.1</v>
      </c>
      <c r="AA952" s="2" t="s">
        <v>548</v>
      </c>
      <c r="AB952" s="2">
        <v>5.8</v>
      </c>
    </row>
    <row r="953" spans="1:28" x14ac:dyDescent="0.25">
      <c r="A953" s="4">
        <v>46262</v>
      </c>
      <c r="B953" s="8" t="s">
        <v>3213</v>
      </c>
      <c r="C953" s="8" t="s">
        <v>36</v>
      </c>
      <c r="D953" s="8" t="s">
        <v>39</v>
      </c>
      <c r="E953" s="8" t="s">
        <v>47</v>
      </c>
      <c r="F953" s="13"/>
      <c r="G953" s="59"/>
      <c r="H953" s="6">
        <f>15000/6</f>
        <v>2500</v>
      </c>
      <c r="I953" s="6">
        <f t="shared" si="73"/>
        <v>386.3346104725415</v>
      </c>
      <c r="J953" s="2">
        <v>8.98</v>
      </c>
      <c r="K953" s="2">
        <v>7.83</v>
      </c>
      <c r="L953" s="2">
        <v>1.1499999999999999</v>
      </c>
      <c r="M953" s="2">
        <v>12.8</v>
      </c>
      <c r="N953" s="2" t="s">
        <v>3296</v>
      </c>
      <c r="O953" s="56">
        <v>3025</v>
      </c>
      <c r="P953" s="2">
        <v>1.46</v>
      </c>
      <c r="Q953" s="2">
        <v>12.01</v>
      </c>
      <c r="R953" s="2">
        <v>150.94</v>
      </c>
      <c r="S953" s="2">
        <v>4.26</v>
      </c>
      <c r="T953" s="2">
        <v>3.7</v>
      </c>
      <c r="U953" s="2">
        <v>146.68</v>
      </c>
      <c r="V953" s="2">
        <v>18.73</v>
      </c>
      <c r="W953" s="2">
        <v>9410.1200000000008</v>
      </c>
      <c r="X953" s="2" t="s">
        <v>3297</v>
      </c>
      <c r="Y953" s="2" t="s">
        <v>3298</v>
      </c>
      <c r="Z953" s="2">
        <v>0.2</v>
      </c>
      <c r="AA953" s="2" t="s">
        <v>548</v>
      </c>
      <c r="AB953" s="2">
        <v>293.60000000000002</v>
      </c>
    </row>
    <row r="954" spans="1:28" x14ac:dyDescent="0.25">
      <c r="A954" s="4">
        <v>46262</v>
      </c>
      <c r="B954" s="8" t="s">
        <v>3213</v>
      </c>
      <c r="C954" s="8" t="s">
        <v>36</v>
      </c>
      <c r="D954" s="8" t="s">
        <v>43</v>
      </c>
      <c r="E954" s="8" t="s">
        <v>61</v>
      </c>
      <c r="F954" s="13"/>
      <c r="G954" s="59"/>
      <c r="H954" s="6"/>
      <c r="I954" s="6">
        <f t="shared" si="73"/>
        <v>121.29380053908356</v>
      </c>
      <c r="J954" s="2">
        <v>7.51</v>
      </c>
      <c r="K954" s="2">
        <v>3.71</v>
      </c>
      <c r="L954" s="2">
        <v>3.8</v>
      </c>
      <c r="M954" s="2">
        <v>50.57</v>
      </c>
      <c r="N954" s="2" t="s">
        <v>45</v>
      </c>
      <c r="O954" s="56">
        <v>450</v>
      </c>
      <c r="P954" s="2" t="s">
        <v>45</v>
      </c>
      <c r="Q954" s="2" t="s">
        <v>45</v>
      </c>
      <c r="R954" s="2">
        <v>90.85</v>
      </c>
      <c r="S954" s="2">
        <v>16.559999999999999</v>
      </c>
      <c r="T954" s="2">
        <v>4.3600000000000003</v>
      </c>
      <c r="U954" s="2">
        <v>74.290000000000006</v>
      </c>
      <c r="V954" s="2" t="s">
        <v>2117</v>
      </c>
      <c r="W954" s="2">
        <v>8966.43</v>
      </c>
      <c r="X954" s="2" t="s">
        <v>45</v>
      </c>
      <c r="Y954" s="2" t="s">
        <v>45</v>
      </c>
      <c r="Z954" s="2">
        <v>0.1</v>
      </c>
      <c r="AA954" s="2" t="s">
        <v>45</v>
      </c>
      <c r="AB954" s="2">
        <v>266.8</v>
      </c>
    </row>
    <row r="955" spans="1:28" x14ac:dyDescent="0.25">
      <c r="A955" s="4">
        <v>46262</v>
      </c>
      <c r="B955" s="8" t="s">
        <v>3213</v>
      </c>
      <c r="C955" s="8" t="s">
        <v>36</v>
      </c>
      <c r="D955" s="8" t="s">
        <v>67</v>
      </c>
      <c r="E955" s="8" t="s">
        <v>47</v>
      </c>
      <c r="F955" s="13"/>
      <c r="G955" s="59"/>
      <c r="H955" s="6">
        <f>15000/6</f>
        <v>2500</v>
      </c>
      <c r="I955" s="6">
        <f t="shared" si="73"/>
        <v>218.53146853146853</v>
      </c>
      <c r="J955" s="2">
        <v>8.02</v>
      </c>
      <c r="K955" s="2">
        <v>5.72</v>
      </c>
      <c r="L955" s="2">
        <v>2.2999999999999998</v>
      </c>
      <c r="M955" s="2">
        <v>28.67</v>
      </c>
      <c r="N955" s="2" t="s">
        <v>1817</v>
      </c>
      <c r="O955" s="56">
        <v>1250</v>
      </c>
      <c r="P955" s="2">
        <v>1.8</v>
      </c>
      <c r="Q955" s="2">
        <v>9.93</v>
      </c>
      <c r="R955" s="2">
        <v>125.86</v>
      </c>
      <c r="S955" s="2">
        <v>7.57</v>
      </c>
      <c r="T955" s="2">
        <v>3.29</v>
      </c>
      <c r="U955" s="2">
        <v>118.29</v>
      </c>
      <c r="V955" s="2">
        <v>20.68</v>
      </c>
      <c r="W955" s="2">
        <v>847.7</v>
      </c>
      <c r="X955" s="2" t="s">
        <v>3299</v>
      </c>
      <c r="Y955" s="2" t="s">
        <v>3300</v>
      </c>
      <c r="Z955" s="2">
        <v>0.5</v>
      </c>
      <c r="AA955" s="2" t="s">
        <v>548</v>
      </c>
      <c r="AB955" s="2">
        <v>83.5</v>
      </c>
    </row>
    <row r="956" spans="1:28" x14ac:dyDescent="0.25">
      <c r="A956" s="4">
        <v>46262</v>
      </c>
      <c r="B956" s="8" t="s">
        <v>3213</v>
      </c>
      <c r="C956" s="8" t="s">
        <v>36</v>
      </c>
      <c r="D956" s="8" t="s">
        <v>50</v>
      </c>
      <c r="E956" s="8" t="s">
        <v>47</v>
      </c>
      <c r="F956" s="13"/>
      <c r="G956" s="59"/>
      <c r="H956" s="6">
        <f>15000/6</f>
        <v>2500</v>
      </c>
      <c r="I956" s="6">
        <f t="shared" si="73"/>
        <v>143.11512415349887</v>
      </c>
      <c r="J956" s="2">
        <v>5.03</v>
      </c>
      <c r="K956" s="2">
        <v>4.43</v>
      </c>
      <c r="L956" s="2">
        <v>0.6</v>
      </c>
      <c r="M956" s="2">
        <v>11.92</v>
      </c>
      <c r="N956" s="2" t="s">
        <v>3301</v>
      </c>
      <c r="O956" s="56">
        <v>634</v>
      </c>
      <c r="P956" s="2">
        <v>1.86</v>
      </c>
      <c r="Q956" s="2">
        <v>7.7</v>
      </c>
      <c r="R956" s="2">
        <v>82.33</v>
      </c>
      <c r="S956" s="2">
        <v>2.84</v>
      </c>
      <c r="T956" s="2">
        <v>4.7300000000000004</v>
      </c>
      <c r="U956" s="2">
        <v>79.489999999999995</v>
      </c>
      <c r="V956" s="2">
        <v>17.93</v>
      </c>
      <c r="W956" s="2">
        <v>2669.69</v>
      </c>
      <c r="X956" s="2" t="s">
        <v>3302</v>
      </c>
      <c r="Y956" s="2" t="s">
        <v>3303</v>
      </c>
      <c r="Z956" s="2">
        <v>0.3</v>
      </c>
      <c r="AA956" s="2" t="s">
        <v>548</v>
      </c>
      <c r="AB956" s="2">
        <v>342.1</v>
      </c>
    </row>
    <row r="957" spans="1:28" x14ac:dyDescent="0.25">
      <c r="A957" s="4">
        <v>46262</v>
      </c>
      <c r="B957" s="8" t="s">
        <v>3213</v>
      </c>
      <c r="C957" s="8" t="s">
        <v>36</v>
      </c>
      <c r="D957" s="8" t="s">
        <v>52</v>
      </c>
      <c r="E957" s="8" t="s">
        <v>47</v>
      </c>
      <c r="F957" s="13"/>
      <c r="G957" s="59"/>
      <c r="H957" s="6">
        <f>15000/6</f>
        <v>2500</v>
      </c>
      <c r="I957" s="6">
        <f t="shared" si="73"/>
        <v>298.71086556169433</v>
      </c>
      <c r="J957" s="2">
        <v>13.26</v>
      </c>
      <c r="K957" s="2">
        <v>10.86</v>
      </c>
      <c r="L957" s="2">
        <v>2.4</v>
      </c>
      <c r="M957" s="2">
        <v>18.100000000000001</v>
      </c>
      <c r="N957" s="2" t="s">
        <v>3304</v>
      </c>
      <c r="O957" s="56">
        <v>3244</v>
      </c>
      <c r="P957" s="2">
        <v>2.13</v>
      </c>
      <c r="Q957" s="2">
        <v>13.85</v>
      </c>
      <c r="R957" s="2">
        <v>234.22</v>
      </c>
      <c r="S957" s="2">
        <v>9.4600000000000009</v>
      </c>
      <c r="T957" s="2">
        <v>3.94</v>
      </c>
      <c r="U957" s="2">
        <v>224.76</v>
      </c>
      <c r="V957" s="2">
        <v>20.7</v>
      </c>
      <c r="W957" s="2">
        <v>1296.27</v>
      </c>
      <c r="X957" s="2" t="s">
        <v>3305</v>
      </c>
      <c r="Y957" s="2" t="s">
        <v>3306</v>
      </c>
      <c r="Z957" s="2" t="s">
        <v>548</v>
      </c>
      <c r="AA957" s="2" t="s">
        <v>548</v>
      </c>
      <c r="AB957" s="2">
        <v>126.6</v>
      </c>
    </row>
    <row r="958" spans="1:28" x14ac:dyDescent="0.25">
      <c r="A958" s="4">
        <v>46262</v>
      </c>
      <c r="B958" s="8" t="s">
        <v>3213</v>
      </c>
      <c r="C958" s="8" t="s">
        <v>36</v>
      </c>
      <c r="D958" s="7" t="s">
        <v>46</v>
      </c>
      <c r="E958" s="8" t="s">
        <v>47</v>
      </c>
      <c r="F958" s="13"/>
      <c r="G958" s="59"/>
      <c r="H958" s="6">
        <f>15000/6</f>
        <v>2500</v>
      </c>
      <c r="I958" s="6">
        <f t="shared" si="73"/>
        <v>263.98046398046398</v>
      </c>
      <c r="J958" s="2">
        <v>10.24</v>
      </c>
      <c r="K958" s="2">
        <v>8.19</v>
      </c>
      <c r="L958" s="2">
        <v>2.0499999999999998</v>
      </c>
      <c r="M958" s="2">
        <v>20.03</v>
      </c>
      <c r="N958" s="2" t="s">
        <v>3307</v>
      </c>
      <c r="O958" s="56">
        <v>2162</v>
      </c>
      <c r="P958" s="2">
        <v>3.43</v>
      </c>
      <c r="Q958" s="2">
        <v>8.43</v>
      </c>
      <c r="R958" s="2">
        <v>256.45999999999998</v>
      </c>
      <c r="S958" s="2">
        <v>12.78</v>
      </c>
      <c r="T958" s="2">
        <v>6.23</v>
      </c>
      <c r="U958" s="2">
        <v>243.69</v>
      </c>
      <c r="V958" s="2">
        <v>29.77</v>
      </c>
      <c r="W958" s="2">
        <v>8309.94</v>
      </c>
      <c r="X958" s="2" t="s">
        <v>3308</v>
      </c>
      <c r="Y958" s="2" t="s">
        <v>3309</v>
      </c>
      <c r="Z958" s="2">
        <v>0.2</v>
      </c>
      <c r="AA958" s="2" t="s">
        <v>548</v>
      </c>
      <c r="AB958" s="2">
        <v>259.7</v>
      </c>
    </row>
    <row r="959" spans="1:28" x14ac:dyDescent="0.25">
      <c r="A959" s="4">
        <v>46262</v>
      </c>
      <c r="B959" s="8" t="s">
        <v>3213</v>
      </c>
      <c r="C959" s="8" t="s">
        <v>36</v>
      </c>
      <c r="D959" s="8" t="s">
        <v>48</v>
      </c>
      <c r="E959" s="7" t="s">
        <v>38</v>
      </c>
      <c r="F959" s="13">
        <v>3879</v>
      </c>
      <c r="G959" s="59"/>
      <c r="H959" s="6">
        <f>24000/6</f>
        <v>4000</v>
      </c>
      <c r="I959" s="6">
        <f t="shared" si="73"/>
        <v>590.3769841269841</v>
      </c>
      <c r="J959" s="2">
        <v>11.23</v>
      </c>
      <c r="K959" s="2">
        <v>10.08</v>
      </c>
      <c r="L959" s="2">
        <v>1.1499999999999999</v>
      </c>
      <c r="M959" s="2">
        <v>10.24</v>
      </c>
      <c r="N959" s="2" t="s">
        <v>3178</v>
      </c>
      <c r="O959" s="56">
        <v>5951</v>
      </c>
      <c r="P959" s="2">
        <v>4.58</v>
      </c>
      <c r="Q959" s="2">
        <v>15.32</v>
      </c>
      <c r="R959" s="2">
        <v>388.48</v>
      </c>
      <c r="S959" s="2">
        <v>7.1</v>
      </c>
      <c r="T959" s="2">
        <v>6.17</v>
      </c>
      <c r="U959" s="2">
        <v>381.38</v>
      </c>
      <c r="V959" s="2">
        <v>37.83</v>
      </c>
      <c r="W959" s="2">
        <v>6858.16</v>
      </c>
      <c r="X959" s="2" t="s">
        <v>3310</v>
      </c>
      <c r="Y959" s="2" t="s">
        <v>3311</v>
      </c>
      <c r="Z959" s="2" t="s">
        <v>548</v>
      </c>
      <c r="AA959" s="2" t="s">
        <v>548</v>
      </c>
      <c r="AB959" s="2">
        <v>49.9</v>
      </c>
    </row>
    <row r="960" spans="1:28" x14ac:dyDescent="0.25">
      <c r="A960" s="4">
        <v>46262</v>
      </c>
      <c r="B960" s="8" t="s">
        <v>3213</v>
      </c>
      <c r="C960" s="8" t="s">
        <v>36</v>
      </c>
      <c r="D960" s="8" t="s">
        <v>49</v>
      </c>
      <c r="E960" s="8" t="s">
        <v>47</v>
      </c>
      <c r="F960" s="13"/>
      <c r="G960" s="59"/>
      <c r="H960" s="6">
        <f>15000/6</f>
        <v>2500</v>
      </c>
      <c r="I960" s="6">
        <f t="shared" si="73"/>
        <v>445.26315789473688</v>
      </c>
      <c r="J960" s="2">
        <v>4.8</v>
      </c>
      <c r="K960" s="2">
        <v>3.8</v>
      </c>
      <c r="L960" s="2" t="s">
        <v>1696</v>
      </c>
      <c r="M960" s="2">
        <v>20.83</v>
      </c>
      <c r="N960" s="2" t="s">
        <v>3312</v>
      </c>
      <c r="O960" s="56">
        <v>1692</v>
      </c>
      <c r="P960" s="2">
        <v>3.16</v>
      </c>
      <c r="Q960" s="2">
        <v>11.35</v>
      </c>
      <c r="R960" s="2">
        <v>149.05000000000001</v>
      </c>
      <c r="S960" s="2">
        <v>5.2</v>
      </c>
      <c r="T960" s="2">
        <v>5.2</v>
      </c>
      <c r="U960" s="2">
        <v>143.85</v>
      </c>
      <c r="V960" s="2">
        <v>37.85</v>
      </c>
      <c r="W960" s="2">
        <v>2170.91</v>
      </c>
      <c r="X960" s="2" t="s">
        <v>3313</v>
      </c>
      <c r="Y960" s="2" t="s">
        <v>3314</v>
      </c>
      <c r="Z960" s="2" t="s">
        <v>548</v>
      </c>
      <c r="AA960" s="2" t="s">
        <v>548</v>
      </c>
      <c r="AB960" s="2">
        <v>5.8</v>
      </c>
    </row>
    <row r="961" spans="1:28" x14ac:dyDescent="0.25">
      <c r="A961" s="4">
        <v>46263</v>
      </c>
      <c r="B961" s="8" t="s">
        <v>3213</v>
      </c>
      <c r="C961" s="8" t="s">
        <v>36</v>
      </c>
      <c r="D961" s="8" t="s">
        <v>39</v>
      </c>
      <c r="E961" s="8" t="s">
        <v>47</v>
      </c>
      <c r="F961" s="13"/>
      <c r="G961" s="59"/>
      <c r="H961" s="6">
        <f>15000/6</f>
        <v>2500</v>
      </c>
      <c r="I961" s="6">
        <f t="shared" si="73"/>
        <v>274.12008281573497</v>
      </c>
      <c r="J961" s="2">
        <v>6.38</v>
      </c>
      <c r="K961" s="2">
        <v>4.83</v>
      </c>
      <c r="L961" s="2">
        <v>1.55</v>
      </c>
      <c r="M961" s="2">
        <v>24.3</v>
      </c>
      <c r="N961" s="2" t="s">
        <v>3315</v>
      </c>
      <c r="O961" s="56">
        <v>1324</v>
      </c>
      <c r="P961" s="2">
        <v>1.71</v>
      </c>
      <c r="Q961" s="2">
        <v>13.39</v>
      </c>
      <c r="R961" s="2">
        <v>98.89</v>
      </c>
      <c r="S961" s="2">
        <v>6.62</v>
      </c>
      <c r="T961" s="2">
        <v>4.2699999999999996</v>
      </c>
      <c r="U961" s="2">
        <v>92.27</v>
      </c>
      <c r="V961" s="2">
        <v>19.11</v>
      </c>
      <c r="W961" s="2">
        <v>9416.5</v>
      </c>
      <c r="X961" s="2" t="s">
        <v>3316</v>
      </c>
      <c r="Y961" s="2" t="s">
        <v>3317</v>
      </c>
      <c r="Z961" s="2" t="s">
        <v>548</v>
      </c>
      <c r="AA961" s="2" t="s">
        <v>548</v>
      </c>
      <c r="AB961" s="2">
        <v>293.60000000000002</v>
      </c>
    </row>
    <row r="962" spans="1:28" x14ac:dyDescent="0.25">
      <c r="A962" s="4">
        <v>46263</v>
      </c>
      <c r="B962" s="8" t="s">
        <v>3213</v>
      </c>
      <c r="C962" s="8" t="s">
        <v>36</v>
      </c>
      <c r="D962" s="8" t="s">
        <v>43</v>
      </c>
      <c r="E962" s="8" t="s">
        <v>2994</v>
      </c>
      <c r="F962" s="13"/>
      <c r="G962" s="59"/>
      <c r="H962" s="6"/>
      <c r="I962" s="6">
        <f t="shared" si="73"/>
        <v>0</v>
      </c>
      <c r="J962" s="2">
        <v>3.87</v>
      </c>
      <c r="K962" s="2">
        <v>1.82</v>
      </c>
      <c r="L962" s="2">
        <v>2.0499999999999998</v>
      </c>
      <c r="M962" s="2">
        <v>52.98</v>
      </c>
      <c r="N962" s="2" t="s">
        <v>45</v>
      </c>
      <c r="O962" s="56" t="s">
        <v>45</v>
      </c>
      <c r="P962" s="2" t="s">
        <v>45</v>
      </c>
      <c r="Q962" s="2" t="s">
        <v>45</v>
      </c>
      <c r="R962" s="2">
        <v>45.9</v>
      </c>
      <c r="S962" s="2">
        <v>8.0399999999999991</v>
      </c>
      <c r="T962" s="2">
        <v>3.92</v>
      </c>
      <c r="U962" s="2">
        <v>37.85</v>
      </c>
      <c r="V962" s="2">
        <v>20.8</v>
      </c>
      <c r="W962" s="2">
        <v>8970.3700000000008</v>
      </c>
      <c r="X962" s="2" t="s">
        <v>45</v>
      </c>
      <c r="Y962" s="2" t="s">
        <v>45</v>
      </c>
      <c r="Z962" s="2">
        <v>0.9</v>
      </c>
      <c r="AA962" s="2" t="s">
        <v>45</v>
      </c>
      <c r="AB962" s="2">
        <v>267.7</v>
      </c>
    </row>
    <row r="963" spans="1:28" x14ac:dyDescent="0.25">
      <c r="A963" s="4">
        <v>46263</v>
      </c>
      <c r="B963" s="8" t="s">
        <v>3213</v>
      </c>
      <c r="C963" s="8" t="s">
        <v>36</v>
      </c>
      <c r="D963" s="8" t="s">
        <v>67</v>
      </c>
      <c r="E963" s="8" t="s">
        <v>47</v>
      </c>
      <c r="F963" s="13"/>
      <c r="G963" s="59"/>
      <c r="H963" s="6">
        <f>15000/6</f>
        <v>2500</v>
      </c>
      <c r="I963" s="6">
        <f t="shared" si="73"/>
        <v>278.78228782287823</v>
      </c>
      <c r="J963" s="2">
        <v>6.87</v>
      </c>
      <c r="K963" s="2">
        <v>5.42</v>
      </c>
      <c r="L963" s="2">
        <v>1.45</v>
      </c>
      <c r="M963" s="2">
        <v>21.12</v>
      </c>
      <c r="N963" s="2" t="s">
        <v>3318</v>
      </c>
      <c r="O963" s="56">
        <v>1511</v>
      </c>
      <c r="P963" s="2">
        <v>2.12</v>
      </c>
      <c r="Q963" s="2">
        <v>12.19</v>
      </c>
      <c r="R963" s="2">
        <v>123.97</v>
      </c>
      <c r="S963" s="2">
        <v>4.7300000000000004</v>
      </c>
      <c r="T963" s="2">
        <v>3.26</v>
      </c>
      <c r="U963" s="2">
        <v>119.24</v>
      </c>
      <c r="V963" s="2">
        <v>22.02</v>
      </c>
      <c r="W963" s="2">
        <v>854.57</v>
      </c>
      <c r="X963" s="2" t="s">
        <v>3319</v>
      </c>
      <c r="Y963" s="2" t="s">
        <v>3320</v>
      </c>
      <c r="Z963" s="2">
        <v>1.4</v>
      </c>
      <c r="AA963" s="2" t="s">
        <v>548</v>
      </c>
      <c r="AB963" s="2">
        <v>84.9</v>
      </c>
    </row>
    <row r="964" spans="1:28" x14ac:dyDescent="0.25">
      <c r="A964" s="4">
        <v>46263</v>
      </c>
      <c r="B964" s="8" t="s">
        <v>3213</v>
      </c>
      <c r="C964" s="8" t="s">
        <v>36</v>
      </c>
      <c r="D964" s="8" t="s">
        <v>50</v>
      </c>
      <c r="E964" s="8" t="s">
        <v>47</v>
      </c>
      <c r="F964" s="13"/>
      <c r="G964" s="59"/>
      <c r="H964" s="6">
        <f>15000/6</f>
        <v>2500</v>
      </c>
      <c r="I964" s="6">
        <f t="shared" si="73"/>
        <v>478.11158798283259</v>
      </c>
      <c r="J964" s="2">
        <v>5.56</v>
      </c>
      <c r="K964" s="2">
        <v>4.66</v>
      </c>
      <c r="L964" s="2">
        <v>0.9</v>
      </c>
      <c r="M964" s="2">
        <v>16.2</v>
      </c>
      <c r="N964" s="2" t="s">
        <v>3321</v>
      </c>
      <c r="O964" s="56">
        <v>2228</v>
      </c>
      <c r="P964" s="2">
        <v>2.2200000000000002</v>
      </c>
      <c r="Q964" s="2">
        <v>21.02</v>
      </c>
      <c r="R964" s="2">
        <v>105.99</v>
      </c>
      <c r="S964" s="2">
        <v>3.31</v>
      </c>
      <c r="T964" s="2">
        <v>3.68</v>
      </c>
      <c r="U964" s="2">
        <v>102.68</v>
      </c>
      <c r="V964" s="2">
        <v>22.06</v>
      </c>
      <c r="W964" s="2">
        <v>2675.24</v>
      </c>
      <c r="X964" s="2" t="s">
        <v>3322</v>
      </c>
      <c r="Y964" s="2" t="s">
        <v>3323</v>
      </c>
      <c r="Z964" s="2" t="s">
        <v>548</v>
      </c>
      <c r="AA964" s="2" t="s">
        <v>548</v>
      </c>
      <c r="AB964" s="2">
        <v>342.1</v>
      </c>
    </row>
    <row r="965" spans="1:28" x14ac:dyDescent="0.25">
      <c r="A965" s="4">
        <v>46263</v>
      </c>
      <c r="B965" s="8" t="s">
        <v>3213</v>
      </c>
      <c r="C965" s="8" t="s">
        <v>36</v>
      </c>
      <c r="D965" s="8" t="s">
        <v>52</v>
      </c>
      <c r="E965" s="8" t="s">
        <v>47</v>
      </c>
      <c r="F965" s="13"/>
      <c r="G965" s="59"/>
      <c r="H965" s="6">
        <f>15000/6</f>
        <v>2500</v>
      </c>
      <c r="I965" s="6">
        <f t="shared" si="73"/>
        <v>281.46655922643032</v>
      </c>
      <c r="J965" s="2">
        <v>13.96</v>
      </c>
      <c r="K965" s="2">
        <v>12.41</v>
      </c>
      <c r="L965" s="2">
        <v>1.55</v>
      </c>
      <c r="M965" s="2">
        <v>11.1</v>
      </c>
      <c r="N965" s="2" t="s">
        <v>3324</v>
      </c>
      <c r="O965" s="56">
        <v>3493</v>
      </c>
      <c r="P965" s="2">
        <v>2.27</v>
      </c>
      <c r="Q965" s="2">
        <v>16.55</v>
      </c>
      <c r="R965" s="2">
        <v>211.04</v>
      </c>
      <c r="S965" s="2">
        <v>6.15</v>
      </c>
      <c r="T965" s="2">
        <v>3.97</v>
      </c>
      <c r="U965" s="2">
        <v>204.89</v>
      </c>
      <c r="V965" s="2">
        <v>16.510000000000002</v>
      </c>
      <c r="W965" s="2">
        <v>1310.23</v>
      </c>
      <c r="X965" s="2" t="s">
        <v>3325</v>
      </c>
      <c r="Y965" s="2" t="s">
        <v>3326</v>
      </c>
      <c r="Z965" s="2" t="s">
        <v>548</v>
      </c>
      <c r="AA965" s="2" t="s">
        <v>548</v>
      </c>
      <c r="AB965" s="2">
        <v>126.6</v>
      </c>
    </row>
    <row r="966" spans="1:28" x14ac:dyDescent="0.25">
      <c r="A966" s="4">
        <v>46263</v>
      </c>
      <c r="B966" s="8" t="s">
        <v>3213</v>
      </c>
      <c r="C966" s="8" t="s">
        <v>36</v>
      </c>
      <c r="D966" s="7" t="s">
        <v>46</v>
      </c>
      <c r="E966" s="8" t="s">
        <v>47</v>
      </c>
      <c r="F966" s="13"/>
      <c r="G966" s="59"/>
      <c r="H966" s="6">
        <f>15000/6</f>
        <v>2500</v>
      </c>
      <c r="I966" s="6">
        <f t="shared" si="73"/>
        <v>250.83798882681563</v>
      </c>
      <c r="J966" s="2">
        <v>6.23</v>
      </c>
      <c r="K966" s="2">
        <v>3.58</v>
      </c>
      <c r="L966" s="2">
        <v>2.65</v>
      </c>
      <c r="M966" s="2">
        <v>42.55</v>
      </c>
      <c r="N966" s="2" t="s">
        <v>2812</v>
      </c>
      <c r="O966" s="56">
        <v>898</v>
      </c>
      <c r="P966" s="2">
        <v>3.58</v>
      </c>
      <c r="Q966" s="2">
        <v>7.62</v>
      </c>
      <c r="R966" s="2">
        <v>117.82</v>
      </c>
      <c r="S966" s="2">
        <v>14.67</v>
      </c>
      <c r="T966" s="2">
        <v>5.54</v>
      </c>
      <c r="U966" s="2">
        <v>103.15</v>
      </c>
      <c r="V966" s="2">
        <v>28.83</v>
      </c>
      <c r="W966" s="2">
        <v>8316.17</v>
      </c>
      <c r="X966" s="2" t="s">
        <v>3327</v>
      </c>
      <c r="Y966" s="2" t="s">
        <v>3328</v>
      </c>
      <c r="Z966" s="2" t="s">
        <v>548</v>
      </c>
      <c r="AA966" s="2" t="s">
        <v>548</v>
      </c>
      <c r="AB966" s="2">
        <v>259.7</v>
      </c>
    </row>
    <row r="967" spans="1:28" x14ac:dyDescent="0.25">
      <c r="A967" s="4">
        <v>46263</v>
      </c>
      <c r="B967" s="8" t="s">
        <v>3213</v>
      </c>
      <c r="C967" s="8" t="s">
        <v>36</v>
      </c>
      <c r="D967" s="8" t="s">
        <v>48</v>
      </c>
      <c r="E967" s="7" t="s">
        <v>38</v>
      </c>
      <c r="F967" s="13">
        <v>3190</v>
      </c>
      <c r="G967" s="59"/>
      <c r="H967" s="6">
        <f>24000/6</f>
        <v>4000</v>
      </c>
      <c r="I967" s="6">
        <f t="shared" ref="I967:I968" si="74">IFERROR(O967/K967,)</f>
        <v>570.57182705718276</v>
      </c>
      <c r="J967" s="2">
        <v>8.02</v>
      </c>
      <c r="K967" s="2">
        <v>7.17</v>
      </c>
      <c r="L967" s="2">
        <v>0.85</v>
      </c>
      <c r="M967" s="2">
        <v>10.6</v>
      </c>
      <c r="N967" s="2" t="s">
        <v>3329</v>
      </c>
      <c r="O967" s="56">
        <v>4091</v>
      </c>
      <c r="P967" s="2">
        <v>4.93</v>
      </c>
      <c r="Q967" s="2">
        <v>14.86</v>
      </c>
      <c r="R967" s="2">
        <v>275.39</v>
      </c>
      <c r="S967" s="2">
        <v>5.2</v>
      </c>
      <c r="T967" s="2">
        <v>6.12</v>
      </c>
      <c r="U967" s="2">
        <v>270.18</v>
      </c>
      <c r="V967" s="2">
        <v>37.68</v>
      </c>
      <c r="W967" s="2">
        <v>6866.18</v>
      </c>
      <c r="X967" s="2" t="s">
        <v>3330</v>
      </c>
      <c r="Y967" s="2" t="s">
        <v>3331</v>
      </c>
      <c r="Z967" s="2" t="s">
        <v>548</v>
      </c>
      <c r="AA967" s="2" t="s">
        <v>548</v>
      </c>
      <c r="AB967" s="2">
        <v>49.9</v>
      </c>
    </row>
    <row r="968" spans="1:28" x14ac:dyDescent="0.25">
      <c r="A968" s="4">
        <v>46263</v>
      </c>
      <c r="B968" s="8" t="s">
        <v>3213</v>
      </c>
      <c r="C968" s="8" t="s">
        <v>36</v>
      </c>
      <c r="D968" s="8" t="s">
        <v>49</v>
      </c>
      <c r="E968" s="8" t="s">
        <v>47</v>
      </c>
      <c r="F968" s="13"/>
      <c r="G968" s="59"/>
      <c r="H968" s="6">
        <f>15000/6</f>
        <v>2500</v>
      </c>
      <c r="I968" s="6">
        <f t="shared" si="74"/>
        <v>186.84210526315789</v>
      </c>
      <c r="J968" s="2">
        <v>6.85</v>
      </c>
      <c r="K968" s="2">
        <v>5.7</v>
      </c>
      <c r="L968" s="2">
        <v>1.1499999999999999</v>
      </c>
      <c r="M968" s="2">
        <v>16.79</v>
      </c>
      <c r="N968" s="2" t="s">
        <v>3332</v>
      </c>
      <c r="O968" s="56">
        <v>1065</v>
      </c>
      <c r="P968" s="2">
        <v>2.76</v>
      </c>
      <c r="Q968" s="2">
        <v>5.13</v>
      </c>
      <c r="R968" s="2">
        <v>207.72</v>
      </c>
      <c r="S968" s="2">
        <v>5.68</v>
      </c>
      <c r="T968" s="2">
        <v>4.9400000000000004</v>
      </c>
      <c r="U968" s="2">
        <v>202.05</v>
      </c>
      <c r="V968" s="2">
        <v>35.46</v>
      </c>
      <c r="W968" s="2">
        <v>2177.7600000000002</v>
      </c>
      <c r="X968" s="2" t="s">
        <v>3333</v>
      </c>
      <c r="Y968" s="2" t="s">
        <v>3334</v>
      </c>
      <c r="Z968" s="2">
        <v>0.1</v>
      </c>
      <c r="AA968" s="2" t="s">
        <v>548</v>
      </c>
      <c r="AB968" s="2">
        <v>5.9</v>
      </c>
    </row>
    <row r="969" spans="1:28" x14ac:dyDescent="0.25">
      <c r="A969" s="4">
        <v>46264</v>
      </c>
      <c r="B969" s="8" t="s">
        <v>55</v>
      </c>
      <c r="C969" s="8" t="s">
        <v>56</v>
      </c>
      <c r="D969" s="8" t="s">
        <v>39</v>
      </c>
      <c r="E969" s="8" t="s">
        <v>47</v>
      </c>
      <c r="F969" s="13"/>
      <c r="G969" s="59"/>
      <c r="H969" s="6"/>
      <c r="I969" s="6">
        <f t="shared" ref="I969" si="75">IFERROR(O969/K969,)</f>
        <v>0</v>
      </c>
      <c r="J969" s="2" t="s">
        <v>548</v>
      </c>
      <c r="K969" s="2" t="s">
        <v>548</v>
      </c>
      <c r="L969" s="2" t="s">
        <v>548</v>
      </c>
      <c r="M969" s="2" t="s">
        <v>45</v>
      </c>
      <c r="N969" s="2" t="s">
        <v>548</v>
      </c>
      <c r="O969" s="56">
        <v>0</v>
      </c>
      <c r="P969" s="2" t="s">
        <v>45</v>
      </c>
      <c r="Q969" s="2" t="s">
        <v>45</v>
      </c>
      <c r="R969" s="2" t="s">
        <v>548</v>
      </c>
      <c r="S969" s="2" t="s">
        <v>548</v>
      </c>
      <c r="T969" s="2" t="s">
        <v>45</v>
      </c>
      <c r="U969" s="2" t="s">
        <v>548</v>
      </c>
      <c r="V969" s="2" t="s">
        <v>45</v>
      </c>
      <c r="W969" s="2">
        <v>9416.5</v>
      </c>
      <c r="X969" s="2" t="s">
        <v>3316</v>
      </c>
      <c r="Y969" s="2" t="s">
        <v>3317</v>
      </c>
      <c r="Z969" s="2" t="s">
        <v>548</v>
      </c>
      <c r="AA969" s="2" t="s">
        <v>45</v>
      </c>
      <c r="AB969" s="2">
        <v>293.60000000000002</v>
      </c>
    </row>
    <row r="970" spans="1:28" x14ac:dyDescent="0.25">
      <c r="A970" s="4">
        <v>46264</v>
      </c>
      <c r="B970" s="8" t="s">
        <v>55</v>
      </c>
      <c r="C970" s="8" t="s">
        <v>56</v>
      </c>
      <c r="D970" s="8" t="s">
        <v>43</v>
      </c>
      <c r="E970" s="8" t="s">
        <v>47</v>
      </c>
      <c r="F970" s="13"/>
      <c r="G970" s="59"/>
      <c r="H970" s="6"/>
      <c r="I970" s="6">
        <f t="shared" ref="I970:I977" si="76">IFERROR(O970/K970,)</f>
        <v>0</v>
      </c>
      <c r="J970" s="2" t="s">
        <v>548</v>
      </c>
      <c r="K970" s="2" t="s">
        <v>548</v>
      </c>
      <c r="L970" s="2" t="s">
        <v>548</v>
      </c>
      <c r="M970" s="2" t="s">
        <v>45</v>
      </c>
      <c r="N970" s="2" t="s">
        <v>45</v>
      </c>
      <c r="O970" s="56" t="s">
        <v>45</v>
      </c>
      <c r="P970" s="2" t="s">
        <v>45</v>
      </c>
      <c r="Q970" s="2" t="s">
        <v>45</v>
      </c>
      <c r="R970" s="2" t="s">
        <v>548</v>
      </c>
      <c r="S970" s="2" t="s">
        <v>548</v>
      </c>
      <c r="T970" s="2" t="s">
        <v>45</v>
      </c>
      <c r="U970" s="2" t="s">
        <v>548</v>
      </c>
      <c r="V970" s="2" t="s">
        <v>45</v>
      </c>
      <c r="W970" s="2">
        <v>8970.3700000000008</v>
      </c>
      <c r="X970" s="2" t="s">
        <v>45</v>
      </c>
      <c r="Y970" s="2" t="s">
        <v>45</v>
      </c>
      <c r="Z970" s="2" t="s">
        <v>548</v>
      </c>
      <c r="AA970" s="2" t="s">
        <v>45</v>
      </c>
      <c r="AB970" s="2">
        <v>267.7</v>
      </c>
    </row>
    <row r="971" spans="1:28" x14ac:dyDescent="0.25">
      <c r="A971" s="4">
        <v>46264</v>
      </c>
      <c r="B971" s="8" t="s">
        <v>55</v>
      </c>
      <c r="C971" s="8" t="s">
        <v>56</v>
      </c>
      <c r="D971" s="8" t="s">
        <v>67</v>
      </c>
      <c r="E971" s="8" t="s">
        <v>47</v>
      </c>
      <c r="F971" s="13"/>
      <c r="G971" s="59"/>
      <c r="H971" s="6"/>
      <c r="I971" s="6">
        <f t="shared" si="76"/>
        <v>0</v>
      </c>
      <c r="J971" s="2" t="s">
        <v>548</v>
      </c>
      <c r="K971" s="2" t="s">
        <v>548</v>
      </c>
      <c r="L971" s="2" t="s">
        <v>548</v>
      </c>
      <c r="M971" s="2" t="s">
        <v>45</v>
      </c>
      <c r="N971" s="2" t="s">
        <v>548</v>
      </c>
      <c r="O971" s="56">
        <v>0</v>
      </c>
      <c r="P971" s="2" t="s">
        <v>45</v>
      </c>
      <c r="Q971" s="2" t="s">
        <v>45</v>
      </c>
      <c r="R971" s="2" t="s">
        <v>548</v>
      </c>
      <c r="S971" s="2" t="s">
        <v>548</v>
      </c>
      <c r="T971" s="2" t="s">
        <v>45</v>
      </c>
      <c r="U971" s="2" t="s">
        <v>548</v>
      </c>
      <c r="V971" s="2" t="s">
        <v>45</v>
      </c>
      <c r="W971" s="2">
        <v>854.57</v>
      </c>
      <c r="X971" s="2" t="s">
        <v>3319</v>
      </c>
      <c r="Y971" s="2" t="s">
        <v>3320</v>
      </c>
      <c r="Z971" s="2" t="s">
        <v>548</v>
      </c>
      <c r="AA971" s="2" t="s">
        <v>45</v>
      </c>
      <c r="AB971" s="2">
        <v>84.9</v>
      </c>
    </row>
    <row r="972" spans="1:28" x14ac:dyDescent="0.25">
      <c r="A972" s="4">
        <v>46264</v>
      </c>
      <c r="B972" s="8" t="s">
        <v>55</v>
      </c>
      <c r="C972" s="8" t="s">
        <v>56</v>
      </c>
      <c r="D972" s="8" t="s">
        <v>50</v>
      </c>
      <c r="E972" s="8" t="s">
        <v>47</v>
      </c>
      <c r="F972" s="13"/>
      <c r="G972" s="59"/>
      <c r="H972" s="6"/>
      <c r="I972" s="6">
        <f t="shared" si="76"/>
        <v>0</v>
      </c>
      <c r="J972" s="2" t="s">
        <v>548</v>
      </c>
      <c r="K972" s="2" t="s">
        <v>548</v>
      </c>
      <c r="L972" s="2" t="s">
        <v>548</v>
      </c>
      <c r="M972" s="2" t="s">
        <v>45</v>
      </c>
      <c r="N972" s="2" t="s">
        <v>548</v>
      </c>
      <c r="O972" s="56">
        <v>0</v>
      </c>
      <c r="P972" s="2" t="s">
        <v>45</v>
      </c>
      <c r="Q972" s="2" t="s">
        <v>45</v>
      </c>
      <c r="R972" s="2" t="s">
        <v>548</v>
      </c>
      <c r="S972" s="2" t="s">
        <v>548</v>
      </c>
      <c r="T972" s="2" t="s">
        <v>45</v>
      </c>
      <c r="U972" s="2" t="s">
        <v>548</v>
      </c>
      <c r="V972" s="2" t="s">
        <v>45</v>
      </c>
      <c r="W972" s="2">
        <v>2675.24</v>
      </c>
      <c r="X972" s="2" t="s">
        <v>3322</v>
      </c>
      <c r="Y972" s="2" t="s">
        <v>3323</v>
      </c>
      <c r="Z972" s="2" t="s">
        <v>548</v>
      </c>
      <c r="AA972" s="2" t="s">
        <v>45</v>
      </c>
      <c r="AB972" s="2">
        <v>342.1</v>
      </c>
    </row>
    <row r="973" spans="1:28" x14ac:dyDescent="0.25">
      <c r="A973" s="4">
        <v>46264</v>
      </c>
      <c r="B973" s="8" t="s">
        <v>55</v>
      </c>
      <c r="C973" s="8" t="s">
        <v>56</v>
      </c>
      <c r="D973" s="8" t="s">
        <v>52</v>
      </c>
      <c r="E973" s="8" t="s">
        <v>47</v>
      </c>
      <c r="F973" s="13"/>
      <c r="G973" s="59"/>
      <c r="H973" s="6"/>
      <c r="I973" s="6">
        <f t="shared" si="76"/>
        <v>0</v>
      </c>
      <c r="J973" s="2" t="s">
        <v>45</v>
      </c>
      <c r="K973" s="2" t="s">
        <v>45</v>
      </c>
      <c r="L973" s="2" t="s">
        <v>45</v>
      </c>
      <c r="M973" s="2" t="s">
        <v>45</v>
      </c>
      <c r="N973" s="2" t="s">
        <v>45</v>
      </c>
      <c r="O973" s="56" t="s">
        <v>45</v>
      </c>
      <c r="P973" s="2" t="s">
        <v>45</v>
      </c>
      <c r="Q973" s="2" t="s">
        <v>45</v>
      </c>
      <c r="R973" s="2" t="s">
        <v>45</v>
      </c>
      <c r="S973" s="2" t="s">
        <v>45</v>
      </c>
      <c r="T973" s="2" t="s">
        <v>45</v>
      </c>
      <c r="U973" s="2" t="s">
        <v>45</v>
      </c>
      <c r="V973" s="2" t="s">
        <v>45</v>
      </c>
      <c r="W973" s="2" t="s">
        <v>45</v>
      </c>
      <c r="X973" s="2" t="s">
        <v>45</v>
      </c>
      <c r="Y973" s="2" t="s">
        <v>45</v>
      </c>
      <c r="Z973" s="2" t="s">
        <v>45</v>
      </c>
      <c r="AA973" s="2" t="s">
        <v>45</v>
      </c>
      <c r="AB973" s="2" t="s">
        <v>45</v>
      </c>
    </row>
    <row r="974" spans="1:28" x14ac:dyDescent="0.25">
      <c r="A974" s="4">
        <v>46264</v>
      </c>
      <c r="B974" s="8" t="s">
        <v>55</v>
      </c>
      <c r="C974" s="8" t="s">
        <v>56</v>
      </c>
      <c r="D974" s="7" t="s">
        <v>46</v>
      </c>
      <c r="E974" s="8" t="s">
        <v>47</v>
      </c>
      <c r="F974" s="13"/>
      <c r="G974" s="59"/>
      <c r="H974" s="6"/>
      <c r="I974" s="6">
        <f t="shared" si="76"/>
        <v>0</v>
      </c>
      <c r="J974" s="2" t="s">
        <v>548</v>
      </c>
      <c r="K974" s="2" t="s">
        <v>548</v>
      </c>
      <c r="L974" s="2" t="s">
        <v>548</v>
      </c>
      <c r="M974" s="2" t="s">
        <v>45</v>
      </c>
      <c r="N974" s="2" t="s">
        <v>548</v>
      </c>
      <c r="O974" s="56">
        <v>0</v>
      </c>
      <c r="P974" s="2" t="s">
        <v>45</v>
      </c>
      <c r="Q974" s="2" t="s">
        <v>45</v>
      </c>
      <c r="R974" s="2" t="s">
        <v>548</v>
      </c>
      <c r="S974" s="2" t="s">
        <v>548</v>
      </c>
      <c r="T974" s="2" t="s">
        <v>45</v>
      </c>
      <c r="U974" s="2" t="s">
        <v>548</v>
      </c>
      <c r="V974" s="2" t="s">
        <v>45</v>
      </c>
      <c r="W974" s="2">
        <v>8316.17</v>
      </c>
      <c r="X974" s="2" t="s">
        <v>3327</v>
      </c>
      <c r="Y974" s="2" t="s">
        <v>3328</v>
      </c>
      <c r="Z974" s="2" t="s">
        <v>548</v>
      </c>
      <c r="AA974" s="2" t="s">
        <v>45</v>
      </c>
      <c r="AB974" s="2">
        <v>259.7</v>
      </c>
    </row>
    <row r="975" spans="1:28" x14ac:dyDescent="0.25">
      <c r="A975" s="4">
        <v>46264</v>
      </c>
      <c r="B975" s="8" t="s">
        <v>3213</v>
      </c>
      <c r="C975" s="8" t="s">
        <v>36</v>
      </c>
      <c r="D975" s="8" t="s">
        <v>48</v>
      </c>
      <c r="E975" s="7" t="s">
        <v>38</v>
      </c>
      <c r="F975" s="13">
        <v>1693</v>
      </c>
      <c r="G975" s="59"/>
      <c r="H975" s="6">
        <f>24000/6</f>
        <v>4000</v>
      </c>
      <c r="I975" s="6">
        <f t="shared" si="76"/>
        <v>595.97315436241615</v>
      </c>
      <c r="J975" s="2">
        <v>3.28</v>
      </c>
      <c r="K975" s="2">
        <v>2.98</v>
      </c>
      <c r="L975" s="2">
        <v>0.3</v>
      </c>
      <c r="M975" s="2">
        <v>9.16</v>
      </c>
      <c r="N975" s="2" t="s">
        <v>1491</v>
      </c>
      <c r="O975" s="56">
        <v>1776</v>
      </c>
      <c r="P975" s="2">
        <v>4.42</v>
      </c>
      <c r="Q975" s="2">
        <v>15.97</v>
      </c>
      <c r="R975" s="2">
        <v>111.2</v>
      </c>
      <c r="S975" s="2">
        <v>2.37</v>
      </c>
      <c r="T975" s="2">
        <v>7.89</v>
      </c>
      <c r="U975" s="2">
        <v>108.83</v>
      </c>
      <c r="V975" s="2">
        <v>36.56</v>
      </c>
      <c r="W975" s="2">
        <v>6869.46</v>
      </c>
      <c r="X975" s="2" t="s">
        <v>3335</v>
      </c>
      <c r="Y975" s="2" t="s">
        <v>3336</v>
      </c>
      <c r="Z975" s="2" t="s">
        <v>548</v>
      </c>
      <c r="AA975" s="2" t="s">
        <v>548</v>
      </c>
      <c r="AB975" s="2">
        <v>49.9</v>
      </c>
    </row>
    <row r="976" spans="1:28" x14ac:dyDescent="0.25">
      <c r="A976" s="4">
        <v>46264</v>
      </c>
      <c r="B976" s="8" t="s">
        <v>55</v>
      </c>
      <c r="C976" s="8" t="s">
        <v>56</v>
      </c>
      <c r="D976" s="8" t="s">
        <v>49</v>
      </c>
      <c r="E976" s="8" t="s">
        <v>47</v>
      </c>
      <c r="F976" s="13"/>
      <c r="G976" s="59"/>
      <c r="H976" s="6"/>
      <c r="I976" s="6">
        <f t="shared" si="76"/>
        <v>0</v>
      </c>
      <c r="J976" s="2" t="s">
        <v>45</v>
      </c>
      <c r="K976" s="2" t="s">
        <v>45</v>
      </c>
      <c r="L976" s="2" t="s">
        <v>45</v>
      </c>
      <c r="M976" s="2" t="s">
        <v>45</v>
      </c>
      <c r="N976" s="2" t="s">
        <v>45</v>
      </c>
      <c r="O976" s="56" t="s">
        <v>45</v>
      </c>
      <c r="P976" s="2" t="s">
        <v>45</v>
      </c>
      <c r="Q976" s="2" t="s">
        <v>45</v>
      </c>
      <c r="R976" s="2" t="s">
        <v>45</v>
      </c>
      <c r="S976" s="2" t="s">
        <v>45</v>
      </c>
      <c r="T976" s="2" t="s">
        <v>45</v>
      </c>
      <c r="U976" s="2" t="s">
        <v>45</v>
      </c>
      <c r="V976" s="2" t="s">
        <v>45</v>
      </c>
      <c r="W976" s="2" t="s">
        <v>45</v>
      </c>
      <c r="X976" s="2" t="s">
        <v>45</v>
      </c>
      <c r="Y976" s="2" t="s">
        <v>45</v>
      </c>
      <c r="Z976" s="2" t="s">
        <v>45</v>
      </c>
      <c r="AA976" s="2" t="s">
        <v>45</v>
      </c>
      <c r="AB976" s="2" t="s">
        <v>45</v>
      </c>
    </row>
    <row r="977" spans="1:28" x14ac:dyDescent="0.25">
      <c r="A977" s="2" t="s">
        <v>3388</v>
      </c>
      <c r="B977" s="8" t="s">
        <v>3392</v>
      </c>
      <c r="C977" s="8" t="s">
        <v>36</v>
      </c>
      <c r="D977" s="8" t="s">
        <v>39</v>
      </c>
      <c r="E977" s="8" t="s">
        <v>47</v>
      </c>
      <c r="F977" s="13"/>
      <c r="G977" s="59"/>
      <c r="H977" s="59"/>
      <c r="I977" s="6">
        <f t="shared" si="76"/>
        <v>217.39130434782609</v>
      </c>
      <c r="J977" s="2">
        <v>5.93</v>
      </c>
      <c r="K977" s="2">
        <v>4.83</v>
      </c>
      <c r="L977" s="2">
        <v>1.1000000000000001</v>
      </c>
      <c r="M977" s="2">
        <v>18.54</v>
      </c>
      <c r="N977" s="2" t="s">
        <v>3389</v>
      </c>
      <c r="O977" s="56">
        <v>1050</v>
      </c>
      <c r="P977" s="2">
        <v>1.73</v>
      </c>
      <c r="Q977" s="2">
        <v>9.83</v>
      </c>
      <c r="R977" s="2">
        <v>100.31</v>
      </c>
      <c r="S977" s="2">
        <v>3.79</v>
      </c>
      <c r="T977" s="2">
        <v>3.44</v>
      </c>
      <c r="U977" s="2">
        <v>96.53</v>
      </c>
      <c r="V977" s="2">
        <v>19.97</v>
      </c>
      <c r="W977" s="2">
        <v>9422.43</v>
      </c>
      <c r="X977" s="2" t="s">
        <v>3390</v>
      </c>
      <c r="Y977" s="2" t="s">
        <v>3391</v>
      </c>
      <c r="Z977" s="2" t="s">
        <v>548</v>
      </c>
      <c r="AA977" s="2" t="s">
        <v>548</v>
      </c>
      <c r="AB977" s="2">
        <v>293.60000000000002</v>
      </c>
    </row>
    <row r="978" spans="1:28" x14ac:dyDescent="0.25">
      <c r="A978" s="2" t="s">
        <v>3388</v>
      </c>
      <c r="B978" s="8" t="s">
        <v>3392</v>
      </c>
      <c r="C978" s="8" t="s">
        <v>36</v>
      </c>
      <c r="D978" s="8" t="s">
        <v>43</v>
      </c>
      <c r="E978" s="8" t="s">
        <v>2994</v>
      </c>
      <c r="F978" s="13"/>
      <c r="G978" s="59"/>
      <c r="H978" s="59"/>
      <c r="I978" s="6">
        <f t="shared" ref="I978" si="77">IFERROR(O978/K978,)</f>
        <v>0</v>
      </c>
      <c r="J978" s="2">
        <v>6.18</v>
      </c>
      <c r="K978" s="2">
        <v>3.23</v>
      </c>
      <c r="L978" s="2">
        <v>2.95</v>
      </c>
      <c r="M978" s="2">
        <v>47.74</v>
      </c>
      <c r="N978" s="2" t="s">
        <v>45</v>
      </c>
      <c r="O978" s="56" t="s">
        <v>45</v>
      </c>
      <c r="P978" s="2" t="s">
        <v>45</v>
      </c>
      <c r="Q978" s="2" t="s">
        <v>45</v>
      </c>
      <c r="R978" s="2">
        <v>79.489999999999995</v>
      </c>
      <c r="S978" s="2">
        <v>11.83</v>
      </c>
      <c r="T978" s="2">
        <v>4.01</v>
      </c>
      <c r="U978" s="2">
        <v>67.66</v>
      </c>
      <c r="V978" s="2">
        <v>20.95</v>
      </c>
      <c r="W978" s="2">
        <v>8976.5499999999993</v>
      </c>
      <c r="X978" s="2" t="s">
        <v>45</v>
      </c>
      <c r="Y978" s="2" t="s">
        <v>45</v>
      </c>
      <c r="Z978" s="2">
        <v>0.5</v>
      </c>
      <c r="AA978" s="2" t="s">
        <v>45</v>
      </c>
      <c r="AB978" s="2">
        <v>268.2</v>
      </c>
    </row>
    <row r="979" spans="1:28" x14ac:dyDescent="0.25">
      <c r="A979" s="2" t="s">
        <v>3388</v>
      </c>
      <c r="B979" s="8" t="s">
        <v>3392</v>
      </c>
      <c r="C979" s="8" t="s">
        <v>36</v>
      </c>
      <c r="D979" s="8" t="s">
        <v>67</v>
      </c>
      <c r="E979" s="8" t="s">
        <v>47</v>
      </c>
      <c r="F979" s="13"/>
      <c r="G979" s="59"/>
      <c r="H979" s="59"/>
      <c r="I979" s="6">
        <f t="shared" ref="I979" si="78">IFERROR(O979/K979,)</f>
        <v>84.688346883468839</v>
      </c>
      <c r="J979" s="2">
        <v>8.33</v>
      </c>
      <c r="K979" s="2">
        <v>7.38</v>
      </c>
      <c r="L979" s="2">
        <v>0.95</v>
      </c>
      <c r="M979" s="2">
        <v>11.41</v>
      </c>
      <c r="N979" s="2" t="s">
        <v>3223</v>
      </c>
      <c r="O979" s="56">
        <v>625</v>
      </c>
      <c r="P979" s="2">
        <v>1.83</v>
      </c>
      <c r="Q979" s="2">
        <v>5.0199999999999996</v>
      </c>
      <c r="R979" s="2">
        <v>124.45</v>
      </c>
      <c r="S979" s="2">
        <v>3.79</v>
      </c>
      <c r="T979" s="2">
        <v>3.98</v>
      </c>
      <c r="U979" s="2">
        <v>120.66</v>
      </c>
      <c r="V979" s="2">
        <v>16.350000000000001</v>
      </c>
      <c r="W979" s="2">
        <v>862.9</v>
      </c>
      <c r="X979" s="2" t="s">
        <v>3393</v>
      </c>
      <c r="Y979" s="2" t="s">
        <v>3394</v>
      </c>
      <c r="Z979" s="2">
        <v>1.1000000000000001</v>
      </c>
      <c r="AA979" s="2" t="s">
        <v>548</v>
      </c>
      <c r="AB979" s="2" t="s">
        <v>1730</v>
      </c>
    </row>
    <row r="980" spans="1:28" x14ac:dyDescent="0.25">
      <c r="A980" s="2" t="s">
        <v>3388</v>
      </c>
      <c r="B980" s="8" t="s">
        <v>3392</v>
      </c>
      <c r="C980" s="8" t="s">
        <v>36</v>
      </c>
      <c r="D980" s="8" t="s">
        <v>50</v>
      </c>
      <c r="E980" s="8" t="s">
        <v>47</v>
      </c>
      <c r="F980" s="13"/>
      <c r="G980" s="59"/>
      <c r="H980" s="59"/>
      <c r="I980" s="6">
        <f t="shared" ref="I980" si="79">IFERROR(O980/K980,)</f>
        <v>429.92831541218635</v>
      </c>
      <c r="J980" s="2">
        <v>6.78</v>
      </c>
      <c r="K980" s="2">
        <v>5.58</v>
      </c>
      <c r="L980" s="2">
        <v>1.2</v>
      </c>
      <c r="M980" s="2">
        <v>17.690000000000001</v>
      </c>
      <c r="N980" s="2" t="s">
        <v>2768</v>
      </c>
      <c r="O980" s="2" t="s">
        <v>3395</v>
      </c>
      <c r="P980" s="2">
        <v>2.04</v>
      </c>
      <c r="Q980" s="2">
        <v>18.850000000000001</v>
      </c>
      <c r="R980" s="2">
        <v>127.28</v>
      </c>
      <c r="S980" s="2">
        <v>3.79</v>
      </c>
      <c r="T980" s="2">
        <v>3.15</v>
      </c>
      <c r="U980" s="2">
        <v>123.5</v>
      </c>
      <c r="V980" s="2">
        <v>22.11</v>
      </c>
      <c r="W980" s="2">
        <v>2682.03</v>
      </c>
      <c r="X980" s="2" t="s">
        <v>3396</v>
      </c>
      <c r="Y980" s="2" t="s">
        <v>3397</v>
      </c>
      <c r="Z980" s="2" t="s">
        <v>548</v>
      </c>
      <c r="AA980" s="2" t="s">
        <v>548</v>
      </c>
      <c r="AB980" s="2">
        <v>342.1</v>
      </c>
    </row>
    <row r="981" spans="1:28" x14ac:dyDescent="0.25">
      <c r="A981" s="2" t="s">
        <v>3388</v>
      </c>
      <c r="B981" s="8" t="s">
        <v>3392</v>
      </c>
      <c r="C981" s="8" t="s">
        <v>36</v>
      </c>
      <c r="D981" s="8" t="s">
        <v>52</v>
      </c>
      <c r="E981" s="8" t="s">
        <v>47</v>
      </c>
      <c r="F981" s="13"/>
      <c r="G981" s="59"/>
      <c r="H981" s="59"/>
      <c r="I981" s="6">
        <f t="shared" ref="I981" si="80">IFERROR(O981/K981,)</f>
        <v>348.07302231237327</v>
      </c>
      <c r="J981" s="2">
        <v>11.41</v>
      </c>
      <c r="K981" s="2">
        <v>9.86</v>
      </c>
      <c r="L981" s="2">
        <v>1.55</v>
      </c>
      <c r="M981" s="2">
        <v>13.59</v>
      </c>
      <c r="N981" s="2" t="s">
        <v>3398</v>
      </c>
      <c r="O981" s="2" t="s">
        <v>3399</v>
      </c>
      <c r="P981" s="2">
        <v>2.19</v>
      </c>
      <c r="Q981" s="2">
        <v>16.12</v>
      </c>
      <c r="R981" s="2">
        <v>212.93</v>
      </c>
      <c r="S981" s="2">
        <v>6.15</v>
      </c>
      <c r="T981" s="2">
        <v>3.97</v>
      </c>
      <c r="U981" s="2">
        <v>206.78</v>
      </c>
      <c r="V981" s="2">
        <v>20.98</v>
      </c>
      <c r="W981" s="2">
        <v>1321.63</v>
      </c>
      <c r="X981" s="2" t="s">
        <v>3400</v>
      </c>
      <c r="Y981" s="2" t="s">
        <v>3401</v>
      </c>
      <c r="Z981" s="2" t="s">
        <v>548</v>
      </c>
      <c r="AA981" s="2" t="s">
        <v>548</v>
      </c>
      <c r="AB981" s="2">
        <v>126.6</v>
      </c>
    </row>
    <row r="982" spans="1:28" x14ac:dyDescent="0.25">
      <c r="A982" s="2" t="s">
        <v>3388</v>
      </c>
      <c r="B982" s="2"/>
      <c r="C982" s="2"/>
      <c r="D982" s="2"/>
      <c r="E982" s="2"/>
      <c r="F982" s="2"/>
      <c r="G982" s="2"/>
      <c r="H982" s="2"/>
      <c r="I982" s="2"/>
      <c r="J982" s="2">
        <v>7.46</v>
      </c>
      <c r="K982" s="2">
        <v>5.96</v>
      </c>
      <c r="L982" s="2">
        <v>1.5</v>
      </c>
      <c r="M982" s="2">
        <v>20.11</v>
      </c>
      <c r="N982" s="2" t="s">
        <v>3402</v>
      </c>
      <c r="O982" s="2" t="s">
        <v>3403</v>
      </c>
      <c r="P982" s="2">
        <v>3.36</v>
      </c>
      <c r="Q982" s="2">
        <v>8.92</v>
      </c>
      <c r="R982" s="2">
        <v>176.02</v>
      </c>
      <c r="S982" s="2">
        <v>10.41</v>
      </c>
      <c r="T982" s="2">
        <v>6.94</v>
      </c>
      <c r="U982" s="2">
        <v>165.61</v>
      </c>
      <c r="V982" s="2">
        <v>27.79</v>
      </c>
      <c r="W982" s="2">
        <v>8323.6299999999992</v>
      </c>
      <c r="X982" s="2" t="s">
        <v>3404</v>
      </c>
      <c r="Y982" s="2" t="s">
        <v>3405</v>
      </c>
      <c r="Z982" s="2" t="s">
        <v>548</v>
      </c>
      <c r="AA982" s="2" t="s">
        <v>548</v>
      </c>
      <c r="AB982" s="2">
        <v>259.7</v>
      </c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M1" zoomScale="90" zoomScaleNormal="90" workbookViewId="0">
      <selection activeCell="Q19" sqref="Q19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3337</v>
      </c>
      <c r="R1" t="s">
        <v>3338</v>
      </c>
      <c r="S1" t="s">
        <v>3339</v>
      </c>
      <c r="T1" t="s">
        <v>3340</v>
      </c>
    </row>
    <row r="2" spans="1:20" x14ac:dyDescent="0.2">
      <c r="Q2" s="18" t="s">
        <v>2681</v>
      </c>
      <c r="R2" s="19">
        <v>37834</v>
      </c>
      <c r="S2" s="19">
        <v>23999.999999999996</v>
      </c>
      <c r="T2" s="19">
        <v>29549</v>
      </c>
    </row>
    <row r="3" spans="1:20" x14ac:dyDescent="0.2">
      <c r="A3" s="9" t="s">
        <v>3337</v>
      </c>
      <c r="B3" s="15" t="s">
        <v>3339</v>
      </c>
      <c r="C3" s="15" t="s">
        <v>3338</v>
      </c>
      <c r="D3" t="s">
        <v>3341</v>
      </c>
      <c r="Q3" s="18" t="s">
        <v>2974</v>
      </c>
      <c r="R3" s="19">
        <v>28356</v>
      </c>
      <c r="S3" s="19">
        <v>24000</v>
      </c>
      <c r="T3" s="19">
        <v>24262</v>
      </c>
    </row>
    <row r="4" spans="1:20" x14ac:dyDescent="0.2">
      <c r="A4" s="10" t="s">
        <v>3213</v>
      </c>
      <c r="B4" s="15">
        <v>90000.000000000015</v>
      </c>
      <c r="C4" s="15">
        <v>76611</v>
      </c>
      <c r="D4">
        <v>36</v>
      </c>
      <c r="Q4" s="18" t="s">
        <v>3094</v>
      </c>
      <c r="R4" s="19">
        <v>7965</v>
      </c>
      <c r="S4" s="19">
        <v>24000</v>
      </c>
      <c r="T4" s="19">
        <v>7087</v>
      </c>
    </row>
    <row r="5" spans="1:20" x14ac:dyDescent="0.2">
      <c r="A5" s="11" t="s">
        <v>47</v>
      </c>
      <c r="B5" s="15">
        <v>90000.000000000015</v>
      </c>
      <c r="C5" s="15">
        <v>76611</v>
      </c>
      <c r="D5">
        <v>36</v>
      </c>
      <c r="Q5" s="18" t="s">
        <v>3213</v>
      </c>
      <c r="R5" s="19">
        <v>24352</v>
      </c>
      <c r="S5" s="19">
        <v>24000</v>
      </c>
      <c r="T5" s="19">
        <v>18061</v>
      </c>
    </row>
    <row r="6" spans="1:20" x14ac:dyDescent="0.2">
      <c r="A6" s="12">
        <v>46263</v>
      </c>
      <c r="B6" s="15">
        <v>15000</v>
      </c>
      <c r="C6" s="15">
        <v>10519</v>
      </c>
      <c r="D6">
        <v>6</v>
      </c>
      <c r="Q6" s="18" t="s">
        <v>3342</v>
      </c>
      <c r="R6" s="19">
        <v>98507</v>
      </c>
      <c r="S6" s="19">
        <v>96000</v>
      </c>
      <c r="T6" s="19">
        <v>78959</v>
      </c>
    </row>
    <row r="7" spans="1:20" x14ac:dyDescent="0.2">
      <c r="A7" s="12">
        <v>46262</v>
      </c>
      <c r="B7" s="15">
        <v>15000</v>
      </c>
      <c r="C7" s="15">
        <v>12007</v>
      </c>
      <c r="D7">
        <v>6</v>
      </c>
    </row>
    <row r="8" spans="1:20" x14ac:dyDescent="0.2">
      <c r="A8" s="12">
        <v>46261</v>
      </c>
      <c r="B8" s="15">
        <v>15000</v>
      </c>
      <c r="C8" s="15">
        <v>14016</v>
      </c>
      <c r="D8">
        <v>6</v>
      </c>
    </row>
    <row r="9" spans="1:20" x14ac:dyDescent="0.2">
      <c r="A9" s="12">
        <v>46260</v>
      </c>
      <c r="B9" s="15">
        <v>15000</v>
      </c>
      <c r="C9" s="15">
        <v>12976</v>
      </c>
      <c r="D9">
        <v>6</v>
      </c>
    </row>
    <row r="10" spans="1:20" x14ac:dyDescent="0.2">
      <c r="A10" s="12">
        <v>46259</v>
      </c>
      <c r="B10" s="15">
        <v>15000</v>
      </c>
      <c r="C10" s="15">
        <v>12332</v>
      </c>
      <c r="D10">
        <v>5</v>
      </c>
    </row>
    <row r="11" spans="1:20" x14ac:dyDescent="0.2">
      <c r="A11" s="12">
        <v>46258</v>
      </c>
      <c r="B11" s="15">
        <v>15000</v>
      </c>
      <c r="C11" s="15">
        <v>14761</v>
      </c>
      <c r="D11">
        <v>7</v>
      </c>
    </row>
    <row r="12" spans="1:20" hidden="1" x14ac:dyDescent="0.2">
      <c r="A12" s="10" t="s">
        <v>3342</v>
      </c>
      <c r="B12" s="15">
        <v>90000.000000000015</v>
      </c>
      <c r="C12" s="15">
        <v>76611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3337</v>
      </c>
      <c r="B3" t="s">
        <v>3339</v>
      </c>
      <c r="C3" t="s">
        <v>3343</v>
      </c>
      <c r="O3" s="9" t="s">
        <v>3337</v>
      </c>
      <c r="P3" t="s">
        <v>3339</v>
      </c>
      <c r="Q3" t="s">
        <v>3343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3344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3342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3342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3345</v>
      </c>
      <c r="G3" s="17" t="s">
        <v>3346</v>
      </c>
      <c r="H3" s="17" t="s">
        <v>3347</v>
      </c>
      <c r="I3" s="17" t="s">
        <v>3348</v>
      </c>
      <c r="J3" s="17" t="s">
        <v>3349</v>
      </c>
      <c r="K3" s="17" t="s">
        <v>3350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3351</v>
      </c>
    </row>
    <row r="5" spans="6:11" x14ac:dyDescent="0.2">
      <c r="F5" s="17">
        <v>116</v>
      </c>
      <c r="H5" s="17">
        <v>110</v>
      </c>
      <c r="J5" s="17" t="s">
        <v>3352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3353</v>
      </c>
    </row>
    <row r="3" spans="1:17" x14ac:dyDescent="0.2">
      <c r="A3" s="25" t="s">
        <v>7</v>
      </c>
      <c r="B3" s="25" t="s">
        <v>3354</v>
      </c>
      <c r="C3" s="25" t="s">
        <v>3355</v>
      </c>
      <c r="D3" s="25" t="s">
        <v>3356</v>
      </c>
      <c r="E3" s="25" t="s">
        <v>3357</v>
      </c>
      <c r="F3" s="25" t="s">
        <v>3358</v>
      </c>
      <c r="H3" s="22" t="s">
        <v>3358</v>
      </c>
      <c r="I3" s="22" t="s">
        <v>3354</v>
      </c>
      <c r="J3" s="22" t="s">
        <v>3355</v>
      </c>
      <c r="K3" s="22" t="s">
        <v>3357</v>
      </c>
      <c r="L3" s="22" t="s">
        <v>3359</v>
      </c>
      <c r="M3" s="25" t="s">
        <v>3360</v>
      </c>
      <c r="O3" s="25" t="s">
        <v>7</v>
      </c>
      <c r="P3" s="25" t="s">
        <v>3357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3361</v>
      </c>
      <c r="H4" s="28" t="s">
        <v>3361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3361</v>
      </c>
      <c r="H5" s="28" t="s">
        <v>3362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3361</v>
      </c>
      <c r="H6" s="28" t="s">
        <v>3363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3361</v>
      </c>
      <c r="H7" s="28" t="s">
        <v>3364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3361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3361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3361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3361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3361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3361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3362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3362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3362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3362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3362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3362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3362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3363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3363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3363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3363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3363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3363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3363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3363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3363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3363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3363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3363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3363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3364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3364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3364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3364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3364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3364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3364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3364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3364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3364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3364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3364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3364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3364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3364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3364</v>
      </c>
    </row>
    <row r="50" spans="1:6" x14ac:dyDescent="0.2">
      <c r="A50" s="84" t="s">
        <v>3365</v>
      </c>
      <c r="B50" s="84"/>
      <c r="C50" s="84"/>
      <c r="E50" s="23">
        <f>SUM(E4:E49)</f>
        <v>12900</v>
      </c>
    </row>
    <row r="56" spans="1:6" ht="15.75" x14ac:dyDescent="0.25">
      <c r="A56" s="34" t="s">
        <v>3366</v>
      </c>
    </row>
    <row r="57" spans="1:6" ht="25.5" x14ac:dyDescent="0.2">
      <c r="A57" s="35" t="s">
        <v>3367</v>
      </c>
      <c r="B57" s="36" t="s">
        <v>3368</v>
      </c>
      <c r="C57" s="36" t="s">
        <v>3369</v>
      </c>
      <c r="D57" s="36" t="s">
        <v>3370</v>
      </c>
    </row>
    <row r="58" spans="1:6" x14ac:dyDescent="0.2">
      <c r="A58" s="40" t="s">
        <v>3371</v>
      </c>
      <c r="B58" s="37">
        <v>108384.01</v>
      </c>
      <c r="C58" s="37"/>
      <c r="D58" s="37">
        <v>108384.01</v>
      </c>
    </row>
    <row r="59" spans="1:6" x14ac:dyDescent="0.2">
      <c r="A59" s="40" t="s">
        <v>3372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3373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3374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3375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3376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3377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3378</v>
      </c>
      <c r="B65" s="37">
        <v>23860.793000000001</v>
      </c>
      <c r="C65" s="37"/>
      <c r="D65" s="37"/>
    </row>
    <row r="66" spans="1:4" x14ac:dyDescent="0.2">
      <c r="A66" s="40" t="s">
        <v>3379</v>
      </c>
      <c r="B66" s="37">
        <v>1344.431</v>
      </c>
      <c r="C66" s="37"/>
      <c r="D66" s="37"/>
    </row>
    <row r="67" spans="1:4" x14ac:dyDescent="0.2">
      <c r="A67" s="38" t="s">
        <v>3365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3380</v>
      </c>
      <c r="E2" s="48" t="s">
        <v>3381</v>
      </c>
      <c r="F2" s="48" t="s">
        <v>3382</v>
      </c>
      <c r="G2" s="48" t="s">
        <v>3383</v>
      </c>
      <c r="H2" s="48" t="s">
        <v>3384</v>
      </c>
      <c r="I2" s="48" t="s">
        <v>3385</v>
      </c>
      <c r="J2" s="48" t="s">
        <v>3386</v>
      </c>
      <c r="K2" s="48" t="s">
        <v>3387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2026-08-31T19:43:58Z</cp:lastPrinted>
  <dcterms:created xsi:type="dcterms:W3CDTF">2026-05-12T12:10:54Z</dcterms:created>
  <dcterms:modified xsi:type="dcterms:W3CDTF">2026-09-01T13:23:59Z</dcterms:modified>
  <cp:category/>
  <cp:contentStatus/>
</cp:coreProperties>
</file>