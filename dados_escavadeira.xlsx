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657" documentId="8_{CE5C6F22-4BE2-41D0-BCDC-905D26C0C4E3}" xr6:coauthVersionLast="47" xr6:coauthVersionMax="47" xr10:uidLastSave="{37F0CE08-27B2-4160-A16A-07755CDBF057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BD!$A$4:$AB$802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7" i="1" l="1"/>
  <c r="I808" i="1"/>
  <c r="I805" i="1"/>
  <c r="I806" i="1"/>
  <c r="I803" i="1"/>
  <c r="I804" i="1"/>
  <c r="I801" i="1"/>
  <c r="I802" i="1"/>
  <c r="I799" i="1"/>
  <c r="I800" i="1"/>
  <c r="I797" i="1"/>
  <c r="I798" i="1"/>
  <c r="I795" i="1"/>
  <c r="I796" i="1"/>
  <c r="I794" i="1"/>
  <c r="I793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<sst xmlns="http://schemas.openxmlformats.org/spreadsheetml/2006/main" count="10375" uniqueCount="3064">
  <si>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</si>
  <si>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</si>
  <si>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</si>
  <si>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</si>
  <si>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</si>
  <si>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</si>
  <si>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</si>
  <si>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</si>
  <si>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</si>
  <si>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</si>
  <si>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</si>
  <si>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</si>
  <si>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</si>
  <si>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</si>
  <si>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</si>
  <si>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</si>
  <si>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</si>
  <si>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</si>
  <si>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</si>
  <si>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</si>
  <si>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</si>
  <si>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</si>
  <si>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</si>
  <si>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</si>
  <si>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</si>
  <si>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</si>
  <si>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</si>
  <si>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</si>
  <si>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</si>
  <si>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</si>
  <si>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</si>
  <si>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</si>
  <si>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</si>
  <si>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</si>
  <si>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</si>
  <si>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</si>
  <si>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</si>
  <si>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</si>
  <si>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</si>
  <si>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</si>
  <si>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</si>
  <si>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</si>
  <si>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</si>
  <si>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</si>
  <si>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</si>
  <si>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</si>
  <si>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</si>
  <si>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</si>
  <si>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</si>
  <si>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</si>
  <si>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</si>
  <si>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</si>
  <si>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</si>
  <si>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</si>
  <si>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</si>
  <si>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</si>
  <si>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</si>
  <si>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</si>
  <si>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</si>
  <si>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</si>
  <si>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</si>
  <si>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</si>
  <si>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</si>
  <si>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</si>
  <si>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</si>
  <si>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</si>
  <si>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</si>
  <si>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</si>
  <si>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</si>
  <si>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</si>
  <si>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</si>
  <si>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</si>
  <si>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</si>
  <si>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</si>
  <si>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</si>
  <si>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</si>
  <si>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</si>
  <si>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</si>
  <si>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</si>
  <si>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</si>
  <si>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</si>
  <si>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</si>
  <si>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</si>
  <si>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</si>
  <si>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</si>
  <si>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</si>
  <si>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</si>
  <si>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</si>
  <si>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</si>
  <si>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</si>
  <si>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</si>
  <si>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</si>
  <si>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</si>
  <si>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</si>
  <si>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</si>
  <si>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</si>
  <si>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</si>
  <si>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</si>
  <si>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</si>
  <si>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</si>
  <si>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</si>
  <si>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</si>
  <si>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</si>
  <si>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</si>
  <si>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</si>
  <si>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</si>
  <si>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</si>
  <si>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</si>
  <si>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</si>
  <si>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</si>
  <si>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</si>
  <si>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</si>
  <si>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</si>
  <si>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</si>
  <si>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</si>
  <si>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</si>
  <si>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</si>
  <si>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</si>
  <si>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</si>
  <si>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</si>
  <si>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</si>
  <si>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</si>
  <si>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</si>
  <si>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</si>
  <si>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</si>
  <si>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</si>
  <si>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</si>
  <si>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</si>
  <si>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</si>
  <si>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</si>
  <si>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</si>
  <si>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</si>
  <si>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</si>
  <si>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</si>
  <si>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</si>
  <si>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</si>
  <si>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</si>
  <si>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</si>
  <si>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</si>
  <si>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</si>
  <si>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</si>
  <si>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</si>
  <si>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</si>
  <si>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</si>
  <si>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</si>
  <si>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</si>
  <si>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</si>
  <si>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</si>
  <si>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</si>
  <si>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</si>
  <si>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</si>
  <si>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</si>
  <si>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</si>
  <si>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</si>
  <si>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</si>
  <si>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</si>
  <si>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</si>
  <si>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</si>
  <si>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</si>
  <si>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</si>
  <si>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</si>
  <si>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</si>
  <si>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</si>
  <si>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</si>
  <si>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</si>
  <si>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</si>
  <si>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</si>
  <si>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</si>
  <si>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</si>
  <si>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</si>
  <si>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</si>
  <si>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</si>
  <si>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</si>
  <si>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</si>
  <si>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</si>
  <si>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</si>
  <si>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</si>
  <si>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</si>
  <si>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</si>
  <si>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</si>
  <si>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</si>
  <si>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</si>
  <si>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</si>
  <si>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</si>
  <si>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</si>
  <si>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</si>
  <si>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</si>
  <si>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</si>
  <si>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</si>
  <si>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</si>
  <si>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</si>
  <si>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</si>
  <si>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</si>
  <si>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</si>
  <si>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</si>
  <si>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</si>
  <si>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</si>
  <si>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</si>
  <si>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</si>
  <si>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</si>
  <si>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</si>
  <si>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</si>
  <si>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</si>
  <si>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</si>
  <si>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</si>
  <si>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</si>
  <si>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</si>
  <si>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</si>
  <si>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</si>
  <si>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</si>
  <si>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</si>
  <si>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</si>
  <si>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</si>
  <si>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</si>
  <si>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</si>
  <si>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</si>
  <si>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</si>
  <si>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</si>
  <si>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</si>
  <si>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</si>
  <si>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</si>
  <si>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</si>
  <si>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</si>
  <si>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</si>
  <si>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</si>
  <si>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</si>
  <si>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</si>
  <si>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</si>
  <si>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</si>
  <si>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</si>
  <si>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</si>
  <si>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</si>
  <si>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</si>
  <si>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</si>
  <si>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</si>
  <si>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</si>
  <si>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</si>
  <si>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</si>
  <si>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</si>
  <si>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</si>
  <si>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</si>
  <si>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</si>
  <si>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</si>
  <si>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</si>
  <si>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</si>
  <si>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</si>
  <si>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</si>
  <si>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</si>
  <si>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</si>
  <si>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</si>
  <si>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</si>
  <si>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</si>
  <si>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</si>
  <si>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</si>
  <si>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</si>
  <si>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</si>
  <si>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</si>
  <si>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</si>
  <si>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</si>
  <si>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</si>
  <si>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</si>
  <si>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</si>
  <si>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</si>
  <si>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</si>
  <si>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</si>
  <si>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</si>
  <si>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</si>
  <si>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</si>
  <si>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</si>
  <si>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</si>
  <si>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</si>
  <si>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</si>
  <si>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</si>
  <si>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</si>
  <si>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</si>
  <si>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</si>
  <si>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</si>
  <si>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</si>
  <si>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</si>
  <si>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</si>
  <si>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</si>
  <si>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</si>
  <si>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</si>
  <si>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</si>
  <si>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</si>
  <si>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</si>
  <si>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</si>
  <si>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</si>
  <si>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</si>
  <si>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</si>
  <si>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</si>
  <si>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</si>
  <si>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</si>
  <si>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</si>
  <si>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</si>
  <si>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</si>
  <si>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</si>
  <si>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</si>
  <si>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</si>
  <si>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</si>
  <si>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</si>
  <si>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</si>
  <si>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</si>
  <si>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</si>
  <si>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</si>
  <si>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</si>
  <si>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</si>
  <si>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</si>
  <si>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</si>
  <si>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</si>
  <si>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</si>
  <si>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</si>
  <si>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</si>
  <si>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</si>
  <si>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</si>
  <si>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</si>
  <si>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</si>
  <si>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</si>
  <si>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</si>
  <si>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</si>
  <si>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</si>
  <si>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</si>
  <si>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</si>
  <si>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</si>
  <si>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</si>
  <si>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</si>
  <si>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</si>
  <si>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</si>
  <si>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</si>
  <si>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</si>
  <si>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</si>
  <si>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</si>
  <si>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</si>
  <si>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</si>
  <si>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</si>
  <si>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</si>
  <si>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</si>
  <si>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</si>
  <si>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</si>
  <si>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</si>
  <si>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</si>
  <si>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</si>
  <si>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</si>
  <si>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</si>
  <si>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</si>
  <si>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</si>
  <si>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</si>
  <si>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</si>
  <si>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</si>
  <si>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</si>
  <si>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</si>
  <si>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</si>
  <si>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</si>
  <si>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</si>
  <si>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</si>
  <si>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</si>
  <si>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</si>
  <si>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</si>
  <si>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</si>
  <si>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</si>
  <si>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</si>
  <si>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</si>
  <si>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</si>
  <si>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</si>
  <si>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</si>
  <si>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</si>
  <si>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</si>
  <si>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</si>
  <si>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</si>
  <si>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</si>
  <si>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</si>
  <si>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</si>
  <si>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</si>
  <si>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</si>
  <si>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</si>
  <si>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</si>
  <si>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</si>
  <si>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</si>
  <si>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</si>
  <si>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</si>
  <si>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</si>
  <si>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</si>
  <si>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</si>
  <si>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</si>
  <si>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</si>
  <si>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</si>
  <si>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</si>
  <si>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</si>
  <si>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</si>
  <si>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</si>
  <si>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</si>
  <si>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</si>
  <si>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</si>
  <si>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</si>
  <si>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</si>
  <si>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</si>
  <si>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</si>
  <si>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</si>
  <si>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</si>
  <si>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</si>
  <si>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</si>
  <si>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</si>
  <si>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</si>
  <si>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</si>
  <si>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</si>
  <si>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</si>
  <si>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</si>
  <si>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</si>
  <si>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</si>
  <si>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</si>
  <si>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</si>
  <si>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</si>
  <si>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</si>
  <si>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</si>
  <si>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</si>
  <si>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</si>
  <si>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</si>
  <si>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</si>
  <si>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</si>
  <si>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</si>
  <si>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</si>
  <si>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</si>
  <si>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</si>
  <si>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</si>
  <si>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</si>
  <si>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</si>
  <si>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</si>
  <si>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</si>
  <si>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</si>
  <si>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</si>
  <si>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</si>
  <si>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</si>
  <si>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</si>
  <si>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</si>
  <si>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</si>
  <si>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</si>
  <si>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</si>
  <si>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</si>
  <si>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</si>
  <si>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</si>
  <si>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</si>
  <si>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</si>
  <si>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</si>
  <si>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</si>
  <si>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</si>
  <si>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</si>
  <si>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</si>
  <si>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</si>
  <si>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</si>
  <si>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</si>
  <si>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</si>
  <si>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</si>
  <si>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</si>
  <si>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</si>
  <si>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</si>
  <si>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</si>
  <si>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</si>
  <si>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</si>
  <si>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</si>
  <si>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</si>
  <si>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</si>
  <si>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</si>
  <si>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</si>
  <si>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</si>
  <si>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</si>
  <si>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</si>
  <si>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</si>
  <si>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</si>
  <si>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</si>
  <si>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</si>
  <si>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</si>
  <si>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</si>
  <si>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</si>
  <si>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</si>
  <si>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</si>
  <si>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</si>
  <si>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</si>
  <si>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</si>
  <si>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</si>
  <si>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</si>
  <si>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</si>
  <si>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</si>
  <si>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</si>
  <si>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</si>
  <si>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</si>
  <si>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</si>
  <si>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</si>
  <si>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</si>
  <si>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</si>
  <si>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</si>
  <si>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</si>
  <si>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</si>
  <si>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</si>
  <si>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</si>
  <si>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</si>
  <si>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</si>
  <si>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</si>
  <si>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</si>
  <si>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</si>
  <si>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</si>
  <si>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</si>
  <si>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</si>
  <si>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</si>
  <si>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</si>
  <si>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</si>
  <si>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</si>
  <si>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</si>
  <si>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</si>
  <si>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</si>
  <si>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</si>
  <si>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</si>
  <si>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</si>
  <si>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</si>
  <si>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</si>
  <si>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</si>
  <si>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</si>
  <si>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</si>
  <si>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</si>
  <si>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</si>
  <si>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</si>
  <si>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</si>
  <si>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</si>
  <si>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</si>
  <si>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</si>
  <si>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</si>
  <si>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</si>
  <si>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</si>
  <si>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</si>
  <si>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</si>
  <si>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</si>
  <si>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</si>
  <si>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</si>
  <si>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</si>
  <si>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</si>
  <si>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</si>
  <si>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</si>
  <si>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</si>
  <si>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</si>
  <si>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</si>
  <si>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</si>
  <si>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</si>
  <si>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</si>
  <si>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</si>
  <si>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</si>
  <si>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</si>
  <si>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</si>
  <si>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</si>
  <si>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</si>
  <si>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</si>
  <si>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</si>
  <si>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</si>
  <si>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</si>
  <si>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</si>
  <si>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</si>
  <si>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</si>
  <si>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</si>
  <si>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</si>
  <si>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</si>
  <si>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</si>
  <si>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</si>
  <si>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</si>
  <si>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</si>
  <si>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</si>
  <si>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</si>
  <si>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</si>
  <si>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</si>
  <si>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</si>
  <si>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</si>
  <si>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</si>
  <si>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</si>
  <si>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</si>
  <si>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</si>
  <si>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</si>
  <si>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</si>
  <si>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</si>
  <si>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</si>
  <si>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</si>
  <si>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</si>
  <si>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</si>
  <si>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</si>
  <si>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</si>
  <si>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</si>
  <si>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</si>
  <si>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</si>
  <si>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</si>
  <si>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</si>
  <si>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</si>
  <si>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</si>
  <si>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</si>
  <si>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</si>
  <si>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</si>
  <si>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</si>
  <si>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</si>
  <si>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</si>
  <si>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</si>
  <si>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</si>
  <si>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</si>
  <si>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</si>
  <si>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</si>
  <si>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</si>
  <si>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</si>
  <si>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</si>
  <si>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</si>
  <si>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</si>
  <si>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</si>
  <si>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</si>
  <si>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</si>
  <si>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</si>
  <si>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</si>
  <si>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</si>
  <si>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</si>
  <si>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</si>
  <si>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</si>
  <si>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</si>
  <si>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</si>
  <si>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</si>
  <si>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</si>
  <si>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</si>
  <si>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</si>
  <si>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</si>
  <si>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</si>
  <si>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</si>
  <si>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</si>
  <si>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</si>
  <si>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</si>
  <si>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</si>
  <si>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</si>
  <si>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</si>
  <si>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</si>
  <si>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</si>
  <si>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</si>
  <si>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</si>
  <si>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</si>
  <si>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</si>
  <si>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</si>
  <si>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</si>
  <si>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</si>
  <si>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</si>
  <si>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</si>
  <si>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</si>
  <si>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</si>
  <si>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</si>
  <si>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</si>
  <si>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</si>
  <si>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</si>
  <si>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</si>
  <si>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</si>
  <si>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</si>
  <si>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</si>
  <si>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</si>
  <si>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</si>
  <si>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</si>
  <si>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</si>
  <si>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</si>
  <si>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</si>
  <si>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</si>
  <si>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</si>
  <si>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</si>
  <si>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</si>
  <si>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</si>
  <si>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</si>
  <si>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</si>
  <si>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</si>
  <si>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</si>
  <si>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</si>
  <si>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</si>
  <si>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</si>
  <si>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</si>
  <si>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</si>
  <si>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</si>
  <si>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</si>
  <si>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</si>
  <si>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</si>
  <si>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</si>
  <si>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</si>
  <si>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</si>
  <si>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</si>
  <si>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</si>
  <si>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</si>
  <si>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</si>
  <si>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</si>
  <si>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</si>
  <si>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</si>
  <si>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</si>
  <si>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</si>
  <si>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</si>
  <si>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</si>
  <si>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</si>
  <si>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</si>
  <si>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</si>
  <si>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</si>
  <si>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</si>
  <si>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</si>
  <si>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</si>
  <si>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</si>
  <si>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</si>
  <si>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</si>
  <si>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</si>
  <si>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</si>
  <si>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</si>
  <si>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</si>
  <si>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</si>
  <si>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</si>
  <si>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</si>
  <si>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</si>
  <si>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</si>
  <si>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</si>
  <si>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</si>
  <si>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</si>
  <si>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</si>
  <si>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</si>
  <si>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</si>
  <si>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</si>
  <si>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</si>
  <si>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</si>
  <si>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</si>
  <si>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</si>
  <si>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</si>
  <si>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</si>
  <si>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</si>
  <si>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</si>
  <si>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</si>
  <si>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</si>
  <si>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</si>
  <si>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</si>
  <si>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</si>
  <si>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</si>
  <si>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</si>
  <si>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</si>
  <si>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</si>
  <si>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</si>
  <si>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</si>
  <si>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</si>
  <si>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</si>
  <si>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</si>
  <si>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</si>
  <si>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</si>
  <si>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</si>
  <si>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</si>
  <si>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</si>
  <si>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</si>
  <si>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</si>
  <si>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</si>
  <si>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</si>
  <si>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</si>
  <si>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</si>
  <si>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</si>
  <si>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</si>
  <si>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</si>
  <si>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</si>
  <si>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</si>
  <si>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</si>
  <si>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</si>
  <si>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</si>
  <si>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</si>
  <si>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</si>
  <si>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</si>
  <si>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</si>
  <si>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</si>
  <si>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</si>
  <si>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</si>
  <si>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</si>
  <si>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</si>
  <si>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</si>
  <si>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</si>
  <si>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</si>
  <si>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</si>
  <si>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</si>
  <si>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</si>
  <si>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</si>
  <si>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</si>
  <si>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</si>
  <si>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</si>
  <si>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</si>
  <si>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</si>
  <si>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</si>
  <si>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</si>
  <si>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</si>
  <si>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</si>
  <si>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</si>
  <si>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</si>
  <si>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</si>
  <si>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</si>
  <si>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</si>
  <si>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</si>
  <si>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</si>
  <si>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</si>
  <si>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</si>
  <si>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</si>
  <si>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</si>
  <si>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</si>
  <si>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</si>
  <si>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</si>
  <si>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</si>
  <si>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</si>
  <si>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</si>
  <si>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</si>
  <si>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</si>
  <si>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</si>
  <si>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</si>
  <si>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</si>
  <si>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</si>
  <si>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</si>
  <si>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</si>
  <si>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</si>
  <si>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</si>
  <si>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</si>
  <si>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</si>
  <si>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</si>
  <si>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</si>
  <si>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</si>
  <si>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</si>
  <si>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</si>
  <si>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</si>
  <si>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</si>
  <si>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</si>
  <si>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</si>
  <si>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</si>
  <si>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</si>
  <si>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</si>
  <si>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</si>
  <si>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</si>
  <si>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</si>
  <si>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</si>
  <si>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</si>
  <si>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</si>
  <si>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</si>
  <si>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</si>
  <si>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</si>
  <si>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</si>
  <si>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</si>
  <si>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</si>
  <si>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</si>
  <si>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</si>
  <si>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</si>
  <si>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</si>
  <si>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</si>
  <si>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</si>
  <si>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</si>
  <si>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</si>
  <si>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</si>
  <si>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</si>
  <si>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</si>
  <si>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</si>
  <si>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</si>
  <si>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</si>
  <si>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</si>
  <si>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</si>
  <si>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</si>
  <si>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</si>
  <si>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</si>
  <si>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</si>
  <si>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</si>
  <si>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</si>
  <si>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</si>
  <si>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</si>
  <si>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</si>
  <si>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</si>
  <si>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</si>
  <si>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</si>
  <si>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</si>
  <si>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</si>
  <si>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</si>
  <si>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</si>
  <si>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</si>
  <si>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</si>
  <si>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</si>
  <si>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</si>
  <si>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</si>
  <si>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</si>
  <si>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</si>
  <si>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</si>
  <si>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</si>
  <si>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</si>
  <si>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</si>
  <si>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</si>
  <si>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</si>
  <si>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</si>
  <si>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</si>
  <si>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</si>
  <si>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</si>
  <si>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</si>
  <si>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</si>
  <si>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</si>
  <si>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</si>
  <si>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</si>
  <si>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</si>
  <si>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</si>
  <si>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</si>
  <si>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</si>
  <si>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</si>
  <si>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</si>
  <si>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</si>
  <si>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</si>
  <si>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</si>
  <si>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</si>
  <si>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</si>
  <si>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</si>
  <si>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</si>
  <si>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</si>
  <si>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</si>
  <si>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</si>
  <si>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</si>
  <si>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</si>
  <si>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</si>
  <si>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</si>
  <si>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</si>
  <si>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</si>
  <si>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</si>
  <si>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</si>
  <si>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</si>
  <si>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</si>
  <si>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</si>
  <si>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</si>
  <si>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</si>
  <si>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</si>
  <si>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</si>
  <si>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</si>
  <si>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</si>
  <si>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</si>
  <si>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</si>
  <si>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</si>
  <si>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</si>
  <si>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</si>
  <si>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</si>
  <si>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</si>
  <si>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</si>
  <si>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</si>
  <si>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</si>
  <si>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</si>
  <si>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</si>
  <si>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</si>
  <si>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</si>
  <si>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</si>
  <si>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</si>
  <si>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</si>
  <si>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</si>
  <si>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</si>
  <si>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</si>
  <si>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</si>
  <si>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</si>
  <si>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</si>
  <si>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</si>
  <si>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</si>
  <si>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</si>
  <si>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</si>
  <si>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</si>
  <si>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</si>
  <si>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</si>
  <si>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</si>
  <si>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</si>
  <si>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</si>
  <si>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</si>
  <si>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</si>
  <si>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</si>
  <si>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</si>
  <si>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</si>
  <si>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</si>
  <si>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</si>
  <si>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</si>
  <si>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</si>
  <si>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</si>
  <si>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</si>
  <si>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</si>
  <si>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</si>
  <si>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</si>
  <si>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</si>
  <si>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</si>
  <si>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</si>
  <si>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</si>
  <si>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</si>
  <si>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</si>
  <si>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</si>
  <si>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</si>
  <si>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</si>
  <si>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</si>
  <si>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</si>
  <si>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</si>
  <si>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</si>
  <si>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</si>
  <si>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</si>
  <si>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</si>
  <si>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</si>
  <si>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</si>
  <si>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</si>
  <si>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</si>
  <si>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</si>
  <si>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</si>
  <si>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</si>
  <si>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</si>
  <si>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</si>
  <si>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</si>
  <si>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</si>
  <si>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</si>
  <si>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</si>
  <si>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</si>
  <si>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</si>
  <si>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</si>
  <si>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</si>
  <si>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</si>
  <si>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</si>
  <si>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</si>
  <si>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</si>
  <si>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</si>
  <si>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</si>
  <si>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</si>
  <si>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</si>
  <si>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</si>
  <si>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</si>
  <si>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</si>
  <si>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</si>
  <si>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</si>
  <si>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</si>
  <si>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</si>
  <si>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</si>
  <si>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</si>
  <si>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</si>
  <si>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</si>
  <si>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</si>
  <si>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</si>
  <si>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</si>
  <si>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</si>
  <si>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</si>
  <si>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</si>
  <si>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</si>
  <si>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</si>
  <si>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</si>
  <si>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</si>
  <si>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</si>
  <si>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</si>
  <si>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</si>
  <si>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</si>
  <si>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</si>
  <si>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</si>
  <si>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</si>
  <si>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</si>
  <si>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</si>
  <si>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</si>
  <si>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</si>
  <si>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</si>
  <si>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</si>
  <si>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</si>
  <si>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</si>
  <si>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</si>
  <si>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</si>
  <si>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</si>
  <si>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</si>
  <si>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</si>
  <si>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</si>
  <si>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</si>
  <si>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</si>
  <si>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</si>
  <si>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</si>
  <si>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</si>
  <si>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</si>
  <si>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</si>
  <si>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</si>
  <si>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</si>
  <si>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</si>
  <si>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</si>
  <si>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</si>
  <si>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</si>
  <si>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</si>
  <si>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</si>
  <si>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</si>
  <si>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</si>
  <si>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</si>
  <si>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</si>
  <si>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</si>
  <si>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</si>
  <si>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</si>
  <si>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</si>
  <si>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</si>
  <si>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</si>
  <si>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</si>
  <si>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</si>
  <si>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</si>
  <si>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</si>
  <si>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</si>
  <si>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</si>
  <si>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</si>
  <si>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</si>
  <si>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</si>
  <si>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</si>
  <si>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</si>
  <si>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</si>
  <si>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</si>
  <si>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</si>
  <si>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</si>
  <si>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</si>
  <si>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</si>
  <si>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</si>
  <si>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</si>
  <si>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</si>
  <si>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</si>
  <si>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</si>
  <si>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</si>
  <si>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</si>
  <si>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</si>
  <si>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</si>
  <si>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</si>
  <si>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</si>
  <si>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</si>
  <si>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</si>
  <si>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</si>
  <si>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</si>
  <si>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</si>
  <si>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</si>
  <si>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</si>
  <si>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</si>
  <si>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</si>
  <si>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</si>
  <si>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</si>
  <si>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</si>
  <si>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</si>
  <si>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</si>
  <si>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</si>
  <si>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</si>
  <si>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</si>
  <si>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</si>
  <si>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</si>
  <si>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</si>
  <si>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</si>
  <si>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</si>
  <si>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</si>
  <si>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</si>
  <si>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</si>
  <si>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</si>
  <si>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</si>
  <si>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</si>
  <si>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</si>
  <si>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</si>
  <si>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</si>
  <si>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</si>
  <si>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</si>
  <si>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</si>
  <si>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</si>
  <si>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</si>
  <si>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</si>
  <si>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</si>
  <si>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</si>
  <si>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</si>
  <si>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</si>
  <si>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</si>
  <si>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</si>
  <si>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</si>
  <si>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</si>
  <si>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</si>
  <si>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</si>
  <si>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</si>
  <si>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</si>
  <si>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</si>
  <si>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</si>
  <si>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</si>
  <si>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</si>
  <si>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</si>
  <si>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</si>
  <si>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</si>
  <si>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</si>
  <si>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</si>
  <si>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</si>
  <si>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</si>
  <si>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</si>
  <si>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</si>
  <si>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</si>
  <si>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</si>
  <si>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</si>
  <si>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</si>
  <si>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</si>
  <si>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</si>
  <si>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</si>
  <si>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</si>
  <si>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</si>
  <si>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</si>
  <si>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</si>
  <si>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</si>
  <si>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</si>
  <si>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</si>
  <si>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</si>
  <si>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</si>
  <si>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</si>
  <si>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</si>
  <si>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</si>
  <si>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</si>
  <si>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</si>
  <si>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</si>
  <si>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</si>
  <si>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</si>
  <si>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</si>
  <si>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</si>
  <si>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</si>
  <si>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</si>
  <si>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</si>
  <si>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</si>
  <si>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</si>
  <si>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</si>
  <si>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</si>
  <si>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</si>
  <si>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</si>
  <si>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</si>
  <si>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</si>
  <si>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</si>
  <si>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</si>
  <si>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</si>
  <si>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</si>
  <si>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</si>
  <si>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</si>
  <si>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</si>
  <si>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</si>
  <si>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</si>
  <si>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</si>
  <si>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</si>
  <si>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</si>
  <si>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</si>
  <si>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</si>
  <si>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</si>
  <si>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</si>
  <si>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</si>
  <si>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</si>
  <si>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</si>
  <si>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</si>
  <si>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</si>
  <si>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</si>
  <si>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</si>
  <si>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</si>
  <si>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</si>
  <si>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</si>
  <si>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</si>
  <si>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</si>
  <si>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</si>
  <si>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</si>
  <si>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</si>
  <si>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</si>
  <si>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</si>
  <si>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</si>
  <si>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</si>
  <si>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</si>
  <si>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</si>
  <si>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</si>
  <si>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</si>
  <si>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</si>
  <si>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</si>
  <si>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</si>
  <si>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</si>
  <si>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</si>
  <si>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</si>
  <si>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</si>
  <si>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</si>
  <si>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</si>
  <si>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</si>
  <si>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</si>
  <si>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</si>
  <si>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</si>
  <si>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</si>
  <si>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</si>
  <si>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</si>
  <si>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</si>
  <si>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</si>
  <si>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</si>
  <si>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</si>
  <si>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</si>
  <si>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</si>
  <si>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</si>
  <si>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</si>
  <si>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</si>
  <si>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</si>
  <si>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</si>
  <si>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</si>
  <si>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</si>
  <si>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</si>
  <si>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</si>
  <si>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</si>
  <si>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</si>
  <si>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</si>
  <si>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</si>
  <si>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</si>
  <si>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</si>
  <si>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</si>
  <si>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</si>
  <si>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</si>
  <si>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</si>
  <si>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</si>
  <si>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</si>
  <si>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</si>
  <si>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</si>
  <si>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</si>
  <si>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</si>
  <si>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</si>
  <si>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</si>
  <si>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</si>
  <si>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</si>
  <si>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</si>
  <si>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</si>
  <si>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</si>
  <si>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</si>
  <si>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</si>
  <si>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</si>
  <si>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</si>
  <si>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</si>
  <si>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</si>
  <si>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</si>
  <si>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</si>
  <si>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</si>
  <si>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</si>
  <si>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</si>
  <si>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</si>
  <si>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</si>
  <si>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</si>
  <si>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</si>
  <si>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</si>
  <si>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</si>
  <si>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</si>
  <si>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</si>
  <si>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</si>
  <si>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</si>
  <si>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</si>
  <si>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</si>
  <si>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</si>
  <si>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</si>
  <si>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</si>
  <si>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</si>
  <si>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</si>
  <si>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</si>
  <si>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</si>
  <si>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</si>
  <si>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</si>
  <si>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</si>
  <si>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</si>
  <si>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</si>
  <si>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</si>
  <si>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</si>
  <si>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</si>
  <si>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</si>
  <si>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</si>
  <si>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</si>
  <si>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</si>
  <si>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</si>
  <si>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</si>
  <si>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</si>
  <si>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</si>
  <si>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</si>
  <si>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</si>
  <si>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</si>
  <si>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</si>
  <si>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</si>
  <si>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</si>
  <si>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</si>
  <si>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</si>
  <si>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</si>
  <si>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</si>
  <si>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</si>
  <si>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</si>
  <si>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</si>
  <si>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</si>
  <si>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</si>
  <si>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</si>
  <si>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</si>
  <si>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</si>
  <si>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</si>
  <si>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</si>
  <si>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</si>
  <si>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</si>
  <si>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</si>
  <si>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</si>
  <si>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</si>
  <si>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</si>
  <si>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</si>
  <si>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</si>
  <si>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</si>
  <si>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</si>
  <si>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</si>
  <si>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</si>
  <si>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</si>
  <si>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</si>
  <si>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</si>
  <si>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</si>
  <si>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</si>
  <si>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</si>
  <si>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</si>
  <si>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</si>
  <si>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</si>
  <si>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</si>
  <si>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</si>
  <si>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</si>
  <si>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</si>
  <si>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</si>
  <si>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</si>
  <si>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</si>
  <si>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</si>
  <si>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</si>
  <si>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</si>
  <si>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</si>
  <si>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</si>
  <si>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</si>
  <si>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</si>
  <si>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</si>
  <si>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</si>
  <si>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</si>
  <si>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</si>
  <si>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</si>
  <si>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</si>
  <si>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</si>
  <si>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</si>
  <si>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</si>
  <si>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</si>
  <si>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</si>
  <si>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</si>
  <si>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</si>
  <si>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</si>
  <si>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</si>
  <si>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</si>
  <si>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</si>
  <si>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</si>
  <si>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</si>
  <si>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</si>
  <si>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</si>
  <si>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</si>
  <si>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</si>
  <si>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</si>
  <si>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</si>
  <si>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</si>
  <si>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</si>
  <si>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</si>
  <si>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</si>
  <si>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</si>
  <si>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</si>
  <si>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</si>
  <si>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</si>
  <si>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</si>
  <si>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</si>
  <si>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</si>
  <si>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</si>
  <si>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</si>
  <si>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</si>
  <si>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</si>
  <si>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</si>
  <si>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</si>
  <si>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</si>
  <si>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</si>
  <si>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</si>
  <si>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</si>
  <si>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</si>
  <si>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</si>
  <si>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</si>
  <si>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</si>
  <si>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</si>
  <si>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</si>
  <si>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</si>
  <si>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</si>
  <si>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</si>
  <si>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</si>
  <si>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</si>
  <si>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</si>
  <si>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</si>
  <si>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</si>
  <si>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</si>
  <si>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</si>
  <si>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</si>
  <si>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</si>
  <si>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</si>
  <si>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</si>
  <si>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</si>
  <si>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</si>
  <si>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</si>
  <si>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</si>
  <si>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</si>
  <si>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</si>
  <si>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</si>
  <si>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</si>
  <si>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</si>
  <si>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</si>
  <si>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</si>
  <si>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</si>
  <si>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</si>
  <si>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</si>
  <si>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</si>
  <si>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</si>
  <si>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</si>
  <si>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</si>
  <si>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</si>
  <si>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</si>
  <si>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</si>
  <si>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</si>
  <si>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</si>
  <si>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</si>
  <si>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</si>
  <si>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</si>
  <si>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</si>
  <si>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</si>
  <si>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</si>
  <si>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</si>
  <si>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</si>
  <si>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</si>
  <si>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</si>
  <si>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</si>
  <si>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</si>
  <si>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</si>
  <si>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</si>
  <si>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</si>
  <si>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</si>
  <si>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</si>
  <si>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</si>
  <si>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</si>
  <si>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</si>
  <si>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</si>
  <si>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</si>
  <si>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</si>
  <si>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</si>
  <si>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</si>
  <si>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</si>
  <si>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</si>
  <si>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</si>
  <si>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</si>
  <si>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</si>
  <si>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</si>
  <si>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</si>
  <si>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</si>
  <si>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</si>
  <si>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</si>
  <si>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</si>
  <si>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</si>
  <si>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</si>
  <si>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</si>
  <si>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</si>
  <si>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</si>
  <si>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</si>
  <si>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</si>
  <si>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</si>
  <si>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</si>
  <si>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</si>
  <si>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</si>
  <si>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</si>
  <si>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</si>
  <si>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</si>
  <si>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</si>
  <si>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</si>
  <si>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</si>
  <si>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</si>
  <si>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</si>
  <si>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</si>
  <si>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</si>
  <si>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</si>
  <si>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</si>
  <si>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</si>
  <si>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</si>
  <si>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</si>
  <si>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</si>
  <si>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</si>
  <si>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</si>
  <si>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</si>
  <si>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</si>
  <si>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</si>
  <si>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</si>
  <si>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</si>
  <si>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</si>
  <si>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</si>
  <si>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</si>
  <si>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</si>
  <si>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</si>
  <si>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</si>
  <si>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</si>
  <si>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</si>
  <si>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</si>
  <si>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</si>
  <si>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</si>
  <si>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</si>
  <si>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</si>
  <si>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</si>
  <si>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</si>
  <si>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</si>
  <si>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</si>
  <si>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</si>
  <si>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</si>
  <si>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</si>
  <si>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</si>
  <si>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</si>
  <si>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</si>
  <si>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</si>
  <si>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</si>
  <si>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</si>
  <si>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</si>
  <si>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</si>
  <si>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</si>
  <si>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</si>
  <si>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</si>
  <si>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</si>
  <si>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</si>
  <si>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</si>
  <si>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</si>
  <si>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</si>
  <si>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</si>
  <si>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</si>
  <si>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</si>
  <si>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</si>
  <si>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</si>
  <si>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</si>
  <si>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</si>
  <si>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</si>
  <si>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</si>
  <si>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</si>
  <si>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</si>
  <si>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</si>
  <si>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</si>
  <si>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</si>
  <si>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</si>
  <si>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</si>
  <si>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</si>
  <si>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</si>
  <si>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</si>
  <si>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</si>
  <si>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</si>
  <si>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</si>
  <si>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</si>
  <si>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</si>
  <si>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</si>
  <si>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</si>
  <si>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</si>
  <si>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</si>
  <si>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</si>
  <si>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</si>
  <si>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</si>
  <si>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</si>
  <si>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</si>
  <si>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</si>
  <si>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</si>
  <si>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</si>
  <si>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</si>
  <si>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</si>
  <si>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</si>
  <si>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</si>
  <si>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</si>
  <si>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</si>
  <si>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</si>
  <si>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</si>
  <si>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</si>
  <si>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</si>
  <si>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</si>
  <si>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</si>
  <si>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</si>
  <si>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</si>
  <si>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</si>
  <si>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</si>
  <si>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</si>
  <si>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</si>
  <si>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</si>
  <si>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</si>
  <si>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</si>
  <si>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</si>
  <si>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</si>
  <si>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</si>
  <si>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</si>
  <si>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</si>
  <si>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</si>
  <si>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</si>
  <si>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</si>
  <si>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</si>
  <si>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</si>
  <si>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</si>
  <si>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</si>
  <si>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</si>
  <si>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</si>
  <si>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</si>
  <si>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</si>
  <si>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</si>
  <si>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</si>
  <si>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</si>
  <si>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</si>
  <si>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</si>
  <si>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</si>
  <si>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</si>
  <si>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</si>
  <si>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</si>
  <si>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</si>
  <si>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</si>
  <si>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</si>
  <si>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</si>
  <si>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</si>
  <si>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</si>
  <si>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</si>
  <si>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</si>
  <si>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</si>
  <si>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</si>
  <si>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</si>
  <si>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</si>
  <si>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</si>
  <si>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</si>
  <si>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</si>
  <si>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</si>
  <si>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</si>
  <si>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</si>
  <si>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</si>
  <si>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</si>
  <si>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</si>
  <si>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</si>
  <si>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</si>
  <si>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</si>
  <si>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</si>
  <si>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</si>
  <si>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</si>
  <si>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</si>
  <si>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</si>
  <si>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</si>
  <si>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</si>
  <si>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</si>
  <si>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</si>
  <si>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</si>
  <si>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</si>
  <si>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</si>
  <si>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</si>
  <si>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</si>
  <si>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</si>
  <si>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</si>
  <si>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</si>
  <si>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</si>
  <si>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</si>
  <si>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</si>
  <si>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</si>
  <si>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</si>
  <si>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</si>
  <si>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</si>
  <si>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</si>
  <si>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</si>
  <si>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</si>
  <si>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</si>
  <si>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</si>
  <si>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</si>
  <si>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</si>
  <si>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</si>
  <si>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</si>
  <si>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</si>
  <si>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</si>
  <si>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</si>
  <si>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</si>
  <si>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</si>
  <si>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</si>
  <si>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</si>
  <si>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</si>
  <si>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</si>
  <si>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</si>
  <si>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</si>
  <si>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</si>
  <si>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</si>
  <si>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</si>
  <si>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</si>
  <si>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</si>
  <si>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</si>
  <si>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</si>
  <si>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</si>
  <si>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</si>
  <si>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</si>
  <si>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</si>
  <si>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</si>
  <si>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</si>
  <si>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</si>
  <si>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</si>
  <si>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</si>
  <si>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</si>
  <si>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</si>
  <si>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</si>
  <si>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</si>
  <si>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</si>
  <si>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</si>
  <si>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</si>
  <si>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</si>
  <si>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</si>
  <si>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</si>
  <si>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</si>
  <si>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</si>
  <si>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</si>
  <si>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</si>
  <si>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</si>
  <si>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</si>
  <si>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</si>
  <si>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</si>
  <si>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</si>
  <si>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</si>
  <si>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</si>
  <si>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</si>
  <si>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</si>
  <si>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</si>
  <si>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</si>
  <si>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</si>
  <si>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</si>
  <si>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</si>
  <si>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</si>
  <si>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</si>
  <si>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</si>
  <si>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</si>
  <si>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</si>
  <si>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</si>
  <si>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</si>
  <si>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</si>
  <si>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</si>
  <si>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</si>
  <si>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</si>
  <si>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</si>
  <si>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</si>
  <si>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</si>
  <si>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</si>
  <si>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</si>
  <si>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</si>
  <si>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</si>
  <si>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</si>
  <si>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</si>
  <si>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</si>
  <si>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</si>
  <si>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</si>
  <si>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</si>
  <si>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</si>
  <si>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</si>
  <si>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</si>
  <si>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</si>
  <si>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</si>
  <si>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</si>
  <si>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</si>
  <si>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</si>
  <si>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</si>
  <si>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</si>
  <si>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</si>
  <si>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</si>
  <si>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</si>
  <si>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</si>
  <si>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</si>
  <si>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</si>
  <si>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</si>
  <si>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</si>
  <si>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</si>
  <si>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</si>
  <si>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</si>
  <si>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</si>
  <si>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</si>
  <si>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</si>
  <si>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</si>
  <si>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</si>
  <si>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</si>
  <si>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</si>
  <si>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</si>
  <si>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</si>
  <si>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</si>
  <si>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</si>
  <si>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</si>
  <si>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</si>
  <si>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</si>
  <si>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</si>
  <si>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</si>
  <si>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</si>
  <si>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</si>
  <si>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</si>
  <si>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</si>
  <si>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</si>
  <si>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</si>
  <si>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</si>
  <si>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</si>
  <si>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</si>
  <si>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</si>
  <si>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</si>
  <si>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</si>
  <si>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</si>
  <si>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</si>
  <si>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</si>
  <si>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</si>
  <si>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</si>
  <si>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</si>
  <si>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</si>
  <si>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</si>
  <si>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</si>
  <si>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</si>
  <si>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</si>
  <si>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</si>
  <si>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</si>
  <si>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</si>
  <si>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</si>
  <si>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</si>
  <si>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</si>
  <si>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</si>
  <si>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</si>
  <si>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</si>
  <si>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</si>
  <si>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</si>
  <si>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</si>
  <si>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</si>
  <si>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</si>
  <si>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</si>
  <si>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</si>
  <si>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</si>
  <si>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</si>
  <si>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</si>
  <si>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</si>
  <si>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</si>
  <si>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</si>
  <si>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</si>
  <si>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</si>
  <si>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</si>
  <si>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</si>
  <si>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</si>
  <si>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</si>
  <si>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</si>
  <si>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</si>
  <si>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</si>
  <si>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</si>
  <si>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</si>
  <si>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</si>
  <si>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</si>
  <si>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</si>
  <si>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</si>
  <si>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</si>
  <si>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</si>
  <si>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</si>
  <si>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</si>
  <si>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</si>
  <si>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</si>
  <si>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</si>
  <si>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</si>
  <si>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</si>
  <si>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</si>
  <si>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</si>
  <si>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</si>
  <si>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</si>
  <si>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</si>
  <si>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</si>
  <si>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</si>
  <si>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</si>
  <si>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</si>
  <si>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</si>
  <si>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</si>
  <si>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</si>
  <si>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</si>
  <si>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</si>
  <si>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</si>
  <si>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</si>
  <si>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</si>
  <si>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</si>
  <si>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</si>
  <si>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</si>
  <si>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</si>
  <si>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</si>
  <si>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</si>
  <si>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</si>
  <si>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</si>
  <si>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</si>
  <si>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</si>
  <si>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</si>
  <si>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</si>
  <si>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</si>
  <si>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</si>
  <si>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</si>
  <si>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</si>
  <si>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</si>
  <si>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</si>
  <si>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</si>
  <si>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</si>
  <si>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</si>
  <si>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</si>
  <si>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</si>
  <si>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</si>
  <si>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</si>
  <si>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</si>
  <si>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</si>
  <si>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</si>
  <si>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</si>
  <si>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</si>
  <si>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</si>
  <si>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</si>
  <si>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</si>
  <si>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</si>
  <si>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</si>
  <si>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</si>
  <si>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</si>
  <si>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</si>
  <si>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</si>
  <si>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</si>
  <si>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</si>
  <si>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</si>
  <si>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</si>
  <si>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</si>
  <si>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</si>
  <si>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</si>
  <si>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</si>
  <si>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</si>
  <si>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</si>
  <si>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</si>
  <si>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</si>
  <si>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</si>
  <si>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</si>
  <si>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</si>
  <si>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</si>
  <si>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</si>
  <si>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</si>
  <si>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</si>
  <si>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</si>
  <si>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</si>
  <si>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</si>
  <si>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</si>
  <si>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</si>
  <si>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</si>
  <si>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</si>
  <si>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</si>
  <si>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</si>
  <si>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</si>
  <si>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</si>
  <si>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</si>
  <si>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</si>
  <si>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</si>
  <si>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</si>
  <si>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</si>
  <si>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</si>
  <si>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</si>
  <si>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</si>
  <si>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</si>
  <si>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</si>
  <si>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</si>
  <si>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</si>
  <si>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</si>
  <si>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</si>
  <si>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</si>
  <si>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</si>
  <si>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</si>
  <si>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</si>
  <si>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</si>
  <si>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</si>
  <si>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</si>
  <si>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</si>
  <si>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</si>
  <si>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</si>
  <si>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</si>
  <si>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</si>
  <si>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</si>
  <si>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</si>
  <si>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</si>
  <si>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</si>
  <si>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</si>
  <si>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</si>
  <si>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</si>
  <si>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</si>
  <si>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</si>
  <si>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</si>
  <si>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</si>
  <si>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</si>
  <si>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</si>
  <si>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</si>
  <si>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</si>
  <si>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</si>
  <si>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</si>
  <si>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</si>
  <si>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</si>
  <si>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</si>
  <si>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</si>
  <si>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</si>
  <si>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</si>
  <si>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</si>
  <si>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</si>
  <si>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</si>
  <si>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</si>
  <si>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</si>
  <si>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</si>
  <si>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</si>
  <si>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</si>
  <si>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</si>
  <si>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</si>
  <si>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</si>
  <si>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</si>
  <si>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</si>
  <si>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</si>
  <si>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</si>
  <si>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</si>
  <si>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</si>
  <si>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</si>
  <si>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</si>
  <si>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</si>
  <si>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</si>
  <si>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</si>
  <si>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</si>
  <si>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</si>
  <si>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</si>
  <si>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</si>
  <si>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</si>
  <si>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</si>
  <si>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</si>
  <si>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</si>
  <si>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</si>
  <si>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</si>
  <si>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</si>
  <si>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</si>
  <si>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</si>
  <si>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</si>
  <si>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</si>
  <si>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</si>
  <si>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</si>
  <si>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</si>
  <si>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</si>
  <si>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</si>
  <si>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</si>
  <si>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</si>
  <si>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</si>
  <si>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</si>
  <si>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</si>
  <si>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</si>
  <si>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</si>
  <si>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</si>
  <si>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</si>
  <si>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</si>
  <si>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</si>
  <si>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</si>
  <si>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</si>
  <si>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</si>
  <si>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</si>
  <si>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</si>
  <si>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</si>
  <si>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</si>
  <si>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</si>
  <si>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</si>
  <si>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</si>
  <si>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</si>
  <si>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</si>
  <si>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</si>
  <si>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</si>
  <si>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</si>
  <si>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</si>
  <si>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</si>
  <si>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</si>
  <si>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</si>
  <si>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</si>
  <si>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</si>
  <si>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</si>
  <si>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</si>
  <si>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</si>
  <si>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</si>
  <si>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</si>
  <si>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</si>
  <si>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</si>
  <si>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</si>
  <si>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</si>
  <si>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</si>
  <si>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</si>
  <si>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</si>
  <si>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</si>
  <si>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</si>
  <si>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</si>
  <si>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</si>
  <si>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</si>
  <si>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</si>
  <si>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</si>
  <si>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</si>
  <si>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</si>
  <si>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</si>
  <si>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</si>
  <si>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</si>
  <si>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</si>
  <si>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</si>
  <si>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</si>
  <si>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</si>
  <si>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</si>
  <si>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</si>
  <si>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</si>
  <si>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</si>
  <si>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</si>
  <si>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</si>
  <si>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</si>
  <si>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</si>
  <si>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</si>
  <si>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</si>
  <si>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</si>
  <si>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</si>
  <si>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</si>
  <si>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</si>
  <si>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</si>
  <si>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</si>
  <si>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</si>
  <si>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</si>
  <si>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</si>
  <si>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</si>
  <si>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</si>
  <si>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</si>
  <si>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</si>
  <si>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</si>
  <si>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</si>
  <si>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</si>
  <si>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</si>
  <si>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</si>
  <si>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</si>
  <si>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</si>
  <si>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</si>
  <si>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</si>
  <si>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</si>
  <si>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</si>
  <si>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</si>
  <si>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</si>
  <si>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</si>
  <si>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</si>
  <si>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</si>
  <si>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</si>
  <si>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</si>
  <si>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</si>
  <si>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</si>
  <si>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</si>
  <si>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</si>
  <si>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</si>
  <si>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</si>
  <si>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</si>
  <si>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</si>
  <si>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</si>
  <si>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</si>
  <si>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</si>
  <si>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</si>
  <si>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</si>
  <si>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</si>
  <si>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</si>
  <si>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</si>
  <si>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</si>
  <si>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</si>
  <si>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</si>
  <si>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</si>
  <si>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</si>
  <si>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</si>
  <si>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</si>
  <si>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</si>
  <si>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</si>
  <si>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</si>
  <si>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</si>
  <si>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</si>
  <si>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</si>
  <si>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</si>
  <si>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</si>
  <si>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</si>
  <si>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</si>
  <si>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</si>
  <si>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</si>
  <si>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</si>
  <si>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</si>
  <si>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</si>
  <si>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</si>
  <si>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</si>
  <si>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</si>
  <si>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</si>
  <si>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</si>
  <si>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</si>
  <si>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</si>
  <si>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</si>
  <si>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</si>
  <si>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</si>
  <si>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</si>
  <si>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</si>
  <si>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</si>
  <si>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</si>
  <si>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</si>
  <si>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</si>
  <si>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</si>
  <si>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</si>
  <si>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</si>
  <si>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</si>
  <si>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</si>
  <si>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</si>
  <si>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</si>
  <si>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</si>
  <si>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</si>
  <si>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</si>
  <si>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</si>
  <si>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</si>
  <si>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</si>
  <si>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</si>
  <si>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</si>
  <si>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</si>
  <si>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</si>
  <si>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</si>
  <si>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</si>
  <si>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</si>
  <si>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</si>
  <si>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</si>
  <si>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</si>
  <si>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</si>
  <si>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</si>
  <si>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</si>
  <si>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</si>
  <si>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</si>
  <si>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</si>
  <si>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</si>
  <si>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</si>
  <si>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</si>
  <si>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</si>
  <si>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</si>
  <si>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</si>
  <si>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</si>
  <si>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</si>
  <si>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</si>
  <si>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</si>
  <si>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</si>
  <si>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</si>
  <si>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</si>
  <si>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</si>
  <si>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</si>
  <si>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</si>
  <si>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</si>
  <si>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</si>
  <si>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</si>
  <si>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</si>
  <si>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</si>
  <si>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</si>
  <si>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</si>
  <si>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</si>
  <si>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</si>
  <si>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</si>
  <si>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</si>
  <si>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</si>
  <si>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</si>
  <si>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</si>
  <si>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</si>
  <si>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</si>
  <si>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</si>
  <si>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</si>
  <si>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</si>
  <si>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</si>
  <si>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</si>
  <si>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</si>
  <si>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</si>
  <si>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</si>
  <si>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</si>
  <si>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</si>
  <si>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</si>
  <si>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</si>
  <si>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</si>
  <si>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</si>
  <si>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</si>
  <si>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</si>
  <si>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</si>
  <si>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</si>
  <si>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</si>
  <si>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</si>
  <si>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</si>
  <si>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</si>
  <si>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</si>
  <si>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</si>
  <si>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</si>
  <si>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</si>
  <si>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</si>
  <si>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</si>
  <si>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</si>
  <si>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</si>
  <si>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</si>
  <si>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</si>
  <si>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</si>
  <si>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</si>
  <si>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</si>
  <si>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</si>
  <si>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</si>
  <si>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</si>
  <si>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</si>
  <si>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</si>
  <si>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</si>
  <si>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</si>
  <si>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</si>
  <si>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</si>
  <si>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</si>
  <si>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</si>
  <si>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</si>
  <si>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</si>
  <si>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</si>
  <si>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</si>
  <si>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</si>
  <si>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</si>
  <si>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</si>
  <si>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</si>
  <si>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</si>
  <si>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</si>
  <si>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</si>
  <si>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</si>
  <si>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</si>
  <si>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</si>
  <si>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</si>
  <si>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</si>
  <si>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</si>
  <si>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</si>
  <si>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</si>
  <si>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</si>
  <si>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</si>
  <si>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</si>
  <si>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</si>
  <si>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</si>
  <si>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</si>
  <si>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</si>
  <si>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</si>
  <si>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</si>
  <si>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</si>
  <si>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</si>
  <si>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</si>
  <si>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</si>
  <si>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</si>
  <si>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</si>
  <si>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</si>
  <si>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</si>
  <si>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</si>
  <si>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</si>
  <si>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</si>
  <si>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</si>
  <si>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</si>
  <si>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</si>
  <si>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</si>
  <si>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</si>
  <si>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</si>
  <si>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</si>
  <si>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</si>
  <si>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</si>
  <si>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</si>
  <si>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</si>
  <si>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</si>
  <si>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</si>
  <si>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</si>
  <si>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</si>
  <si>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</si>
  <si>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</si>
  <si>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</si>
  <si>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</si>
  <si>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</si>
  <si>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</si>
  <si>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</si>
  <si>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</si>
  <si>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</si>
  <si>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</si>
  <si>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</si>
  <si>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</si>
  <si>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</si>
  <si>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</si>
  <si>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</si>
  <si>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</si>
  <si>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</si>
  <si>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</si>
  <si>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</si>
  <si>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</si>
  <si>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</si>
  <si>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</si>
  <si>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</si>
  <si>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</si>
  <si>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</si>
  <si>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</si>
  <si>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</si>
  <si>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</si>
  <si>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</si>
  <si>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</si>
  <si>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</si>
  <si>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</si>
  <si>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</si>
  <si>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</si>
  <si>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</si>
  <si>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</si>
  <si>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</si>
  <si>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</si>
  <si>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</si>
  <si>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</si>
  <si>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</si>
  <si>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</si>
  <si>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</si>
  <si>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</si>
  <si>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</si>
  <si>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</si>
  <si>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</si>
  <si>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</si>
  <si>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</si>
  <si>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</si>
  <si>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</si>
  <si>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</si>
  <si>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</si>
  <si>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</si>
  <si>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</si>
  <si>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</si>
  <si>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</si>
  <si>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</si>
  <si>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</si>
  <si>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</si>
  <si>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</si>
  <si>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</si>
  <si>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</si>
  <si>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</si>
  <si>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</si>
  <si>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</si>
  <si>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</si>
  <si>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</si>
  <si>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</si>
  <si>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</si>
  <si>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</si>
  <si>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</si>
  <si>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</si>
  <si>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</si>
  <si>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</si>
  <si>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</si>
  <si>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</si>
  <si>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</si>
  <si>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</si>
  <si>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</si>
  <si>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</si>
  <si>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</si>
  <si>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</si>
  <si>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</si>
  <si>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</si>
  <si>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</si>
  <si>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</si>
  <si>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</si>
  <si>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</si>
  <si>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</si>
  <si>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</si>
  <si>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</si>
  <si>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</si>
  <si>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</si>
  <si>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</si>
  <si>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</si>
  <si>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</si>
  <si>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</si>
  <si>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</si>
  <si>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</si>
  <si>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</si>
  <si>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</si>
  <si>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</si>
  <si>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</si>
  <si>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</si>
  <si>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</si>
  <si>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</si>
  <si>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</si>
  <si>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</si>
  <si>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</si>
  <si>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</si>
  <si>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</si>
  <si>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</si>
  <si>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</si>
  <si>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</si>
  <si>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</si>
  <si>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</si>
  <si>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</si>
  <si>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</si>
  <si>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</si>
  <si>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</si>
  <si>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</si>
  <si>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</si>
  <si>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</si>
  <si>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</si>
  <si>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</si>
  <si>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</si>
  <si>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</si>
  <si>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</si>
  <si>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</si>
  <si>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</si>
  <si>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</si>
  <si>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</si>
  <si>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</si>
  <si>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</si>
  <si>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</si>
  <si>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</si>
  <si>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</si>
  <si>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</si>
  <si>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</si>
  <si>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</si>
  <si>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</si>
  <si>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</si>
  <si>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</si>
  <si>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</si>
  <si>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</si>
  <si>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</si>
  <si>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</si>
  <si>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</si>
  <si>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</si>
  <si>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</si>
  <si>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</si>
  <si>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</si>
  <si>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</si>
  <si>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</si>
  <si>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</si>
  <si>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</si>
  <si>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</si>
  <si>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</si>
  <si>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</si>
  <si>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</si>
  <si>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</si>
  <si>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</si>
  <si>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</si>
  <si>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</si>
  <si>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</si>
  <si>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</si>
  <si>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</si>
  <si>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</si>
  <si>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</si>
  <si>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</si>
  <si>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</si>
  <si>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</si>
  <si>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</si>
  <si>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</si>
  <si>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</si>
  <si>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</si>
  <si>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</si>
  <si>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</si>
  <si>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</si>
  <si>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</si>
  <si>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</si>
  <si>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</si>
  <si>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</si>
  <si>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</si>
  <si>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</si>
  <si>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</si>
  <si>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</si>
  <si>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</si>
  <si>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</si>
  <si>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</si>
  <si>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</si>
  <si>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</si>
  <si>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</si>
  <si>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</si>
  <si>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</si>
  <si>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</si>
  <si>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</si>
  <si>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</si>
  <si>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</si>
  <si>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</si>
  <si>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</si>
  <si>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</si>
  <si>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</si>
  <si>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</si>
  <si>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</si>
  <si>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</si>
  <si>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</si>
  <si>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</si>
  <si>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</si>
  <si>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</si>
  <si>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</si>
  <si>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</si>
  <si>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</si>
  <si>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</si>
  <si>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</si>
  <si>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</si>
  <si>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</si>
  <si>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</si>
  <si>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</si>
  <si>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</si>
  <si>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</si>
  <si>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</si>
  <si>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</si>
  <si>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</si>
  <si>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</si>
  <si>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</si>
  <si>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</si>
  <si>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</si>
  <si>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</si>
  <si>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</si>
  <si>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</si>
  <si>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</si>
  <si>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</si>
  <si>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</si>
  <si>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</si>
  <si>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</si>
  <si>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</si>
  <si>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</si>
  <si>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</si>
  <si>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</si>
  <si>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</si>
  <si>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</si>
  <si>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</si>
  <si>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</si>
  <si>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</si>
  <si>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</si>
  <si>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</si>
  <si>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</si>
  <si>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</si>
  <si>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</si>
  <si>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</si>
  <si>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</si>
  <si>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</si>
  <si>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</si>
  <si>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</si>
  <si>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</si>
  <si>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</si>
  <si>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</si>
  <si>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</si>
  <si>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</si>
  <si>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</si>
  <si>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</si>
  <si>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</si>
  <si>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</si>
  <si>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</si>
  <si>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</si>
  <si>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</si>
  <si>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</si>
  <si>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</si>
  <si>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</si>
  <si>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</si>
  <si>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</si>
  <si>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</si>
  <si>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</si>
  <si>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</si>
  <si>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</si>
  <si>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</si>
  <si>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</si>
  <si>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</si>
  <si>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</si>
  <si>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</si>
  <si>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</si>
  <si>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</si>
  <si>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</si>
  <si>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</si>
  <si>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</si>
  <si>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</si>
  <si>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</si>
  <si>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</si>
  <si>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</si>
  <si>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</si>
  <si>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</si>
  <si>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</si>
  <si>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</si>
  <si>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</si>
  <si>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</si>
  <si>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</si>
  <si>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</si>
  <si>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</si>
  <si>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</si>
  <si>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</si>
  <si>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</si>
  <si>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</si>
  <si>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</si>
  <si>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</si>
  <si>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</si>
  <si>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</si>
  <si>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</si>
  <si>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</si>
  <si>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</si>
  <si>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</si>
  <si>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</si>
  <si>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</si>
  <si>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</si>
  <si>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</si>
  <si>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</si>
  <si>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</si>
  <si>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</si>
  <si>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</si>
  <si>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</si>
  <si>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</si>
  <si>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</si>
  <si>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</si>
  <si>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</si>
  <si>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</si>
  <si>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</si>
  <si>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</si>
  <si>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</si>
  <si>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</si>
  <si>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</si>
  <si>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</si>
  <si>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</si>
  <si>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</si>
  <si>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</si>
  <si>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</si>
  <si>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</si>
  <si>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</si>
  <si>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</si>
  <si>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</si>
  <si>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</si>
  <si>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</si>
  <si>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</si>
  <si>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</si>
  <si>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</si>
  <si>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</si>
  <si>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</si>
  <si>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</si>
  <si>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</si>
  <si>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</si>
  <si>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</si>
  <si>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</si>
  <si>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</si>
  <si>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</si>
  <si>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</si>
  <si>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</si>
  <si>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</si>
  <si>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</si>
  <si>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</si>
  <si>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</si>
  <si>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</si>
  <si>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</si>
  <si>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</si>
  <si>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</si>
  <si>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</si>
  <si>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</si>
  <si>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</si>
  <si>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</si>
  <si>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</si>
  <si>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</si>
  <si>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</si>
  <si>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</si>
  <si>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</si>
  <si>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</si>
  <si>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</si>
  <si>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</si>
  <si>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</si>
  <si>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</si>
  <si>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</si>
  <si>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</si>
  <si>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</si>
  <si>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</si>
  <si>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</si>
  <si>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</si>
  <si>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</si>
  <si>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</si>
  <si>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</si>
  <si>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</si>
  <si>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</si>
  <si>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</si>
  <si>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</si>
  <si>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</si>
  <si>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</si>
  <si>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</si>
  <si>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</si>
  <si>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</si>
  <si>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</si>
  <si>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</si>
  <si>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</si>
  <si>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</si>
  <si>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</si>
  <si>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</si>
  <si>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</si>
  <si>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</si>
  <si>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</si>
  <si>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</si>
  <si>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</si>
  <si>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</si>
  <si>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</si>
  <si>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</si>
  <si>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</si>
  <si>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</si>
  <si>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</si>
  <si>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</si>
  <si>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</si>
  <si>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</si>
  <si>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</si>
  <si>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</si>
  <si>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</si>
  <si>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</si>
  <si>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</si>
  <si>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</si>
  <si>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</si>
  <si>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</si>
  <si>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</si>
  <si>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</si>
  <si>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</si>
  <si>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</si>
  <si>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</si>
  <si>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</si>
  <si>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</si>
  <si>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</si>
  <si>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</si>
  <si>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</si>
  <si>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</si>
  <si>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</si>
  <si>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</si>
  <si>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</si>
  <si>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</si>
  <si>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</si>
  <si>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</si>
  <si>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</si>
  <si>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</si>
  <si>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</si>
  <si>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</si>
  <si>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</si>
  <si>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</si>
  <si>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</si>
  <si>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</si>
  <si>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</si>
  <si>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</si>
  <si>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</si>
  <si>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</si>
  <si>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</si>
  <si>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</si>
  <si>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</si>
  <si>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</si>
  <si>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</si>
  <si>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</si>
  <si>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</si>
  <si>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</si>
  <si>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</si>
  <si>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</si>
  <si>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</si>
  <si>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</si>
  <si>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</si>
  <si>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</si>
  <si>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</si>
  <si>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</si>
  <si>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</si>
  <si>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</si>
  <si>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</si>
  <si>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</si>
  <si>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</si>
  <si>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</si>
  <si>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</si>
  <si>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</si>
  <si>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</si>
  <si>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</si>
  <si>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</si>
  <si>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</si>
  <si>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</si>
  <si>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</si>
  <si>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</si>
  <si>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</si>
  <si>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</si>
  <si>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</si>
  <si>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</si>
  <si>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</si>
  <si>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</si>
  <si>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</si>
  <si>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</si>
  <si>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</si>
  <si>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</si>
  <si>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</si>
  <si>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</si>
  <si>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</si>
  <si>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</si>
  <si>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</si>
  <si>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</si>
  <si>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</si>
  <si>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</si>
  <si>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</si>
  <si>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</si>
  <si>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</si>
  <si>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</si>
  <si>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</si>
  <si>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</si>
  <si>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</si>
  <si>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</si>
  <si>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</si>
  <si>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</si>
  <si>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</si>
  <si>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</si>
  <si>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</si>
  <si>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</si>
  <si>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</si>
  <si>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</si>
  <si>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</si>
  <si>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</si>
  <si>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</si>
  <si>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</si>
  <si>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</si>
  <si>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</si>
  <si>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</si>
  <si>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</si>
  <si>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</si>
  <si>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</si>
  <si>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</si>
  <si>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</si>
  <si>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</si>
  <si>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</si>
  <si>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</si>
  <si>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</si>
  <si>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</si>
  <si>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</si>
  <si>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</si>
  <si>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</si>
  <si>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</si>
  <si>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</si>
  <si>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</si>
  <si>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</si>
  <si>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</si>
  <si>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</si>
  <si>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</si>
  <si>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</si>
  <si>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</si>
  <si>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</si>
  <si>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</si>
  <si>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</si>
  <si>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</si>
  <si>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</si>
  <si>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</si>
  <si>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</si>
  <si>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</si>
  <si>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</si>
  <si>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</si>
  <si>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</si>
  <si>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</si>
  <si>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</si>
  <si>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</si>
  <si>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</si>
  <si>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</si>
  <si>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</si>
  <si>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</si>
  <si>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</si>
  <si>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</si>
  <si>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</si>
  <si>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</si>
  <si>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</si>
  <si>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</si>
  <si>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</si>
  <si>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</si>
  <si>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</si>
  <si>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</si>
  <si>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</si>
  <si>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</si>
  <si>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</si>
  <si>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</si>
  <si>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</si>
  <si>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</si>
  <si>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</si>
  <si>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</si>
  <si>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</si>
  <si>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</si>
  <si>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</si>
  <si>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</si>
  <si>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</si>
  <si>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</si>
  <si>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</si>
  <si>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</si>
  <si>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</si>
  <si>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</si>
  <si>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</si>
  <si>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</si>
  <si>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</si>
  <si>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</si>
  <si>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</si>
  <si>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</si>
  <si>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174289</t>
  </si>
  <si>
    <t>334891</t>
  </si>
  <si>
    <t>801</t>
  </si>
  <si>
    <t>1309</t>
  </si>
  <si>
    <t>117004</t>
  </si>
  <si>
    <t>261327</t>
  </si>
  <si>
    <t>132458</t>
  </si>
  <si>
    <t>393555</t>
  </si>
  <si>
    <t>541</t>
  </si>
  <si>
    <t>825</t>
  </si>
  <si>
    <t>431195</t>
  </si>
  <si>
    <t>1559739</t>
  </si>
  <si>
    <t>1430</t>
  </si>
  <si>
    <t>441</t>
  </si>
  <si>
    <t>430370</t>
  </si>
  <si>
    <t>1555089</t>
  </si>
  <si>
    <t>792</t>
  </si>
  <si>
    <t>203415</t>
  </si>
  <si>
    <t>684681</t>
  </si>
  <si>
    <t xml:space="preserve"> 11 Aug 2026</t>
  </si>
  <si>
    <t>99774</t>
  </si>
  <si>
    <t>151290</t>
  </si>
  <si>
    <t xml:space="preserve"> 10 Aug 2026</t>
  </si>
  <si>
    <t>942</t>
  </si>
  <si>
    <t>98676</t>
  </si>
  <si>
    <t>149544</t>
  </si>
  <si>
    <t>S33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</si>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</sst>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0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06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2"/>
  <sheetViews>
    <sheetView tabSelected="1" zoomScaleNormal="100" workbookViewId="0">
      <pane ySplit="4" topLeftCell="A794" activePane="bottomLeft" state="frozen"/>
      <selection pane="bottomLeft" activeCell="F793" sqref="F793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4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2980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2981</v>
      </c>
      <c r="Y767" s="2" t="s">
        <v>2982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2983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2984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2985</v>
      </c>
      <c r="Y769" s="2" t="s">
        <v>2986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2987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2988</v>
      </c>
      <c r="Y770" s="2" t="s">
        <v>2989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2990</v>
      </c>
      <c r="Y771" s="2" t="s">
        <v>2991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2992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2993</v>
      </c>
      <c r="Y772" s="2" t="s">
        <v>2994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2995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2996</v>
      </c>
      <c r="Y773" s="2" t="s">
        <v>2997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2998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2999</v>
      </c>
      <c r="Y774" s="2" t="s">
        <v>3000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3001</v>
      </c>
      <c r="Y775" s="2" t="s">
        <v>3002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3003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3004</v>
      </c>
      <c r="Y777" s="2" t="s">
        <v>3005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3008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3006</v>
      </c>
      <c r="Y779" s="2" t="s">
        <v>3007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3009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3010</v>
      </c>
      <c r="Y780" s="2" t="s">
        <v>3011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3014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3012</v>
      </c>
      <c r="Y781" s="2" t="s">
        <v>3013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3018</v>
      </c>
      <c r="O782" s="79">
        <v>5749</v>
      </c>
      <c r="P782" s="2">
        <v>5.3</v>
      </c>
      <c r="Q782" s="2">
        <v>17.18</v>
      </c>
      <c r="R782" s="2" t="s">
        <v>3019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3020</v>
      </c>
      <c r="Y782" s="2" t="s">
        <v>3021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3022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3023</v>
      </c>
      <c r="Y783" s="2" t="s">
        <v>3024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798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3001</v>
      </c>
      <c r="Y785" s="2" t="s">
        <v>3002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3006</v>
      </c>
      <c r="Y788" s="2" t="s">
        <v>3007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3012</v>
      </c>
      <c r="Y790" s="2" t="s">
        <v>3013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3015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3016</v>
      </c>
      <c r="Y791" s="2" t="s">
        <v>3017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2" t="s">
        <v>3025</v>
      </c>
      <c r="B793" s="8" t="s">
        <v>3032</v>
      </c>
      <c r="C793" s="8" t="s">
        <v>36</v>
      </c>
      <c r="D793" s="8" t="s">
        <v>39</v>
      </c>
      <c r="E793" s="8" t="s">
        <v>47</v>
      </c>
      <c r="F793" s="13"/>
      <c r="G793" s="59"/>
      <c r="H793" s="13"/>
      <c r="I793" s="6">
        <f t="shared" si="59"/>
        <v>247.074122236671</v>
      </c>
      <c r="J793" s="2">
        <v>8.24</v>
      </c>
      <c r="K793" s="2">
        <v>7.69</v>
      </c>
      <c r="L793" s="2">
        <v>0.55000000000000004</v>
      </c>
      <c r="M793" s="2">
        <v>6.68</v>
      </c>
      <c r="N793" s="2" t="s">
        <v>1975</v>
      </c>
      <c r="O793" s="85">
        <v>1900</v>
      </c>
      <c r="P793" s="2">
        <v>1.59</v>
      </c>
      <c r="Q793" s="2">
        <v>11.53</v>
      </c>
      <c r="R793" s="2">
        <v>151.41999999999999</v>
      </c>
      <c r="S793" s="2">
        <v>2.37</v>
      </c>
      <c r="T793" s="2">
        <v>4.3</v>
      </c>
      <c r="U793" s="2">
        <v>149.05000000000001</v>
      </c>
      <c r="V793" s="2">
        <v>19.39</v>
      </c>
      <c r="W793" s="2">
        <v>9313.74</v>
      </c>
      <c r="X793" s="2" t="s">
        <v>3026</v>
      </c>
      <c r="Y793" s="2" t="s">
        <v>3027</v>
      </c>
      <c r="Z793" s="2" t="s">
        <v>548</v>
      </c>
      <c r="AA793" s="2" t="s">
        <v>548</v>
      </c>
      <c r="AB793" s="2">
        <v>291.8</v>
      </c>
    </row>
    <row r="794" spans="1:28" x14ac:dyDescent="0.25">
      <c r="A794" s="2" t="s">
        <v>3028</v>
      </c>
      <c r="B794" s="8" t="s">
        <v>3032</v>
      </c>
      <c r="C794" s="8" t="s">
        <v>36</v>
      </c>
      <c r="D794" s="8" t="s">
        <v>39</v>
      </c>
      <c r="E794" s="8" t="s">
        <v>47</v>
      </c>
      <c r="F794" s="13"/>
      <c r="G794" s="59"/>
      <c r="H794" s="13"/>
      <c r="I794" s="6">
        <f t="shared" si="59"/>
        <v>331.76943699731902</v>
      </c>
      <c r="J794" s="2">
        <v>8.86</v>
      </c>
      <c r="K794" s="2">
        <v>7.46</v>
      </c>
      <c r="L794" s="2">
        <v>1.4</v>
      </c>
      <c r="M794" s="2">
        <v>15.81</v>
      </c>
      <c r="N794" s="2" t="s">
        <v>3029</v>
      </c>
      <c r="O794" s="85">
        <v>2475</v>
      </c>
      <c r="P794" s="2">
        <v>1.58</v>
      </c>
      <c r="Q794" s="2">
        <v>9.84</v>
      </c>
      <c r="R794" s="2">
        <v>150.94</v>
      </c>
      <c r="S794" s="2">
        <v>6.15</v>
      </c>
      <c r="T794" s="2">
        <v>4.3899999999999997</v>
      </c>
      <c r="U794" s="2">
        <v>144.79</v>
      </c>
      <c r="V794" s="2">
        <v>19.420000000000002</v>
      </c>
      <c r="W794" s="2">
        <v>9305.5</v>
      </c>
      <c r="X794" s="2" t="s">
        <v>3030</v>
      </c>
      <c r="Y794" s="2" t="s">
        <v>3031</v>
      </c>
      <c r="Z794" s="2">
        <v>0.2</v>
      </c>
      <c r="AA794" s="2" t="s">
        <v>548</v>
      </c>
      <c r="AB794" s="2">
        <v>291.8</v>
      </c>
    </row>
    <row r="795" spans="1:28" x14ac:dyDescent="0.25">
      <c r="A795" s="2" t="s">
        <v>3025</v>
      </c>
      <c r="B795" s="8" t="s">
        <v>3032</v>
      </c>
      <c r="C795" s="8" t="s">
        <v>36</v>
      </c>
      <c r="D795" s="8" t="s">
        <v>43</v>
      </c>
      <c r="E795" s="8" t="s">
        <v>47</v>
      </c>
      <c r="F795" s="13"/>
      <c r="G795" s="59"/>
      <c r="H795" s="13"/>
      <c r="I795" s="6">
        <f t="shared" si="59"/>
        <v>0</v>
      </c>
      <c r="J795" s="2" t="s">
        <v>45</v>
      </c>
      <c r="K795" s="2" t="s">
        <v>45</v>
      </c>
      <c r="L795" s="2" t="s">
        <v>45</v>
      </c>
      <c r="M795" s="2" t="s">
        <v>45</v>
      </c>
      <c r="N795" s="2" t="s">
        <v>45</v>
      </c>
      <c r="O795" s="85">
        <v>450</v>
      </c>
      <c r="P795" s="2" t="s">
        <v>45</v>
      </c>
      <c r="Q795" s="2" t="s">
        <v>45</v>
      </c>
      <c r="R795" s="2" t="s">
        <v>45</v>
      </c>
      <c r="S795" s="2" t="s">
        <v>45</v>
      </c>
      <c r="T795" s="2" t="s">
        <v>45</v>
      </c>
      <c r="U795" s="2" t="s">
        <v>45</v>
      </c>
      <c r="V795" s="2" t="s">
        <v>45</v>
      </c>
      <c r="W795" s="2" t="s">
        <v>45</v>
      </c>
      <c r="X795" s="2" t="s">
        <v>45</v>
      </c>
      <c r="Y795" s="2" t="s">
        <v>45</v>
      </c>
      <c r="Z795" s="2" t="s">
        <v>45</v>
      </c>
      <c r="AA795" s="2" t="s">
        <v>45</v>
      </c>
      <c r="AB795" s="2" t="s">
        <v>45</v>
      </c>
    </row>
    <row r="796" spans="1:28" x14ac:dyDescent="0.25">
      <c r="A796" s="2" t="s">
        <v>3028</v>
      </c>
      <c r="B796" s="8" t="s">
        <v>3032</v>
      </c>
      <c r="C796" s="8" t="s">
        <v>36</v>
      </c>
      <c r="D796" s="8" t="s">
        <v>43</v>
      </c>
      <c r="E796" s="8" t="s">
        <v>47</v>
      </c>
      <c r="F796" s="13"/>
      <c r="G796" s="59"/>
      <c r="H796" s="13"/>
      <c r="I796" s="6">
        <f t="shared" si="59"/>
        <v>37.313432835820898</v>
      </c>
      <c r="J796" s="2">
        <v>2.46</v>
      </c>
      <c r="K796" s="2">
        <v>2.0099999999999998</v>
      </c>
      <c r="L796" s="2">
        <v>0.45</v>
      </c>
      <c r="M796" s="2">
        <v>18.309999999999999</v>
      </c>
      <c r="N796" s="2" t="s">
        <v>45</v>
      </c>
      <c r="O796" s="85">
        <v>75</v>
      </c>
      <c r="P796" s="2" t="s">
        <v>45</v>
      </c>
      <c r="Q796" s="2" t="s">
        <v>45</v>
      </c>
      <c r="R796" s="2">
        <v>35.49</v>
      </c>
      <c r="S796" s="2">
        <v>1.42</v>
      </c>
      <c r="T796" s="2">
        <v>3.15</v>
      </c>
      <c r="U796" s="2">
        <v>34.07</v>
      </c>
      <c r="V796" s="2">
        <v>16.97</v>
      </c>
      <c r="W796" s="2">
        <v>8899.67</v>
      </c>
      <c r="X796" s="2" t="s">
        <v>45</v>
      </c>
      <c r="Y796" s="2" t="s">
        <v>45</v>
      </c>
      <c r="Z796" s="2">
        <v>0.4</v>
      </c>
      <c r="AA796" s="2" t="s">
        <v>45</v>
      </c>
      <c r="AB796" s="2">
        <v>263.60000000000002</v>
      </c>
    </row>
    <row r="797" spans="1:28" x14ac:dyDescent="0.25">
      <c r="A797" s="2" t="s">
        <v>3025</v>
      </c>
      <c r="B797" s="8" t="s">
        <v>3032</v>
      </c>
      <c r="C797" s="8" t="s">
        <v>36</v>
      </c>
      <c r="D797" s="8" t="s">
        <v>67</v>
      </c>
      <c r="E797" s="8" t="s">
        <v>47</v>
      </c>
      <c r="F797" s="13"/>
      <c r="G797" s="59"/>
      <c r="H797" s="59"/>
      <c r="I797" s="6">
        <f t="shared" si="59"/>
        <v>400.82815734989646</v>
      </c>
      <c r="J797" s="2">
        <v>13.16</v>
      </c>
      <c r="K797" s="2">
        <v>9.66</v>
      </c>
      <c r="L797" s="2">
        <v>3.5</v>
      </c>
      <c r="M797" s="2">
        <v>26.59</v>
      </c>
      <c r="N797" s="2" t="s">
        <v>3033</v>
      </c>
      <c r="O797" s="85">
        <v>3872</v>
      </c>
      <c r="P797" s="2">
        <v>2.42</v>
      </c>
      <c r="Q797" s="2">
        <v>18.18</v>
      </c>
      <c r="R797" s="2">
        <v>212.93</v>
      </c>
      <c r="S797" s="2">
        <v>11.36</v>
      </c>
      <c r="T797" s="2">
        <v>3.24</v>
      </c>
      <c r="U797" s="2">
        <v>201.57</v>
      </c>
      <c r="V797" s="2">
        <v>20.86</v>
      </c>
      <c r="W797" s="2">
        <v>707.22</v>
      </c>
      <c r="X797" s="2" t="s">
        <v>3034</v>
      </c>
      <c r="Y797" s="2" t="s">
        <v>3035</v>
      </c>
      <c r="Z797" s="2">
        <v>0.6</v>
      </c>
      <c r="AA797" s="2" t="s">
        <v>548</v>
      </c>
      <c r="AB797" s="2">
        <v>68.2</v>
      </c>
    </row>
    <row r="798" spans="1:28" x14ac:dyDescent="0.25">
      <c r="A798" s="2" t="s">
        <v>3028</v>
      </c>
      <c r="B798" s="8" t="s">
        <v>3032</v>
      </c>
      <c r="C798" s="8" t="s">
        <v>36</v>
      </c>
      <c r="D798" s="8" t="s">
        <v>67</v>
      </c>
      <c r="E798" s="8" t="s">
        <v>47</v>
      </c>
      <c r="F798" s="13"/>
      <c r="G798" s="59"/>
      <c r="H798" s="59"/>
      <c r="I798" s="6">
        <f t="shared" si="59"/>
        <v>395.40059347181005</v>
      </c>
      <c r="J798" s="2">
        <v>8.94</v>
      </c>
      <c r="K798" s="2">
        <v>6.74</v>
      </c>
      <c r="L798" s="2">
        <v>2.2000000000000002</v>
      </c>
      <c r="M798" s="2">
        <v>24.62</v>
      </c>
      <c r="N798" s="2" t="s">
        <v>3036</v>
      </c>
      <c r="O798" s="85">
        <v>2665</v>
      </c>
      <c r="P798" s="2">
        <v>2.1800000000000002</v>
      </c>
      <c r="Q798" s="2">
        <v>17.82</v>
      </c>
      <c r="R798" s="2">
        <v>149.52000000000001</v>
      </c>
      <c r="S798" s="2">
        <v>8.0399999999999991</v>
      </c>
      <c r="T798" s="2">
        <v>3.66</v>
      </c>
      <c r="U798" s="2">
        <v>141.47999999999999</v>
      </c>
      <c r="V798" s="2">
        <v>21.01</v>
      </c>
      <c r="W798" s="2">
        <v>694.05</v>
      </c>
      <c r="X798" s="2" t="s">
        <v>3037</v>
      </c>
      <c r="Y798" s="2" t="s">
        <v>3038</v>
      </c>
      <c r="Z798" s="2">
        <v>0.8</v>
      </c>
      <c r="AA798" s="2" t="s">
        <v>548</v>
      </c>
      <c r="AB798" s="2">
        <v>67.599999999999994</v>
      </c>
    </row>
    <row r="799" spans="1:28" x14ac:dyDescent="0.25">
      <c r="A799" s="2" t="s">
        <v>3025</v>
      </c>
      <c r="B799" s="8" t="s">
        <v>3032</v>
      </c>
      <c r="C799" s="8" t="s">
        <v>36</v>
      </c>
      <c r="D799" s="8" t="s">
        <v>50</v>
      </c>
      <c r="E799" s="8" t="s">
        <v>47</v>
      </c>
      <c r="F799" s="13"/>
      <c r="G799" s="59"/>
      <c r="H799" s="59"/>
      <c r="I799" s="6">
        <f t="shared" ref="I799:I808" si="60">IFERROR(O799/K799,)</f>
        <v>372.95285359801488</v>
      </c>
      <c r="J799" s="2">
        <v>5.58</v>
      </c>
      <c r="K799" s="2">
        <v>4.03</v>
      </c>
      <c r="L799" s="2">
        <v>1.55</v>
      </c>
      <c r="M799" s="2">
        <v>27.76</v>
      </c>
      <c r="N799" s="2" t="s">
        <v>3039</v>
      </c>
      <c r="O799" s="85">
        <v>1503</v>
      </c>
      <c r="P799" s="2">
        <v>2.14</v>
      </c>
      <c r="Q799" s="2">
        <v>16.12</v>
      </c>
      <c r="R799" s="2">
        <v>93.22</v>
      </c>
      <c r="S799" s="2">
        <v>6.15</v>
      </c>
      <c r="T799" s="2">
        <v>3.97</v>
      </c>
      <c r="U799" s="2">
        <v>87.06</v>
      </c>
      <c r="V799" s="2">
        <v>21.59</v>
      </c>
      <c r="W799" s="2">
        <v>2556.8000000000002</v>
      </c>
      <c r="X799" s="2" t="s">
        <v>3040</v>
      </c>
      <c r="Y799" s="2" t="s">
        <v>3041</v>
      </c>
      <c r="Z799" s="2">
        <v>1.5</v>
      </c>
      <c r="AA799" s="2" t="s">
        <v>548</v>
      </c>
      <c r="AB799" s="2">
        <v>333.3</v>
      </c>
    </row>
    <row r="800" spans="1:28" x14ac:dyDescent="0.25">
      <c r="A800" s="2" t="s">
        <v>3028</v>
      </c>
      <c r="B800" s="8" t="s">
        <v>3032</v>
      </c>
      <c r="C800" s="8" t="s">
        <v>36</v>
      </c>
      <c r="D800" s="8" t="s">
        <v>50</v>
      </c>
      <c r="E800" s="8" t="s">
        <v>47</v>
      </c>
      <c r="F800" s="13"/>
      <c r="G800" s="59"/>
      <c r="H800" s="59"/>
      <c r="I800" s="6">
        <f t="shared" si="60"/>
        <v>0</v>
      </c>
      <c r="J800" s="2">
        <v>1.36</v>
      </c>
      <c r="K800" s="2">
        <v>0.66</v>
      </c>
      <c r="L800" s="2">
        <v>0.7</v>
      </c>
      <c r="M800" s="2">
        <v>51.39</v>
      </c>
      <c r="N800" s="2" t="s">
        <v>548</v>
      </c>
      <c r="O800" s="85">
        <v>0</v>
      </c>
      <c r="P800" s="2" t="s">
        <v>45</v>
      </c>
      <c r="Q800" s="2" t="s">
        <v>548</v>
      </c>
      <c r="R800" s="2">
        <v>10.88</v>
      </c>
      <c r="S800" s="2">
        <v>2.37</v>
      </c>
      <c r="T800" s="2">
        <v>3.38</v>
      </c>
      <c r="U800" s="2">
        <v>8.52</v>
      </c>
      <c r="V800" s="2">
        <v>12.86</v>
      </c>
      <c r="W800" s="2">
        <v>2551.2199999999998</v>
      </c>
      <c r="X800" s="2" t="s">
        <v>3006</v>
      </c>
      <c r="Y800" s="2" t="s">
        <v>3007</v>
      </c>
      <c r="Z800" s="2">
        <v>0.3</v>
      </c>
      <c r="AA800" s="2" t="s">
        <v>45</v>
      </c>
      <c r="AB800" s="2">
        <v>331.8</v>
      </c>
    </row>
    <row r="801" spans="1:28" x14ac:dyDescent="0.25">
      <c r="A801" s="2" t="s">
        <v>3025</v>
      </c>
      <c r="B801" s="8" t="s">
        <v>3032</v>
      </c>
      <c r="C801" s="8" t="s">
        <v>36</v>
      </c>
      <c r="D801" s="8" t="s">
        <v>52</v>
      </c>
      <c r="E801" s="8" t="s">
        <v>47</v>
      </c>
      <c r="F801" s="13"/>
      <c r="G801" s="59"/>
      <c r="H801" s="59"/>
      <c r="I801" s="6">
        <f t="shared" si="60"/>
        <v>181.60779537149816</v>
      </c>
      <c r="J801" s="2">
        <v>9.4600000000000009</v>
      </c>
      <c r="K801" s="2">
        <v>8.2100000000000009</v>
      </c>
      <c r="L801" s="2">
        <v>1.25</v>
      </c>
      <c r="M801" s="2">
        <v>13.22</v>
      </c>
      <c r="N801" s="2" t="s">
        <v>3042</v>
      </c>
      <c r="O801" s="85">
        <v>1491</v>
      </c>
      <c r="P801" s="2">
        <v>1.78</v>
      </c>
      <c r="Q801" s="2">
        <v>10.4</v>
      </c>
      <c r="R801" s="2">
        <v>143.37</v>
      </c>
      <c r="S801" s="2">
        <v>5.2</v>
      </c>
      <c r="T801" s="2">
        <v>4.16</v>
      </c>
      <c r="U801" s="2">
        <v>138.16999999999999</v>
      </c>
      <c r="V801" s="2">
        <v>16.829999999999998</v>
      </c>
      <c r="W801" s="2">
        <v>1151.94</v>
      </c>
      <c r="X801" s="2" t="s">
        <v>3043</v>
      </c>
      <c r="Y801" s="2" t="s">
        <v>3044</v>
      </c>
      <c r="Z801" s="2">
        <v>0.6</v>
      </c>
      <c r="AA801" s="2" t="s">
        <v>548</v>
      </c>
      <c r="AB801" s="2">
        <v>120.4</v>
      </c>
    </row>
    <row r="802" spans="1:28" x14ac:dyDescent="0.25">
      <c r="A802" s="2" t="s">
        <v>3028</v>
      </c>
      <c r="B802" s="8" t="s">
        <v>3032</v>
      </c>
      <c r="C802" s="8" t="s">
        <v>36</v>
      </c>
      <c r="D802" s="8" t="s">
        <v>52</v>
      </c>
      <c r="E802" s="8" t="s">
        <v>47</v>
      </c>
      <c r="F802" s="13"/>
      <c r="G802" s="59"/>
      <c r="H802" s="59"/>
      <c r="I802" s="6">
        <f t="shared" si="60"/>
        <v>144.85049833887044</v>
      </c>
      <c r="J802" s="2">
        <v>10.73</v>
      </c>
      <c r="K802" s="2">
        <v>9.0299999999999994</v>
      </c>
      <c r="L802" s="2">
        <v>1.7</v>
      </c>
      <c r="M802" s="2">
        <v>15.85</v>
      </c>
      <c r="N802" s="2" t="s">
        <v>3045</v>
      </c>
      <c r="O802" s="85">
        <v>1308</v>
      </c>
      <c r="P802" s="2">
        <v>1.65</v>
      </c>
      <c r="Q802" s="2">
        <v>6.79</v>
      </c>
      <c r="R802" s="2">
        <v>192.58</v>
      </c>
      <c r="S802" s="2">
        <v>6.15</v>
      </c>
      <c r="T802" s="2">
        <v>3.62</v>
      </c>
      <c r="U802" s="2">
        <v>186.43</v>
      </c>
      <c r="V802" s="2">
        <v>20.65</v>
      </c>
      <c r="W802" s="2">
        <v>1142.1500000000001</v>
      </c>
      <c r="X802" s="2" t="s">
        <v>3046</v>
      </c>
      <c r="Y802" s="2" t="s">
        <v>3047</v>
      </c>
      <c r="Z802" s="2">
        <v>0.5</v>
      </c>
      <c r="AA802" s="2" t="s">
        <v>548</v>
      </c>
      <c r="AB802" s="2">
        <v>119.8</v>
      </c>
    </row>
    <row r="803" spans="1:28" x14ac:dyDescent="0.25">
      <c r="A803" s="2" t="s">
        <v>3025</v>
      </c>
      <c r="B803" s="8" t="s">
        <v>3032</v>
      </c>
      <c r="C803" s="8" t="s">
        <v>36</v>
      </c>
      <c r="D803" s="7" t="s">
        <v>46</v>
      </c>
      <c r="E803" s="8" t="s">
        <v>47</v>
      </c>
      <c r="F803" s="13"/>
      <c r="G803" s="59"/>
      <c r="H803" s="59"/>
      <c r="I803" s="6">
        <f t="shared" si="60"/>
        <v>285.69206842923796</v>
      </c>
      <c r="J803" s="2">
        <v>7.03</v>
      </c>
      <c r="K803" s="2">
        <v>6.43</v>
      </c>
      <c r="L803" s="2">
        <v>0.6</v>
      </c>
      <c r="M803" s="2">
        <v>8.5299999999999994</v>
      </c>
      <c r="N803" s="2" t="s">
        <v>3048</v>
      </c>
      <c r="O803" s="85">
        <v>1837</v>
      </c>
      <c r="P803" s="2">
        <v>2.77</v>
      </c>
      <c r="Q803" s="2">
        <v>8.9</v>
      </c>
      <c r="R803" s="2">
        <v>206.3</v>
      </c>
      <c r="S803" s="2">
        <v>2.84</v>
      </c>
      <c r="T803" s="2">
        <v>4.7300000000000004</v>
      </c>
      <c r="U803" s="2">
        <v>203.47</v>
      </c>
      <c r="V803" s="2">
        <v>31.64</v>
      </c>
      <c r="W803" s="2">
        <v>8120.14</v>
      </c>
      <c r="X803" s="2" t="s">
        <v>3049</v>
      </c>
      <c r="Y803" s="2" t="s">
        <v>3050</v>
      </c>
      <c r="Z803" s="2">
        <v>0.4</v>
      </c>
      <c r="AA803" s="2" t="s">
        <v>548</v>
      </c>
      <c r="AB803" s="2">
        <v>255.5</v>
      </c>
    </row>
    <row r="804" spans="1:28" x14ac:dyDescent="0.25">
      <c r="A804" s="2" t="s">
        <v>3028</v>
      </c>
      <c r="B804" s="8" t="s">
        <v>3032</v>
      </c>
      <c r="C804" s="8" t="s">
        <v>36</v>
      </c>
      <c r="D804" s="7" t="s">
        <v>46</v>
      </c>
      <c r="E804" s="8" t="s">
        <v>47</v>
      </c>
      <c r="F804" s="13"/>
      <c r="G804" s="59"/>
      <c r="H804" s="59"/>
      <c r="I804" s="6">
        <f t="shared" si="60"/>
        <v>337.05953827460507</v>
      </c>
      <c r="J804" s="2">
        <v>8.7799999999999994</v>
      </c>
      <c r="K804" s="2">
        <v>8.23</v>
      </c>
      <c r="L804" s="2">
        <v>0.55000000000000004</v>
      </c>
      <c r="M804" s="2">
        <v>6.26</v>
      </c>
      <c r="N804" s="2" t="s">
        <v>3051</v>
      </c>
      <c r="O804" s="85">
        <v>2774</v>
      </c>
      <c r="P804" s="2">
        <v>2.94</v>
      </c>
      <c r="Q804" s="2">
        <v>10.74</v>
      </c>
      <c r="R804" s="2">
        <v>258.35000000000002</v>
      </c>
      <c r="S804" s="2">
        <v>3.31</v>
      </c>
      <c r="T804" s="2">
        <v>6.02</v>
      </c>
      <c r="U804" s="2">
        <v>255.04</v>
      </c>
      <c r="V804" s="2">
        <v>30.98</v>
      </c>
      <c r="W804" s="2">
        <v>8113.11</v>
      </c>
      <c r="X804" s="2" t="s">
        <v>3052</v>
      </c>
      <c r="Y804" s="2" t="s">
        <v>3053</v>
      </c>
      <c r="Z804" s="2">
        <v>0.5</v>
      </c>
      <c r="AA804" s="2" t="s">
        <v>548</v>
      </c>
      <c r="AB804" s="2">
        <v>255.1</v>
      </c>
    </row>
    <row r="805" spans="1:28" x14ac:dyDescent="0.25">
      <c r="A805" s="2" t="s">
        <v>3025</v>
      </c>
      <c r="B805" s="8" t="s">
        <v>3032</v>
      </c>
      <c r="C805" s="8" t="s">
        <v>36</v>
      </c>
      <c r="D805" s="8" t="s">
        <v>48</v>
      </c>
      <c r="E805" s="7" t="s">
        <v>38</v>
      </c>
      <c r="F805" s="13">
        <v>4460</v>
      </c>
      <c r="G805" s="59"/>
      <c r="H805" s="59"/>
      <c r="I805" s="6">
        <f t="shared" si="60"/>
        <v>803.60360360360357</v>
      </c>
      <c r="J805" s="2">
        <v>6.1</v>
      </c>
      <c r="K805" s="2">
        <v>5.55</v>
      </c>
      <c r="L805" s="2">
        <v>0.55000000000000004</v>
      </c>
      <c r="M805" s="2">
        <v>9.01</v>
      </c>
      <c r="N805" s="2" t="s">
        <v>3008</v>
      </c>
      <c r="O805" s="85">
        <v>4460</v>
      </c>
      <c r="P805" s="2">
        <v>5.57</v>
      </c>
      <c r="Q805" s="2">
        <v>20.399999999999999</v>
      </c>
      <c r="R805" s="2">
        <v>218.61</v>
      </c>
      <c r="S805" s="2">
        <v>3.31</v>
      </c>
      <c r="T805" s="2">
        <v>6.02</v>
      </c>
      <c r="U805" s="2">
        <v>215.3</v>
      </c>
      <c r="V805" s="2">
        <v>38.76</v>
      </c>
      <c r="W805" s="2">
        <v>6734.94</v>
      </c>
      <c r="X805" s="2" t="s">
        <v>3054</v>
      </c>
      <c r="Y805" s="2" t="s">
        <v>3055</v>
      </c>
      <c r="Z805" s="2" t="s">
        <v>548</v>
      </c>
      <c r="AA805" s="2" t="s">
        <v>548</v>
      </c>
      <c r="AB805" s="2">
        <v>49.4</v>
      </c>
    </row>
    <row r="806" spans="1:28" x14ac:dyDescent="0.25">
      <c r="A806" s="2" t="s">
        <v>3028</v>
      </c>
      <c r="B806" s="8" t="s">
        <v>3032</v>
      </c>
      <c r="C806" s="8" t="s">
        <v>36</v>
      </c>
      <c r="D806" s="8" t="s">
        <v>48</v>
      </c>
      <c r="E806" s="7" t="s">
        <v>38</v>
      </c>
      <c r="F806" s="13">
        <v>6365</v>
      </c>
      <c r="G806" s="59"/>
      <c r="H806" s="59"/>
      <c r="I806" s="6">
        <f t="shared" si="60"/>
        <v>601.03871576959398</v>
      </c>
      <c r="J806" s="2">
        <v>11.74</v>
      </c>
      <c r="K806" s="2">
        <v>10.59</v>
      </c>
      <c r="L806" s="2">
        <v>1.1499999999999999</v>
      </c>
      <c r="M806" s="2">
        <v>9.8000000000000007</v>
      </c>
      <c r="N806" s="2" t="s">
        <v>2388</v>
      </c>
      <c r="O806" s="85">
        <v>6365</v>
      </c>
      <c r="P806" s="2">
        <v>5.47</v>
      </c>
      <c r="Q806" s="2">
        <v>15.53</v>
      </c>
      <c r="R806" s="2">
        <v>409.77</v>
      </c>
      <c r="S806" s="2">
        <v>7.57</v>
      </c>
      <c r="T806" s="2">
        <v>6.58</v>
      </c>
      <c r="U806" s="2">
        <v>402.2</v>
      </c>
      <c r="V806" s="2">
        <v>37.99</v>
      </c>
      <c r="W806" s="2">
        <v>6728.83</v>
      </c>
      <c r="X806" s="2" t="s">
        <v>3056</v>
      </c>
      <c r="Y806" s="2" t="s">
        <v>3057</v>
      </c>
      <c r="Z806" s="2">
        <v>0.1</v>
      </c>
      <c r="AA806" s="2" t="s">
        <v>548</v>
      </c>
      <c r="AB806" s="2">
        <v>49.4</v>
      </c>
    </row>
    <row r="807" spans="1:28" x14ac:dyDescent="0.25">
      <c r="A807" s="2" t="s">
        <v>3025</v>
      </c>
      <c r="B807" s="8" t="s">
        <v>2681</v>
      </c>
      <c r="C807" s="8" t="s">
        <v>36</v>
      </c>
      <c r="D807" s="8" t="s">
        <v>49</v>
      </c>
      <c r="E807" s="8" t="s">
        <v>47</v>
      </c>
      <c r="F807" s="13"/>
      <c r="G807" s="59"/>
      <c r="H807" s="6"/>
      <c r="I807" s="6">
        <f t="shared" si="60"/>
        <v>74.683544303797461</v>
      </c>
      <c r="J807" s="2">
        <v>1.0900000000000001</v>
      </c>
      <c r="K807" s="2">
        <v>0.79</v>
      </c>
      <c r="L807" s="2">
        <v>0.3</v>
      </c>
      <c r="M807" s="2">
        <v>27.54</v>
      </c>
      <c r="N807" s="2" t="s">
        <v>3058</v>
      </c>
      <c r="O807" s="85">
        <v>59</v>
      </c>
      <c r="P807" s="2">
        <v>2.36</v>
      </c>
      <c r="Q807" s="2">
        <v>2.97</v>
      </c>
      <c r="R807" s="2">
        <v>19.87</v>
      </c>
      <c r="S807" s="2">
        <v>0.95</v>
      </c>
      <c r="T807" s="2">
        <v>3.15</v>
      </c>
      <c r="U807" s="2">
        <v>18.93</v>
      </c>
      <c r="V807" s="2">
        <v>23.98</v>
      </c>
      <c r="W807" s="2">
        <v>2069.61</v>
      </c>
      <c r="X807" s="2" t="s">
        <v>3059</v>
      </c>
      <c r="Y807" s="2" t="s">
        <v>3060</v>
      </c>
      <c r="Z807" s="2" t="s">
        <v>548</v>
      </c>
      <c r="AA807" s="2" t="s">
        <v>548</v>
      </c>
      <c r="AB807" s="2">
        <v>5.6</v>
      </c>
    </row>
    <row r="808" spans="1:28" x14ac:dyDescent="0.25">
      <c r="A808" s="2" t="s">
        <v>3028</v>
      </c>
      <c r="B808" s="8" t="s">
        <v>2681</v>
      </c>
      <c r="C808" s="8" t="s">
        <v>36</v>
      </c>
      <c r="D808" s="8" t="s">
        <v>49</v>
      </c>
      <c r="E808" s="8" t="s">
        <v>47</v>
      </c>
      <c r="F808" s="13"/>
      <c r="G808" s="59"/>
      <c r="H808" s="6"/>
      <c r="I808" s="6">
        <f t="shared" si="60"/>
        <v>359.55882352941171</v>
      </c>
      <c r="J808" s="2">
        <v>1.96</v>
      </c>
      <c r="K808" s="2">
        <v>1.36</v>
      </c>
      <c r="L808" s="2">
        <v>0.6</v>
      </c>
      <c r="M808" s="2">
        <v>30.64</v>
      </c>
      <c r="N808" s="2" t="s">
        <v>3061</v>
      </c>
      <c r="O808" s="85">
        <v>489</v>
      </c>
      <c r="P808" s="2">
        <v>3.15</v>
      </c>
      <c r="Q808" s="2">
        <v>8.99</v>
      </c>
      <c r="R808" s="2">
        <v>54.42</v>
      </c>
      <c r="S808" s="2">
        <v>3.79</v>
      </c>
      <c r="T808" s="2">
        <v>6.31</v>
      </c>
      <c r="U808" s="2">
        <v>50.63</v>
      </c>
      <c r="V808" s="2">
        <v>37.270000000000003</v>
      </c>
      <c r="W808" s="2">
        <v>2068.52</v>
      </c>
      <c r="X808" s="2" t="s">
        <v>3062</v>
      </c>
      <c r="Y808" s="2" t="s">
        <v>3063</v>
      </c>
      <c r="Z808" s="2" t="s">
        <v>548</v>
      </c>
      <c r="AA808" s="2" t="s">
        <v>548</v>
      </c>
      <c r="AB808" s="2">
        <v>5.6</v>
      </c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</sheetData>
  <autoFilter ref="A4:AB802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2929</v>
      </c>
      <c r="R1" t="s">
        <v>2930</v>
      </c>
      <c r="S1" t="s">
        <v>2931</v>
      </c>
      <c r="T1" t="s">
        <v>2932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2929</v>
      </c>
      <c r="B3" s="15" t="s">
        <v>2931</v>
      </c>
      <c r="C3" s="15" t="s">
        <v>2930</v>
      </c>
      <c r="D3" t="s">
        <v>2933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2934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2934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2929</v>
      </c>
      <c r="B3" t="s">
        <v>2931</v>
      </c>
      <c r="C3" t="s">
        <v>2935</v>
      </c>
      <c r="O3" s="9" t="s">
        <v>2929</v>
      </c>
      <c r="P3" t="s">
        <v>2931</v>
      </c>
      <c r="Q3" t="s">
        <v>2935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2936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2934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2934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2937</v>
      </c>
      <c r="G3" s="17" t="s">
        <v>2938</v>
      </c>
      <c r="H3" s="17" t="s">
        <v>2939</v>
      </c>
      <c r="I3" s="17" t="s">
        <v>2940</v>
      </c>
      <c r="J3" s="17" t="s">
        <v>2941</v>
      </c>
      <c r="K3" s="17" t="s">
        <v>2942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2943</v>
      </c>
    </row>
    <row r="5" spans="6:11" x14ac:dyDescent="0.2">
      <c r="F5" s="17">
        <v>116</v>
      </c>
      <c r="H5" s="17">
        <v>110</v>
      </c>
      <c r="J5" s="17" t="s">
        <v>2944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2945</v>
      </c>
    </row>
    <row r="3" spans="1:17" x14ac:dyDescent="0.2">
      <c r="A3" s="25" t="s">
        <v>7</v>
      </c>
      <c r="B3" s="25" t="s">
        <v>2946</v>
      </c>
      <c r="C3" s="25" t="s">
        <v>2947</v>
      </c>
      <c r="D3" s="25" t="s">
        <v>2948</v>
      </c>
      <c r="E3" s="25" t="s">
        <v>2949</v>
      </c>
      <c r="F3" s="25" t="s">
        <v>2950</v>
      </c>
      <c r="H3" s="22" t="s">
        <v>2950</v>
      </c>
      <c r="I3" s="22" t="s">
        <v>2946</v>
      </c>
      <c r="J3" s="22" t="s">
        <v>2947</v>
      </c>
      <c r="K3" s="22" t="s">
        <v>2949</v>
      </c>
      <c r="L3" s="22" t="s">
        <v>2951</v>
      </c>
      <c r="M3" s="25" t="s">
        <v>2952</v>
      </c>
      <c r="O3" s="25" t="s">
        <v>7</v>
      </c>
      <c r="P3" s="25" t="s">
        <v>2949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2953</v>
      </c>
      <c r="H4" s="28" t="s">
        <v>2953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2953</v>
      </c>
      <c r="H5" s="28" t="s">
        <v>2954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2953</v>
      </c>
      <c r="H6" s="28" t="s">
        <v>2955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2953</v>
      </c>
      <c r="H7" s="28" t="s">
        <v>2956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2953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2953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2953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2953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2953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2953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2954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2954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2954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2954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2954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2954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2954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2955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2955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2955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2955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2955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2955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2955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2955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2955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2955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2955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2955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2955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2956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2956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2956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2956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2956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2956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2956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2956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2956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2956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2956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2956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2956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2956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2956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2956</v>
      </c>
    </row>
    <row r="50" spans="1:6" x14ac:dyDescent="0.2">
      <c r="A50" s="84" t="s">
        <v>2957</v>
      </c>
      <c r="B50" s="84"/>
      <c r="C50" s="84"/>
      <c r="E50" s="23">
        <f>SUM(E4:E49)</f>
        <v>12900</v>
      </c>
    </row>
    <row r="56" spans="1:6" ht="15.75" x14ac:dyDescent="0.25">
      <c r="A56" s="34" t="s">
        <v>2958</v>
      </c>
    </row>
    <row r="57" spans="1:6" ht="25.5" x14ac:dyDescent="0.2">
      <c r="A57" s="35" t="s">
        <v>2959</v>
      </c>
      <c r="B57" s="36" t="s">
        <v>2960</v>
      </c>
      <c r="C57" s="36" t="s">
        <v>2961</v>
      </c>
      <c r="D57" s="36" t="s">
        <v>2962</v>
      </c>
    </row>
    <row r="58" spans="1:6" x14ac:dyDescent="0.2">
      <c r="A58" s="40" t="s">
        <v>2963</v>
      </c>
      <c r="B58" s="37">
        <v>108384.01</v>
      </c>
      <c r="C58" s="37"/>
      <c r="D58" s="37">
        <v>108384.01</v>
      </c>
    </row>
    <row r="59" spans="1:6" x14ac:dyDescent="0.2">
      <c r="A59" s="40" t="s">
        <v>2964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2965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2966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2967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2968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2969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2970</v>
      </c>
      <c r="B65" s="37">
        <v>23860.793000000001</v>
      </c>
      <c r="C65" s="37"/>
      <c r="D65" s="37"/>
    </row>
    <row r="66" spans="1:4" x14ac:dyDescent="0.2">
      <c r="A66" s="40" t="s">
        <v>2971</v>
      </c>
      <c r="B66" s="37">
        <v>1344.431</v>
      </c>
      <c r="C66" s="37"/>
      <c r="D66" s="37"/>
    </row>
    <row r="67" spans="1:4" x14ac:dyDescent="0.2">
      <c r="A67" s="38" t="s">
        <v>2957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2972</v>
      </c>
      <c r="E2" s="48" t="s">
        <v>2973</v>
      </c>
      <c r="F2" s="48" t="s">
        <v>2974</v>
      </c>
      <c r="G2" s="48" t="s">
        <v>2975</v>
      </c>
      <c r="H2" s="48" t="s">
        <v>2976</v>
      </c>
      <c r="I2" s="48" t="s">
        <v>2977</v>
      </c>
      <c r="J2" s="48" t="s">
        <v>2978</v>
      </c>
      <c r="K2" s="48" t="s">
        <v>2979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2026-08-10T17:29:20Z</cp:lastPrinted>
  <dcterms:created xsi:type="dcterms:W3CDTF">2026-05-12T12:10:54Z</dcterms:created>
  <dcterms:modified xsi:type="dcterms:W3CDTF">2026-08-12T20:27:36Z</dcterms:modified>
  <cp:category/>
  <cp:contentStatus/>
</cp:coreProperties>
</file>