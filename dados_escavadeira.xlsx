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6679" documentId="8_{CE5C6F22-4BE2-41D0-BCDC-905D26C0C4E3}" xr6:coauthVersionLast="47" xr6:coauthVersionMax="47" xr10:uidLastSave="{0934CADA-426A-49BF-8E44-963D09F75F1A}"/>
  <bookViews>
    <workbookView xWindow="-120" yWindow="-120" windowWidth="20730" windowHeight="11040" tabRatio="678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BD!$A$4:$AB$805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03" i="1" l="1"/>
  <c r="I803" i="1" s="1"/>
  <c r="O804" i="1"/>
  <c r="O798" i="1"/>
  <c r="O797" i="1" s="1"/>
  <c r="I797" i="1" s="1"/>
  <c r="O800" i="1"/>
  <c r="O799" i="1" s="1"/>
  <c r="I799" i="1" s="1"/>
  <c r="I810" i="1"/>
  <c r="I811" i="1"/>
  <c r="I808" i="1"/>
  <c r="I809" i="1"/>
  <c r="I806" i="1"/>
  <c r="I807" i="1"/>
  <c r="I805" i="1"/>
  <c r="I801" i="1"/>
  <c r="I802" i="1"/>
  <c r="I795" i="1"/>
  <c r="I796" i="1"/>
  <c r="I794" i="1"/>
  <c r="I793" i="1"/>
  <c r="I784" i="1"/>
  <c r="H783" i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O778" i="1"/>
  <c r="I778" i="1" s="1"/>
  <c r="I787" i="1"/>
  <c r="I77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O764" i="1"/>
  <c r="I764" i="1" s="1"/>
  <c r="I763" i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I704" i="1" s="1"/>
  <c r="O705" i="1"/>
  <c r="I705" i="1" s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<sst xmlns="http://schemas.openxmlformats.org/spreadsheetml/2006/main" count="10390" uniqueCount="3064">
  <si>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</si>
  <si>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</si>
  <si>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</si>
  <si>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</si>
  <si>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</si>
  <si>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</si>
  <si>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</si>
  <si>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</si>
  <si>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</si>
  <si>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</si>
  <si>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</si>
  <si>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</si>
  <si>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</si>
  <si>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</si>
  <si>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</si>
  <si>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</si>
  <si>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</si>
  <si>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</si>
  <si>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</si>
  <si>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</si>
  <si>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</si>
  <si>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</si>
  <si>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</si>
  <si>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</si>
  <si>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</si>
  <si>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</si>
  <si>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</si>
  <si>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</si>
  <si>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</si>
  <si>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</si>
  <si>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</si>
  <si>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</si>
  <si>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</si>
  <si>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</si>
  <si>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</si>
  <si>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</si>
  <si>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</si>
  <si>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</si>
  <si>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</si>
  <si>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</si>
  <si>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</si>
  <si>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</si>
  <si>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</si>
  <si>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</si>
  <si>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</si>
  <si>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</si>
  <si>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</si>
  <si>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</si>
  <si>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</si>
  <si>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</si>
  <si>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</si>
  <si>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</si>
  <si>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</si>
  <si>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</si>
  <si>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</si>
  <si>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</si>
  <si>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</si>
  <si>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</si>
  <si>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</si>
  <si>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</si>
  <si>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</si>
  <si>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</si>
  <si>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</si>
  <si>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</si>
  <si>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</si>
  <si>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</si>
  <si>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</si>
  <si>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</si>
  <si>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</si>
  <si>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</si>
  <si>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</si>
  <si>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</si>
  <si>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</si>
  <si>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</si>
  <si>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</si>
  <si>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</si>
  <si>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</si>
  <si>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</si>
  <si>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</si>
  <si>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</si>
  <si>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</si>
  <si>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</si>
  <si>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</si>
  <si>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</si>
  <si>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</si>
  <si>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</si>
  <si>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</si>
  <si>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</si>
  <si>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</si>
  <si>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</si>
  <si>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</si>
  <si>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</si>
  <si>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</si>
  <si>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</si>
  <si>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</si>
  <si>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</si>
  <si>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</si>
  <si>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</si>
  <si>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</si>
  <si>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</si>
  <si>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</si>
  <si>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</si>
  <si>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</si>
  <si>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</si>
  <si>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</si>
  <si>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</si>
  <si>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</si>
  <si>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</si>
  <si>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</si>
  <si>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</si>
  <si>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</si>
  <si>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</si>
  <si>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</si>
  <si>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</si>
  <si>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</si>
  <si>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</si>
  <si>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</si>
  <si>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</si>
  <si>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</si>
  <si>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</si>
  <si>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</si>
  <si>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</si>
  <si>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</si>
  <si>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</si>
  <si>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</si>
  <si>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</si>
  <si>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</si>
  <si>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</si>
  <si>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</si>
  <si>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</si>
  <si>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</si>
  <si>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</si>
  <si>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</si>
  <si>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</si>
  <si>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</si>
  <si>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</si>
  <si>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</si>
  <si>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</si>
  <si>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</si>
  <si>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</si>
  <si>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</si>
  <si>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</si>
  <si>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</si>
  <si>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</si>
  <si>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</si>
  <si>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</si>
  <si>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</si>
  <si>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</si>
  <si>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</si>
  <si>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</si>
  <si>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</si>
  <si>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</si>
  <si>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</si>
  <si>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</si>
  <si>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</si>
  <si>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</si>
  <si>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</si>
  <si>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</si>
  <si>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</si>
  <si>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</si>
  <si>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</si>
  <si>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</si>
  <si>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</si>
  <si>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</si>
  <si>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</si>
  <si>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</si>
  <si>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</si>
  <si>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</si>
  <si>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</si>
  <si>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</si>
  <si>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</si>
  <si>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</si>
  <si>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</si>
  <si>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</si>
  <si>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</si>
  <si>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</si>
  <si>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</si>
  <si>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</si>
  <si>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</si>
  <si>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</si>
  <si>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</si>
  <si>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</si>
  <si>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</si>
  <si>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</si>
  <si>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</si>
  <si>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</si>
  <si>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</si>
  <si>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</si>
  <si>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</si>
  <si>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</si>
  <si>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</si>
  <si>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</si>
  <si>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</si>
  <si>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</si>
  <si>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</si>
  <si>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</si>
  <si>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</si>
  <si>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</si>
  <si>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</si>
  <si>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</si>
  <si>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</si>
  <si>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</si>
  <si>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</si>
  <si>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</si>
  <si>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</si>
  <si>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</si>
  <si>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</si>
  <si>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</si>
  <si>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</si>
  <si>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</si>
  <si>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</si>
  <si>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</si>
  <si>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</si>
  <si>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</si>
  <si>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</si>
  <si>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</si>
  <si>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</si>
  <si>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</si>
  <si>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</si>
  <si>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</si>
  <si>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</si>
  <si>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</si>
  <si>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</si>
  <si>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</si>
  <si>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</si>
  <si>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</si>
  <si>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</si>
  <si>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</si>
  <si>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</si>
  <si>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</si>
  <si>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</si>
  <si>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</si>
  <si>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</si>
  <si>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</si>
  <si>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</si>
  <si>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</si>
  <si>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</si>
  <si>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</si>
  <si>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</si>
  <si>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</si>
  <si>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</si>
  <si>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</si>
  <si>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</si>
  <si>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</si>
  <si>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</si>
  <si>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</si>
  <si>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</si>
  <si>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</si>
  <si>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</si>
  <si>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</si>
  <si>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</si>
  <si>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</si>
  <si>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</si>
  <si>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</si>
  <si>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</si>
  <si>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</si>
  <si>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</si>
  <si>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</si>
  <si>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</si>
  <si>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</si>
  <si>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</si>
  <si>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</si>
  <si>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</si>
  <si>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</si>
  <si>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</si>
  <si>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</si>
  <si>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</si>
  <si>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</si>
  <si>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</si>
  <si>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</si>
  <si>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</si>
  <si>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</si>
  <si>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</si>
  <si>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</si>
  <si>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</si>
  <si>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</si>
  <si>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</si>
  <si>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</si>
  <si>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</si>
  <si>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</si>
  <si>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</si>
  <si>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</si>
  <si>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</si>
  <si>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</si>
  <si>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</si>
  <si>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</si>
  <si>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</si>
  <si>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</si>
  <si>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</si>
  <si>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</si>
  <si>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</si>
  <si>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</si>
  <si>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</si>
  <si>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</si>
  <si>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</si>
  <si>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</si>
  <si>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</si>
  <si>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</si>
  <si>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</si>
  <si>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</si>
  <si>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</si>
  <si>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</si>
  <si>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</si>
  <si>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</si>
  <si>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</si>
  <si>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</si>
  <si>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</si>
  <si>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</si>
  <si>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</si>
  <si>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</si>
  <si>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</si>
  <si>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</si>
  <si>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</si>
  <si>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</si>
  <si>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</si>
  <si>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</si>
  <si>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</si>
  <si>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</si>
  <si>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</si>
  <si>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</si>
  <si>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</si>
  <si>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</si>
  <si>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</si>
  <si>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</si>
  <si>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</si>
  <si>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</si>
  <si>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</si>
  <si>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</si>
  <si>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</si>
  <si>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</si>
  <si>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</si>
  <si>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</si>
  <si>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</si>
  <si>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</si>
  <si>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</si>
  <si>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</si>
  <si>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</si>
  <si>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</si>
  <si>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</si>
  <si>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</si>
  <si>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</si>
  <si>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</si>
  <si>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</si>
  <si>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</si>
  <si>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</si>
  <si>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</si>
  <si>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</si>
  <si>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</si>
  <si>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</si>
  <si>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</si>
  <si>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</si>
  <si>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</si>
  <si>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</si>
  <si>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</si>
  <si>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</si>
  <si>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</si>
  <si>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</si>
  <si>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</si>
  <si>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</si>
  <si>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</si>
  <si>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</si>
  <si>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</si>
  <si>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</si>
  <si>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</si>
  <si>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</si>
  <si>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</si>
  <si>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</si>
  <si>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</si>
  <si>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</si>
  <si>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</si>
  <si>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</si>
  <si>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</si>
  <si>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</si>
  <si>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</si>
  <si>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</si>
  <si>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</si>
  <si>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</si>
  <si>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</si>
  <si>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</si>
  <si>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</si>
  <si>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</si>
  <si>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</si>
  <si>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</si>
  <si>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</si>
  <si>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</si>
  <si>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</si>
  <si>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</si>
  <si>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</si>
  <si>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</si>
  <si>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</si>
  <si>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</si>
  <si>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</si>
  <si>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</si>
  <si>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</si>
  <si>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</si>
  <si>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</si>
  <si>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</si>
  <si>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</si>
  <si>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</si>
  <si>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</si>
  <si>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</si>
  <si>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</si>
  <si>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</si>
  <si>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</si>
  <si>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</si>
  <si>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</si>
  <si>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</si>
  <si>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</si>
  <si>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</si>
  <si>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</si>
  <si>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</si>
  <si>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</si>
  <si>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</si>
  <si>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</si>
  <si>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</si>
  <si>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</si>
  <si>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</si>
  <si>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</si>
  <si>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</si>
  <si>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</si>
  <si>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</si>
  <si>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</si>
  <si>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</si>
  <si>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</si>
  <si>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</si>
  <si>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</si>
  <si>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</si>
  <si>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</si>
  <si>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</si>
  <si>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</si>
  <si>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</si>
  <si>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</si>
  <si>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</si>
  <si>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</si>
  <si>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</si>
  <si>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</si>
  <si>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</si>
  <si>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</si>
  <si>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</si>
  <si>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</si>
  <si>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</si>
  <si>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</si>
  <si>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</si>
  <si>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</si>
  <si>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</si>
  <si>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</si>
  <si>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</si>
  <si>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</si>
  <si>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</si>
  <si>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</si>
  <si>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</si>
  <si>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</si>
  <si>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</si>
  <si>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</si>
  <si>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</si>
  <si>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</si>
  <si>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</si>
  <si>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</si>
  <si>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</si>
  <si>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</si>
  <si>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</si>
  <si>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</si>
  <si>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</si>
  <si>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</si>
  <si>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</si>
  <si>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</si>
  <si>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</si>
  <si>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</si>
  <si>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</si>
  <si>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</si>
  <si>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</si>
  <si>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</si>
  <si>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</si>
  <si>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</si>
  <si>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</si>
  <si>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</si>
  <si>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</si>
  <si>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</si>
  <si>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</si>
  <si>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</si>
  <si>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</si>
  <si>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</si>
  <si>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</si>
  <si>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</si>
  <si>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</si>
  <si>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</si>
  <si>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</si>
  <si>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</si>
  <si>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</si>
  <si>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</si>
  <si>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</si>
  <si>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</si>
  <si>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</si>
  <si>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</si>
  <si>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</si>
  <si>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</si>
  <si>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</si>
  <si>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</si>
  <si>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</si>
  <si>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</si>
  <si>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</si>
  <si>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</si>
  <si>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</si>
  <si>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</si>
  <si>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</si>
  <si>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</si>
  <si>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</si>
  <si>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</si>
  <si>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</si>
  <si>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</si>
  <si>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</si>
  <si>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</si>
  <si>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</si>
  <si>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</si>
  <si>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</si>
  <si>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</si>
  <si>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</si>
  <si>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</si>
  <si>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</si>
  <si>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</si>
  <si>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</si>
  <si>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</si>
  <si>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</si>
  <si>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</si>
  <si>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</si>
  <si>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</si>
  <si>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</si>
  <si>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</si>
  <si>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</si>
  <si>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</si>
  <si>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</si>
  <si>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</si>
  <si>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</si>
  <si>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</si>
  <si>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</si>
  <si>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</si>
  <si>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</si>
  <si>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</si>
  <si>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</si>
  <si>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</si>
  <si>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</si>
  <si>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</si>
  <si>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</si>
  <si>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</si>
  <si>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</si>
  <si>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</si>
  <si>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</si>
  <si>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</si>
  <si>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</si>
  <si>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</si>
  <si>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</si>
  <si>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</si>
  <si>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</si>
  <si>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</si>
  <si>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</si>
  <si>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</si>
  <si>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</si>
  <si>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</si>
  <si>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</si>
  <si>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</si>
  <si>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</si>
  <si>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</si>
  <si>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</si>
  <si>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</si>
  <si>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</si>
  <si>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</si>
  <si>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</si>
  <si>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</si>
  <si>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</si>
  <si>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</si>
  <si>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</si>
  <si>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</si>
  <si>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</si>
  <si>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</si>
  <si>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</si>
  <si>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</si>
  <si>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</si>
  <si>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</si>
  <si>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</si>
  <si>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</si>
  <si>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</si>
  <si>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</si>
  <si>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</si>
  <si>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</si>
  <si>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</si>
  <si>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</si>
  <si>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</si>
  <si>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</si>
  <si>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</si>
  <si>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</si>
  <si>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</si>
  <si>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</si>
  <si>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</si>
  <si>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</si>
  <si>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</si>
  <si>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</si>
  <si>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</si>
  <si>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</si>
  <si>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</si>
  <si>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</si>
  <si>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</si>
  <si>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</si>
  <si>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</si>
  <si>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</si>
  <si>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</si>
  <si>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</si>
  <si>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</si>
  <si>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</si>
  <si>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</si>
  <si>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</si>
  <si>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</si>
  <si>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</si>
  <si>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</si>
  <si>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</si>
  <si>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</si>
  <si>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</si>
  <si>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</si>
  <si>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</si>
  <si>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</si>
  <si>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</si>
  <si>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</si>
  <si>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</si>
  <si>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</si>
  <si>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</si>
  <si>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</si>
  <si>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</si>
  <si>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</si>
  <si>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</si>
  <si>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</si>
  <si>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</si>
  <si>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</si>
  <si>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</si>
  <si>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</si>
  <si>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</si>
  <si>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</si>
  <si>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</si>
  <si>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</si>
  <si>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</si>
  <si>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</si>
  <si>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</si>
  <si>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</si>
  <si>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</si>
  <si>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</si>
  <si>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</si>
  <si>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</si>
  <si>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</si>
  <si>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</si>
  <si>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</si>
  <si>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</si>
  <si>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</si>
  <si>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</si>
  <si>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</si>
  <si>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</si>
  <si>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</si>
  <si>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</si>
  <si>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</si>
  <si>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</si>
  <si>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</si>
  <si>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</si>
  <si>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</si>
  <si>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</si>
  <si>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</si>
  <si>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</si>
  <si>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</si>
  <si>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</si>
  <si>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</si>
  <si>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</si>
  <si>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</si>
  <si>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</si>
  <si>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</si>
  <si>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</si>
  <si>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</si>
  <si>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</si>
  <si>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</si>
  <si>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</si>
  <si>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</si>
  <si>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</si>
  <si>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</si>
  <si>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</si>
  <si>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</si>
  <si>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</si>
  <si>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</si>
  <si>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</si>
  <si>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</si>
  <si>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</si>
  <si>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</si>
  <si>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</si>
  <si>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</si>
  <si>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</si>
  <si>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</si>
  <si>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</si>
  <si>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</si>
  <si>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</si>
  <si>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</si>
  <si>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</si>
  <si>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</si>
  <si>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</si>
  <si>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</si>
  <si>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</si>
  <si>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</si>
  <si>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</si>
  <si>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</si>
  <si>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</si>
  <si>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</si>
  <si>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</si>
  <si>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</si>
  <si>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</si>
  <si>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</si>
  <si>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</si>
  <si>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</si>
  <si>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</si>
  <si>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</si>
  <si>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</si>
  <si>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</si>
  <si>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</si>
  <si>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</si>
  <si>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</si>
  <si>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</si>
  <si>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</si>
  <si>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</si>
  <si>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</si>
  <si>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</si>
  <si>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</si>
  <si>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</si>
  <si>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</si>
  <si>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</si>
  <si>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</si>
  <si>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</si>
  <si>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</si>
  <si>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</si>
  <si>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</si>
  <si>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</si>
  <si>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</si>
  <si>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</si>
  <si>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</si>
  <si>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</si>
  <si>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</si>
  <si>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</si>
  <si>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</si>
  <si>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</si>
  <si>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</si>
  <si>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</si>
  <si>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</si>
  <si>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</si>
  <si>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</si>
  <si>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</si>
  <si>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</si>
  <si>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</si>
  <si>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</si>
  <si>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</si>
  <si>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</si>
  <si>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</si>
  <si>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</si>
  <si>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</si>
  <si>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</si>
  <si>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</si>
  <si>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</si>
  <si>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</si>
  <si>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</si>
  <si>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</si>
  <si>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</si>
  <si>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</si>
  <si>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</si>
  <si>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</si>
  <si>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</si>
  <si>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</si>
  <si>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</si>
  <si>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</si>
  <si>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</si>
  <si>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</si>
  <si>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</si>
  <si>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</si>
  <si>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</si>
  <si>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</si>
  <si>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</si>
  <si>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</si>
  <si>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</si>
  <si>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</si>
  <si>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</si>
  <si>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</si>
  <si>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</si>
  <si>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</si>
  <si>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</si>
  <si>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</si>
  <si>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</si>
  <si>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</si>
  <si>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</si>
  <si>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</si>
  <si>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</si>
  <si>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</si>
  <si>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</si>
  <si>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</si>
  <si>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</si>
  <si>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</si>
  <si>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</si>
  <si>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</si>
  <si>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</si>
  <si>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</si>
  <si>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</si>
  <si>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</si>
  <si>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</si>
  <si>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</si>
  <si>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</si>
  <si>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</si>
  <si>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</si>
  <si>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</si>
  <si>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</si>
  <si>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</si>
  <si>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</si>
  <si>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</si>
  <si>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</si>
  <si>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</si>
  <si>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</si>
  <si>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</si>
  <si>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</si>
  <si>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</si>
  <si>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</si>
  <si>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</si>
  <si>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</si>
  <si>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</si>
  <si>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</si>
  <si>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</si>
  <si>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</si>
  <si>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</si>
  <si>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</si>
  <si>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</si>
  <si>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</si>
  <si>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</si>
  <si>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</si>
  <si>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</si>
  <si>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</si>
  <si>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</si>
  <si>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</si>
  <si>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</si>
  <si>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</si>
  <si>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</si>
  <si>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</si>
  <si>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</si>
  <si>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</si>
  <si>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</si>
  <si>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</si>
  <si>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</si>
  <si>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</si>
  <si>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</si>
  <si>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</si>
  <si>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</si>
  <si>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</si>
  <si>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</si>
  <si>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</si>
  <si>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</si>
  <si>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</si>
  <si>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</si>
  <si>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</si>
  <si>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</si>
  <si>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</si>
  <si>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</si>
  <si>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</si>
  <si>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</si>
  <si>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</si>
  <si>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</si>
  <si>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</si>
  <si>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</si>
  <si>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</si>
  <si>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</si>
  <si>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</si>
  <si>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</si>
  <si>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</si>
  <si>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</si>
  <si>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</si>
  <si>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</si>
  <si>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</si>
  <si>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</si>
  <si>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</si>
  <si>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</si>
  <si>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</si>
  <si>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</si>
  <si>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</si>
  <si>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</si>
  <si>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</si>
  <si>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</si>
  <si>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</si>
  <si>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</si>
  <si>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</si>
  <si>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</si>
  <si>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</si>
  <si>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</si>
  <si>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</si>
  <si>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</si>
  <si>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</si>
  <si>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</si>
  <si>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</si>
  <si>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</si>
  <si>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</si>
  <si>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</si>
  <si>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</si>
  <si>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</si>
  <si>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</si>
  <si>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</si>
  <si>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</si>
  <si>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</si>
  <si>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</si>
  <si>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</si>
  <si>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</si>
  <si>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</si>
  <si>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</si>
  <si>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</si>
  <si>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</si>
  <si>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</si>
  <si>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</si>
  <si>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</si>
  <si>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</si>
  <si>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</si>
  <si>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</si>
  <si>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</si>
  <si>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</si>
  <si>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</si>
  <si>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</si>
  <si>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</si>
  <si>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</si>
  <si>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</si>
  <si>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</si>
  <si>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</si>
  <si>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</si>
  <si>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</si>
  <si>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</si>
  <si>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</si>
  <si>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</si>
  <si>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</si>
  <si>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</si>
  <si>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</si>
  <si>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</si>
  <si>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</si>
  <si>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</si>
  <si>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</si>
  <si>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</si>
  <si>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</si>
  <si>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</si>
  <si>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</si>
  <si>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</si>
  <si>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</si>
  <si>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</si>
  <si>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</si>
  <si>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</si>
  <si>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</si>
  <si>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</si>
  <si>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</si>
  <si>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</si>
  <si>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</si>
  <si>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</si>
  <si>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</si>
  <si>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</si>
  <si>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</si>
  <si>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</si>
  <si>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</si>
  <si>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</si>
  <si>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</si>
  <si>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</si>
  <si>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</si>
  <si>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</si>
  <si>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</si>
  <si>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</si>
  <si>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</si>
  <si>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</si>
  <si>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</si>
  <si>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</si>
  <si>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</si>
  <si>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</si>
  <si>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</si>
  <si>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</si>
  <si>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</si>
  <si>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</si>
  <si>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</si>
  <si>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</si>
  <si>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</si>
  <si>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</si>
  <si>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</si>
  <si>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</si>
  <si>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</si>
  <si>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</si>
  <si>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</si>
  <si>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</si>
  <si>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</si>
  <si>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</si>
  <si>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</si>
  <si>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</si>
  <si>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</si>
  <si>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</si>
  <si>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</si>
  <si>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</si>
  <si>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</si>
  <si>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</si>
  <si>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</si>
  <si>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</si>
  <si>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</si>
  <si>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</si>
  <si>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</si>
  <si>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</si>
  <si>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</si>
  <si>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</si>
  <si>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</si>
  <si>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</si>
  <si>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</si>
  <si>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</si>
  <si>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</si>
  <si>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</si>
  <si>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</si>
  <si>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</si>
  <si>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</si>
  <si>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</si>
  <si>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</si>
  <si>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</si>
  <si>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</si>
  <si>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</si>
  <si>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</si>
  <si>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</si>
  <si>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</si>
  <si>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</si>
  <si>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</si>
  <si>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</si>
  <si>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</si>
  <si>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</si>
  <si>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</si>
  <si>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</si>
  <si>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</si>
  <si>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</si>
  <si>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</si>
  <si>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</si>
  <si>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</si>
  <si>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</si>
  <si>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</si>
  <si>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</si>
  <si>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</si>
  <si>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</si>
  <si>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</si>
  <si>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</si>
  <si>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</si>
  <si>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</si>
  <si>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</si>
  <si>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</si>
  <si>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</si>
  <si>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</si>
  <si>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</si>
  <si>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</si>
  <si>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</si>
  <si>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</si>
  <si>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</si>
  <si>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</si>
  <si>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</si>
  <si>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</si>
  <si>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</si>
  <si>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</si>
  <si>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</si>
  <si>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</si>
  <si>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</si>
  <si>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</si>
  <si>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</si>
  <si>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</si>
  <si>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</si>
  <si>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</si>
  <si>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</si>
  <si>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</si>
  <si>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</si>
  <si>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</si>
  <si>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</si>
  <si>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</si>
  <si>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</si>
  <si>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</si>
  <si>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</si>
  <si>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</si>
  <si>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</si>
  <si>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</si>
  <si>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</si>
  <si>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</si>
  <si>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</si>
  <si>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</si>
  <si>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</si>
  <si>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</si>
  <si>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</si>
  <si>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</si>
  <si>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</si>
  <si>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</si>
  <si>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</si>
  <si>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</si>
  <si>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</si>
  <si>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</si>
  <si>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</si>
  <si>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</si>
  <si>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</si>
  <si>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</si>
  <si>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</si>
  <si>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</si>
  <si>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</si>
  <si>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</si>
  <si>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</si>
  <si>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</si>
  <si>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</si>
  <si>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</si>
  <si>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</si>
  <si>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</si>
  <si>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</si>
  <si>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</si>
  <si>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</si>
  <si>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</si>
  <si>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</si>
  <si>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</si>
  <si>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</si>
  <si>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</si>
  <si>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</si>
  <si>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</si>
  <si>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</si>
  <si>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</si>
  <si>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</si>
  <si>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</si>
  <si>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</si>
  <si>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</si>
  <si>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</si>
  <si>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</si>
  <si>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</si>
  <si>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</si>
  <si>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</si>
  <si>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</si>
  <si>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</si>
  <si>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</si>
  <si>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</si>
  <si>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</si>
  <si>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</si>
  <si>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</si>
  <si>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</si>
  <si>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</si>
  <si>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</si>
  <si>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</si>
  <si>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</si>
  <si>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</si>
  <si>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</si>
  <si>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</si>
  <si>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</si>
  <si>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</si>
  <si>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</si>
  <si>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</si>
  <si>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</si>
  <si>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</si>
  <si>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</si>
  <si>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</si>
  <si>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</si>
  <si>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</si>
  <si>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</si>
  <si>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</si>
  <si>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</si>
  <si>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</si>
  <si>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</si>
  <si>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</si>
  <si>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</si>
  <si>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</si>
  <si>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</si>
  <si>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</si>
  <si>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</si>
  <si>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</si>
  <si>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</si>
  <si>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</si>
  <si>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</si>
  <si>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</si>
  <si>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</si>
  <si>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</si>
  <si>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</si>
  <si>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</si>
  <si>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</si>
  <si>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</si>
  <si>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</si>
  <si>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</si>
  <si>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</si>
  <si>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</si>
  <si>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</si>
  <si>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</si>
  <si>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</si>
  <si>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</si>
  <si>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</si>
  <si>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</si>
  <si>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</si>
  <si>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</si>
  <si>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</si>
  <si>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</si>
  <si>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</si>
  <si>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</si>
  <si>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</si>
  <si>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</si>
  <si>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</si>
  <si>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</si>
  <si>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</si>
  <si>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</si>
  <si>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</si>
  <si>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</si>
  <si>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</si>
  <si>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</si>
  <si>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</si>
  <si>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</si>
  <si>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</si>
  <si>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</si>
  <si>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</si>
  <si>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</si>
  <si>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</si>
  <si>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</si>
  <si>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</si>
  <si>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</si>
  <si>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</si>
  <si>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</si>
  <si>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</si>
  <si>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</si>
  <si>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</si>
  <si>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</si>
  <si>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</si>
  <si>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</si>
  <si>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</si>
  <si>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</si>
  <si>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</si>
  <si>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</si>
  <si>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</si>
  <si>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</si>
  <si>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</si>
  <si>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</si>
  <si>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</si>
  <si>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</si>
  <si>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</si>
  <si>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</si>
  <si>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</si>
  <si>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</si>
  <si>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</si>
  <si>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</si>
  <si>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</si>
  <si>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</si>
  <si>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</si>
  <si>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</si>
  <si>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</si>
  <si>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</si>
  <si>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</si>
  <si>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</si>
  <si>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</si>
  <si>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</si>
  <si>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</si>
  <si>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</si>
  <si>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</si>
  <si>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</si>
  <si>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</si>
  <si>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</si>
  <si>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</si>
  <si>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</si>
  <si>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</si>
  <si>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</si>
  <si>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</si>
  <si>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</si>
  <si>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</si>
  <si>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</si>
  <si>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</si>
  <si>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</si>
  <si>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</si>
  <si>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</si>
  <si>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</si>
  <si>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</si>
  <si>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</si>
  <si>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</si>
  <si>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</si>
  <si>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</si>
  <si>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</si>
  <si>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</si>
  <si>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</si>
  <si>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</si>
  <si>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</si>
  <si>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</si>
  <si>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</si>
  <si>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</si>
  <si>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</si>
  <si>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</si>
  <si>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</si>
  <si>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</si>
  <si>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</si>
  <si>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</si>
  <si>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</si>
  <si>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</si>
  <si>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</si>
  <si>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</si>
  <si>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</si>
  <si>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</si>
  <si>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</si>
  <si>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</si>
  <si>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</si>
  <si>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</si>
  <si>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</si>
  <si>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</si>
  <si>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</si>
  <si>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</si>
  <si>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</si>
  <si>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</si>
  <si>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</si>
  <si>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</si>
  <si>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</si>
  <si>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</si>
  <si>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</si>
  <si>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</si>
  <si>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</si>
  <si>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</si>
  <si>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</si>
  <si>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</si>
  <si>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</si>
  <si>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</si>
  <si>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</si>
  <si>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</si>
  <si>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</si>
  <si>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</si>
  <si>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</si>
  <si>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</si>
  <si>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</si>
  <si>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</si>
  <si>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</si>
  <si>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</si>
  <si>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</si>
  <si>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</si>
  <si>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</si>
  <si>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</si>
  <si>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</si>
  <si>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</si>
  <si>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</si>
  <si>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</si>
  <si>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</si>
  <si>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</si>
  <si>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</si>
  <si>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</si>
  <si>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</si>
  <si>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</si>
  <si>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</si>
  <si>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</si>
  <si>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</si>
  <si>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</si>
  <si>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</si>
  <si>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</si>
  <si>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</si>
  <si>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</si>
  <si>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</si>
  <si>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</si>
  <si>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</si>
  <si>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</si>
  <si>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</si>
  <si>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</si>
  <si>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</si>
  <si>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</si>
  <si>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</si>
  <si>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</si>
  <si>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</si>
  <si>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</si>
  <si>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</si>
  <si>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</si>
  <si>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</si>
  <si>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</si>
  <si>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</si>
  <si>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</si>
  <si>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</si>
  <si>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</si>
  <si>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</si>
  <si>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</si>
  <si>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</si>
  <si>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</si>
  <si>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</si>
  <si>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</si>
  <si>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</si>
  <si>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</si>
  <si>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</si>
  <si>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</si>
  <si>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</si>
  <si>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</si>
  <si>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</si>
  <si>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</si>
  <si>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</si>
  <si>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</si>
  <si>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</si>
  <si>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</si>
  <si>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</si>
  <si>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</si>
  <si>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</si>
  <si>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</si>
  <si>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</si>
  <si>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</si>
  <si>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</si>
  <si>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</si>
  <si>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</si>
  <si>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</si>
  <si>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</si>
  <si>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</si>
  <si>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</si>
  <si>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</si>
  <si>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</si>
  <si>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</si>
  <si>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</si>
  <si>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</si>
  <si>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</si>
  <si>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</si>
  <si>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</si>
  <si>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</si>
  <si>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</si>
  <si>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</si>
  <si>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</si>
  <si>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</si>
  <si>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</si>
  <si>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</si>
  <si>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</si>
  <si>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</si>
  <si>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</si>
  <si>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</si>
  <si>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</si>
  <si>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</si>
  <si>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</si>
  <si>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</si>
  <si>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</si>
  <si>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</si>
  <si>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</si>
  <si>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</si>
  <si>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</si>
  <si>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</si>
  <si>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</si>
  <si>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</si>
  <si>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</si>
  <si>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</si>
  <si>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</si>
  <si>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</si>
  <si>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</si>
  <si>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</si>
  <si>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</si>
  <si>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</si>
  <si>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</si>
  <si>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</si>
  <si>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</si>
  <si>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</si>
  <si>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</si>
  <si>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</si>
  <si>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</si>
  <si>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</si>
  <si>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</si>
  <si>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</si>
  <si>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</si>
  <si>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</si>
  <si>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</si>
  <si>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</si>
  <si>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</si>
  <si>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</si>
  <si>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</si>
  <si>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</si>
  <si>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</si>
  <si>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</si>
  <si>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</si>
  <si>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</si>
  <si>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</si>
  <si>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</si>
  <si>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</si>
  <si>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</si>
  <si>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</si>
  <si>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</si>
  <si>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</si>
  <si>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</si>
  <si>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</si>
  <si>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</si>
  <si>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</si>
  <si>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</si>
  <si>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</si>
  <si>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</si>
  <si>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</si>
  <si>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</si>
  <si>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</si>
  <si>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</si>
  <si>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</si>
  <si>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</si>
  <si>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</si>
  <si>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</si>
  <si>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</si>
  <si>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</si>
  <si>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</si>
  <si>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</si>
  <si>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</si>
  <si>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</si>
  <si>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</si>
  <si>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</si>
  <si>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</si>
  <si>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</si>
  <si>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</si>
  <si>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</si>
  <si>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</si>
  <si>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</si>
  <si>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</si>
  <si>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</si>
  <si>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</si>
  <si>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</si>
  <si>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</si>
  <si>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</si>
  <si>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</si>
  <si>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</si>
  <si>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</si>
  <si>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</si>
  <si>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</si>
  <si>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</si>
  <si>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</si>
  <si>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</si>
  <si>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</si>
  <si>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</si>
  <si>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</si>
  <si>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</si>
  <si>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</si>
  <si>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</si>
  <si>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</si>
  <si>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</si>
  <si>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</si>
  <si>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</si>
  <si>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</si>
  <si>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</si>
  <si>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</si>
  <si>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</si>
  <si>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</si>
  <si>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</si>
  <si>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</si>
  <si>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</si>
  <si>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</si>
  <si>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</si>
  <si>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</si>
  <si>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</si>
  <si>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</si>
  <si>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</si>
  <si>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</si>
  <si>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</si>
  <si>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</si>
  <si>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</si>
  <si>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</si>
  <si>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</si>
  <si>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</si>
  <si>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</si>
  <si>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</si>
  <si>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</si>
  <si>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</si>
  <si>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</si>
  <si>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</si>
  <si>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</si>
  <si>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</si>
  <si>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</si>
  <si>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</si>
  <si>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</si>
  <si>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</si>
  <si>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</si>
  <si>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</si>
  <si>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</si>
  <si>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</si>
  <si>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</si>
  <si>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</si>
  <si>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</si>
  <si>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</si>
  <si>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</si>
  <si>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</si>
  <si>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</si>
  <si>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</si>
  <si>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</si>
  <si>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</si>
  <si>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</si>
  <si>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</si>
  <si>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</si>
  <si>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</si>
  <si>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</si>
  <si>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</si>
  <si>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</si>
  <si>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</si>
  <si>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</si>
  <si>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</si>
  <si>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</si>
  <si>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</si>
  <si>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</si>
  <si>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</si>
  <si>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</si>
  <si>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</si>
  <si>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</si>
  <si>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</si>
  <si>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</si>
  <si>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</si>
  <si>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</si>
  <si>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</si>
  <si>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</si>
  <si>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</si>
  <si>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</si>
  <si>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</si>
  <si>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</si>
  <si>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</si>
  <si>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</si>
  <si>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</si>
  <si>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</si>
  <si>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</si>
  <si>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</si>
  <si>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</si>
  <si>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</si>
  <si>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</si>
  <si>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</si>
  <si>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</si>
  <si>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</si>
  <si>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</si>
  <si>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</si>
  <si>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</si>
  <si>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</si>
  <si>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</si>
  <si>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</si>
  <si>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</si>
  <si>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</si>
  <si>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</si>
  <si>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</si>
  <si>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</si>
  <si>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</si>
  <si>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</si>
  <si>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</si>
  <si>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</si>
  <si>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</si>
  <si>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</si>
  <si>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</si>
  <si>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</si>
  <si>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</si>
  <si>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</si>
  <si>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</si>
  <si>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</si>
  <si>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</si>
  <si>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</si>
  <si>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</si>
  <si>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</si>
  <si>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</si>
  <si>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</si>
  <si>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</si>
  <si>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</si>
  <si>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</si>
  <si>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</si>
  <si>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</si>
  <si>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</si>
  <si>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</si>
  <si>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</si>
  <si>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</si>
  <si>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</si>
  <si>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</si>
  <si>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</si>
  <si>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</si>
  <si>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</si>
  <si>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</si>
  <si>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</si>
  <si>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</si>
  <si>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</si>
  <si>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</si>
  <si>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</si>
  <si>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</si>
  <si>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</si>
  <si>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</si>
  <si>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</si>
  <si>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</si>
  <si>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</si>
  <si>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</si>
  <si>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</si>
  <si>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</si>
  <si>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</si>
  <si>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</si>
  <si>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</si>
  <si>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</si>
  <si>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</si>
  <si>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</si>
  <si>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</si>
  <si>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</si>
  <si>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</si>
  <si>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</si>
  <si>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</si>
  <si>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</si>
  <si>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</si>
  <si>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</si>
  <si>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</si>
  <si>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</si>
  <si>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</si>
  <si>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</si>
  <si>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</si>
  <si>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</si>
  <si>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</si>
  <si>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</si>
  <si>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</si>
  <si>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</si>
  <si>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</si>
  <si>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</si>
  <si>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</si>
  <si>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</si>
  <si>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</si>
  <si>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</si>
  <si>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</si>
  <si>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</si>
  <si>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</si>
  <si>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</si>
  <si>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</si>
  <si>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</si>
  <si>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</si>
  <si>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</si>
  <si>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</si>
  <si>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</si>
  <si>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</si>
  <si>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</si>
  <si>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</si>
  <si>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</si>
  <si>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</si>
  <si>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</si>
  <si>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</si>
  <si>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</si>
  <si>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</si>
  <si>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</si>
  <si>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</si>
  <si>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</si>
  <si>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</si>
  <si>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</si>
  <si>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</si>
  <si>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</si>
  <si>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</si>
  <si>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</si>
  <si>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</si>
  <si>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</si>
  <si>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</si>
  <si>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</si>
  <si>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</si>
  <si>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</si>
  <si>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</si>
  <si>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</si>
  <si>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</si>
  <si>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</si>
  <si>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</si>
  <si>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</si>
  <si>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</si>
  <si>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</si>
  <si>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</si>
  <si>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</si>
  <si>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</si>
  <si>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</si>
  <si>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</si>
  <si>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</si>
  <si>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</si>
  <si>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</si>
  <si>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</si>
  <si>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</si>
  <si>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</si>
  <si>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</si>
  <si>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</si>
  <si>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</si>
  <si>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</si>
  <si>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</si>
  <si>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</si>
  <si>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</si>
  <si>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</si>
  <si>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</si>
  <si>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</si>
  <si>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</si>
  <si>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</si>
  <si>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</si>
  <si>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</si>
  <si>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</si>
  <si>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</si>
  <si>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</si>
  <si>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</si>
  <si>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</si>
  <si>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</si>
  <si>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</si>
  <si>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</si>
  <si>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</si>
  <si>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</si>
  <si>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</si>
  <si>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</si>
  <si>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</si>
  <si>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</si>
  <si>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</si>
  <si>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</si>
  <si>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</si>
  <si>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</si>
  <si>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</si>
  <si>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</si>
  <si>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</si>
  <si>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</si>
  <si>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</si>
  <si>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</si>
  <si>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</si>
  <si>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</si>
  <si>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</si>
  <si>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</si>
  <si>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</si>
  <si>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</si>
  <si>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</si>
  <si>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</si>
  <si>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</si>
  <si>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</si>
  <si>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</si>
  <si>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</si>
  <si>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</si>
  <si>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</si>
  <si>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</si>
  <si>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</si>
  <si>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</si>
  <si>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</si>
  <si>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</si>
  <si>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</si>
  <si>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</si>
  <si>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</si>
  <si>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</si>
  <si>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</si>
  <si>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</si>
  <si>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</si>
  <si>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</si>
  <si>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</si>
  <si>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</si>
  <si>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</si>
  <si>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</si>
  <si>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</si>
  <si>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</si>
  <si>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</si>
  <si>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</si>
  <si>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</si>
  <si>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</si>
  <si>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</si>
  <si>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</si>
  <si>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</si>
  <si>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</si>
  <si>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</si>
  <si>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</si>
  <si>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</si>
  <si>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</si>
  <si>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</si>
  <si>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</si>
  <si>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</si>
  <si>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</si>
  <si>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</si>
  <si>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</si>
  <si>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</si>
  <si>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</si>
  <si>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</si>
  <si>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</si>
  <si>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</si>
  <si>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</si>
  <si>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</si>
  <si>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</si>
  <si>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</si>
  <si>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</si>
  <si>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</si>
  <si>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</si>
  <si>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</si>
  <si>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</si>
  <si>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</si>
  <si>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</si>
  <si>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</si>
  <si>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</si>
  <si>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</si>
  <si>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</si>
  <si>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</si>
  <si>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</si>
  <si>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</si>
  <si>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</si>
  <si>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</si>
  <si>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</si>
  <si>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</si>
  <si>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</si>
  <si>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</si>
  <si>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</si>
  <si>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</si>
  <si>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</si>
  <si>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</si>
  <si>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</si>
  <si>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</si>
  <si>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</si>
  <si>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</si>
  <si>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</si>
  <si>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</si>
  <si>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</si>
  <si>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</si>
  <si>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</si>
  <si>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</si>
  <si>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</si>
  <si>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</si>
  <si>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</si>
  <si>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</si>
  <si>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</si>
  <si>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</si>
  <si>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</si>
  <si>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</si>
  <si>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</si>
  <si>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</si>
  <si>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</si>
  <si>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</si>
  <si>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</si>
  <si>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</si>
  <si>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</si>
  <si>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</si>
  <si>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</si>
  <si>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</si>
  <si>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</si>
  <si>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</si>
  <si>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</si>
  <si>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</si>
  <si>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</si>
  <si>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</si>
  <si>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</si>
  <si>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</si>
  <si>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</si>
  <si>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</si>
  <si>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</si>
  <si>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</si>
  <si>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</si>
  <si>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</si>
  <si>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</si>
  <si>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</si>
  <si>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</si>
  <si>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</si>
  <si>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</si>
  <si>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</si>
  <si>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</si>
  <si>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</si>
  <si>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</si>
  <si>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</si>
  <si>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</si>
  <si>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</si>
  <si>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</si>
  <si>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</si>
  <si>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</si>
  <si>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</si>
  <si>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</si>
  <si>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</si>
  <si>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</si>
  <si>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</si>
  <si>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</si>
  <si>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</si>
  <si>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</si>
  <si>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</si>
  <si>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</si>
  <si>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</si>
  <si>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</si>
  <si>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</si>
  <si>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</si>
  <si>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</si>
  <si>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</si>
  <si>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</si>
  <si>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</si>
  <si>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</si>
  <si>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</si>
  <si>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</si>
  <si>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</si>
  <si>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</si>
  <si>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</si>
  <si>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</si>
  <si>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</si>
  <si>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</si>
  <si>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</si>
  <si>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</si>
  <si>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</si>
  <si>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</si>
  <si>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</si>
  <si>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</si>
  <si>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</si>
  <si>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</si>
  <si>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</si>
  <si>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</si>
  <si>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</si>
  <si>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</si>
  <si>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</si>
  <si>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</si>
  <si>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</si>
  <si>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</si>
  <si>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</si>
  <si>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</si>
  <si>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</si>
  <si>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</si>
  <si>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</si>
  <si>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</si>
  <si>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</si>
  <si>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</si>
  <si>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</si>
  <si>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</si>
  <si>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</si>
  <si>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</si>
  <si>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</si>
  <si>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</si>
  <si>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</si>
  <si>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</si>
  <si>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</si>
  <si>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</si>
  <si>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</si>
  <si>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</si>
  <si>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</si>
  <si>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</si>
  <si>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</si>
  <si>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</si>
  <si>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</si>
  <si>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</si>
  <si>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</si>
  <si>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</si>
  <si>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</si>
  <si>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</si>
  <si>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</si>
  <si>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</si>
  <si>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</si>
  <si>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</si>
  <si>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</si>
  <si>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</si>
  <si>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</si>
  <si>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</si>
  <si>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</si>
  <si>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</si>
  <si>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</si>
  <si>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</si>
  <si>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</si>
  <si>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</si>
  <si>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</si>
  <si>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</si>
  <si>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</si>
  <si>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</si>
  <si>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</si>
  <si>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</si>
  <si>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</si>
  <si>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</si>
  <si>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</si>
  <si>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</si>
  <si>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</si>
  <si>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</si>
  <si>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</si>
  <si>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</si>
  <si>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</si>
  <si>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</si>
  <si>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</si>
  <si>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</si>
  <si>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</si>
  <si>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</si>
  <si>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</si>
  <si>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</si>
  <si>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</si>
  <si>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</si>
  <si>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</si>
  <si>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</si>
  <si>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</si>
  <si>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</si>
  <si>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</si>
  <si>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</si>
  <si>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</si>
  <si>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</si>
  <si>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</si>
  <si>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</si>
  <si>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</si>
  <si>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</si>
  <si>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</si>
  <si>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</si>
  <si>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</si>
  <si>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</si>
  <si>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</si>
  <si>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</si>
  <si>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</si>
  <si>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</si>
  <si>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</si>
  <si>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</si>
  <si>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</si>
  <si>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</si>
  <si>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</si>
  <si>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</si>
  <si>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</si>
  <si>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</si>
  <si>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</si>
  <si>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</si>
  <si>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</si>
  <si>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</si>
  <si>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</si>
  <si>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</si>
  <si>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</si>
  <si>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</si>
  <si>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</si>
  <si>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</si>
  <si>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</si>
  <si>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</si>
  <si>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</si>
  <si>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</si>
  <si>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</si>
  <si>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</si>
  <si>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</si>
  <si>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</si>
  <si>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</si>
  <si>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</si>
  <si>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</si>
  <si>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</si>
  <si>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</si>
  <si>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</si>
  <si>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</si>
  <si>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</si>
  <si>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</si>
  <si>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</si>
  <si>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</si>
  <si>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</si>
  <si>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</si>
  <si>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</si>
  <si>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</si>
  <si>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</si>
  <si>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</si>
  <si>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</si>
  <si>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</si>
  <si>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</si>
  <si>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</si>
  <si>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</si>
  <si>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</si>
  <si>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</si>
  <si>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</si>
  <si>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</si>
  <si>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</si>
  <si>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</si>
  <si>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</si>
  <si>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</si>
  <si>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</si>
  <si>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</si>
  <si>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</si>
  <si>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</si>
  <si>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</si>
  <si>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</si>
  <si>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</si>
  <si>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</si>
  <si>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</si>
  <si>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</si>
  <si>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</si>
  <si>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</si>
  <si>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</si>
  <si>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</si>
  <si>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</si>
  <si>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</si>
  <si>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</si>
  <si>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</si>
  <si>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</si>
  <si>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</si>
  <si>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</si>
  <si>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</si>
  <si>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</si>
  <si>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</si>
  <si>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</si>
  <si>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</si>
  <si>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</si>
  <si>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</si>
  <si>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</si>
  <si>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</si>
  <si>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</si>
  <si>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</si>
  <si>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</si>
  <si>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</si>
  <si>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</si>
  <si>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</si>
  <si>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</si>
  <si>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</si>
  <si>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</si>
  <si>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</si>
  <si>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</si>
  <si>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</si>
  <si>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</si>
  <si>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</si>
  <si>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</si>
  <si>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</si>
  <si>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</si>
  <si>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</si>
  <si>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</si>
  <si>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</si>
  <si>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</si>
  <si>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</si>
  <si>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</si>
  <si>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</si>
  <si>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</si>
  <si>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</si>
  <si>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</si>
  <si>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</si>
  <si>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</si>
  <si>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</si>
  <si>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</si>
  <si>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</si>
  <si>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</si>
  <si>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</si>
  <si>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</si>
  <si>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</si>
  <si>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</si>
  <si>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</si>
  <si>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</si>
  <si>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</si>
  <si>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</si>
  <si>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</si>
  <si>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</si>
  <si>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</si>
  <si>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</si>
  <si>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</si>
  <si>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</si>
  <si>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</si>
  <si>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</si>
  <si>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</si>
  <si>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</si>
  <si>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</si>
  <si>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</si>
  <si>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</si>
  <si>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</si>
  <si>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</si>
  <si>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</si>
  <si>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</si>
  <si>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</si>
  <si>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</si>
  <si>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</si>
  <si>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</si>
  <si>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</si>
  <si>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</si>
  <si>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</si>
  <si>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</si>
  <si>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</si>
  <si>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</si>
  <si>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</si>
  <si>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</si>
  <si>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</si>
  <si>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</si>
  <si>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</si>
  <si>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</si>
  <si>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</si>
  <si>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</si>
  <si>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</si>
  <si>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</si>
  <si>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</si>
  <si>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</si>
  <si>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</si>
  <si>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</si>
  <si>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</si>
  <si>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</si>
  <si>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</si>
  <si>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</si>
  <si>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</si>
  <si>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</si>
  <si>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</si>
  <si>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</si>
  <si>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</si>
  <si>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</si>
  <si>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</si>
  <si>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</si>
  <si>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</si>
  <si>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</si>
  <si>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</si>
  <si>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</si>
  <si>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</si>
  <si>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</si>
  <si>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</si>
  <si>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</si>
  <si>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</si>
  <si>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</si>
  <si>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</si>
  <si>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</si>
  <si>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</si>
  <si>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</si>
  <si>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</si>
  <si>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</si>
  <si>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</si>
  <si>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</si>
  <si>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</si>
  <si>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</si>
  <si>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</si>
  <si>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</si>
  <si>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</si>
  <si>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</si>
  <si>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</si>
  <si>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</si>
  <si>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</si>
  <si>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</si>
  <si>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</si>
  <si>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</si>
  <si>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</si>
  <si>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</si>
  <si>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</si>
  <si>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</si>
  <si>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</si>
  <si>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</si>
  <si>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</si>
  <si>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</si>
  <si>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</si>
  <si>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</si>
  <si>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</si>
  <si>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</si>
  <si>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</si>
  <si>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</si>
  <si>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</si>
  <si>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</si>
  <si>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</si>
  <si>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</si>
  <si>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</si>
  <si>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</si>
  <si>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</si>
  <si>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</si>
  <si>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</si>
  <si>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</si>
  <si>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</si>
  <si>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</si>
  <si>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</si>
  <si>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</si>
  <si>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</si>
  <si>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</si>
  <si>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</si>
  <si>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</si>
  <si>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</si>
  <si>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</si>
  <si>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</si>
  <si>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</si>
  <si>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</si>
  <si>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</si>
  <si>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</si>
  <si>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</si>
  <si>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</si>
  <si>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</si>
  <si>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</si>
  <si>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</si>
  <si>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</si>
  <si>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</si>
  <si>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</si>
  <si>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</si>
  <si>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</si>
  <si>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</si>
  <si>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</si>
  <si>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</si>
  <si>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</si>
  <si>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</si>
  <si>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</si>
  <si>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</si>
  <si>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</si>
  <si>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</si>
  <si>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</si>
  <si>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</si>
  <si>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</si>
  <si>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</si>
  <si>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</si>
  <si>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</si>
  <si>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</si>
  <si>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</si>
  <si>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</si>
  <si>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</si>
  <si>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</si>
  <si>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</si>
  <si>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</si>
  <si>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</si>
  <si>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</si>
  <si>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</si>
  <si>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</si>
  <si>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</si>
  <si>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</si>
  <si>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</si>
  <si>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</si>
  <si>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</si>
  <si>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</si>
  <si>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</si>
  <si>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</si>
  <si>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</si>
  <si>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</si>
  <si>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</si>
  <si>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</si>
  <si>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</si>
  <si>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</si>
  <si>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</si>
  <si>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</si>
  <si>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</si>
  <si>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</si>
  <si>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</si>
  <si>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</si>
  <si>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</si>
  <si>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</si>
  <si>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</si>
  <si>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</si>
  <si>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</si>
  <si>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</si>
  <si>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</si>
  <si>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</si>
  <si>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</si>
  <si>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</si>
  <si>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</si>
  <si>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</si>
  <si>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</si>
  <si>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</si>
  <si>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</si>
  <si>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</si>
  <si>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</si>
  <si>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</si>
  <si>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</si>
  <si>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</si>
  <si>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</si>
  <si>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</si>
  <si>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</si>
  <si>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</si>
  <si>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</si>
  <si>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</si>
  <si>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</si>
  <si>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</si>
  <si>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</si>
  <si>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</si>
  <si>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</si>
  <si>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</si>
  <si>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</si>
  <si>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</si>
  <si>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</si>
  <si>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</si>
  <si>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</si>
  <si>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</si>
  <si>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</si>
  <si>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</si>
  <si>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</si>
  <si>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</si>
  <si>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</si>
  <si>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</si>
  <si>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</si>
  <si>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</si>
  <si>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</si>
  <si>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</si>
  <si>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</si>
  <si>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</si>
  <si>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</si>
  <si>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</si>
  <si>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</si>
  <si>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</si>
  <si>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</si>
  <si>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</si>
  <si>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</si>
  <si>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</si>
  <si>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</si>
  <si>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</si>
  <si>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</si>
  <si>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</si>
  <si>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</si>
  <si>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</si>
  <si>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</si>
  <si>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</si>
  <si>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</si>
  <si>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</si>
  <si>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</si>
  <si>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</si>
  <si>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</si>
  <si>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</si>
  <si>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</si>
  <si>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</si>
  <si>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</si>
  <si>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</si>
  <si>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</si>
  <si>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</si>
  <si>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</si>
  <si>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</si>
  <si>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</si>
  <si>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</si>
  <si>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</si>
  <si>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</si>
  <si>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</si>
  <si>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</si>
  <si>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</si>
  <si>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</si>
  <si>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</si>
  <si>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</si>
  <si>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</si>
  <si>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</si>
  <si>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</si>
  <si>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</si>
  <si>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</si>
  <si>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</si>
  <si>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</si>
  <si>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</si>
  <si>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</si>
  <si>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</si>
  <si>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</si>
  <si>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</si>
  <si>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</si>
  <si>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</si>
  <si>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</si>
  <si>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</si>
  <si>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</si>
  <si>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</si>
  <si>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</si>
  <si>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</si>
  <si>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</si>
  <si>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</si>
  <si>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</si>
  <si>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</si>
  <si>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</si>
  <si>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</si>
  <si>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</si>
  <si>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</si>
  <si>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</si>
  <si>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</si>
  <si>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</si>
  <si>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</si>
  <si>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</si>
  <si>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</si>
  <si>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</si>
  <si>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</si>
  <si>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</si>
  <si>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</si>
  <si>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</si>
  <si>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</si>
  <si>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</si>
  <si>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</si>
  <si>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</si>
  <si>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</si>
  <si>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</si>
  <si>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</si>
  <si>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</si>
  <si>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</si>
  <si>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</si>
  <si>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</si>
  <si>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</si>
  <si>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</si>
  <si>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</si>
  <si>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</si>
  <si>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</si>
  <si>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</si>
  <si>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</si>
  <si>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</si>
  <si>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</si>
  <si>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</si>
  <si>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</si>
  <si>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</si>
  <si>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</si>
  <si>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</si>
  <si>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</si>
  <si>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</si>
  <si>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</si>
  <si>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</si>
  <si>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</si>
  <si>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</si>
  <si>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</si>
  <si>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</si>
  <si>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</si>
  <si>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</si>
  <si>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</si>
  <si>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</si>
  <si>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</si>
  <si>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</si>
  <si>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</si>
  <si>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</si>
  <si>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</si>
  <si>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</si>
  <si>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</si>
  <si>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</si>
  <si>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</si>
  <si>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</si>
  <si>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</si>
  <si>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</si>
  <si>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</si>
  <si>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</si>
  <si>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</si>
  <si>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</si>
  <si>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</si>
  <si>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</si>
  <si>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</si>
  <si>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</si>
  <si>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</si>
  <si>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</si>
  <si>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</si>
  <si>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</si>
  <si>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</si>
  <si>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</si>
  <si>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</si>
  <si>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</si>
  <si>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</si>
  <si>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</si>
  <si>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</si>
  <si>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</si>
  <si>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</si>
  <si>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</si>
  <si>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</si>
  <si>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</si>
  <si>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</si>
  <si>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</si>
  <si>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</si>
  <si>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</si>
  <si>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</si>
  <si>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</si>
  <si>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</si>
  <si>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</si>
  <si>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</si>
  <si>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</si>
  <si>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</si>
  <si>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</si>
  <si>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</si>
  <si>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</si>
  <si>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</si>
  <si>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</si>
  <si>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</si>
  <si>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</si>
  <si>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</si>
  <si>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</si>
  <si>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</si>
  <si>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</si>
  <si>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</si>
  <si>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</si>
  <si>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</si>
  <si>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</si>
  <si>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</si>
  <si>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</si>
  <si>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</si>
  <si>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</si>
  <si>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</si>
  <si>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</si>
  <si>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</si>
  <si>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</si>
  <si>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</si>
  <si>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</si>
  <si>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</si>
  <si>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</si>
  <si>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</si>
  <si>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</si>
  <si>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</si>
  <si>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</si>
  <si>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</si>
  <si>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</si>
  <si>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</si>
  <si>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</si>
  <si>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</si>
  <si>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</si>
  <si>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</si>
  <si>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</si>
  <si>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</si>
  <si>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</si>
  <si>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</si>
  <si>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</si>
  <si>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</si>
  <si>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</si>
  <si>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</si>
  <si>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</si>
  <si>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</si>
  <si>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</si>
  <si>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</si>
  <si>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</si>
  <si>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</si>
  <si>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</si>
  <si>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</si>
  <si>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</si>
  <si>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</si>
  <si>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</si>
  <si>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</si>
  <si>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</si>
  <si>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</si>
  <si>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</si>
  <si>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</si>
  <si>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</si>
  <si>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</si>
  <si>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</si>
  <si>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</si>
  <si>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</si>
  <si>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</si>
  <si>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</si>
  <si>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</si>
  <si>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</si>
  <si>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</si>
  <si>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</si>
  <si>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</si>
  <si>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</si>
  <si>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</si>
  <si>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</si>
  <si>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</si>
  <si>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</si>
  <si>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</si>
  <si>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</si>
  <si>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</si>
  <si>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</si>
  <si>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</si>
  <si>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</si>
  <si>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</si>
  <si>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</si>
  <si>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</si>
  <si>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</si>
  <si>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</si>
  <si>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</si>
  <si>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</si>
  <si>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</si>
  <si>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</si>
  <si>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</si>
  <si>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</si>
  <si>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</si>
  <si>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</si>
  <si>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</si>
  <si>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</si>
  <si>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</si>
  <si>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</si>
  <si>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</si>
  <si>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</si>
  <si>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</si>
  <si>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</si>
  <si>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</si>
  <si>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</si>
  <si>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</si>
  <si>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</si>
  <si>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</si>
  <si>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</si>
  <si>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</si>
  <si>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</si>
  <si>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</si>
  <si>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</si>
  <si>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</si>
  <si>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</si>
  <si>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</si>
  <si>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</si>
  <si>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</si>
  <si>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</si>
  <si>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</si>
  <si>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</si>
  <si>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</si>
  <si>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</si>
  <si>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</si>
  <si>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</si>
  <si>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</si>
  <si>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</si>
  <si>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</si>
  <si>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</si>
  <si>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</si>
  <si>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</si>
  <si>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</si>
  <si>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</si>
  <si>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</si>
  <si>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</si>
  <si>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</si>
  <si>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</si>
  <si>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</si>
  <si>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</si>
  <si>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</si>
  <si>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</si>
  <si>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</si>
  <si>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</si>
  <si>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</si>
  <si>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</si>
  <si>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</si>
  <si>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</si>
  <si>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</si>
  <si>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</si>
  <si>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</si>
  <si>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</si>
  <si>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</si>
  <si>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</si>
  <si>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</si>
  <si>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</si>
  <si>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</si>
  <si>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</si>
  <si>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</si>
  <si>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</si>
  <si>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</si>
  <si>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</si>
  <si>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</si>
  <si>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</si>
  <si>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</si>
  <si>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</si>
  <si>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</si>
  <si>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</si>
  <si>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</si>
  <si>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</si>
  <si>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</si>
  <si>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</si>
  <si>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</si>
  <si>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</si>
  <si>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</si>
  <si>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</si>
  <si>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</si>
  <si>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</si>
  <si>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</si>
  <si>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</si>
  <si>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</si>
  <si>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</si>
  <si>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</si>
  <si>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</si>
  <si>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</si>
  <si>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</si>
  <si>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</si>
  <si>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</si>
  <si>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</si>
  <si>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</si>
  <si>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</si>
  <si>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</si>
  <si>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</si>
  <si>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</si>
  <si>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</si>
  <si>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</si>
  <si>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</si>
  <si>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</si>
  <si>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</si>
  <si>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</si>
  <si>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</si>
  <si>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</si>
  <si>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</si>
  <si>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</si>
  <si>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</si>
  <si>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</si>
  <si>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</si>
  <si>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</si>
  <si>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</si>
  <si>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</si>
  <si>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</si>
  <si>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</si>
  <si>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</si>
  <si>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</si>
  <si>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</si>
  <si>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</si>
  <si>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</si>
  <si>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</si>
  <si>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</si>
  <si>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</si>
  <si>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</si>
  <si>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</si>
  <si>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</si>
  <si>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</si>
  <si>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</si>
  <si>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</si>
  <si>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</si>
  <si>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</si>
  <si>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</si>
  <si>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</si>
  <si>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</si>
  <si>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</si>
  <si>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</si>
  <si>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</si>
  <si>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</si>
  <si>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</si>
  <si>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</si>
  <si>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</si>
  <si>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</si>
  <si>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</si>
  <si>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</si>
  <si>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</si>
  <si>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</si>
  <si>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</si>
  <si>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</si>
  <si>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</si>
  <si>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</si>
  <si>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</si>
  <si>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</si>
  <si>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</si>
  <si>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</si>
  <si>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</si>
  <si>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</si>
  <si>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</si>
  <si>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</si>
  <si>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</si>
  <si>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</si>
  <si>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</si>
  <si>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</si>
  <si>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</si>
  <si>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</si>
  <si>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</si>
  <si>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</si>
  <si>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</si>
  <si>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</si>
  <si>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</si>
  <si>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</si>
  <si>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</si>
  <si>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</si>
  <si>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</si>
  <si>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</si>
  <si>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</si>
  <si>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</si>
  <si>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</si>
  <si>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</si>
  <si>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</si>
  <si>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</si>
  <si>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</si>
  <si>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</si>
  <si>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</si>
  <si>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</si>
  <si>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</si>
  <si>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</si>
  <si>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</si>
  <si>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</si>
  <si>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</si>
  <si>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</si>
  <si>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</si>
  <si>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</si>
  <si>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</si>
  <si>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</si>
  <si>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</si>
  <si>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</si>
  <si>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</si>
  <si>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</si>
  <si>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</si>
  <si>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</si>
  <si>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</si>
  <si>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</si>
  <si>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</si>
  <si>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</si>
  <si>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</si>
  <si>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</si>
  <si>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</si>
  <si>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</si>
  <si>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</si>
  <si>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</si>
  <si>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</si>
  <si>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</si>
  <si>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</si>
  <si>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</si>
  <si>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</si>
  <si>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</si>
  <si>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</si>
  <si>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</si>
  <si>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</si>
  <si>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</si>
  <si>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</si>
  <si>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</si>
  <si>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</si>
  <si>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</si>
  <si>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</si>
  <si>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</si>
  <si>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</si>
  <si>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</si>
  <si>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</si>
  <si>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</si>
  <si>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</si>
  <si>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</si>
  <si>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</si>
  <si>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</si>
  <si>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</si>
  <si>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</si>
  <si>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</si>
  <si>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</si>
  <si>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</si>
  <si>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</si>
  <si>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</si>
  <si>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</si>
  <si>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</si>
  <si>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</si>
  <si>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</si>
  <si>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</si>
  <si>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</si>
  <si>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</si>
  <si>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</si>
  <si>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</si>
  <si>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</si>
  <si>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</si>
  <si>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</si>
  <si>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</si>
  <si>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</si>
  <si>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</si>
  <si>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</si>
  <si>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</si>
  <si>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</si>
  <si>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</si>
  <si>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</si>
  <si>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</si>
  <si>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</si>
  <si>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</si>
  <si>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</si>
  <si>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</si>
  <si>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</si>
  <si>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</si>
  <si>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</si>
  <si>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</si>
  <si>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</si>
  <si>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</si>
  <si>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</si>
  <si>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</si>
  <si>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</si>
  <si>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</si>
  <si>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</si>
  <si>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</si>
  <si>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</si>
  <si>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</si>
  <si>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</si>
  <si>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</si>
  <si>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</si>
  <si>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</si>
  <si>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</si>
  <si>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</si>
  <si>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</si>
  <si>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</si>
  <si>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</si>
  <si>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</si>
  <si>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</si>
  <si>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</si>
  <si>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</si>
  <si>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</si>
  <si>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</si>
  <si>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</si>
  <si>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</si>
  <si>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</si>
  <si>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</si>
  <si>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</si>
  <si>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</si>
  <si>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</si>
  <si>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</si>
  <si>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</si>
  <si>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</si>
  <si>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</si>
  <si>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</si>
  <si>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</si>
  <si>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</si>
  <si>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</si>
  <si>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</si>
  <si>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</si>
  <si>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</si>
  <si>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</si>
  <si>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</si>
  <si>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</si>
  <si>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</si>
  <si>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</si>
  <si>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</si>
  <si>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</si>
  <si>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</si>
  <si>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</si>
  <si>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</si>
  <si>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</si>
  <si>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</si>
  <si>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</si>
  <si>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</si>
  <si>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</si>
  <si>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</si>
  <si>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</si>
  <si>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</si>
  <si>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</si>
  <si>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</si>
  <si>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</si>
  <si>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</si>
  <si>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</si>
  <si>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</si>
  <si>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</si>
  <si>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</si>
  <si>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</si>
  <si>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</si>
  <si>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</si>
  <si>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</si>
  <si>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</si>
  <si>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</si>
  <si>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174289</t>
  </si>
  <si>
    <t>334891</t>
  </si>
  <si>
    <t>801</t>
  </si>
  <si>
    <t>1309</t>
  </si>
  <si>
    <t>117004</t>
  </si>
  <si>
    <t>261327</t>
  </si>
  <si>
    <t>132458</t>
  </si>
  <si>
    <t>393555</t>
  </si>
  <si>
    <t>541</t>
  </si>
  <si>
    <t>825</t>
  </si>
  <si>
    <t>431195</t>
  </si>
  <si>
    <t>1559739</t>
  </si>
  <si>
    <t>1430</t>
  </si>
  <si>
    <t>441</t>
  </si>
  <si>
    <t>430370</t>
  </si>
  <si>
    <t>1555089</t>
  </si>
  <si>
    <t>792</t>
  </si>
  <si>
    <t>203415</t>
  </si>
  <si>
    <t>684681</t>
  </si>
  <si>
    <t xml:space="preserve"> 11 Aug 2026</t>
  </si>
  <si>
    <t>99774</t>
  </si>
  <si>
    <t>151290</t>
  </si>
  <si>
    <t xml:space="preserve"> 10 Aug 2026</t>
  </si>
  <si>
    <t>942</t>
  </si>
  <si>
    <t>98676</t>
  </si>
  <si>
    <t>149544</t>
  </si>
  <si>
    <t>S33</t>
  </si>
  <si>
    <t>1600</t>
  </si>
  <si>
    <t>67492</t>
  </si>
  <si>
    <t>134202</t>
  </si>
  <si>
    <t>1222</t>
  </si>
  <si>
    <t>65892</t>
  </si>
  <si>
    <t>130330</t>
  </si>
  <si>
    <t>702</t>
  </si>
  <si>
    <t>174991</t>
  </si>
  <si>
    <t>336394</t>
  </si>
  <si>
    <t>838</t>
  </si>
  <si>
    <t>118709</t>
  </si>
  <si>
    <t>264250</t>
  </si>
  <si>
    <t>794</t>
  </si>
  <si>
    <t>117812</t>
  </si>
  <si>
    <t>262668</t>
  </si>
  <si>
    <t>662</t>
  </si>
  <si>
    <t>134064</t>
  </si>
  <si>
    <t>398166</t>
  </si>
  <si>
    <t>944</t>
  </si>
  <si>
    <t>133402</t>
  </si>
  <si>
    <t>396329</t>
  </si>
  <si>
    <t>433160</t>
  </si>
  <si>
    <t>1570564</t>
  </si>
  <si>
    <t>432359</t>
  </si>
  <si>
    <t>1566104</t>
  </si>
  <si>
    <t>25</t>
  </si>
  <si>
    <t>203595</t>
  </si>
  <si>
    <t>685229</t>
  </si>
  <si>
    <t>155</t>
  </si>
  <si>
    <t>203570</t>
  </si>
  <si>
    <t>685170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</si>
</sst>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8" borderId="1" xfId="0" applyNumberFormat="1" applyFont="1" applyFill="1" applyBorder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9045643153526972E-2"/>
              <c:y val="-4.7058823529411764E-2"/>
            </c:manualLayout>
          </c:layout>
          <c:numFmt formatCode="_(* #,##0_);_(* \(#,##0\);_(* &quot;-&quot;_);_(@_)" sourceLinked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0746887966804978E-2"/>
              <c:y val="-6.2745098039215713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08/08/2026</c:v>
                  </c:pt>
                  <c:pt idx="1">
                    <c:v>07/08/2026</c:v>
                  </c:pt>
                  <c:pt idx="2">
                    <c:v>06/08/2026</c:v>
                  </c:pt>
                  <c:pt idx="3">
                    <c:v>05/08/2026</c:v>
                  </c:pt>
                  <c:pt idx="4">
                    <c:v>04/08/2026</c:v>
                  </c:pt>
                  <c:pt idx="5">
                    <c:v>03/08/2026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S32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9967</c:v>
                </c:pt>
                <c:pt idx="1">
                  <c:v>13601</c:v>
                </c:pt>
                <c:pt idx="2">
                  <c:v>12983</c:v>
                </c:pt>
                <c:pt idx="3">
                  <c:v>13036</c:v>
                </c:pt>
                <c:pt idx="4">
                  <c:v>10698</c:v>
                </c:pt>
                <c:pt idx="5">
                  <c:v>15401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08/08/2026</c:v>
                  </c:pt>
                  <c:pt idx="1">
                    <c:v>07/08/2026</c:v>
                  </c:pt>
                  <c:pt idx="2">
                    <c:v>06/08/2026</c:v>
                  </c:pt>
                  <c:pt idx="3">
                    <c:v>05/08/2026</c:v>
                  </c:pt>
                  <c:pt idx="4">
                    <c:v>04/08/2026</c:v>
                  </c:pt>
                  <c:pt idx="5">
                    <c:v>03/08/2026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S32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4</c:v>
                </c:pt>
                <c:pt idx="1">
                  <c:v>6</c:v>
                </c:pt>
                <c:pt idx="2">
                  <c:v>7</c:v>
                </c:pt>
                <c:pt idx="3">
                  <c:v>7</c:v>
                </c:pt>
                <c:pt idx="4">
                  <c:v>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304-451C-8119-5BD1CA49CA4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304-451C-8119-5BD1CA49CA4F}"/>
                </c:ext>
              </c:extLst>
            </c:dLbl>
            <c:dLbl>
              <c:idx val="2"/>
              <c:layout>
                <c:manualLayout>
                  <c:x val="2.0746887966804978E-2"/>
                  <c:y val="-6.274509803921571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9E6-4F81-A507-37E7FBCD13D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2C0-47C5-880F-3A7B8D543E9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2C0-47C5-880F-3A7B8D543E98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08/08/2026</c:v>
                  </c:pt>
                  <c:pt idx="1">
                    <c:v>07/08/2026</c:v>
                  </c:pt>
                  <c:pt idx="2">
                    <c:v>06/08/2026</c:v>
                  </c:pt>
                  <c:pt idx="3">
                    <c:v>05/08/2026</c:v>
                  </c:pt>
                  <c:pt idx="4">
                    <c:v>04/08/2026</c:v>
                  </c:pt>
                  <c:pt idx="5">
                    <c:v>03/08/2026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S32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S29</c:v>
                </c:pt>
                <c:pt idx="1">
                  <c:v>S30</c:v>
                </c:pt>
                <c:pt idx="2">
                  <c:v>S31</c:v>
                </c:pt>
                <c:pt idx="3">
                  <c:v>S32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8451</c:v>
                </c:pt>
                <c:pt idx="1">
                  <c:v>21413</c:v>
                </c:pt>
                <c:pt idx="2">
                  <c:v>23332</c:v>
                </c:pt>
                <c:pt idx="3">
                  <c:v>37834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S29</c:v>
                </c:pt>
                <c:pt idx="1">
                  <c:v>S30</c:v>
                </c:pt>
                <c:pt idx="2">
                  <c:v>S31</c:v>
                </c:pt>
                <c:pt idx="3">
                  <c:v>S32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6570</c:v>
                </c:pt>
                <c:pt idx="1">
                  <c:v>17022</c:v>
                </c:pt>
                <c:pt idx="2">
                  <c:v>17642</c:v>
                </c:pt>
                <c:pt idx="3">
                  <c:v>29549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layout>
                <c:manualLayout>
                  <c:x val="8.3945435466946487E-3"/>
                  <c:y val="-7.70877944325481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84C-48DD-9D15-1F84058F683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FFC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S29</c:v>
                </c:pt>
                <c:pt idx="1">
                  <c:v>S30</c:v>
                </c:pt>
                <c:pt idx="2">
                  <c:v>S31</c:v>
                </c:pt>
                <c:pt idx="3">
                  <c:v>S32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24000</c:v>
                </c:pt>
                <c:pt idx="2">
                  <c:v>23999.999999999996</c:v>
                </c:pt>
                <c:pt idx="3">
                  <c:v>23999.999999999996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44.602717708331" createdVersion="8" refreshedVersion="8" minRefreshableVersion="3" recordCount="852" xr:uid="{8D9D6DB7-C64F-4C80-9A78-61C3071D7139}">
  <cacheSource type="worksheet">
    <worksheetSource ref="A4:AB2543" sheet="BD"/>
  </cacheSource>
  <cacheFields count="28">
    <cacheField name="Data" numFmtId="14">
      <sharedItems containsNonDate="0" containsDate="1" containsString="0" containsBlank="1" minDate="2026-05-04T00:00:00" maxDate="2026-08-10T00:00:00" count="99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m/>
      </sharedItems>
    </cacheField>
    <cacheField name="Semana" numFmtId="0">
      <sharedItems containsBlank="1" count="18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m/>
        <s v="S33" u="1"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5749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296.65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1.5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44.6027181713" createdVersion="8" refreshedVersion="8" minRefreshableVersion="3" recordCount="852" xr:uid="{9D45AC4C-13ED-4258-A051-E1A0E0BEF410}">
  <cacheSource type="worksheet">
    <worksheetSource ref="A4:AB7109" sheet="BD"/>
  </cacheSource>
  <cacheFields count="28">
    <cacheField name="Data" numFmtId="14">
      <sharedItems containsNonDate="0" containsDate="1" containsString="0" containsBlank="1" minDate="2026-05-04T00:00:00" maxDate="2026-08-10T00:00:00" count="99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m/>
      </sharedItems>
    </cacheField>
    <cacheField name="Semana" numFmtId="0">
      <sharedItems containsBlank="1" count="17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m/>
        <s v="S33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5749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296.65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1.5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44.602718518516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44.602718634262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2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2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1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axis="axisRow" showAll="0" sortType="ascending">
      <items count="18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sd="0" x="11"/>
        <item sd="0" x="12"/>
        <item sd="0" x="13"/>
        <item sd="0" x="14"/>
        <item h="1" m="1" x="16"/>
        <item h="1" x="15"/>
        <item t="default"/>
      </items>
    </pivotField>
    <pivotField showAll="0"/>
    <pivotField showAll="0"/>
    <pivotField showAll="0">
      <items count="8">
        <item h="1" x="4"/>
        <item h="1" x="1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1"/>
    </i>
    <i>
      <x v="12"/>
    </i>
    <i>
      <x v="13"/>
    </i>
    <i>
      <x v="1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5">
      <pivotArea outline="0" collapsedLevelsAreSubtotals="1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2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1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0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4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25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100"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9">
        <item h="1" x="1"/>
        <item h="1" m="1" x="17"/>
        <item h="1" x="0"/>
        <item h="1" x="15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x="14"/>
        <item h="1" m="1" x="16"/>
        <item t="default"/>
      </items>
    </pivotField>
    <pivotField showAll="0"/>
    <pivotField dataField="1" showAll="0"/>
    <pivotField axis="axisRow" showAll="0">
      <items count="8">
        <item h="1" x="4"/>
        <item h="1" x="1"/>
        <item h="1" x="0"/>
        <item x="2"/>
        <item h="1" x="5"/>
        <item h="1" x="3"/>
        <item h="1" x="6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6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6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5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93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93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94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53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47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48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38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37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3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30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18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4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5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6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7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8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9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8">
        <i x="1"/>
        <i x="0"/>
        <i x="2"/>
        <i x="3"/>
        <i x="4"/>
        <i x="5"/>
        <i x="6"/>
        <i x="7"/>
        <i x="8"/>
        <i x="9"/>
        <i x="10"/>
        <i x="11"/>
        <i x="12"/>
        <i x="13"/>
        <i x="14" s="1"/>
        <i x="17" nd="1"/>
        <i x="16" nd="1"/>
        <i x="15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7"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7">
        <i x="1"/>
        <i x="0"/>
        <i x="2"/>
        <i x="3"/>
        <i x="4"/>
        <i x="5"/>
        <i x="6"/>
        <i x="7"/>
        <i x="8"/>
        <i x="9"/>
        <i x="10"/>
        <i x="11" s="1"/>
        <i x="12" s="1"/>
        <i x="13" s="1"/>
        <i x="14" s="1"/>
        <i x="16" nd="1"/>
        <i x="15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7"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8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9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S11" sqref="S11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46237</v>
      </c>
      <c r="D2" s="81"/>
      <c r="E2" s="62" t="s">
        <v>1</v>
      </c>
      <c r="F2" s="81">
        <v>46243</v>
      </c>
      <c r="G2" s="81"/>
      <c r="H2" s="61"/>
      <c r="I2" s="82" t="s">
        <v>2</v>
      </c>
      <c r="J2" s="82"/>
      <c r="K2" s="61">
        <f>_xlfn.ISOWEEKNUM(C2)</f>
        <v>32</v>
      </c>
      <c r="L2" s="61" t="s">
        <v>1</v>
      </c>
      <c r="M2" s="61">
        <f>_xlfn.ISOWEEKNUM(F2)</f>
        <v>32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workbookViewId="0">
      <selection activeCell="T16" sqref="T1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46216</v>
      </c>
      <c r="D2" s="81"/>
      <c r="E2" s="62" t="s">
        <v>1</v>
      </c>
      <c r="F2" s="81">
        <v>46243</v>
      </c>
      <c r="G2" s="81"/>
      <c r="H2" s="61"/>
      <c r="I2" s="82" t="s">
        <v>2</v>
      </c>
      <c r="J2" s="82"/>
      <c r="K2" s="61">
        <f>_xlfn.ISOWEEKNUM(C2)</f>
        <v>29</v>
      </c>
      <c r="L2" s="61" t="s">
        <v>1</v>
      </c>
      <c r="M2" s="61">
        <f>_xlfn.ISOWEEKNUM(F2)</f>
        <v>32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55"/>
  <sheetViews>
    <sheetView tabSelected="1" zoomScaleNormal="100" workbookViewId="0">
      <pane ySplit="4" topLeftCell="A791" activePane="bottomLeft" state="frozen"/>
      <selection pane="bottomLeft" activeCell="O804" sqref="O804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39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si="38"/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8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8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8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8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8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8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8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8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8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8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8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39">15000/7</f>
        <v>2142.8571428571427</v>
      </c>
      <c r="I520" s="6">
        <f t="shared" si="38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39"/>
        <v>2142.8571428571427</v>
      </c>
      <c r="I521" s="6">
        <f t="shared" si="38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39"/>
        <v>2142.8571428571427</v>
      </c>
      <c r="I522" s="6">
        <f t="shared" si="38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39"/>
        <v>2142.8571428571427</v>
      </c>
      <c r="I523" s="6">
        <f t="shared" si="38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39"/>
        <v>2142.8571428571427</v>
      </c>
      <c r="I524" s="6">
        <f t="shared" si="38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39"/>
        <v>2142.8571428571427</v>
      </c>
      <c r="I525" s="6">
        <f t="shared" si="38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39"/>
        <v>2142.8571428571427</v>
      </c>
      <c r="I526" s="6">
        <f t="shared" si="38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8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0">15000/7</f>
        <v>2142.8571428571427</v>
      </c>
      <c r="I528" s="6">
        <f t="shared" si="38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0"/>
        <v>2142.8571428571427</v>
      </c>
      <c r="I529" s="6">
        <f t="shared" si="38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0"/>
        <v>2142.8571428571427</v>
      </c>
      <c r="I530" s="6">
        <f t="shared" si="38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0"/>
        <v>2142.8571428571427</v>
      </c>
      <c r="I531" s="6">
        <f t="shared" si="38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0"/>
        <v>2142.8571428571427</v>
      </c>
      <c r="I532" s="6">
        <f t="shared" si="38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0"/>
        <v>2142.8571428571427</v>
      </c>
      <c r="I533" s="6">
        <f t="shared" si="38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0"/>
        <v>2142.8571428571427</v>
      </c>
      <c r="I534" s="6">
        <f t="shared" si="38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8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1">15000/7</f>
        <v>2142.8571428571427</v>
      </c>
      <c r="I536" s="6">
        <f t="shared" si="38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1"/>
        <v>2142.8571428571427</v>
      </c>
      <c r="I537" s="6">
        <f t="shared" si="38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1"/>
        <v>2142.8571428571427</v>
      </c>
      <c r="I538" s="6">
        <f t="shared" si="38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1"/>
        <v>2142.8571428571427</v>
      </c>
      <c r="I539" s="6">
        <f t="shared" si="38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1"/>
        <v>2142.8571428571427</v>
      </c>
      <c r="I540" s="6">
        <f t="shared" ref="I540:I603" si="42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1"/>
        <v>2142.8571428571427</v>
      </c>
      <c r="I541" s="6">
        <f t="shared" si="42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1"/>
        <v>2142.8571428571427</v>
      </c>
      <c r="I542" s="6">
        <f t="shared" si="42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2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2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2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3">15000/7</f>
        <v>2142.8571428571427</v>
      </c>
      <c r="I546" s="6">
        <f t="shared" si="42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3"/>
        <v>2142.8571428571427</v>
      </c>
      <c r="I547" s="6">
        <f t="shared" si="42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3"/>
        <v>2142.8571428571427</v>
      </c>
      <c r="I548" s="6">
        <f t="shared" si="42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3"/>
        <v>2142.8571428571427</v>
      </c>
      <c r="I549" s="6">
        <f t="shared" si="42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3"/>
        <v>2142.8571428571427</v>
      </c>
      <c r="I550" s="6">
        <f t="shared" si="42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3"/>
        <v>2142.8571428571427</v>
      </c>
      <c r="I551" s="6">
        <f t="shared" si="42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2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2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2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2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2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2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2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2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4">15000/6</f>
        <v>2500</v>
      </c>
      <c r="I560" s="6">
        <f t="shared" si="42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4"/>
        <v>2500</v>
      </c>
      <c r="I561" s="6">
        <f t="shared" si="42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4"/>
        <v>2500</v>
      </c>
      <c r="I562" s="6">
        <f t="shared" si="42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4"/>
        <v>2500</v>
      </c>
      <c r="I563" s="6">
        <f t="shared" si="42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4"/>
        <v>2500</v>
      </c>
      <c r="I564" s="6">
        <f t="shared" si="42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4"/>
        <v>2500</v>
      </c>
      <c r="I565" s="6">
        <f t="shared" si="42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2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2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5">15000/6</f>
        <v>2500</v>
      </c>
      <c r="I568" s="6">
        <f t="shared" si="42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5"/>
        <v>2500</v>
      </c>
      <c r="I569" s="6">
        <f t="shared" si="42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5"/>
        <v>2500</v>
      </c>
      <c r="I570" s="6">
        <f t="shared" si="42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5"/>
        <v>2500</v>
      </c>
      <c r="I571" s="6">
        <f t="shared" si="42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5"/>
        <v>2500</v>
      </c>
      <c r="I572" s="6">
        <f t="shared" si="42"/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5"/>
        <v>2500</v>
      </c>
      <c r="I573" s="6">
        <f t="shared" si="42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2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2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2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2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2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2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2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2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2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2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6">15000/7</f>
        <v>2142.8571428571427</v>
      </c>
      <c r="I584" s="6">
        <f t="shared" si="42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6"/>
        <v>2142.8571428571427</v>
      </c>
      <c r="I585" s="6">
        <f t="shared" si="42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6"/>
        <v>2142.8571428571427</v>
      </c>
      <c r="I586" s="6">
        <f t="shared" si="42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6"/>
        <v>2142.8571428571427</v>
      </c>
      <c r="I587" s="6">
        <f t="shared" si="42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6"/>
        <v>2142.8571428571427</v>
      </c>
      <c r="I588" s="6">
        <f t="shared" si="42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6"/>
        <v>2142.8571428571427</v>
      </c>
      <c r="I589" s="6">
        <f t="shared" si="42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2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7">15000/7</f>
        <v>2142.8571428571427</v>
      </c>
      <c r="I591" s="6">
        <f t="shared" si="42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7"/>
        <v>2142.8571428571427</v>
      </c>
      <c r="I592" s="6">
        <f t="shared" si="42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7"/>
        <v>2142.8571428571427</v>
      </c>
      <c r="I593" s="6">
        <f t="shared" si="42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7"/>
        <v>2142.8571428571427</v>
      </c>
      <c r="I594" s="6">
        <f t="shared" si="42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7"/>
        <v>2142.8571428571427</v>
      </c>
      <c r="I595" s="6">
        <f t="shared" si="42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7"/>
        <v>2142.8571428571427</v>
      </c>
      <c r="I596" s="6">
        <f t="shared" si="42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7"/>
        <v>2142.8571428571427</v>
      </c>
      <c r="I597" s="6">
        <f t="shared" si="42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2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2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48">15000/6</f>
        <v>2500</v>
      </c>
      <c r="I600" s="6">
        <f t="shared" si="42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48"/>
        <v>2500</v>
      </c>
      <c r="I601" s="6">
        <f t="shared" si="42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48"/>
        <v>2500</v>
      </c>
      <c r="I602" s="6">
        <f t="shared" si="42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48"/>
        <v>2500</v>
      </c>
      <c r="I603" s="6">
        <f t="shared" si="42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48"/>
        <v>2500</v>
      </c>
      <c r="I604" s="6">
        <f t="shared" ref="I604:I667" si="49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48"/>
        <v>2500</v>
      </c>
      <c r="I605" s="6">
        <f t="shared" si="49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49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49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49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49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49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49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49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49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49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49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 t="shared" ref="H616:H621" si="50">15000/6</f>
        <v>2500</v>
      </c>
      <c r="I616" s="6">
        <f t="shared" si="49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si="50"/>
        <v>2500</v>
      </c>
      <c r="I617" s="6">
        <f t="shared" si="49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0"/>
        <v>2500</v>
      </c>
      <c r="I618" s="6">
        <f t="shared" si="49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0"/>
        <v>2500</v>
      </c>
      <c r="I619" s="6">
        <f t="shared" si="49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0"/>
        <v>2500</v>
      </c>
      <c r="I620" s="6">
        <f t="shared" si="49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0"/>
        <v>2500</v>
      </c>
      <c r="I621" s="6">
        <f t="shared" si="49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49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49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49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49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49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 t="shared" si="49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 t="shared" si="49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 t="shared" si="49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49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49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49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49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49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 t="shared" si="49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 t="shared" si="49"/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 t="shared" si="49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49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 t="shared" si="49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 t="shared" si="49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49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 t="shared" si="49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 t="shared" si="49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 t="shared" si="49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 t="shared" si="49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49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 t="shared" si="49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 t="shared" ref="H648:H653" si="51">15000/7</f>
        <v>2142.8571428571427</v>
      </c>
      <c r="I648" s="6">
        <f t="shared" si="49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si="51"/>
        <v>2142.8571428571427</v>
      </c>
      <c r="I649" s="6">
        <f t="shared" si="49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1"/>
        <v>2142.8571428571427</v>
      </c>
      <c r="I650" s="6">
        <f t="shared" si="49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1"/>
        <v>2142.8571428571427</v>
      </c>
      <c r="I651" s="6">
        <f t="shared" si="49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1"/>
        <v>2142.8571428571427</v>
      </c>
      <c r="I652" s="6">
        <f t="shared" si="49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1"/>
        <v>2142.8571428571427</v>
      </c>
      <c r="I653" s="6">
        <f t="shared" si="49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49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ref="H655:H661" si="52">15000/7</f>
        <v>2142.8571428571427</v>
      </c>
      <c r="I655" s="6">
        <f t="shared" si="49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2"/>
        <v>2142.8571428571427</v>
      </c>
      <c r="I656" s="6">
        <f t="shared" si="49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2"/>
        <v>2142.8571428571427</v>
      </c>
      <c r="I657" s="6">
        <f t="shared" si="49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2"/>
        <v>2142.8571428571427</v>
      </c>
      <c r="I658" s="6">
        <f t="shared" si="49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2"/>
        <v>2142.8571428571427</v>
      </c>
      <c r="I659" s="6">
        <f t="shared" si="49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2"/>
        <v>2142.8571428571427</v>
      </c>
      <c r="I660" s="6">
        <f t="shared" si="49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2"/>
        <v>2142.8571428571427</v>
      </c>
      <c r="I661" s="6">
        <f t="shared" si="49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49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 t="shared" si="49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49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49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49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49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ref="I668:I731" si="53"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3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3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3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 t="shared" si="53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3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 t="shared" si="53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 t="shared" si="53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 t="shared" si="53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 t="shared" si="53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 t="shared" si="53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 t="shared" si="53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 t="shared" si="53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3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3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 t="shared" si="53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 t="shared" si="53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 t="shared" si="53"/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 t="shared" si="53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 t="shared" si="53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 t="shared" si="53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3"/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3"/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 t="shared" si="53"/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 t="shared" si="53"/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 t="shared" si="53"/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 t="shared" si="53"/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 t="shared" si="53"/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 t="shared" si="53"/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3"/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3"/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 t="shared" si="53"/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 t="shared" si="53"/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3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 t="shared" si="53"/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 t="shared" si="53"/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 t="shared" si="53"/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3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 t="shared" si="53"/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 t="shared" si="53"/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 t="shared" si="53"/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 t="shared" si="53"/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 t="shared" si="53"/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 t="shared" si="53"/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 t="shared" si="53"/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 t="shared" si="53"/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 t="shared" si="53"/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 t="shared" si="53"/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 t="shared" si="53"/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 t="shared" si="53"/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 t="shared" si="53"/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 t="shared" si="53"/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 t="shared" si="53"/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 t="shared" si="53"/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 t="shared" si="53"/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 t="shared" si="53"/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 t="shared" si="53"/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 t="shared" si="53"/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 t="shared" si="53"/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 t="shared" si="53"/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 t="shared" si="53"/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 t="shared" si="53"/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 t="shared" si="53"/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 t="shared" si="53"/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 t="shared" ref="I732:I784" si="54"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 t="shared" ref="H733:H740" si="55">15000/7</f>
        <v>2142.8571428571427</v>
      </c>
      <c r="I733" s="6">
        <f t="shared" si="54"/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54"/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 x14ac:dyDescent="0.25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 t="shared" si="55"/>
        <v>2142.8571428571427</v>
      </c>
      <c r="I735" s="6">
        <f t="shared" si="54"/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 x14ac:dyDescent="0.25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 t="shared" si="55"/>
        <v>2142.8571428571427</v>
      </c>
      <c r="I736" s="6">
        <f t="shared" si="54"/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 x14ac:dyDescent="0.25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 t="shared" si="55"/>
        <v>2142.8571428571427</v>
      </c>
      <c r="I737" s="6">
        <f t="shared" si="54"/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 t="shared" si="55"/>
        <v>2142.8571428571427</v>
      </c>
      <c r="I738" s="6">
        <f t="shared" si="54"/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 x14ac:dyDescent="0.25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 t="shared" si="54"/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4">
        <v>46237</v>
      </c>
      <c r="B740" s="8" t="s">
        <v>2681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 t="shared" si="55"/>
        <v>2142.8571428571427</v>
      </c>
      <c r="I740" s="6">
        <f t="shared" si="54"/>
        <v>513.37760910815939</v>
      </c>
      <c r="J740" s="2" t="s">
        <v>1213</v>
      </c>
      <c r="K740" s="2">
        <v>10.54</v>
      </c>
      <c r="L740" s="2" t="s">
        <v>605</v>
      </c>
      <c r="M740" s="2" t="s">
        <v>2735</v>
      </c>
      <c r="N740" s="2" t="s">
        <v>2736</v>
      </c>
      <c r="O740" s="56">
        <v>5411</v>
      </c>
      <c r="P740" s="2" t="s">
        <v>2737</v>
      </c>
      <c r="Q740" s="2" t="s">
        <v>2738</v>
      </c>
      <c r="R740" s="2" t="s">
        <v>2739</v>
      </c>
      <c r="S740" s="2" t="s">
        <v>816</v>
      </c>
      <c r="T740" s="2" t="s">
        <v>2740</v>
      </c>
      <c r="U740" s="2" t="s">
        <v>2741</v>
      </c>
      <c r="V740" s="2" t="s">
        <v>2742</v>
      </c>
      <c r="W740" s="2" t="s">
        <v>2743</v>
      </c>
      <c r="X740" s="2" t="s">
        <v>2744</v>
      </c>
      <c r="Y740" s="2" t="s">
        <v>2745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 t="shared" si="54"/>
        <v>266.7140825035562</v>
      </c>
      <c r="J741" s="2" t="s">
        <v>2746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2747</v>
      </c>
      <c r="R741" s="2" t="s">
        <v>2748</v>
      </c>
      <c r="S741" s="2" t="s">
        <v>642</v>
      </c>
      <c r="T741" s="2" t="s">
        <v>2170</v>
      </c>
      <c r="U741" s="2" t="s">
        <v>2749</v>
      </c>
      <c r="V741" s="2" t="s">
        <v>2750</v>
      </c>
      <c r="W741" s="2" t="s">
        <v>2751</v>
      </c>
      <c r="X741" s="2" t="s">
        <v>2752</v>
      </c>
      <c r="Y741" s="2" t="s">
        <v>2753</v>
      </c>
      <c r="Z741" s="2" t="s">
        <v>649</v>
      </c>
      <c r="AA741" s="2" t="s">
        <v>548</v>
      </c>
      <c r="AB741" s="2" t="s">
        <v>2754</v>
      </c>
    </row>
    <row r="742" spans="1:28" x14ac:dyDescent="0.25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 t="shared" si="54"/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2755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2756</v>
      </c>
      <c r="V742" s="2" t="s">
        <v>2757</v>
      </c>
      <c r="W742" s="2" t="s">
        <v>2758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2759</v>
      </c>
    </row>
    <row r="743" spans="1:28" x14ac:dyDescent="0.25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 t="shared" si="54"/>
        <v>129.42307692307691</v>
      </c>
      <c r="J743" s="2" t="s">
        <v>1354</v>
      </c>
      <c r="K743" s="2">
        <v>5.2</v>
      </c>
      <c r="L743" s="2" t="s">
        <v>602</v>
      </c>
      <c r="M743" s="2" t="s">
        <v>2760</v>
      </c>
      <c r="N743" s="2" t="s">
        <v>2761</v>
      </c>
      <c r="O743" s="56">
        <v>673</v>
      </c>
      <c r="P743" s="2" t="s">
        <v>2762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2763</v>
      </c>
      <c r="X743" s="2" t="s">
        <v>2764</v>
      </c>
      <c r="Y743" s="2" t="s">
        <v>2765</v>
      </c>
      <c r="Z743" s="2" t="s">
        <v>602</v>
      </c>
      <c r="AA743" s="2" t="s">
        <v>548</v>
      </c>
      <c r="AB743" s="2" t="s">
        <v>2766</v>
      </c>
    </row>
    <row r="744" spans="1:28" x14ac:dyDescent="0.25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 t="shared" si="54"/>
        <v>312.78735632183907</v>
      </c>
      <c r="J744" s="2" t="s">
        <v>2407</v>
      </c>
      <c r="K744" s="2">
        <v>6.96</v>
      </c>
      <c r="L744" s="2" t="s">
        <v>636</v>
      </c>
      <c r="M744" s="2" t="s">
        <v>2767</v>
      </c>
      <c r="N744" s="2" t="s">
        <v>2768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2769</v>
      </c>
      <c r="X744" s="2" t="s">
        <v>2770</v>
      </c>
      <c r="Y744" s="2" t="s">
        <v>2771</v>
      </c>
      <c r="Z744" s="2" t="s">
        <v>618</v>
      </c>
      <c r="AA744" s="2" t="s">
        <v>548</v>
      </c>
      <c r="AB744" s="2" t="s">
        <v>2772</v>
      </c>
    </row>
    <row r="745" spans="1:28" x14ac:dyDescent="0.25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 t="shared" si="54"/>
        <v>0</v>
      </c>
      <c r="J745" s="2" t="s">
        <v>1433</v>
      </c>
      <c r="K745" s="2">
        <v>0.28000000000000003</v>
      </c>
      <c r="L745" s="2" t="s">
        <v>1654</v>
      </c>
      <c r="M745" s="2" t="s">
        <v>2773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2774</v>
      </c>
      <c r="W745" s="2" t="s">
        <v>2775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 t="shared" si="54"/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2776</v>
      </c>
      <c r="O746" s="56">
        <v>2084</v>
      </c>
      <c r="P746" s="2" t="s">
        <v>564</v>
      </c>
      <c r="Q746" s="2" t="s">
        <v>2777</v>
      </c>
      <c r="R746" s="2" t="s">
        <v>1866</v>
      </c>
      <c r="S746" s="2" t="s">
        <v>627</v>
      </c>
      <c r="T746" s="2" t="s">
        <v>2302</v>
      </c>
      <c r="U746" s="2" t="s">
        <v>2778</v>
      </c>
      <c r="V746" s="2" t="s">
        <v>1218</v>
      </c>
      <c r="W746" s="2" t="s">
        <v>2779</v>
      </c>
      <c r="X746" s="2" t="s">
        <v>2780</v>
      </c>
      <c r="Y746" s="2" t="s">
        <v>2781</v>
      </c>
      <c r="Z746" s="2" t="s">
        <v>800</v>
      </c>
      <c r="AA746" s="2" t="s">
        <v>548</v>
      </c>
      <c r="AB746" s="2" t="s">
        <v>2782</v>
      </c>
    </row>
    <row r="747" spans="1:28" x14ac:dyDescent="0.25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 t="shared" si="54"/>
        <v>823.85496183206101</v>
      </c>
      <c r="J747" s="2" t="s">
        <v>1011</v>
      </c>
      <c r="K747" s="2">
        <v>10.48</v>
      </c>
      <c r="L747" s="2" t="s">
        <v>561</v>
      </c>
      <c r="M747" s="2" t="s">
        <v>2783</v>
      </c>
      <c r="N747" s="2" t="s">
        <v>2784</v>
      </c>
      <c r="O747" s="56">
        <v>8634</v>
      </c>
      <c r="P747" s="2" t="s">
        <v>2785</v>
      </c>
      <c r="Q747" s="2" t="s">
        <v>1435</v>
      </c>
      <c r="R747" s="2" t="s">
        <v>2786</v>
      </c>
      <c r="S747" s="2" t="s">
        <v>839</v>
      </c>
      <c r="T747" s="2" t="s">
        <v>2787</v>
      </c>
      <c r="U747" s="2" t="s">
        <v>2788</v>
      </c>
      <c r="V747" s="2" t="s">
        <v>2789</v>
      </c>
      <c r="W747" s="2" t="s">
        <v>2790</v>
      </c>
      <c r="X747" s="2" t="s">
        <v>2791</v>
      </c>
      <c r="Y747" s="2" t="s">
        <v>2792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 t="shared" si="54"/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2793</v>
      </c>
      <c r="O748" s="56">
        <v>3889</v>
      </c>
      <c r="P748" s="2" t="s">
        <v>1389</v>
      </c>
      <c r="Q748" s="2" t="s">
        <v>2794</v>
      </c>
      <c r="R748" s="2" t="s">
        <v>2795</v>
      </c>
      <c r="S748" s="2" t="s">
        <v>712</v>
      </c>
      <c r="T748" s="2" t="s">
        <v>1447</v>
      </c>
      <c r="U748" s="2" t="s">
        <v>2434</v>
      </c>
      <c r="V748" s="2" t="s">
        <v>2796</v>
      </c>
      <c r="W748" s="2" t="s">
        <v>2797</v>
      </c>
      <c r="X748" s="2" t="s">
        <v>2798</v>
      </c>
      <c r="Y748" s="2" t="s">
        <v>2799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>15000/7</f>
        <v>2142.8571428571427</v>
      </c>
      <c r="I749" s="6">
        <f t="shared" si="54"/>
        <v>372.47474747474746</v>
      </c>
      <c r="J749" s="2" t="s">
        <v>2800</v>
      </c>
      <c r="K749" s="2">
        <v>7.92</v>
      </c>
      <c r="L749" s="2" t="s">
        <v>561</v>
      </c>
      <c r="M749" s="2" t="s">
        <v>2801</v>
      </c>
      <c r="N749" s="2" t="s">
        <v>2802</v>
      </c>
      <c r="O749" s="56">
        <v>2950</v>
      </c>
      <c r="P749" s="2" t="s">
        <v>2057</v>
      </c>
      <c r="Q749" s="2" t="s">
        <v>2803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2804</v>
      </c>
      <c r="X749" s="2" t="s">
        <v>2805</v>
      </c>
      <c r="Y749" s="2" t="s">
        <v>2806</v>
      </c>
      <c r="Z749" s="2" t="s">
        <v>580</v>
      </c>
      <c r="AA749" s="2" t="s">
        <v>548</v>
      </c>
      <c r="AB749" s="2" t="s">
        <v>2807</v>
      </c>
    </row>
    <row r="750" spans="1:28" x14ac:dyDescent="0.25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 t="shared" ref="H750:H766" si="56">15000/7</f>
        <v>2142.8571428571427</v>
      </c>
      <c r="I750" s="6">
        <f t="shared" si="54"/>
        <v>52.950075642965203</v>
      </c>
      <c r="J750" s="2" t="s">
        <v>2808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2809</v>
      </c>
      <c r="V750" s="2" t="s">
        <v>2810</v>
      </c>
      <c r="W750" s="2" t="s">
        <v>2811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2812</v>
      </c>
    </row>
    <row r="751" spans="1:28" x14ac:dyDescent="0.25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 t="shared" si="56"/>
        <v>2142.8571428571427</v>
      </c>
      <c r="I751" s="6">
        <f t="shared" si="54"/>
        <v>394.23347398030938</v>
      </c>
      <c r="J751" s="2" t="s">
        <v>2813</v>
      </c>
      <c r="K751" s="2">
        <v>7.11</v>
      </c>
      <c r="L751" s="2" t="s">
        <v>777</v>
      </c>
      <c r="M751" s="2" t="s">
        <v>2814</v>
      </c>
      <c r="N751" s="2" t="s">
        <v>2815</v>
      </c>
      <c r="O751" s="56">
        <v>2803</v>
      </c>
      <c r="P751" s="2" t="s">
        <v>1066</v>
      </c>
      <c r="Q751" s="2" t="s">
        <v>2816</v>
      </c>
      <c r="R751" s="2" t="s">
        <v>725</v>
      </c>
      <c r="S751" s="2" t="s">
        <v>567</v>
      </c>
      <c r="T751" s="2" t="s">
        <v>1131</v>
      </c>
      <c r="U751" s="2" t="s">
        <v>2817</v>
      </c>
      <c r="V751" s="2" t="s">
        <v>2818</v>
      </c>
      <c r="W751" s="2" t="s">
        <v>2819</v>
      </c>
      <c r="X751" s="2" t="s">
        <v>2820</v>
      </c>
      <c r="Y751" s="2" t="s">
        <v>2821</v>
      </c>
      <c r="Z751" s="2" t="s">
        <v>579</v>
      </c>
      <c r="AA751" s="2" t="s">
        <v>548</v>
      </c>
      <c r="AB751" s="2" t="s">
        <v>2822</v>
      </c>
    </row>
    <row r="752" spans="1:28" x14ac:dyDescent="0.25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 t="shared" si="56"/>
        <v>2142.8571428571427</v>
      </c>
      <c r="I752" s="6">
        <f t="shared" si="54"/>
        <v>301.35542168674698</v>
      </c>
      <c r="J752" s="2" t="s">
        <v>2823</v>
      </c>
      <c r="K752" s="2">
        <v>6.64</v>
      </c>
      <c r="L752" s="2" t="s">
        <v>817</v>
      </c>
      <c r="M752" s="2" t="s">
        <v>1853</v>
      </c>
      <c r="N752" s="2" t="s">
        <v>2824</v>
      </c>
      <c r="O752" s="56">
        <v>2001</v>
      </c>
      <c r="P752" s="2" t="s">
        <v>2380</v>
      </c>
      <c r="Q752" s="2" t="s">
        <v>2825</v>
      </c>
      <c r="R752" s="2" t="s">
        <v>1130</v>
      </c>
      <c r="S752" s="2" t="s">
        <v>961</v>
      </c>
      <c r="T752" s="2" t="s">
        <v>726</v>
      </c>
      <c r="U752" s="2" t="s">
        <v>2826</v>
      </c>
      <c r="V752" s="2" t="s">
        <v>2827</v>
      </c>
      <c r="W752" s="2" t="s">
        <v>2828</v>
      </c>
      <c r="X752" s="2" t="s">
        <v>2829</v>
      </c>
      <c r="Y752" s="2" t="s">
        <v>2830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 t="shared" si="56"/>
        <v>2142.8571428571427</v>
      </c>
      <c r="I753" s="6">
        <f t="shared" si="54"/>
        <v>236.83304647160071</v>
      </c>
      <c r="J753" s="2" t="s">
        <v>2831</v>
      </c>
      <c r="K753" s="2">
        <v>5.81</v>
      </c>
      <c r="L753" s="2" t="s">
        <v>1696</v>
      </c>
      <c r="M753" s="2" t="s">
        <v>2832</v>
      </c>
      <c r="N753" s="2" t="s">
        <v>2833</v>
      </c>
      <c r="O753" s="56">
        <v>1376</v>
      </c>
      <c r="P753" s="2" t="s">
        <v>2410</v>
      </c>
      <c r="Q753" s="2" t="s">
        <v>2834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2835</v>
      </c>
      <c r="W753" s="2" t="s">
        <v>2836</v>
      </c>
      <c r="X753" s="2" t="s">
        <v>2837</v>
      </c>
      <c r="Y753" s="2" t="s">
        <v>2838</v>
      </c>
      <c r="Z753" s="2" t="s">
        <v>652</v>
      </c>
      <c r="AA753" s="2" t="s">
        <v>548</v>
      </c>
      <c r="AB753" s="2" t="s">
        <v>2839</v>
      </c>
    </row>
    <row r="754" spans="1:28" x14ac:dyDescent="0.25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 t="shared" si="56"/>
        <v>2142.8571428571427</v>
      </c>
      <c r="I754" s="6">
        <f t="shared" si="54"/>
        <v>187.24727838258167</v>
      </c>
      <c r="J754" s="2" t="s">
        <v>2840</v>
      </c>
      <c r="K754" s="2">
        <v>6.43</v>
      </c>
      <c r="L754" s="2" t="s">
        <v>756</v>
      </c>
      <c r="M754" s="2" t="s">
        <v>724</v>
      </c>
      <c r="N754" s="2" t="s">
        <v>2841</v>
      </c>
      <c r="O754" s="56">
        <v>1204</v>
      </c>
      <c r="P754" s="2" t="s">
        <v>592</v>
      </c>
      <c r="Q754" s="2" t="s">
        <v>2842</v>
      </c>
      <c r="R754" s="2" t="s">
        <v>2843</v>
      </c>
      <c r="S754" s="2" t="s">
        <v>712</v>
      </c>
      <c r="T754" s="2" t="s">
        <v>1043</v>
      </c>
      <c r="U754" s="2" t="s">
        <v>1417</v>
      </c>
      <c r="V754" s="2" t="s">
        <v>2844</v>
      </c>
      <c r="W754" s="2" t="s">
        <v>2845</v>
      </c>
      <c r="X754" s="2" t="s">
        <v>2846</v>
      </c>
      <c r="Y754" s="2" t="s">
        <v>2847</v>
      </c>
      <c r="Z754" s="2" t="s">
        <v>580</v>
      </c>
      <c r="AA754" s="2" t="s">
        <v>548</v>
      </c>
      <c r="AB754" s="2" t="s">
        <v>2848</v>
      </c>
    </row>
    <row r="755" spans="1:28" x14ac:dyDescent="0.25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 t="shared" si="54"/>
        <v>514.65428276573789</v>
      </c>
      <c r="J755" s="2" t="s">
        <v>2849</v>
      </c>
      <c r="K755" s="2">
        <v>9.69</v>
      </c>
      <c r="L755" s="2" t="s">
        <v>734</v>
      </c>
      <c r="M755" s="2" t="s">
        <v>2850</v>
      </c>
      <c r="N755" s="2" t="s">
        <v>2851</v>
      </c>
      <c r="O755" s="56">
        <v>4987</v>
      </c>
      <c r="P755" s="2" t="s">
        <v>2852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2853</v>
      </c>
      <c r="X755" s="2" t="s">
        <v>2854</v>
      </c>
      <c r="Y755" s="2" t="s">
        <v>2855</v>
      </c>
      <c r="Z755" s="2" t="s">
        <v>649</v>
      </c>
      <c r="AA755" s="2" t="s">
        <v>548</v>
      </c>
      <c r="AB755" s="2" t="s">
        <v>2856</v>
      </c>
    </row>
    <row r="756" spans="1:28" x14ac:dyDescent="0.25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 t="shared" si="56"/>
        <v>2142.8571428571427</v>
      </c>
      <c r="I756" s="6">
        <f t="shared" si="54"/>
        <v>491.89189189189187</v>
      </c>
      <c r="J756" s="2" t="s">
        <v>1598</v>
      </c>
      <c r="K756" s="2">
        <v>4.07</v>
      </c>
      <c r="L756" s="2" t="s">
        <v>1064</v>
      </c>
      <c r="M756" s="2" t="s">
        <v>2857</v>
      </c>
      <c r="N756" s="2" t="s">
        <v>2858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2859</v>
      </c>
      <c r="U756" s="2" t="s">
        <v>2059</v>
      </c>
      <c r="V756" s="2" t="s">
        <v>2860</v>
      </c>
      <c r="W756" s="2" t="s">
        <v>2861</v>
      </c>
      <c r="X756" s="2" t="s">
        <v>2862</v>
      </c>
      <c r="Y756" s="2" t="s">
        <v>2863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 t="shared" si="56"/>
        <v>2142.8571428571427</v>
      </c>
      <c r="I757" s="6">
        <f t="shared" si="54"/>
        <v>529.64042759961137</v>
      </c>
      <c r="J757" s="2" t="s">
        <v>776</v>
      </c>
      <c r="K757" s="2">
        <v>10.29</v>
      </c>
      <c r="L757" s="2" t="s">
        <v>817</v>
      </c>
      <c r="M757" s="2" t="s">
        <v>2864</v>
      </c>
      <c r="N757" s="2" t="s">
        <v>2865</v>
      </c>
      <c r="O757" s="56">
        <v>5450</v>
      </c>
      <c r="P757" s="2" t="s">
        <v>2866</v>
      </c>
      <c r="Q757" s="2" t="s">
        <v>2867</v>
      </c>
      <c r="R757" s="2" t="s">
        <v>1278</v>
      </c>
      <c r="S757" s="2" t="s">
        <v>658</v>
      </c>
      <c r="T757" s="2" t="s">
        <v>1374</v>
      </c>
      <c r="U757" s="2" t="s">
        <v>2868</v>
      </c>
      <c r="V757" s="2" t="s">
        <v>2869</v>
      </c>
      <c r="W757" s="2" t="s">
        <v>2870</v>
      </c>
      <c r="X757" s="2" t="s">
        <v>2871</v>
      </c>
      <c r="Y757" s="2" t="s">
        <v>2872</v>
      </c>
      <c r="Z757" s="2" t="s">
        <v>649</v>
      </c>
      <c r="AA757" s="2" t="s">
        <v>548</v>
      </c>
      <c r="AB757" s="2" t="s">
        <v>2873</v>
      </c>
    </row>
    <row r="758" spans="1:28" x14ac:dyDescent="0.25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 t="shared" si="56"/>
        <v>2142.8571428571427</v>
      </c>
      <c r="I758" s="6">
        <f t="shared" si="54"/>
        <v>12.88659793814433</v>
      </c>
      <c r="J758" s="2" t="s">
        <v>2874</v>
      </c>
      <c r="K758" s="2">
        <v>7.76</v>
      </c>
      <c r="L758" s="2" t="s">
        <v>1595</v>
      </c>
      <c r="M758" s="2" t="s">
        <v>2875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2876</v>
      </c>
      <c r="V758" s="2" t="s">
        <v>2877</v>
      </c>
      <c r="W758" s="2" t="s">
        <v>2878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2879</v>
      </c>
    </row>
    <row r="759" spans="1:28" x14ac:dyDescent="0.25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 t="shared" si="54"/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 t="shared" si="56"/>
        <v>2142.8571428571427</v>
      </c>
      <c r="I760" s="6">
        <f t="shared" si="54"/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2880</v>
      </c>
      <c r="O760" s="56">
        <v>1156</v>
      </c>
      <c r="P760" s="2" t="s">
        <v>2190</v>
      </c>
      <c r="Q760" s="2" t="s">
        <v>2881</v>
      </c>
      <c r="R760" s="2" t="s">
        <v>2882</v>
      </c>
      <c r="S760" s="2" t="s">
        <v>685</v>
      </c>
      <c r="T760" s="2" t="s">
        <v>2344</v>
      </c>
      <c r="U760" s="2" t="s">
        <v>1375</v>
      </c>
      <c r="V760" s="2" t="s">
        <v>2883</v>
      </c>
      <c r="W760" s="2" t="s">
        <v>2884</v>
      </c>
      <c r="X760" s="2" t="s">
        <v>2885</v>
      </c>
      <c r="Y760" s="2" t="s">
        <v>2886</v>
      </c>
      <c r="Z760" s="2" t="s">
        <v>636</v>
      </c>
      <c r="AA760" s="2" t="s">
        <v>548</v>
      </c>
      <c r="AB760" s="2" t="s">
        <v>2887</v>
      </c>
    </row>
    <row r="761" spans="1:28" x14ac:dyDescent="0.25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 t="shared" si="56"/>
        <v>2142.8571428571427</v>
      </c>
      <c r="I761" s="6">
        <f t="shared" si="54"/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2888</v>
      </c>
      <c r="Q761" s="2" t="s">
        <v>2889</v>
      </c>
      <c r="R761" s="2" t="s">
        <v>2826</v>
      </c>
      <c r="S761" s="2" t="s">
        <v>839</v>
      </c>
      <c r="T761" s="2" t="s">
        <v>685</v>
      </c>
      <c r="U761" s="2" t="s">
        <v>2890</v>
      </c>
      <c r="V761" s="2" t="s">
        <v>2477</v>
      </c>
      <c r="W761" s="2" t="s">
        <v>2891</v>
      </c>
      <c r="X761" s="2" t="s">
        <v>2892</v>
      </c>
      <c r="Y761" s="2" t="s">
        <v>2893</v>
      </c>
      <c r="Z761" s="2" t="s">
        <v>580</v>
      </c>
      <c r="AA761" s="2" t="s">
        <v>548</v>
      </c>
      <c r="AB761" s="2" t="s">
        <v>2894</v>
      </c>
    </row>
    <row r="762" spans="1:28" x14ac:dyDescent="0.25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 t="shared" si="56"/>
        <v>2142.8571428571427</v>
      </c>
      <c r="I762" s="6">
        <f t="shared" si="54"/>
        <v>242.7682737169518</v>
      </c>
      <c r="J762" s="2" t="s">
        <v>2840</v>
      </c>
      <c r="K762" s="2">
        <v>6.43</v>
      </c>
      <c r="L762" s="2" t="s">
        <v>756</v>
      </c>
      <c r="M762" s="2" t="s">
        <v>724</v>
      </c>
      <c r="N762" s="2" t="s">
        <v>2895</v>
      </c>
      <c r="O762" s="56">
        <v>1561</v>
      </c>
      <c r="P762" s="2" t="s">
        <v>627</v>
      </c>
      <c r="Q762" s="2" t="s">
        <v>2896</v>
      </c>
      <c r="R762" s="2" t="s">
        <v>2897</v>
      </c>
      <c r="S762" s="2" t="s">
        <v>839</v>
      </c>
      <c r="T762" s="2" t="s">
        <v>628</v>
      </c>
      <c r="U762" s="2" t="s">
        <v>2898</v>
      </c>
      <c r="V762" s="2" t="s">
        <v>2899</v>
      </c>
      <c r="W762" s="2" t="s">
        <v>2900</v>
      </c>
      <c r="X762" s="2" t="s">
        <v>2901</v>
      </c>
      <c r="Y762" s="2" t="s">
        <v>2902</v>
      </c>
      <c r="Z762" s="2" t="s">
        <v>580</v>
      </c>
      <c r="AA762" s="2" t="s">
        <v>548</v>
      </c>
      <c r="AB762" s="2" t="s">
        <v>2903</v>
      </c>
    </row>
    <row r="763" spans="1:28" x14ac:dyDescent="0.25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 t="shared" si="56"/>
        <v>2142.8571428571427</v>
      </c>
      <c r="I763" s="6">
        <f t="shared" si="54"/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2904</v>
      </c>
      <c r="O763" s="56">
        <f>1047-75</f>
        <v>972</v>
      </c>
      <c r="P763" s="2" t="s">
        <v>2905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2906</v>
      </c>
      <c r="W763" s="2" t="s">
        <v>2907</v>
      </c>
      <c r="X763" s="2" t="s">
        <v>2908</v>
      </c>
      <c r="Y763" s="2" t="s">
        <v>2909</v>
      </c>
      <c r="Z763" s="2" t="s">
        <v>800</v>
      </c>
      <c r="AA763" s="2" t="s">
        <v>548</v>
      </c>
      <c r="AB763" s="2" t="s">
        <v>2910</v>
      </c>
    </row>
    <row r="764" spans="1:28" x14ac:dyDescent="0.25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 t="shared" si="54"/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 t="shared" si="54"/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2911</v>
      </c>
      <c r="O765" s="56">
        <v>3942</v>
      </c>
      <c r="P765" s="2" t="s">
        <v>2912</v>
      </c>
      <c r="Q765" s="2" t="s">
        <v>2913</v>
      </c>
      <c r="R765" s="2" t="s">
        <v>1889</v>
      </c>
      <c r="S765" s="2" t="s">
        <v>595</v>
      </c>
      <c r="T765" s="2" t="s">
        <v>737</v>
      </c>
      <c r="U765" s="2" t="s">
        <v>2914</v>
      </c>
      <c r="V765" s="2" t="s">
        <v>2915</v>
      </c>
      <c r="W765" s="2" t="s">
        <v>2916</v>
      </c>
      <c r="X765" s="2" t="s">
        <v>2917</v>
      </c>
      <c r="Y765" s="2" t="s">
        <v>2918</v>
      </c>
      <c r="Z765" s="2" t="s">
        <v>649</v>
      </c>
      <c r="AA765" s="2" t="s">
        <v>548</v>
      </c>
      <c r="AB765" s="2" t="s">
        <v>2919</v>
      </c>
    </row>
    <row r="766" spans="1:28" x14ac:dyDescent="0.25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 t="shared" si="56"/>
        <v>2142.8571428571427</v>
      </c>
      <c r="I766" s="6">
        <f t="shared" si="54"/>
        <v>0</v>
      </c>
      <c r="J766" s="2" t="s">
        <v>2920</v>
      </c>
      <c r="K766" s="2" t="s">
        <v>1227</v>
      </c>
      <c r="L766" s="2" t="s">
        <v>784</v>
      </c>
      <c r="M766" s="2" t="s">
        <v>2921</v>
      </c>
      <c r="N766" s="2" t="s">
        <v>2922</v>
      </c>
      <c r="O766" s="56">
        <v>1515</v>
      </c>
      <c r="P766" s="2" t="s">
        <v>2923</v>
      </c>
      <c r="Q766" s="2" t="s">
        <v>733</v>
      </c>
      <c r="R766" s="2" t="s">
        <v>2924</v>
      </c>
      <c r="S766" s="2" t="s">
        <v>902</v>
      </c>
      <c r="T766" s="2" t="s">
        <v>903</v>
      </c>
      <c r="U766" s="2" t="s">
        <v>629</v>
      </c>
      <c r="V766" s="2" t="s">
        <v>2925</v>
      </c>
      <c r="W766" s="2" t="s">
        <v>2926</v>
      </c>
      <c r="X766" s="2" t="s">
        <v>2927</v>
      </c>
      <c r="Y766" s="2" t="s">
        <v>2928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 t="shared" si="54"/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2980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2981</v>
      </c>
      <c r="Y767" s="2" t="s">
        <v>2982</v>
      </c>
      <c r="Z767" s="2">
        <v>0.2</v>
      </c>
      <c r="AA767" s="2" t="s">
        <v>548</v>
      </c>
      <c r="AB767" s="2">
        <v>291.5</v>
      </c>
    </row>
    <row r="768" spans="1:28" x14ac:dyDescent="0.25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 t="shared" ref="H768:H774" si="57">15000/6</f>
        <v>2500</v>
      </c>
      <c r="I768" s="6">
        <f t="shared" si="54"/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2983</v>
      </c>
    </row>
    <row r="769" spans="1:28" x14ac:dyDescent="0.25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 t="shared" si="57"/>
        <v>2500</v>
      </c>
      <c r="I769" s="6">
        <f t="shared" si="54"/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2984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2985</v>
      </c>
      <c r="Y769" s="2" t="s">
        <v>2986</v>
      </c>
      <c r="Z769" s="2">
        <v>1.2</v>
      </c>
      <c r="AA769" s="2" t="s">
        <v>548</v>
      </c>
      <c r="AB769" s="2">
        <v>64.8</v>
      </c>
    </row>
    <row r="770" spans="1:28" x14ac:dyDescent="0.25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 t="shared" si="57"/>
        <v>2500</v>
      </c>
      <c r="I770" s="6">
        <f t="shared" si="54"/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2987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2988</v>
      </c>
      <c r="Y770" s="2" t="s">
        <v>2989</v>
      </c>
      <c r="Z770" s="2">
        <v>0.4</v>
      </c>
      <c r="AA770" s="2" t="s">
        <v>548</v>
      </c>
      <c r="AB770" s="2">
        <v>329.7</v>
      </c>
    </row>
    <row r="771" spans="1:28" x14ac:dyDescent="0.25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 t="shared" si="57"/>
        <v>2500</v>
      </c>
      <c r="I771" s="6">
        <f t="shared" si="54"/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2812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2990</v>
      </c>
      <c r="Y771" s="2" t="s">
        <v>2991</v>
      </c>
      <c r="Z771" s="2" t="s">
        <v>548</v>
      </c>
      <c r="AA771" s="2" t="s">
        <v>548</v>
      </c>
      <c r="AB771" s="2">
        <v>119.1</v>
      </c>
    </row>
    <row r="772" spans="1:28" x14ac:dyDescent="0.25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 t="shared" si="54"/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2992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2993</v>
      </c>
      <c r="Y772" s="2" t="s">
        <v>2994</v>
      </c>
      <c r="Z772" s="2">
        <v>0.1</v>
      </c>
      <c r="AA772" s="2" t="s">
        <v>548</v>
      </c>
      <c r="AB772" s="2">
        <v>254.5</v>
      </c>
    </row>
    <row r="773" spans="1:28" x14ac:dyDescent="0.25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 t="shared" si="54"/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2995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2996</v>
      </c>
      <c r="Y773" s="2" t="s">
        <v>2997</v>
      </c>
      <c r="Z773" s="2" t="s">
        <v>548</v>
      </c>
      <c r="AA773" s="2" t="s">
        <v>548</v>
      </c>
      <c r="AB773" s="2">
        <v>49.3</v>
      </c>
    </row>
    <row r="774" spans="1:28" x14ac:dyDescent="0.25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 t="shared" si="57"/>
        <v>2500</v>
      </c>
      <c r="I774" s="6">
        <f t="shared" si="54"/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2998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2999</v>
      </c>
      <c r="Y774" s="2" t="s">
        <v>3000</v>
      </c>
      <c r="Z774" s="2" t="s">
        <v>548</v>
      </c>
      <c r="AA774" s="2" t="s">
        <v>548</v>
      </c>
      <c r="AB774" s="2">
        <v>5.5</v>
      </c>
    </row>
    <row r="775" spans="1:28" x14ac:dyDescent="0.25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 t="shared" si="54"/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3001</v>
      </c>
      <c r="Y775" s="2" t="s">
        <v>3002</v>
      </c>
      <c r="Z775" s="2">
        <v>0.1</v>
      </c>
      <c r="AA775" s="2" t="s">
        <v>548</v>
      </c>
      <c r="AB775" s="2">
        <v>291.60000000000002</v>
      </c>
    </row>
    <row r="776" spans="1:28" x14ac:dyDescent="0.25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 t="shared" si="54"/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 x14ac:dyDescent="0.25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 t="shared" ref="H777:H783" si="58">15000/5</f>
        <v>3000</v>
      </c>
      <c r="I777" s="6">
        <f t="shared" si="54"/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3003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3004</v>
      </c>
      <c r="Y777" s="2" t="s">
        <v>3005</v>
      </c>
      <c r="Z777" s="2">
        <v>1.1000000000000001</v>
      </c>
      <c r="AA777" s="2" t="s">
        <v>548</v>
      </c>
      <c r="AB777" s="2">
        <v>66.2</v>
      </c>
    </row>
    <row r="778" spans="1:28" x14ac:dyDescent="0.25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 t="shared" si="54"/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 t="shared" si="54"/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3008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3006</v>
      </c>
      <c r="Y779" s="2" t="s">
        <v>3007</v>
      </c>
      <c r="Z779" s="2">
        <v>1.8</v>
      </c>
      <c r="AA779" s="2" t="s">
        <v>548</v>
      </c>
      <c r="AB779" s="2">
        <v>331.5</v>
      </c>
    </row>
    <row r="780" spans="1:28" x14ac:dyDescent="0.25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 t="shared" si="58"/>
        <v>3000</v>
      </c>
      <c r="I780" s="6">
        <f t="shared" si="54"/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3009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3010</v>
      </c>
      <c r="Y780" s="2" t="s">
        <v>3011</v>
      </c>
      <c r="Z780" s="2">
        <v>0.2</v>
      </c>
      <c r="AA780" s="2" t="s">
        <v>548</v>
      </c>
      <c r="AB780" s="2">
        <v>119.3</v>
      </c>
    </row>
    <row r="781" spans="1:28" x14ac:dyDescent="0.25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 t="shared" si="54"/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3014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3012</v>
      </c>
      <c r="Y781" s="2" t="s">
        <v>3013</v>
      </c>
      <c r="Z781" s="2">
        <v>0.1</v>
      </c>
      <c r="AA781" s="2" t="s">
        <v>548</v>
      </c>
      <c r="AB781" s="2">
        <v>254.6</v>
      </c>
    </row>
    <row r="782" spans="1:28" x14ac:dyDescent="0.25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 t="shared" si="54"/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3018</v>
      </c>
      <c r="O782" s="79">
        <v>5749</v>
      </c>
      <c r="P782" s="2">
        <v>5.3</v>
      </c>
      <c r="Q782" s="2">
        <v>17.18</v>
      </c>
      <c r="R782" s="2" t="s">
        <v>3019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3020</v>
      </c>
      <c r="Y782" s="2" t="s">
        <v>3021</v>
      </c>
      <c r="Z782" s="2" t="s">
        <v>548</v>
      </c>
      <c r="AA782" s="2" t="s">
        <v>548</v>
      </c>
      <c r="AB782" s="2">
        <v>49.3</v>
      </c>
    </row>
    <row r="783" spans="1:28" x14ac:dyDescent="0.25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 t="shared" si="58"/>
        <v>3000</v>
      </c>
      <c r="I783" s="6">
        <f t="shared" si="54"/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3022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3023</v>
      </c>
      <c r="Y783" s="2" t="s">
        <v>3024</v>
      </c>
      <c r="Z783" s="2">
        <v>0.1</v>
      </c>
      <c r="AA783" s="2" t="s">
        <v>548</v>
      </c>
      <c r="AB783" s="2">
        <v>5.6</v>
      </c>
    </row>
    <row r="784" spans="1:28" x14ac:dyDescent="0.25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6">
        <f t="shared" si="54"/>
        <v>0</v>
      </c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 x14ac:dyDescent="0.25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 t="shared" ref="I785:I799" si="59">IFERROR(O785/K785,)</f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3001</v>
      </c>
      <c r="Y785" s="2" t="s">
        <v>3002</v>
      </c>
      <c r="Z785" s="2" t="s">
        <v>548</v>
      </c>
      <c r="AA785" s="2" t="s">
        <v>45</v>
      </c>
      <c r="AB785" s="2">
        <v>291.60000000000002</v>
      </c>
    </row>
    <row r="786" spans="1:28" x14ac:dyDescent="0.25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 t="shared" si="59"/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 x14ac:dyDescent="0.25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 t="shared" si="59"/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 x14ac:dyDescent="0.25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 t="shared" si="59"/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3006</v>
      </c>
      <c r="Y788" s="2" t="s">
        <v>3007</v>
      </c>
      <c r="Z788" s="2" t="s">
        <v>548</v>
      </c>
      <c r="AA788" s="2" t="s">
        <v>45</v>
      </c>
      <c r="AB788" s="2">
        <v>331.5</v>
      </c>
    </row>
    <row r="789" spans="1:28" x14ac:dyDescent="0.25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 t="shared" si="59"/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 x14ac:dyDescent="0.25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 t="shared" si="59"/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3012</v>
      </c>
      <c r="Y790" s="2" t="s">
        <v>3013</v>
      </c>
      <c r="Z790" s="2" t="s">
        <v>548</v>
      </c>
      <c r="AA790" s="2" t="s">
        <v>45</v>
      </c>
      <c r="AB790" s="2">
        <v>254.6</v>
      </c>
    </row>
    <row r="791" spans="1:28" x14ac:dyDescent="0.25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 t="shared" si="59"/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3015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3016</v>
      </c>
      <c r="Y791" s="2" t="s">
        <v>3017</v>
      </c>
      <c r="Z791" s="2" t="s">
        <v>548</v>
      </c>
      <c r="AA791" s="2" t="s">
        <v>548</v>
      </c>
      <c r="AB791" s="2">
        <v>49.3</v>
      </c>
    </row>
    <row r="792" spans="1:28" x14ac:dyDescent="0.25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 t="shared" si="59"/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 x14ac:dyDescent="0.25">
      <c r="A793" s="2" t="s">
        <v>3025</v>
      </c>
      <c r="B793" s="8" t="s">
        <v>3032</v>
      </c>
      <c r="C793" s="8" t="s">
        <v>36</v>
      </c>
      <c r="D793" s="8" t="s">
        <v>39</v>
      </c>
      <c r="E793" s="8" t="s">
        <v>47</v>
      </c>
      <c r="F793" s="13"/>
      <c r="G793" s="59"/>
      <c r="H793" s="13"/>
      <c r="I793" s="6">
        <f t="shared" si="59"/>
        <v>247.074122236671</v>
      </c>
      <c r="J793" s="2">
        <v>8.24</v>
      </c>
      <c r="K793" s="2">
        <v>7.69</v>
      </c>
      <c r="L793" s="2">
        <v>0.55000000000000004</v>
      </c>
      <c r="M793" s="2">
        <v>6.68</v>
      </c>
      <c r="N793" s="2" t="s">
        <v>1975</v>
      </c>
      <c r="O793" s="85">
        <v>1900</v>
      </c>
      <c r="P793" s="2">
        <v>1.59</v>
      </c>
      <c r="Q793" s="2">
        <v>11.53</v>
      </c>
      <c r="R793" s="2">
        <v>151.41999999999999</v>
      </c>
      <c r="S793" s="2">
        <v>2.37</v>
      </c>
      <c r="T793" s="2">
        <v>4.3</v>
      </c>
      <c r="U793" s="2">
        <v>149.05000000000001</v>
      </c>
      <c r="V793" s="2">
        <v>19.39</v>
      </c>
      <c r="W793" s="2">
        <v>9313.74</v>
      </c>
      <c r="X793" s="2" t="s">
        <v>3026</v>
      </c>
      <c r="Y793" s="2" t="s">
        <v>3027</v>
      </c>
      <c r="Z793" s="2" t="s">
        <v>548</v>
      </c>
      <c r="AA793" s="2" t="s">
        <v>548</v>
      </c>
      <c r="AB793" s="2">
        <v>291.8</v>
      </c>
    </row>
    <row r="794" spans="1:28" x14ac:dyDescent="0.25">
      <c r="A794" s="2" t="s">
        <v>3028</v>
      </c>
      <c r="B794" s="8" t="s">
        <v>3032</v>
      </c>
      <c r="C794" s="8" t="s">
        <v>36</v>
      </c>
      <c r="D794" s="8" t="s">
        <v>39</v>
      </c>
      <c r="E794" s="8" t="s">
        <v>47</v>
      </c>
      <c r="F794" s="13"/>
      <c r="G794" s="59"/>
      <c r="H794" s="13"/>
      <c r="I794" s="6">
        <f t="shared" si="59"/>
        <v>331.76943699731902</v>
      </c>
      <c r="J794" s="2">
        <v>8.86</v>
      </c>
      <c r="K794" s="2">
        <v>7.46</v>
      </c>
      <c r="L794" s="2">
        <v>1.4</v>
      </c>
      <c r="M794" s="2">
        <v>15.81</v>
      </c>
      <c r="N794" s="2" t="s">
        <v>3029</v>
      </c>
      <c r="O794" s="85">
        <v>2475</v>
      </c>
      <c r="P794" s="2">
        <v>1.58</v>
      </c>
      <c r="Q794" s="2">
        <v>9.84</v>
      </c>
      <c r="R794" s="2">
        <v>150.94</v>
      </c>
      <c r="S794" s="2">
        <v>6.15</v>
      </c>
      <c r="T794" s="2">
        <v>4.3899999999999997</v>
      </c>
      <c r="U794" s="2">
        <v>144.79</v>
      </c>
      <c r="V794" s="2">
        <v>19.420000000000002</v>
      </c>
      <c r="W794" s="2">
        <v>9305.5</v>
      </c>
      <c r="X794" s="2" t="s">
        <v>3030</v>
      </c>
      <c r="Y794" s="2" t="s">
        <v>3031</v>
      </c>
      <c r="Z794" s="2">
        <v>0.2</v>
      </c>
      <c r="AA794" s="2" t="s">
        <v>548</v>
      </c>
      <c r="AB794" s="2">
        <v>291.8</v>
      </c>
    </row>
    <row r="795" spans="1:28" x14ac:dyDescent="0.25">
      <c r="A795" s="2" t="s">
        <v>3025</v>
      </c>
      <c r="B795" s="8" t="s">
        <v>3032</v>
      </c>
      <c r="C795" s="8" t="s">
        <v>36</v>
      </c>
      <c r="D795" s="8" t="s">
        <v>43</v>
      </c>
      <c r="E795" s="8" t="s">
        <v>47</v>
      </c>
      <c r="F795" s="13"/>
      <c r="G795" s="59"/>
      <c r="H795" s="13"/>
      <c r="I795" s="6">
        <f t="shared" si="59"/>
        <v>0</v>
      </c>
      <c r="J795" s="2" t="s">
        <v>45</v>
      </c>
      <c r="K795" s="2" t="s">
        <v>45</v>
      </c>
      <c r="L795" s="2" t="s">
        <v>45</v>
      </c>
      <c r="M795" s="2" t="s">
        <v>45</v>
      </c>
      <c r="N795" s="2" t="s">
        <v>45</v>
      </c>
      <c r="O795" s="85">
        <v>450</v>
      </c>
      <c r="P795" s="2" t="s">
        <v>45</v>
      </c>
      <c r="Q795" s="2" t="s">
        <v>45</v>
      </c>
      <c r="R795" s="2" t="s">
        <v>45</v>
      </c>
      <c r="S795" s="2" t="s">
        <v>45</v>
      </c>
      <c r="T795" s="2" t="s">
        <v>45</v>
      </c>
      <c r="U795" s="2" t="s">
        <v>45</v>
      </c>
      <c r="V795" s="2" t="s">
        <v>45</v>
      </c>
      <c r="W795" s="2" t="s">
        <v>45</v>
      </c>
      <c r="X795" s="2" t="s">
        <v>45</v>
      </c>
      <c r="Y795" s="2" t="s">
        <v>45</v>
      </c>
      <c r="Z795" s="2" t="s">
        <v>45</v>
      </c>
      <c r="AA795" s="2" t="s">
        <v>45</v>
      </c>
      <c r="AB795" s="2" t="s">
        <v>45</v>
      </c>
    </row>
    <row r="796" spans="1:28" x14ac:dyDescent="0.25">
      <c r="A796" s="2" t="s">
        <v>3028</v>
      </c>
      <c r="B796" s="8" t="s">
        <v>3032</v>
      </c>
      <c r="C796" s="8" t="s">
        <v>36</v>
      </c>
      <c r="D796" s="8" t="s">
        <v>43</v>
      </c>
      <c r="E796" s="8" t="s">
        <v>47</v>
      </c>
      <c r="F796" s="13"/>
      <c r="G796" s="59"/>
      <c r="H796" s="13"/>
      <c r="I796" s="6">
        <f t="shared" si="59"/>
        <v>37.313432835820898</v>
      </c>
      <c r="J796" s="2">
        <v>2.46</v>
      </c>
      <c r="K796" s="2">
        <v>2.0099999999999998</v>
      </c>
      <c r="L796" s="2">
        <v>0.45</v>
      </c>
      <c r="M796" s="2">
        <v>18.309999999999999</v>
      </c>
      <c r="N796" s="2" t="s">
        <v>45</v>
      </c>
      <c r="O796" s="85">
        <v>75</v>
      </c>
      <c r="P796" s="2" t="s">
        <v>45</v>
      </c>
      <c r="Q796" s="2" t="s">
        <v>45</v>
      </c>
      <c r="R796" s="2">
        <v>35.49</v>
      </c>
      <c r="S796" s="2">
        <v>1.42</v>
      </c>
      <c r="T796" s="2">
        <v>3.15</v>
      </c>
      <c r="U796" s="2">
        <v>34.07</v>
      </c>
      <c r="V796" s="2">
        <v>16.97</v>
      </c>
      <c r="W796" s="2">
        <v>8899.67</v>
      </c>
      <c r="X796" s="2" t="s">
        <v>45</v>
      </c>
      <c r="Y796" s="2" t="s">
        <v>45</v>
      </c>
      <c r="Z796" s="2">
        <v>0.4</v>
      </c>
      <c r="AA796" s="2" t="s">
        <v>45</v>
      </c>
      <c r="AB796" s="2">
        <v>263.60000000000002</v>
      </c>
    </row>
    <row r="797" spans="1:28" x14ac:dyDescent="0.25">
      <c r="A797" s="2" t="s">
        <v>3025</v>
      </c>
      <c r="B797" s="8" t="s">
        <v>3032</v>
      </c>
      <c r="C797" s="8" t="s">
        <v>36</v>
      </c>
      <c r="D797" s="8" t="s">
        <v>67</v>
      </c>
      <c r="E797" s="8" t="s">
        <v>61</v>
      </c>
      <c r="F797" s="13"/>
      <c r="G797" s="59"/>
      <c r="H797" s="59"/>
      <c r="I797" s="6">
        <f t="shared" si="59"/>
        <v>307.66045548654245</v>
      </c>
      <c r="J797" s="2">
        <v>13.16</v>
      </c>
      <c r="K797" s="2">
        <v>9.66</v>
      </c>
      <c r="L797" s="2">
        <v>3.5</v>
      </c>
      <c r="M797" s="2">
        <v>26.59</v>
      </c>
      <c r="N797" s="2" t="s">
        <v>3033</v>
      </c>
      <c r="O797" s="85">
        <f>3872-O798</f>
        <v>2972</v>
      </c>
      <c r="P797" s="2">
        <v>2.42</v>
      </c>
      <c r="Q797" s="2">
        <v>18.18</v>
      </c>
      <c r="R797" s="2">
        <v>212.93</v>
      </c>
      <c r="S797" s="2">
        <v>11.36</v>
      </c>
      <c r="T797" s="2">
        <v>3.24</v>
      </c>
      <c r="U797" s="2">
        <v>201.57</v>
      </c>
      <c r="V797" s="2">
        <v>20.86</v>
      </c>
      <c r="W797" s="2">
        <v>707.22</v>
      </c>
      <c r="X797" s="2" t="s">
        <v>3034</v>
      </c>
      <c r="Y797" s="2" t="s">
        <v>3035</v>
      </c>
      <c r="Z797" s="2">
        <v>0.6</v>
      </c>
      <c r="AA797" s="2" t="s">
        <v>548</v>
      </c>
      <c r="AB797" s="2">
        <v>68.2</v>
      </c>
    </row>
    <row r="798" spans="1:28" x14ac:dyDescent="0.25">
      <c r="A798" s="2" t="s">
        <v>3025</v>
      </c>
      <c r="B798" s="8" t="s">
        <v>3032</v>
      </c>
      <c r="C798" s="8" t="s">
        <v>36</v>
      </c>
      <c r="D798" s="8" t="s">
        <v>67</v>
      </c>
      <c r="E798" s="8" t="s">
        <v>47</v>
      </c>
      <c r="F798" s="13"/>
      <c r="G798" s="59"/>
      <c r="H798" s="59"/>
      <c r="I798" s="6"/>
      <c r="J798" s="2"/>
      <c r="K798" s="2"/>
      <c r="L798" s="2"/>
      <c r="M798" s="2"/>
      <c r="N798" s="2"/>
      <c r="O798" s="85">
        <f>36*25</f>
        <v>900</v>
      </c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x14ac:dyDescent="0.25">
      <c r="A799" s="2" t="s">
        <v>3028</v>
      </c>
      <c r="B799" s="8" t="s">
        <v>3032</v>
      </c>
      <c r="C799" s="8" t="s">
        <v>36</v>
      </c>
      <c r="D799" s="8" t="s">
        <v>67</v>
      </c>
      <c r="E799" s="8" t="s">
        <v>47</v>
      </c>
      <c r="F799" s="13"/>
      <c r="G799" s="59"/>
      <c r="H799" s="59"/>
      <c r="I799" s="6">
        <f t="shared" si="59"/>
        <v>258.160237388724</v>
      </c>
      <c r="J799" s="2">
        <v>8.94</v>
      </c>
      <c r="K799" s="2">
        <v>6.74</v>
      </c>
      <c r="L799" s="2">
        <v>2.2000000000000002</v>
      </c>
      <c r="M799" s="2">
        <v>24.62</v>
      </c>
      <c r="N799" s="2" t="s">
        <v>3036</v>
      </c>
      <c r="O799" s="85">
        <f>2665-O800</f>
        <v>1740</v>
      </c>
      <c r="P799" s="2">
        <v>2.1800000000000002</v>
      </c>
      <c r="Q799" s="2">
        <v>17.82</v>
      </c>
      <c r="R799" s="2">
        <v>149.52000000000001</v>
      </c>
      <c r="S799" s="2">
        <v>8.0399999999999991</v>
      </c>
      <c r="T799" s="2">
        <v>3.66</v>
      </c>
      <c r="U799" s="2">
        <v>141.47999999999999</v>
      </c>
      <c r="V799" s="2">
        <v>21.01</v>
      </c>
      <c r="W799" s="2">
        <v>694.05</v>
      </c>
      <c r="X799" s="2" t="s">
        <v>3037</v>
      </c>
      <c r="Y799" s="2" t="s">
        <v>3038</v>
      </c>
      <c r="Z799" s="2">
        <v>0.8</v>
      </c>
      <c r="AA799" s="2" t="s">
        <v>548</v>
      </c>
      <c r="AB799" s="2">
        <v>67.599999999999994</v>
      </c>
    </row>
    <row r="800" spans="1:28" x14ac:dyDescent="0.25">
      <c r="A800" s="2" t="s">
        <v>3028</v>
      </c>
      <c r="B800" s="8" t="s">
        <v>3032</v>
      </c>
      <c r="C800" s="8" t="s">
        <v>36</v>
      </c>
      <c r="D800" s="8" t="s">
        <v>67</v>
      </c>
      <c r="E800" s="8" t="s">
        <v>61</v>
      </c>
      <c r="F800" s="13"/>
      <c r="G800" s="59"/>
      <c r="H800" s="59"/>
      <c r="I800" s="6"/>
      <c r="J800" s="2"/>
      <c r="K800" s="2"/>
      <c r="L800" s="2"/>
      <c r="M800" s="2"/>
      <c r="N800" s="2"/>
      <c r="O800" s="85">
        <f>37*25</f>
        <v>925</v>
      </c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x14ac:dyDescent="0.25">
      <c r="A801" s="2" t="s">
        <v>3025</v>
      </c>
      <c r="B801" s="8" t="s">
        <v>3032</v>
      </c>
      <c r="C801" s="8" t="s">
        <v>36</v>
      </c>
      <c r="D801" s="8" t="s">
        <v>50</v>
      </c>
      <c r="E801" s="8" t="s">
        <v>61</v>
      </c>
      <c r="F801" s="13"/>
      <c r="G801" s="59"/>
      <c r="H801" s="59"/>
      <c r="I801" s="6">
        <f t="shared" ref="I801:I811" si="60">IFERROR(O801/K801,)</f>
        <v>372.95285359801488</v>
      </c>
      <c r="J801" s="2">
        <v>5.58</v>
      </c>
      <c r="K801" s="2">
        <v>4.03</v>
      </c>
      <c r="L801" s="2">
        <v>1.55</v>
      </c>
      <c r="M801" s="2">
        <v>27.76</v>
      </c>
      <c r="N801" s="2" t="s">
        <v>3039</v>
      </c>
      <c r="O801" s="85">
        <v>1503</v>
      </c>
      <c r="P801" s="2">
        <v>2.14</v>
      </c>
      <c r="Q801" s="2">
        <v>16.12</v>
      </c>
      <c r="R801" s="2">
        <v>93.22</v>
      </c>
      <c r="S801" s="2">
        <v>6.15</v>
      </c>
      <c r="T801" s="2">
        <v>3.97</v>
      </c>
      <c r="U801" s="2">
        <v>87.06</v>
      </c>
      <c r="V801" s="2">
        <v>21.59</v>
      </c>
      <c r="W801" s="2">
        <v>2556.8000000000002</v>
      </c>
      <c r="X801" s="2" t="s">
        <v>3040</v>
      </c>
      <c r="Y801" s="2" t="s">
        <v>3041</v>
      </c>
      <c r="Z801" s="2">
        <v>1.5</v>
      </c>
      <c r="AA801" s="2" t="s">
        <v>548</v>
      </c>
      <c r="AB801" s="2">
        <v>333.3</v>
      </c>
    </row>
    <row r="802" spans="1:28" x14ac:dyDescent="0.25">
      <c r="A802" s="2" t="s">
        <v>3028</v>
      </c>
      <c r="B802" s="8" t="s">
        <v>3032</v>
      </c>
      <c r="C802" s="8" t="s">
        <v>36</v>
      </c>
      <c r="D802" s="8" t="s">
        <v>50</v>
      </c>
      <c r="E802" s="8" t="s">
        <v>47</v>
      </c>
      <c r="F802" s="13"/>
      <c r="G802" s="59"/>
      <c r="H802" s="59"/>
      <c r="I802" s="6">
        <f t="shared" si="60"/>
        <v>0</v>
      </c>
      <c r="J802" s="2">
        <v>1.36</v>
      </c>
      <c r="K802" s="2">
        <v>0.66</v>
      </c>
      <c r="L802" s="2">
        <v>0.7</v>
      </c>
      <c r="M802" s="2">
        <v>51.39</v>
      </c>
      <c r="N802" s="2" t="s">
        <v>548</v>
      </c>
      <c r="O802" s="85">
        <v>0</v>
      </c>
      <c r="P802" s="2" t="s">
        <v>45</v>
      </c>
      <c r="Q802" s="2" t="s">
        <v>548</v>
      </c>
      <c r="R802" s="2">
        <v>10.88</v>
      </c>
      <c r="S802" s="2">
        <v>2.37</v>
      </c>
      <c r="T802" s="2">
        <v>3.38</v>
      </c>
      <c r="U802" s="2">
        <v>8.52</v>
      </c>
      <c r="V802" s="2">
        <v>12.86</v>
      </c>
      <c r="W802" s="2">
        <v>2551.2199999999998</v>
      </c>
      <c r="X802" s="2" t="s">
        <v>3006</v>
      </c>
      <c r="Y802" s="2" t="s">
        <v>3007</v>
      </c>
      <c r="Z802" s="2">
        <v>0.3</v>
      </c>
      <c r="AA802" s="2" t="s">
        <v>45</v>
      </c>
      <c r="AB802" s="2">
        <v>331.8</v>
      </c>
    </row>
    <row r="803" spans="1:28" x14ac:dyDescent="0.25">
      <c r="A803" s="2" t="s">
        <v>3025</v>
      </c>
      <c r="B803" s="8" t="s">
        <v>3032</v>
      </c>
      <c r="C803" s="8" t="s">
        <v>36</v>
      </c>
      <c r="D803" s="8" t="s">
        <v>52</v>
      </c>
      <c r="E803" s="8" t="s">
        <v>47</v>
      </c>
      <c r="F803" s="13"/>
      <c r="G803" s="59"/>
      <c r="H803" s="59"/>
      <c r="I803" s="6">
        <f t="shared" si="60"/>
        <v>108.52618757612666</v>
      </c>
      <c r="J803" s="2">
        <v>9.4600000000000009</v>
      </c>
      <c r="K803" s="2">
        <v>8.2100000000000009</v>
      </c>
      <c r="L803" s="2">
        <v>1.25</v>
      </c>
      <c r="M803" s="2">
        <v>13.22</v>
      </c>
      <c r="N803" s="2" t="s">
        <v>3042</v>
      </c>
      <c r="O803" s="85">
        <f>1491-O804</f>
        <v>891</v>
      </c>
      <c r="P803" s="2">
        <v>1.78</v>
      </c>
      <c r="Q803" s="2">
        <v>10.4</v>
      </c>
      <c r="R803" s="2">
        <v>143.37</v>
      </c>
      <c r="S803" s="2">
        <v>5.2</v>
      </c>
      <c r="T803" s="2">
        <v>4.16</v>
      </c>
      <c r="U803" s="2">
        <v>138.16999999999999</v>
      </c>
      <c r="V803" s="2">
        <v>16.829999999999998</v>
      </c>
      <c r="W803" s="2">
        <v>1151.94</v>
      </c>
      <c r="X803" s="2" t="s">
        <v>3043</v>
      </c>
      <c r="Y803" s="2" t="s">
        <v>3044</v>
      </c>
      <c r="Z803" s="2">
        <v>0.6</v>
      </c>
      <c r="AA803" s="2" t="s">
        <v>548</v>
      </c>
      <c r="AB803" s="2">
        <v>120.4</v>
      </c>
    </row>
    <row r="804" spans="1:28" x14ac:dyDescent="0.25">
      <c r="A804" s="2" t="s">
        <v>3025</v>
      </c>
      <c r="B804" s="8" t="s">
        <v>3032</v>
      </c>
      <c r="C804" s="8" t="s">
        <v>36</v>
      </c>
      <c r="D804" s="8" t="s">
        <v>52</v>
      </c>
      <c r="E804" s="8" t="s">
        <v>61</v>
      </c>
      <c r="F804" s="13"/>
      <c r="G804" s="59"/>
      <c r="H804" s="59"/>
      <c r="I804" s="6"/>
      <c r="J804" s="2"/>
      <c r="K804" s="2"/>
      <c r="L804" s="2"/>
      <c r="M804" s="2"/>
      <c r="N804" s="2"/>
      <c r="O804" s="85">
        <f>24*25</f>
        <v>600</v>
      </c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x14ac:dyDescent="0.25">
      <c r="A805" s="2" t="s">
        <v>3028</v>
      </c>
      <c r="B805" s="8" t="s">
        <v>3032</v>
      </c>
      <c r="C805" s="8" t="s">
        <v>36</v>
      </c>
      <c r="D805" s="8" t="s">
        <v>52</v>
      </c>
      <c r="E805" s="8" t="s">
        <v>47</v>
      </c>
      <c r="F805" s="13"/>
      <c r="G805" s="59"/>
      <c r="H805" s="59"/>
      <c r="I805" s="6">
        <f t="shared" si="60"/>
        <v>144.85049833887044</v>
      </c>
      <c r="J805" s="2">
        <v>10.73</v>
      </c>
      <c r="K805" s="2">
        <v>9.0299999999999994</v>
      </c>
      <c r="L805" s="2">
        <v>1.7</v>
      </c>
      <c r="M805" s="2">
        <v>15.85</v>
      </c>
      <c r="N805" s="2" t="s">
        <v>3045</v>
      </c>
      <c r="O805" s="85">
        <v>1308</v>
      </c>
      <c r="P805" s="2">
        <v>1.65</v>
      </c>
      <c r="Q805" s="2">
        <v>6.79</v>
      </c>
      <c r="R805" s="2">
        <v>192.58</v>
      </c>
      <c r="S805" s="2">
        <v>6.15</v>
      </c>
      <c r="T805" s="2">
        <v>3.62</v>
      </c>
      <c r="U805" s="2">
        <v>186.43</v>
      </c>
      <c r="V805" s="2">
        <v>20.65</v>
      </c>
      <c r="W805" s="2">
        <v>1142.1500000000001</v>
      </c>
      <c r="X805" s="2" t="s">
        <v>3046</v>
      </c>
      <c r="Y805" s="2" t="s">
        <v>3047</v>
      </c>
      <c r="Z805" s="2">
        <v>0.5</v>
      </c>
      <c r="AA805" s="2" t="s">
        <v>548</v>
      </c>
      <c r="AB805" s="2">
        <v>119.8</v>
      </c>
    </row>
    <row r="806" spans="1:28" x14ac:dyDescent="0.25">
      <c r="A806" s="2" t="s">
        <v>3025</v>
      </c>
      <c r="B806" s="8" t="s">
        <v>3032</v>
      </c>
      <c r="C806" s="8" t="s">
        <v>36</v>
      </c>
      <c r="D806" s="7" t="s">
        <v>46</v>
      </c>
      <c r="E806" s="8" t="s">
        <v>47</v>
      </c>
      <c r="F806" s="13"/>
      <c r="G806" s="59"/>
      <c r="H806" s="59"/>
      <c r="I806" s="6">
        <f t="shared" si="60"/>
        <v>285.69206842923796</v>
      </c>
      <c r="J806" s="2">
        <v>7.03</v>
      </c>
      <c r="K806" s="2">
        <v>6.43</v>
      </c>
      <c r="L806" s="2">
        <v>0.6</v>
      </c>
      <c r="M806" s="2">
        <v>8.5299999999999994</v>
      </c>
      <c r="N806" s="2" t="s">
        <v>3048</v>
      </c>
      <c r="O806" s="85">
        <v>1837</v>
      </c>
      <c r="P806" s="2">
        <v>2.77</v>
      </c>
      <c r="Q806" s="2">
        <v>8.9</v>
      </c>
      <c r="R806" s="2">
        <v>206.3</v>
      </c>
      <c r="S806" s="2">
        <v>2.84</v>
      </c>
      <c r="T806" s="2">
        <v>4.7300000000000004</v>
      </c>
      <c r="U806" s="2">
        <v>203.47</v>
      </c>
      <c r="V806" s="2">
        <v>31.64</v>
      </c>
      <c r="W806" s="2">
        <v>8120.14</v>
      </c>
      <c r="X806" s="2" t="s">
        <v>3049</v>
      </c>
      <c r="Y806" s="2" t="s">
        <v>3050</v>
      </c>
      <c r="Z806" s="2">
        <v>0.4</v>
      </c>
      <c r="AA806" s="2" t="s">
        <v>548</v>
      </c>
      <c r="AB806" s="2">
        <v>255.5</v>
      </c>
    </row>
    <row r="807" spans="1:28" x14ac:dyDescent="0.25">
      <c r="A807" s="2" t="s">
        <v>3028</v>
      </c>
      <c r="B807" s="8" t="s">
        <v>3032</v>
      </c>
      <c r="C807" s="8" t="s">
        <v>36</v>
      </c>
      <c r="D807" s="7" t="s">
        <v>46</v>
      </c>
      <c r="E807" s="8" t="s">
        <v>47</v>
      </c>
      <c r="F807" s="13"/>
      <c r="G807" s="59"/>
      <c r="H807" s="59"/>
      <c r="I807" s="6">
        <f t="shared" si="60"/>
        <v>337.05953827460507</v>
      </c>
      <c r="J807" s="2">
        <v>8.7799999999999994</v>
      </c>
      <c r="K807" s="2">
        <v>8.23</v>
      </c>
      <c r="L807" s="2">
        <v>0.55000000000000004</v>
      </c>
      <c r="M807" s="2">
        <v>6.26</v>
      </c>
      <c r="N807" s="2" t="s">
        <v>3051</v>
      </c>
      <c r="O807" s="85">
        <v>2774</v>
      </c>
      <c r="P807" s="2">
        <v>2.94</v>
      </c>
      <c r="Q807" s="2">
        <v>10.74</v>
      </c>
      <c r="R807" s="2">
        <v>258.35000000000002</v>
      </c>
      <c r="S807" s="2">
        <v>3.31</v>
      </c>
      <c r="T807" s="2">
        <v>6.02</v>
      </c>
      <c r="U807" s="2">
        <v>255.04</v>
      </c>
      <c r="V807" s="2">
        <v>30.98</v>
      </c>
      <c r="W807" s="2">
        <v>8113.11</v>
      </c>
      <c r="X807" s="2" t="s">
        <v>3052</v>
      </c>
      <c r="Y807" s="2" t="s">
        <v>3053</v>
      </c>
      <c r="Z807" s="2">
        <v>0.5</v>
      </c>
      <c r="AA807" s="2" t="s">
        <v>548</v>
      </c>
      <c r="AB807" s="2">
        <v>255.1</v>
      </c>
    </row>
    <row r="808" spans="1:28" x14ac:dyDescent="0.25">
      <c r="A808" s="2" t="s">
        <v>3025</v>
      </c>
      <c r="B808" s="8" t="s">
        <v>3032</v>
      </c>
      <c r="C808" s="8" t="s">
        <v>36</v>
      </c>
      <c r="D808" s="8" t="s">
        <v>48</v>
      </c>
      <c r="E808" s="7" t="s">
        <v>38</v>
      </c>
      <c r="F808" s="13">
        <v>4460</v>
      </c>
      <c r="G808" s="59"/>
      <c r="H808" s="59"/>
      <c r="I808" s="6">
        <f t="shared" si="60"/>
        <v>803.60360360360357</v>
      </c>
      <c r="J808" s="2">
        <v>6.1</v>
      </c>
      <c r="K808" s="2">
        <v>5.55</v>
      </c>
      <c r="L808" s="2">
        <v>0.55000000000000004</v>
      </c>
      <c r="M808" s="2">
        <v>9.01</v>
      </c>
      <c r="N808" s="2" t="s">
        <v>3008</v>
      </c>
      <c r="O808" s="85">
        <v>4460</v>
      </c>
      <c r="P808" s="2">
        <v>5.57</v>
      </c>
      <c r="Q808" s="2">
        <v>20.399999999999999</v>
      </c>
      <c r="R808" s="2">
        <v>218.61</v>
      </c>
      <c r="S808" s="2">
        <v>3.31</v>
      </c>
      <c r="T808" s="2">
        <v>6.02</v>
      </c>
      <c r="U808" s="2">
        <v>215.3</v>
      </c>
      <c r="V808" s="2">
        <v>38.76</v>
      </c>
      <c r="W808" s="2">
        <v>6734.94</v>
      </c>
      <c r="X808" s="2" t="s">
        <v>3054</v>
      </c>
      <c r="Y808" s="2" t="s">
        <v>3055</v>
      </c>
      <c r="Z808" s="2" t="s">
        <v>548</v>
      </c>
      <c r="AA808" s="2" t="s">
        <v>548</v>
      </c>
      <c r="AB808" s="2">
        <v>49.4</v>
      </c>
    </row>
    <row r="809" spans="1:28" x14ac:dyDescent="0.25">
      <c r="A809" s="2" t="s">
        <v>3028</v>
      </c>
      <c r="B809" s="8" t="s">
        <v>3032</v>
      </c>
      <c r="C809" s="8" t="s">
        <v>36</v>
      </c>
      <c r="D809" s="8" t="s">
        <v>48</v>
      </c>
      <c r="E809" s="7" t="s">
        <v>38</v>
      </c>
      <c r="F809" s="13">
        <v>6365</v>
      </c>
      <c r="G809" s="59"/>
      <c r="H809" s="59"/>
      <c r="I809" s="6">
        <f t="shared" si="60"/>
        <v>601.03871576959398</v>
      </c>
      <c r="J809" s="2">
        <v>11.74</v>
      </c>
      <c r="K809" s="2">
        <v>10.59</v>
      </c>
      <c r="L809" s="2">
        <v>1.1499999999999999</v>
      </c>
      <c r="M809" s="2">
        <v>9.8000000000000007</v>
      </c>
      <c r="N809" s="2" t="s">
        <v>2388</v>
      </c>
      <c r="O809" s="85">
        <v>6365</v>
      </c>
      <c r="P809" s="2">
        <v>5.47</v>
      </c>
      <c r="Q809" s="2">
        <v>15.53</v>
      </c>
      <c r="R809" s="2">
        <v>409.77</v>
      </c>
      <c r="S809" s="2">
        <v>7.57</v>
      </c>
      <c r="T809" s="2">
        <v>6.58</v>
      </c>
      <c r="U809" s="2">
        <v>402.2</v>
      </c>
      <c r="V809" s="2">
        <v>37.99</v>
      </c>
      <c r="W809" s="2">
        <v>6728.83</v>
      </c>
      <c r="X809" s="2" t="s">
        <v>3056</v>
      </c>
      <c r="Y809" s="2" t="s">
        <v>3057</v>
      </c>
      <c r="Z809" s="2">
        <v>0.1</v>
      </c>
      <c r="AA809" s="2" t="s">
        <v>548</v>
      </c>
      <c r="AB809" s="2">
        <v>49.4</v>
      </c>
    </row>
    <row r="810" spans="1:28" x14ac:dyDescent="0.25">
      <c r="A810" s="2" t="s">
        <v>3025</v>
      </c>
      <c r="B810" s="8" t="s">
        <v>2681</v>
      </c>
      <c r="C810" s="8" t="s">
        <v>36</v>
      </c>
      <c r="D810" s="8" t="s">
        <v>49</v>
      </c>
      <c r="E810" s="8" t="s">
        <v>47</v>
      </c>
      <c r="F810" s="13"/>
      <c r="G810" s="59"/>
      <c r="H810" s="6"/>
      <c r="I810" s="6">
        <f t="shared" si="60"/>
        <v>74.683544303797461</v>
      </c>
      <c r="J810" s="2">
        <v>1.0900000000000001</v>
      </c>
      <c r="K810" s="2">
        <v>0.79</v>
      </c>
      <c r="L810" s="2">
        <v>0.3</v>
      </c>
      <c r="M810" s="2">
        <v>27.54</v>
      </c>
      <c r="N810" s="2" t="s">
        <v>3058</v>
      </c>
      <c r="O810" s="85">
        <v>59</v>
      </c>
      <c r="P810" s="2">
        <v>2.36</v>
      </c>
      <c r="Q810" s="2">
        <v>2.97</v>
      </c>
      <c r="R810" s="2">
        <v>19.87</v>
      </c>
      <c r="S810" s="2">
        <v>0.95</v>
      </c>
      <c r="T810" s="2">
        <v>3.15</v>
      </c>
      <c r="U810" s="2">
        <v>18.93</v>
      </c>
      <c r="V810" s="2">
        <v>23.98</v>
      </c>
      <c r="W810" s="2">
        <v>2069.61</v>
      </c>
      <c r="X810" s="2" t="s">
        <v>3059</v>
      </c>
      <c r="Y810" s="2" t="s">
        <v>3060</v>
      </c>
      <c r="Z810" s="2" t="s">
        <v>548</v>
      </c>
      <c r="AA810" s="2" t="s">
        <v>548</v>
      </c>
      <c r="AB810" s="2">
        <v>5.6</v>
      </c>
    </row>
    <row r="811" spans="1:28" x14ac:dyDescent="0.25">
      <c r="A811" s="2" t="s">
        <v>3028</v>
      </c>
      <c r="B811" s="8" t="s">
        <v>2681</v>
      </c>
      <c r="C811" s="8" t="s">
        <v>36</v>
      </c>
      <c r="D811" s="8" t="s">
        <v>49</v>
      </c>
      <c r="E811" s="8" t="s">
        <v>47</v>
      </c>
      <c r="F811" s="13"/>
      <c r="G811" s="59"/>
      <c r="H811" s="6"/>
      <c r="I811" s="6">
        <f t="shared" si="60"/>
        <v>359.55882352941171</v>
      </c>
      <c r="J811" s="2">
        <v>1.96</v>
      </c>
      <c r="K811" s="2">
        <v>1.36</v>
      </c>
      <c r="L811" s="2">
        <v>0.6</v>
      </c>
      <c r="M811" s="2">
        <v>30.64</v>
      </c>
      <c r="N811" s="2" t="s">
        <v>3061</v>
      </c>
      <c r="O811" s="85">
        <v>489</v>
      </c>
      <c r="P811" s="2">
        <v>3.15</v>
      </c>
      <c r="Q811" s="2">
        <v>8.99</v>
      </c>
      <c r="R811" s="2">
        <v>54.42</v>
      </c>
      <c r="S811" s="2">
        <v>3.79</v>
      </c>
      <c r="T811" s="2">
        <v>6.31</v>
      </c>
      <c r="U811" s="2">
        <v>50.63</v>
      </c>
      <c r="V811" s="2">
        <v>37.270000000000003</v>
      </c>
      <c r="W811" s="2">
        <v>2068.52</v>
      </c>
      <c r="X811" s="2" t="s">
        <v>3062</v>
      </c>
      <c r="Y811" s="2" t="s">
        <v>3063</v>
      </c>
      <c r="Z811" s="2" t="s">
        <v>548</v>
      </c>
      <c r="AA811" s="2" t="s">
        <v>548</v>
      </c>
      <c r="AB811" s="2">
        <v>5.6</v>
      </c>
    </row>
    <row r="812" spans="1:28" x14ac:dyDescent="0.25">
      <c r="A812" s="4"/>
      <c r="B812" s="8"/>
      <c r="C812" s="8"/>
      <c r="D812" s="7"/>
      <c r="E812" s="7"/>
      <c r="F812" s="13"/>
      <c r="G812" s="59"/>
      <c r="H812" s="6"/>
      <c r="I812" s="6"/>
      <c r="J812" s="2"/>
      <c r="K812" s="2"/>
      <c r="L812" s="2"/>
      <c r="M812" s="2"/>
      <c r="N812" s="2"/>
      <c r="O812" s="77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x14ac:dyDescent="0.25">
      <c r="A813" s="4"/>
      <c r="B813" s="8"/>
      <c r="C813" s="8"/>
      <c r="D813" s="7"/>
      <c r="E813" s="7"/>
      <c r="F813" s="13"/>
      <c r="G813" s="59"/>
      <c r="H813" s="6"/>
      <c r="I813" s="6"/>
      <c r="J813" s="2"/>
      <c r="K813" s="2"/>
      <c r="L813" s="2"/>
      <c r="M813" s="2"/>
      <c r="N813" s="2"/>
      <c r="O813" s="77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x14ac:dyDescent="0.25">
      <c r="A814" s="4"/>
      <c r="B814" s="8"/>
      <c r="C814" s="8"/>
      <c r="D814" s="7"/>
      <c r="E814" s="7"/>
      <c r="F814" s="13"/>
      <c r="G814" s="59"/>
      <c r="H814" s="6"/>
      <c r="I814" s="6"/>
      <c r="J814" s="2"/>
      <c r="K814" s="2"/>
      <c r="L814" s="2"/>
      <c r="M814" s="2"/>
      <c r="N814" s="2"/>
      <c r="O814" s="77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x14ac:dyDescent="0.25">
      <c r="A815" s="4"/>
      <c r="B815" s="8"/>
      <c r="C815" s="8"/>
      <c r="D815" s="7"/>
      <c r="E815" s="7"/>
      <c r="F815" s="13"/>
      <c r="G815" s="59"/>
      <c r="H815" s="6"/>
      <c r="I815" s="6"/>
      <c r="J815" s="2"/>
      <c r="K815" s="2"/>
      <c r="L815" s="2"/>
      <c r="M815" s="2"/>
      <c r="N815" s="2"/>
      <c r="O815" s="77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/>
      <c r="B816" s="8"/>
      <c r="C816" s="8"/>
      <c r="D816" s="7"/>
      <c r="E816" s="7"/>
      <c r="F816" s="13"/>
      <c r="G816" s="59"/>
      <c r="H816" s="6"/>
      <c r="I816" s="6"/>
      <c r="J816" s="2"/>
      <c r="K816" s="2"/>
      <c r="L816" s="2"/>
      <c r="M816" s="2"/>
      <c r="N816" s="2"/>
      <c r="O816" s="77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x14ac:dyDescent="0.25">
      <c r="A817" s="4"/>
      <c r="B817" s="8"/>
      <c r="C817" s="8"/>
      <c r="D817" s="7"/>
      <c r="E817" s="7"/>
      <c r="F817" s="13"/>
      <c r="G817" s="59"/>
      <c r="H817" s="6"/>
      <c r="I817" s="6"/>
      <c r="J817" s="2"/>
      <c r="K817" s="2"/>
      <c r="L817" s="2"/>
      <c r="M817" s="2"/>
      <c r="N817" s="2"/>
      <c r="O817" s="77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x14ac:dyDescent="0.25">
      <c r="A818" s="4"/>
      <c r="B818" s="8"/>
      <c r="C818" s="8"/>
      <c r="D818" s="7"/>
      <c r="E818" s="7"/>
      <c r="F818" s="13"/>
      <c r="G818" s="59"/>
      <c r="H818" s="6"/>
      <c r="I818" s="6"/>
      <c r="J818" s="2"/>
      <c r="K818" s="2"/>
      <c r="L818" s="2"/>
      <c r="M818" s="2"/>
      <c r="N818" s="2"/>
      <c r="O818" s="77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x14ac:dyDescent="0.25">
      <c r="A819" s="4"/>
      <c r="B819" s="8"/>
      <c r="C819" s="8"/>
      <c r="D819" s="7"/>
      <c r="E819" s="7"/>
      <c r="F819" s="13"/>
      <c r="G819" s="59"/>
      <c r="H819" s="6"/>
      <c r="I819" s="6"/>
      <c r="J819" s="2"/>
      <c r="K819" s="2"/>
      <c r="L819" s="2"/>
      <c r="M819" s="2"/>
      <c r="N819" s="2"/>
      <c r="O819" s="77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x14ac:dyDescent="0.25">
      <c r="A820" s="4"/>
      <c r="B820" s="8"/>
      <c r="C820" s="8"/>
      <c r="D820" s="7"/>
      <c r="E820" s="7"/>
      <c r="F820" s="13"/>
      <c r="G820" s="59"/>
      <c r="H820" s="6"/>
      <c r="I820" s="6"/>
      <c r="J820" s="2"/>
      <c r="K820" s="2"/>
      <c r="L820" s="2"/>
      <c r="M820" s="2"/>
      <c r="N820" s="2"/>
      <c r="O820" s="77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x14ac:dyDescent="0.25">
      <c r="A821" s="4"/>
      <c r="B821" s="8"/>
      <c r="C821" s="8"/>
      <c r="D821" s="7"/>
      <c r="E821" s="7"/>
      <c r="F821" s="13"/>
      <c r="G821" s="59"/>
      <c r="H821" s="6"/>
      <c r="I821" s="6"/>
      <c r="J821" s="2"/>
      <c r="K821" s="2"/>
      <c r="L821" s="2"/>
      <c r="M821" s="2"/>
      <c r="N821" s="2"/>
      <c r="O821" s="77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x14ac:dyDescent="0.25">
      <c r="A822" s="4"/>
      <c r="B822" s="8"/>
      <c r="C822" s="8"/>
      <c r="D822" s="7"/>
      <c r="E822" s="7"/>
      <c r="F822" s="13"/>
      <c r="G822" s="59"/>
      <c r="H822" s="6"/>
      <c r="I822" s="6"/>
      <c r="J822" s="2"/>
      <c r="K822" s="2"/>
      <c r="L822" s="2"/>
      <c r="M822" s="2"/>
      <c r="N822" s="2"/>
      <c r="O822" s="77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x14ac:dyDescent="0.25">
      <c r="A823" s="4"/>
      <c r="B823" s="8"/>
      <c r="C823" s="8"/>
      <c r="D823" s="7"/>
      <c r="E823" s="7"/>
      <c r="F823" s="13"/>
      <c r="G823" s="59"/>
      <c r="H823" s="6"/>
      <c r="I823" s="6"/>
      <c r="J823" s="2"/>
      <c r="K823" s="2"/>
      <c r="L823" s="2"/>
      <c r="M823" s="2"/>
      <c r="N823" s="2"/>
      <c r="O823" s="77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x14ac:dyDescent="0.25">
      <c r="A824" s="4"/>
      <c r="B824" s="8"/>
      <c r="C824" s="8"/>
      <c r="D824" s="7"/>
      <c r="E824" s="7"/>
      <c r="F824" s="13"/>
      <c r="G824" s="59"/>
      <c r="H824" s="6"/>
      <c r="I824" s="6"/>
      <c r="J824" s="2"/>
      <c r="K824" s="2"/>
      <c r="L824" s="2"/>
      <c r="M824" s="2"/>
      <c r="N824" s="2"/>
      <c r="O824" s="77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/>
      <c r="B825" s="8"/>
      <c r="C825" s="8"/>
      <c r="D825" s="7"/>
      <c r="E825" s="7"/>
      <c r="F825" s="13"/>
      <c r="G825" s="59"/>
      <c r="H825" s="6"/>
      <c r="I825" s="6"/>
      <c r="J825" s="2"/>
      <c r="K825" s="2"/>
      <c r="L825" s="2"/>
      <c r="M825" s="2"/>
      <c r="N825" s="2"/>
      <c r="O825" s="77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x14ac:dyDescent="0.25">
      <c r="A826" s="4"/>
      <c r="B826" s="8"/>
      <c r="C826" s="8"/>
      <c r="D826" s="7"/>
      <c r="E826" s="7"/>
      <c r="F826" s="13"/>
      <c r="G826" s="59"/>
      <c r="H826" s="6"/>
      <c r="I826" s="6"/>
      <c r="J826" s="2"/>
      <c r="K826" s="2"/>
      <c r="L826" s="2"/>
      <c r="M826" s="2"/>
      <c r="N826" s="2"/>
      <c r="O826" s="77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x14ac:dyDescent="0.25">
      <c r="A827" s="4"/>
      <c r="B827" s="8"/>
      <c r="C827" s="8"/>
      <c r="D827" s="7"/>
      <c r="E827" s="7"/>
      <c r="F827" s="13"/>
      <c r="G827" s="59"/>
      <c r="H827" s="6"/>
      <c r="I827" s="6"/>
      <c r="J827" s="2"/>
      <c r="K827" s="2"/>
      <c r="L827" s="2"/>
      <c r="M827" s="2"/>
      <c r="N827" s="2"/>
      <c r="O827" s="77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x14ac:dyDescent="0.25">
      <c r="A828" s="4"/>
      <c r="B828" s="8"/>
      <c r="C828" s="8"/>
      <c r="D828" s="7"/>
      <c r="E828" s="7"/>
      <c r="F828" s="13"/>
      <c r="G828" s="59"/>
      <c r="H828" s="6"/>
      <c r="I828" s="6"/>
      <c r="J828" s="2"/>
      <c r="K828" s="2"/>
      <c r="L828" s="2"/>
      <c r="M828" s="2"/>
      <c r="N828" s="2"/>
      <c r="O828" s="77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x14ac:dyDescent="0.25">
      <c r="A829" s="4"/>
      <c r="B829" s="8"/>
      <c r="C829" s="8"/>
      <c r="D829" s="7"/>
      <c r="E829" s="7"/>
      <c r="F829" s="13"/>
      <c r="G829" s="59"/>
      <c r="H829" s="6"/>
      <c r="I829" s="6"/>
      <c r="J829" s="2"/>
      <c r="K829" s="2"/>
      <c r="L829" s="2"/>
      <c r="M829" s="2"/>
      <c r="N829" s="2"/>
      <c r="O829" s="77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x14ac:dyDescent="0.25">
      <c r="A830" s="4"/>
      <c r="B830" s="8"/>
      <c r="C830" s="8"/>
      <c r="D830" s="7"/>
      <c r="E830" s="7"/>
      <c r="F830" s="13"/>
      <c r="G830" s="59"/>
      <c r="H830" s="6"/>
      <c r="I830" s="6"/>
      <c r="J830" s="2"/>
      <c r="K830" s="2"/>
      <c r="L830" s="2"/>
      <c r="M830" s="2"/>
      <c r="N830" s="2"/>
      <c r="O830" s="77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/>
      <c r="B831" s="8"/>
      <c r="C831" s="8"/>
      <c r="D831" s="7"/>
      <c r="E831" s="7"/>
      <c r="F831" s="13"/>
      <c r="G831" s="59"/>
      <c r="H831" s="6"/>
      <c r="I831" s="6"/>
      <c r="J831" s="2"/>
      <c r="K831" s="2"/>
      <c r="L831" s="2"/>
      <c r="M831" s="2"/>
      <c r="N831" s="2"/>
      <c r="O831" s="77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x14ac:dyDescent="0.25">
      <c r="A832" s="4"/>
      <c r="B832" s="8"/>
      <c r="C832" s="8"/>
      <c r="D832" s="7"/>
      <c r="E832" s="7"/>
      <c r="F832" s="13"/>
      <c r="G832" s="59"/>
      <c r="H832" s="6"/>
      <c r="I832" s="6"/>
      <c r="J832" s="2"/>
      <c r="K832" s="2"/>
      <c r="L832" s="2"/>
      <c r="M832" s="2"/>
      <c r="N832" s="2"/>
      <c r="O832" s="77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x14ac:dyDescent="0.25">
      <c r="A833" s="4"/>
      <c r="B833" s="8"/>
      <c r="C833" s="8"/>
      <c r="D833" s="7"/>
      <c r="E833" s="7"/>
      <c r="F833" s="13"/>
      <c r="G833" s="59"/>
      <c r="H833" s="6"/>
      <c r="I833" s="6"/>
      <c r="J833" s="2"/>
      <c r="K833" s="2"/>
      <c r="L833" s="2"/>
      <c r="M833" s="2"/>
      <c r="N833" s="2"/>
      <c r="O833" s="77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x14ac:dyDescent="0.25">
      <c r="A834" s="4"/>
      <c r="B834" s="8"/>
      <c r="C834" s="8"/>
      <c r="D834" s="7"/>
      <c r="E834" s="7"/>
      <c r="F834" s="13"/>
      <c r="G834" s="59"/>
      <c r="H834" s="6"/>
      <c r="I834" s="6"/>
      <c r="J834" s="2"/>
      <c r="K834" s="2"/>
      <c r="L834" s="2"/>
      <c r="M834" s="2"/>
      <c r="N834" s="2"/>
      <c r="O834" s="77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x14ac:dyDescent="0.25">
      <c r="A835" s="4"/>
      <c r="B835" s="8"/>
      <c r="C835" s="8"/>
      <c r="D835" s="7"/>
      <c r="E835" s="7"/>
      <c r="F835" s="13"/>
      <c r="G835" s="59"/>
      <c r="H835" s="6"/>
      <c r="I835" s="6"/>
      <c r="J835" s="2"/>
      <c r="K835" s="2"/>
      <c r="L835" s="2"/>
      <c r="M835" s="2"/>
      <c r="N835" s="2"/>
      <c r="O835" s="77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x14ac:dyDescent="0.25">
      <c r="A836" s="4"/>
      <c r="B836" s="8"/>
      <c r="C836" s="8"/>
      <c r="D836" s="7"/>
      <c r="E836" s="7"/>
      <c r="F836" s="13"/>
      <c r="G836" s="59"/>
      <c r="H836" s="6"/>
      <c r="I836" s="6"/>
      <c r="J836" s="2"/>
      <c r="K836" s="2"/>
      <c r="L836" s="2"/>
      <c r="M836" s="2"/>
      <c r="N836" s="2"/>
      <c r="O836" s="77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x14ac:dyDescent="0.25">
      <c r="A837" s="4"/>
      <c r="B837" s="8"/>
      <c r="C837" s="8"/>
      <c r="D837" s="7"/>
      <c r="E837" s="7"/>
      <c r="F837" s="13"/>
      <c r="G837" s="59"/>
      <c r="H837" s="6"/>
      <c r="I837" s="6"/>
      <c r="J837" s="2"/>
      <c r="K837" s="2"/>
      <c r="L837" s="2"/>
      <c r="M837" s="2"/>
      <c r="N837" s="2"/>
      <c r="O837" s="77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x14ac:dyDescent="0.25">
      <c r="A838" s="4"/>
      <c r="B838" s="8"/>
      <c r="C838" s="8"/>
      <c r="D838" s="7"/>
      <c r="E838" s="7"/>
      <c r="F838" s="13"/>
      <c r="G838" s="59"/>
      <c r="H838" s="6"/>
      <c r="I838" s="6"/>
      <c r="J838" s="2"/>
      <c r="K838" s="2"/>
      <c r="L838" s="2"/>
      <c r="M838" s="2"/>
      <c r="N838" s="2"/>
      <c r="O838" s="77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x14ac:dyDescent="0.25">
      <c r="A839" s="4"/>
      <c r="B839" s="8"/>
      <c r="C839" s="8"/>
      <c r="D839" s="7"/>
      <c r="E839" s="7"/>
      <c r="F839" s="13"/>
      <c r="G839" s="59"/>
      <c r="H839" s="6"/>
      <c r="I839" s="6"/>
      <c r="J839" s="2"/>
      <c r="K839" s="2"/>
      <c r="L839" s="2"/>
      <c r="M839" s="2"/>
      <c r="N839" s="2"/>
      <c r="O839" s="77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x14ac:dyDescent="0.25">
      <c r="A840" s="4"/>
      <c r="B840" s="8"/>
      <c r="C840" s="8"/>
      <c r="D840" s="7"/>
      <c r="E840" s="7"/>
      <c r="F840" s="13"/>
      <c r="G840" s="59"/>
      <c r="H840" s="6"/>
      <c r="I840" s="6"/>
      <c r="J840" s="2"/>
      <c r="K840" s="2"/>
      <c r="L840" s="2"/>
      <c r="M840" s="2"/>
      <c r="N840" s="2"/>
      <c r="O840" s="77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x14ac:dyDescent="0.25">
      <c r="A841" s="4"/>
      <c r="B841" s="8"/>
      <c r="C841" s="8"/>
      <c r="D841" s="7"/>
      <c r="E841" s="7"/>
      <c r="F841" s="13"/>
      <c r="G841" s="59"/>
      <c r="H841" s="6"/>
      <c r="I841" s="6"/>
      <c r="J841" s="2"/>
      <c r="K841" s="2"/>
      <c r="L841" s="2"/>
      <c r="M841" s="2"/>
      <c r="N841" s="2"/>
      <c r="O841" s="77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x14ac:dyDescent="0.25">
      <c r="A842" s="4"/>
      <c r="B842" s="8"/>
      <c r="C842" s="8"/>
      <c r="D842" s="7"/>
      <c r="E842" s="7"/>
      <c r="F842" s="13"/>
      <c r="G842" s="59"/>
      <c r="H842" s="6"/>
      <c r="I842" s="6"/>
      <c r="J842" s="2"/>
      <c r="K842" s="2"/>
      <c r="L842" s="2"/>
      <c r="M842" s="2"/>
      <c r="N842" s="2"/>
      <c r="O842" s="77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 x14ac:dyDescent="0.25">
      <c r="A843" s="4"/>
      <c r="B843" s="8"/>
      <c r="C843" s="8"/>
      <c r="D843" s="7"/>
      <c r="E843" s="7"/>
      <c r="F843" s="13"/>
      <c r="G843" s="59"/>
      <c r="H843" s="6"/>
      <c r="I843" s="6"/>
      <c r="J843" s="2"/>
      <c r="K843" s="2"/>
      <c r="L843" s="2"/>
      <c r="M843" s="2"/>
      <c r="N843" s="2"/>
      <c r="O843" s="77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 x14ac:dyDescent="0.25">
      <c r="A844" s="4"/>
      <c r="B844" s="8"/>
      <c r="C844" s="8"/>
      <c r="D844" s="7"/>
      <c r="E844" s="7"/>
      <c r="F844" s="13"/>
      <c r="G844" s="59"/>
      <c r="H844" s="6"/>
      <c r="I844" s="6"/>
      <c r="J844" s="2"/>
      <c r="K844" s="2"/>
      <c r="L844" s="2"/>
      <c r="M844" s="2"/>
      <c r="N844" s="2"/>
      <c r="O844" s="77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spans="1:28" x14ac:dyDescent="0.25">
      <c r="A845" s="4"/>
      <c r="B845" s="8"/>
      <c r="C845" s="8"/>
      <c r="D845" s="7"/>
      <c r="E845" s="7"/>
      <c r="F845" s="13"/>
      <c r="G845" s="59"/>
      <c r="H845" s="6"/>
      <c r="I845" s="6"/>
      <c r="J845" s="2"/>
      <c r="K845" s="2"/>
      <c r="L845" s="2"/>
      <c r="M845" s="2"/>
      <c r="N845" s="2"/>
      <c r="O845" s="77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spans="1:28" x14ac:dyDescent="0.25">
      <c r="A846" s="4"/>
      <c r="B846" s="8"/>
      <c r="C846" s="8"/>
      <c r="D846" s="7"/>
      <c r="E846" s="7"/>
      <c r="F846" s="13"/>
      <c r="G846" s="59"/>
      <c r="H846" s="6"/>
      <c r="I846" s="6"/>
      <c r="J846" s="2"/>
      <c r="K846" s="2"/>
      <c r="L846" s="2"/>
      <c r="M846" s="2"/>
      <c r="N846" s="2"/>
      <c r="O846" s="77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spans="1:28" x14ac:dyDescent="0.25">
      <c r="A847" s="4"/>
      <c r="B847" s="8"/>
      <c r="C847" s="8"/>
      <c r="D847" s="7"/>
      <c r="E847" s="7"/>
      <c r="F847" s="13"/>
      <c r="G847" s="59"/>
      <c r="H847" s="6"/>
      <c r="I847" s="6"/>
      <c r="J847" s="2"/>
      <c r="K847" s="2"/>
      <c r="L847" s="2"/>
      <c r="M847" s="2"/>
      <c r="N847" s="2"/>
      <c r="O847" s="77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spans="1:28" x14ac:dyDescent="0.25">
      <c r="A848" s="4"/>
      <c r="B848" s="8"/>
      <c r="C848" s="8"/>
      <c r="D848" s="7"/>
      <c r="E848" s="7"/>
      <c r="F848" s="13"/>
      <c r="G848" s="59"/>
      <c r="H848" s="6"/>
      <c r="I848" s="6"/>
      <c r="J848" s="2"/>
      <c r="K848" s="2"/>
      <c r="L848" s="2"/>
      <c r="M848" s="2"/>
      <c r="N848" s="2"/>
      <c r="O848" s="77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spans="1:28" x14ac:dyDescent="0.25">
      <c r="A849" s="4"/>
      <c r="B849" s="8"/>
      <c r="C849" s="8"/>
      <c r="D849" s="7"/>
      <c r="E849" s="7"/>
      <c r="F849" s="13"/>
      <c r="G849" s="59"/>
      <c r="H849" s="6"/>
      <c r="I849" s="6"/>
      <c r="J849" s="2"/>
      <c r="K849" s="2"/>
      <c r="L849" s="2"/>
      <c r="M849" s="2"/>
      <c r="N849" s="2"/>
      <c r="O849" s="77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spans="1:28" x14ac:dyDescent="0.25">
      <c r="A850" s="4"/>
      <c r="B850" s="8"/>
      <c r="C850" s="8"/>
      <c r="D850" s="7"/>
      <c r="E850" s="7"/>
      <c r="F850" s="13"/>
      <c r="G850" s="59"/>
      <c r="H850" s="6"/>
      <c r="I850" s="6"/>
      <c r="J850" s="2"/>
      <c r="K850" s="2"/>
      <c r="L850" s="2"/>
      <c r="M850" s="2"/>
      <c r="N850" s="2"/>
      <c r="O850" s="77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spans="1:28" x14ac:dyDescent="0.25">
      <c r="A851" s="4"/>
      <c r="B851" s="8"/>
      <c r="C851" s="8"/>
      <c r="D851" s="7"/>
      <c r="E851" s="7"/>
      <c r="F851" s="13"/>
      <c r="G851" s="59"/>
      <c r="H851" s="6"/>
      <c r="I851" s="6"/>
      <c r="J851" s="2"/>
      <c r="K851" s="2"/>
      <c r="L851" s="2"/>
      <c r="M851" s="2"/>
      <c r="N851" s="2"/>
      <c r="O851" s="77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spans="1:28" x14ac:dyDescent="0.25">
      <c r="A852" s="4"/>
      <c r="B852" s="8"/>
      <c r="C852" s="8"/>
      <c r="D852" s="7"/>
      <c r="E852" s="7"/>
      <c r="F852" s="13"/>
      <c r="G852" s="59"/>
      <c r="H852" s="6"/>
      <c r="I852" s="6"/>
      <c r="J852" s="2"/>
      <c r="K852" s="2"/>
      <c r="L852" s="2"/>
      <c r="M852" s="2"/>
      <c r="N852" s="2"/>
      <c r="O852" s="77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spans="1:28" x14ac:dyDescent="0.25">
      <c r="A853" s="4"/>
      <c r="B853" s="8"/>
      <c r="C853" s="8"/>
      <c r="D853" s="7"/>
      <c r="E853" s="7"/>
      <c r="F853" s="13"/>
      <c r="G853" s="59"/>
      <c r="H853" s="6"/>
      <c r="I853" s="6"/>
      <c r="J853" s="2"/>
      <c r="K853" s="2"/>
      <c r="L853" s="2"/>
      <c r="M853" s="2"/>
      <c r="N853" s="2"/>
      <c r="O853" s="77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spans="1:28" x14ac:dyDescent="0.25">
      <c r="A854" s="4"/>
      <c r="B854" s="8"/>
      <c r="C854" s="8"/>
      <c r="D854" s="7"/>
      <c r="E854" s="7"/>
      <c r="F854" s="13"/>
      <c r="G854" s="59"/>
      <c r="H854" s="6"/>
      <c r="I854" s="6"/>
      <c r="J854" s="2"/>
      <c r="K854" s="2"/>
      <c r="L854" s="2"/>
      <c r="M854" s="2"/>
      <c r="N854" s="2"/>
      <c r="O854" s="77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spans="1:28" x14ac:dyDescent="0.25">
      <c r="A855" s="4"/>
      <c r="B855" s="8"/>
      <c r="C855" s="8"/>
      <c r="D855" s="7"/>
      <c r="E855" s="7"/>
      <c r="F855" s="13"/>
      <c r="G855" s="59"/>
      <c r="H855" s="6"/>
      <c r="I855" s="6"/>
      <c r="J855" s="2"/>
      <c r="K855" s="2"/>
      <c r="L855" s="2"/>
      <c r="M855" s="2"/>
      <c r="N855" s="2"/>
      <c r="O855" s="77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</sheetData>
  <autoFilter ref="A4:AB805" xr:uid="{00000000-0001-0000-0000-000000000000}">
    <sortState xmlns:xlrd2="http://schemas.microsoft.com/office/spreadsheetml/2017/richdata2" ref="A5:AB792">
      <sortCondition ref="A4:A792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zoomScale="90" zoomScaleNormal="90" workbookViewId="0">
      <selection activeCell="R17" sqref="R17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2929</v>
      </c>
      <c r="R1" t="s">
        <v>2930</v>
      </c>
      <c r="S1" t="s">
        <v>2931</v>
      </c>
      <c r="T1" t="s">
        <v>2932</v>
      </c>
    </row>
    <row r="2" spans="1:20" x14ac:dyDescent="0.2">
      <c r="Q2" s="18" t="s">
        <v>1361</v>
      </c>
      <c r="R2" s="19">
        <v>8451</v>
      </c>
      <c r="S2" s="19">
        <v>24000</v>
      </c>
      <c r="T2" s="19">
        <v>6570</v>
      </c>
    </row>
    <row r="3" spans="1:20" x14ac:dyDescent="0.2">
      <c r="A3" s="9" t="s">
        <v>2929</v>
      </c>
      <c r="B3" s="15" t="s">
        <v>2931</v>
      </c>
      <c r="C3" s="15" t="s">
        <v>2930</v>
      </c>
      <c r="D3" t="s">
        <v>2933</v>
      </c>
      <c r="Q3" s="18" t="s">
        <v>1827</v>
      </c>
      <c r="R3" s="19">
        <v>21413</v>
      </c>
      <c r="S3" s="19">
        <v>24000</v>
      </c>
      <c r="T3" s="19">
        <v>17022</v>
      </c>
    </row>
    <row r="4" spans="1:20" x14ac:dyDescent="0.2">
      <c r="A4" s="10" t="s">
        <v>2681</v>
      </c>
      <c r="B4" s="15">
        <v>90000.000000000044</v>
      </c>
      <c r="C4" s="15">
        <v>75686</v>
      </c>
      <c r="D4">
        <v>36</v>
      </c>
      <c r="Q4" s="18" t="s">
        <v>2254</v>
      </c>
      <c r="R4" s="19">
        <v>23332</v>
      </c>
      <c r="S4" s="19">
        <v>23999.999999999996</v>
      </c>
      <c r="T4" s="19">
        <v>17642</v>
      </c>
    </row>
    <row r="5" spans="1:20" x14ac:dyDescent="0.2">
      <c r="A5" s="11" t="s">
        <v>47</v>
      </c>
      <c r="B5" s="15">
        <v>90000.000000000044</v>
      </c>
      <c r="C5" s="15">
        <v>75686</v>
      </c>
      <c r="D5">
        <v>36</v>
      </c>
      <c r="Q5" s="18" t="s">
        <v>2681</v>
      </c>
      <c r="R5" s="19">
        <v>37834</v>
      </c>
      <c r="S5" s="19">
        <v>23999.999999999996</v>
      </c>
      <c r="T5" s="19">
        <v>29549</v>
      </c>
    </row>
    <row r="6" spans="1:20" x14ac:dyDescent="0.2">
      <c r="A6" s="12">
        <v>46242</v>
      </c>
      <c r="B6" s="15">
        <v>15000</v>
      </c>
      <c r="C6" s="15">
        <v>9967</v>
      </c>
      <c r="D6">
        <v>4</v>
      </c>
      <c r="Q6" s="18" t="s">
        <v>2934</v>
      </c>
      <c r="R6" s="19">
        <v>91030</v>
      </c>
      <c r="S6" s="19">
        <v>96000</v>
      </c>
      <c r="T6" s="19">
        <v>70783</v>
      </c>
    </row>
    <row r="7" spans="1:20" x14ac:dyDescent="0.2">
      <c r="A7" s="12">
        <v>46241</v>
      </c>
      <c r="B7" s="15">
        <v>15000</v>
      </c>
      <c r="C7" s="15">
        <v>13601</v>
      </c>
      <c r="D7">
        <v>6</v>
      </c>
    </row>
    <row r="8" spans="1:20" x14ac:dyDescent="0.2">
      <c r="A8" s="12">
        <v>46240</v>
      </c>
      <c r="B8" s="15">
        <v>15000</v>
      </c>
      <c r="C8" s="15">
        <v>12983</v>
      </c>
      <c r="D8">
        <v>7</v>
      </c>
    </row>
    <row r="9" spans="1:20" x14ac:dyDescent="0.2">
      <c r="A9" s="12">
        <v>46239</v>
      </c>
      <c r="B9" s="15">
        <v>15000</v>
      </c>
      <c r="C9" s="15">
        <v>13036</v>
      </c>
      <c r="D9">
        <v>7</v>
      </c>
    </row>
    <row r="10" spans="1:20" x14ac:dyDescent="0.2">
      <c r="A10" s="12">
        <v>46238</v>
      </c>
      <c r="B10" s="15">
        <v>15000</v>
      </c>
      <c r="C10" s="15">
        <v>10698</v>
      </c>
      <c r="D10">
        <v>5</v>
      </c>
    </row>
    <row r="11" spans="1:20" x14ac:dyDescent="0.2">
      <c r="A11" s="12">
        <v>46237</v>
      </c>
      <c r="B11" s="15">
        <v>15000</v>
      </c>
      <c r="C11" s="15">
        <v>15401</v>
      </c>
      <c r="D11">
        <v>7</v>
      </c>
    </row>
    <row r="12" spans="1:20" hidden="1" x14ac:dyDescent="0.2">
      <c r="A12" s="10" t="s">
        <v>2934</v>
      </c>
      <c r="B12" s="15">
        <v>90000.000000000044</v>
      </c>
      <c r="C12" s="15">
        <v>75686</v>
      </c>
      <c r="D12">
        <v>36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2929</v>
      </c>
      <c r="B3" t="s">
        <v>2931</v>
      </c>
      <c r="C3" t="s">
        <v>2935</v>
      </c>
      <c r="O3" s="9" t="s">
        <v>2929</v>
      </c>
      <c r="P3" t="s">
        <v>2931</v>
      </c>
      <c r="Q3" t="s">
        <v>2935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2936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2934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2934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2937</v>
      </c>
      <c r="G3" s="17" t="s">
        <v>2938</v>
      </c>
      <c r="H3" s="17" t="s">
        <v>2939</v>
      </c>
      <c r="I3" s="17" t="s">
        <v>2940</v>
      </c>
      <c r="J3" s="17" t="s">
        <v>2941</v>
      </c>
      <c r="K3" s="17" t="s">
        <v>2942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2943</v>
      </c>
    </row>
    <row r="5" spans="6:11" x14ac:dyDescent="0.2">
      <c r="F5" s="17">
        <v>116</v>
      </c>
      <c r="H5" s="17">
        <v>110</v>
      </c>
      <c r="J5" s="17" t="s">
        <v>2944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2945</v>
      </c>
    </row>
    <row r="3" spans="1:17" x14ac:dyDescent="0.2">
      <c r="A3" s="25" t="s">
        <v>7</v>
      </c>
      <c r="B3" s="25" t="s">
        <v>2946</v>
      </c>
      <c r="C3" s="25" t="s">
        <v>2947</v>
      </c>
      <c r="D3" s="25" t="s">
        <v>2948</v>
      </c>
      <c r="E3" s="25" t="s">
        <v>2949</v>
      </c>
      <c r="F3" s="25" t="s">
        <v>2950</v>
      </c>
      <c r="H3" s="22" t="s">
        <v>2950</v>
      </c>
      <c r="I3" s="22" t="s">
        <v>2946</v>
      </c>
      <c r="J3" s="22" t="s">
        <v>2947</v>
      </c>
      <c r="K3" s="22" t="s">
        <v>2949</v>
      </c>
      <c r="L3" s="22" t="s">
        <v>2951</v>
      </c>
      <c r="M3" s="25" t="s">
        <v>2952</v>
      </c>
      <c r="O3" s="25" t="s">
        <v>7</v>
      </c>
      <c r="P3" s="25" t="s">
        <v>2949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2953</v>
      </c>
      <c r="H4" s="28" t="s">
        <v>2953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2953</v>
      </c>
      <c r="H5" s="28" t="s">
        <v>2954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2953</v>
      </c>
      <c r="H6" s="28" t="s">
        <v>2955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2953</v>
      </c>
      <c r="H7" s="28" t="s">
        <v>2956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2953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2953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2953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2953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2953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2953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2954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2954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2954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2954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2954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2954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2954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2955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2955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2955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2955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2955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2955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2955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2955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2955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2955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2955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2955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2955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2956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2956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2956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2956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2956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2956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2956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2956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2956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2956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2956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2956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2956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2956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2956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2956</v>
      </c>
    </row>
    <row r="50" spans="1:6" x14ac:dyDescent="0.2">
      <c r="A50" s="84" t="s">
        <v>2957</v>
      </c>
      <c r="B50" s="84"/>
      <c r="C50" s="84"/>
      <c r="E50" s="23">
        <f>SUM(E4:E49)</f>
        <v>12900</v>
      </c>
    </row>
    <row r="56" spans="1:6" ht="15.75" x14ac:dyDescent="0.25">
      <c r="A56" s="34" t="s">
        <v>2958</v>
      </c>
    </row>
    <row r="57" spans="1:6" ht="25.5" x14ac:dyDescent="0.2">
      <c r="A57" s="35" t="s">
        <v>2959</v>
      </c>
      <c r="B57" s="36" t="s">
        <v>2960</v>
      </c>
      <c r="C57" s="36" t="s">
        <v>2961</v>
      </c>
      <c r="D57" s="36" t="s">
        <v>2962</v>
      </c>
    </row>
    <row r="58" spans="1:6" x14ac:dyDescent="0.2">
      <c r="A58" s="40" t="s">
        <v>2963</v>
      </c>
      <c r="B58" s="37">
        <v>108384.01</v>
      </c>
      <c r="C58" s="37"/>
      <c r="D58" s="37">
        <v>108384.01</v>
      </c>
    </row>
    <row r="59" spans="1:6" x14ac:dyDescent="0.2">
      <c r="A59" s="40" t="s">
        <v>2964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2965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2966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2967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2968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2969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2970</v>
      </c>
      <c r="B65" s="37">
        <v>23860.793000000001</v>
      </c>
      <c r="C65" s="37"/>
      <c r="D65" s="37"/>
    </row>
    <row r="66" spans="1:4" x14ac:dyDescent="0.2">
      <c r="A66" s="40" t="s">
        <v>2971</v>
      </c>
      <c r="B66" s="37">
        <v>1344.431</v>
      </c>
      <c r="C66" s="37"/>
      <c r="D66" s="37"/>
    </row>
    <row r="67" spans="1:4" x14ac:dyDescent="0.2">
      <c r="A67" s="38" t="s">
        <v>2957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2972</v>
      </c>
      <c r="E2" s="48" t="s">
        <v>2973</v>
      </c>
      <c r="F2" s="48" t="s">
        <v>2974</v>
      </c>
      <c r="G2" s="48" t="s">
        <v>2975</v>
      </c>
      <c r="H2" s="48" t="s">
        <v>2976</v>
      </c>
      <c r="I2" s="48" t="s">
        <v>2977</v>
      </c>
      <c r="J2" s="48" t="s">
        <v>2978</v>
      </c>
      <c r="K2" s="48" t="s">
        <v>2979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cp:lastPrinted>2026-08-10T17:29:20Z</cp:lastPrinted>
  <dcterms:created xsi:type="dcterms:W3CDTF">2026-05-12T12:10:54Z</dcterms:created>
  <dcterms:modified xsi:type="dcterms:W3CDTF">2026-08-12T21:05:20Z</dcterms:modified>
  <cp:category/>
  <cp:contentStatus/>
</cp:coreProperties>
</file>