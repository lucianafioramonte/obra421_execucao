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129" documentId="8_{CE5C6F22-4BE2-41D0-BCDC-905D26C0C4E3}" xr6:coauthVersionLast="47" xr6:coauthVersionMax="47" xr10:uidLastSave="{1D6F789B-41FB-4A77-8C51-7563AF518CD8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255" r:id="rId9"/>
    <pivotCache cacheId="256" r:id="rId10"/>
    <pivotCache cacheId="257" r:id="rId11"/>
    <pivotCache cacheId="258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73" i="1" l="1"/>
  <c r="I872" i="1"/>
  <c r="I871" i="1"/>
  <c r="I869" i="1"/>
  <c r="I870" i="1"/>
  <c r="O868" i="1"/>
  <c r="O869" i="1"/>
  <c r="I868" i="1"/>
  <c r="I866" i="1"/>
  <c r="I867" i="1"/>
  <c r="O866" i="1"/>
  <c r="O867" i="1"/>
  <c r="I864" i="1"/>
  <c r="I865" i="1"/>
  <c r="I863" i="1"/>
  <c r="O862" i="1"/>
  <c r="O863" i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14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<sst xmlns="http://schemas.openxmlformats.org/spreadsheetml/2006/main" count="11016" uniqueCount="3187">
  <si>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</si>
  <si>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</si>
  <si>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</si>
  <si>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</si>
  <si>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</si>
  <si>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</si>
  <si>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</si>
  <si>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</si>
  <si>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</si>
  <si>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</si>
  <si>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</si>
  <si>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</si>
  <si>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</si>
  <si>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</si>
  <si>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</si>
  <si>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</si>
  <si>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</si>
  <si>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</si>
  <si>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</si>
  <si>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</si>
  <si>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</si>
  <si>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</si>
  <si>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</si>
  <si>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</si>
  <si>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</si>
  <si>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</si>
  <si>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</si>
  <si>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</si>
  <si>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</si>
  <si>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</si>
  <si>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</si>
  <si>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</si>
  <si>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</si>
  <si>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</si>
  <si>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</si>
  <si>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</si>
  <si>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</si>
  <si>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</si>
  <si>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</si>
  <si>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</si>
  <si>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</si>
  <si>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</si>
  <si>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</si>
  <si>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</si>
  <si>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</si>
  <si>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</si>
  <si>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</si>
  <si>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</si>
  <si>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</si>
  <si>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</si>
  <si>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</si>
  <si>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</si>
  <si>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</si>
  <si>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</si>
  <si>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</si>
  <si>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</si>
  <si>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</si>
  <si>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</si>
  <si>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</si>
  <si>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</si>
  <si>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</si>
  <si>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</si>
  <si>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</si>
  <si>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</si>
  <si>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</si>
  <si>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</si>
  <si>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</si>
  <si>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</si>
  <si>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</si>
  <si>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</si>
  <si>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</si>
  <si>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</si>
  <si>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</si>
  <si>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</si>
  <si>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</si>
  <si>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</si>
  <si>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</si>
  <si>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</si>
  <si>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</si>
  <si>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</si>
  <si>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</si>
  <si>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</si>
  <si>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</si>
  <si>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</si>
  <si>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</si>
  <si>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</si>
  <si>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</si>
  <si>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</si>
  <si>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</si>
  <si>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</si>
  <si>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</si>
  <si>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</si>
  <si>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</si>
  <si>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</si>
  <si>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</si>
  <si>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</si>
  <si>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</si>
  <si>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</si>
  <si>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</si>
  <si>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</si>
  <si>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</si>
  <si>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</si>
  <si>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</si>
  <si>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</si>
  <si>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</si>
  <si>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</si>
  <si>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</si>
  <si>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</si>
  <si>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</si>
  <si>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</si>
  <si>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</si>
  <si>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</si>
  <si>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</si>
  <si>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</si>
  <si>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</si>
  <si>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</si>
  <si>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</si>
  <si>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</si>
  <si>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</si>
  <si>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</si>
  <si>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</si>
  <si>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</si>
  <si>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</si>
  <si>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</si>
  <si>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</si>
  <si>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</si>
  <si>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</si>
  <si>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</si>
  <si>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</si>
  <si>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</si>
  <si>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</si>
  <si>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</si>
  <si>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</si>
  <si>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</si>
  <si>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</si>
  <si>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</si>
  <si>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</si>
  <si>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</si>
  <si>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</si>
  <si>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</si>
  <si>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</si>
  <si>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</si>
  <si>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</si>
  <si>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</si>
  <si>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</si>
  <si>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</si>
  <si>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</si>
  <si>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</si>
  <si>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</si>
  <si>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</si>
  <si>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</si>
  <si>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</si>
  <si>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</si>
  <si>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</si>
  <si>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</si>
  <si>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</si>
  <si>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</si>
  <si>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</si>
  <si>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</si>
  <si>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</si>
  <si>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</si>
  <si>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</si>
  <si>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</si>
  <si>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</si>
  <si>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</si>
  <si>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</si>
  <si>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</si>
  <si>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</si>
  <si>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</si>
  <si>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</si>
  <si>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</si>
  <si>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</si>
  <si>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</si>
  <si>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</si>
  <si>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</si>
  <si>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</si>
  <si>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</si>
  <si>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</si>
  <si>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</si>
  <si>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</si>
  <si>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</si>
  <si>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</si>
  <si>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</si>
  <si>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</si>
  <si>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</si>
  <si>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</si>
  <si>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</si>
  <si>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</si>
  <si>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</si>
  <si>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</si>
  <si>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</si>
  <si>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</si>
  <si>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</si>
  <si>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</si>
  <si>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</si>
  <si>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</si>
  <si>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</si>
  <si>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</si>
  <si>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</si>
  <si>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</si>
  <si>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</si>
  <si>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</si>
  <si>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</si>
  <si>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</si>
  <si>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</si>
  <si>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</si>
  <si>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</si>
  <si>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</si>
  <si>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</si>
  <si>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</si>
  <si>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</si>
  <si>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</si>
  <si>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</si>
  <si>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</si>
  <si>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</si>
  <si>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</si>
  <si>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</si>
  <si>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</si>
  <si>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</si>
  <si>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</si>
  <si>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</si>
  <si>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</si>
  <si>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</si>
  <si>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</si>
  <si>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</si>
  <si>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</si>
  <si>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</si>
  <si>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</si>
  <si>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</si>
  <si>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</si>
  <si>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</si>
  <si>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</si>
  <si>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</si>
  <si>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</si>
  <si>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</si>
  <si>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</si>
  <si>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</si>
  <si>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</si>
  <si>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</si>
  <si>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</si>
  <si>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</si>
  <si>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</si>
  <si>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</si>
  <si>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</si>
  <si>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</si>
  <si>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</si>
  <si>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</si>
  <si>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</si>
  <si>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</si>
  <si>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</si>
  <si>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</si>
  <si>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</si>
  <si>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</si>
  <si>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</si>
  <si>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</si>
  <si>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</si>
  <si>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</si>
  <si>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</si>
  <si>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</si>
  <si>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</si>
  <si>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</si>
  <si>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</si>
  <si>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</si>
  <si>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</si>
  <si>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</si>
  <si>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</si>
  <si>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</si>
  <si>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</si>
  <si>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</si>
  <si>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</si>
  <si>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</si>
  <si>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</si>
  <si>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</si>
  <si>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</si>
  <si>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</si>
  <si>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</si>
  <si>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</si>
  <si>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</si>
  <si>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</si>
  <si>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</si>
  <si>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</si>
  <si>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</si>
  <si>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</si>
  <si>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</si>
  <si>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</si>
  <si>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</si>
  <si>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</si>
  <si>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</si>
  <si>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</si>
  <si>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</si>
  <si>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</si>
  <si>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</si>
  <si>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</si>
  <si>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</si>
  <si>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</si>
  <si>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</si>
  <si>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</si>
  <si>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</si>
  <si>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</si>
  <si>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</si>
  <si>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</si>
  <si>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</si>
  <si>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</si>
  <si>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</si>
  <si>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</si>
  <si>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</si>
  <si>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</si>
  <si>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</si>
  <si>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</si>
  <si>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</si>
  <si>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</si>
  <si>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</si>
  <si>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</si>
  <si>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</si>
  <si>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</si>
  <si>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</si>
  <si>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</si>
  <si>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</si>
  <si>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</si>
  <si>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</si>
  <si>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</si>
  <si>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</si>
  <si>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</si>
  <si>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</si>
  <si>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</si>
  <si>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</si>
  <si>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</si>
  <si>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</si>
  <si>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</si>
  <si>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</si>
  <si>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</si>
  <si>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</si>
  <si>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</si>
  <si>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</si>
  <si>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</si>
  <si>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</si>
  <si>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</si>
  <si>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</si>
  <si>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</si>
  <si>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</si>
  <si>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</si>
  <si>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</si>
  <si>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</si>
  <si>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</si>
  <si>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</si>
  <si>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</si>
  <si>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</si>
  <si>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</si>
  <si>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</si>
  <si>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</si>
  <si>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</si>
  <si>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</si>
  <si>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</si>
  <si>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</si>
  <si>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</si>
  <si>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</si>
  <si>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</si>
  <si>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</si>
  <si>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</si>
  <si>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</si>
  <si>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</si>
  <si>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</si>
  <si>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</si>
  <si>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</si>
  <si>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</si>
  <si>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</si>
  <si>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</si>
  <si>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</si>
  <si>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</si>
  <si>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</si>
  <si>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</si>
  <si>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</si>
  <si>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</si>
  <si>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</si>
  <si>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</si>
  <si>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</si>
  <si>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</si>
  <si>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</si>
  <si>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</si>
  <si>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</si>
  <si>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</si>
  <si>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</si>
  <si>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</si>
  <si>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</si>
  <si>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</si>
  <si>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</si>
  <si>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</si>
  <si>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</si>
  <si>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</si>
  <si>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</si>
  <si>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</si>
  <si>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</si>
  <si>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</si>
  <si>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</si>
  <si>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</si>
  <si>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</si>
  <si>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</si>
  <si>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</si>
  <si>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</si>
  <si>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</si>
  <si>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</si>
  <si>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</si>
  <si>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</si>
  <si>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</si>
  <si>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</si>
  <si>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</si>
  <si>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</si>
  <si>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</si>
  <si>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</si>
  <si>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</si>
  <si>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</si>
  <si>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</si>
  <si>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</si>
  <si>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</si>
  <si>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</si>
  <si>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</si>
  <si>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</si>
  <si>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</si>
  <si>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</si>
  <si>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</si>
  <si>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</si>
  <si>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</si>
  <si>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</si>
  <si>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</si>
  <si>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</si>
  <si>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</si>
  <si>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</si>
  <si>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</si>
  <si>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</si>
  <si>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</si>
  <si>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</si>
  <si>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</si>
  <si>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</si>
  <si>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</si>
  <si>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</si>
  <si>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</si>
  <si>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</si>
  <si>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</si>
  <si>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</si>
  <si>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</si>
  <si>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</si>
  <si>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</si>
  <si>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</si>
  <si>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</si>
  <si>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</si>
  <si>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</si>
  <si>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</si>
  <si>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</si>
  <si>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</si>
  <si>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</si>
  <si>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</si>
  <si>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</si>
  <si>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</si>
  <si>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</si>
  <si>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</si>
  <si>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</si>
  <si>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</si>
  <si>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</si>
  <si>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</si>
  <si>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</si>
  <si>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</si>
  <si>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</si>
  <si>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</si>
  <si>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</si>
  <si>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</si>
  <si>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</si>
  <si>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</si>
  <si>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</si>
  <si>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</si>
  <si>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</si>
  <si>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</si>
  <si>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</si>
  <si>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</si>
  <si>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</si>
  <si>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</si>
  <si>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</si>
  <si>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</si>
  <si>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</si>
  <si>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</si>
  <si>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</si>
  <si>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</si>
  <si>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</si>
  <si>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</si>
  <si>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</si>
  <si>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</si>
  <si>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</si>
  <si>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</si>
  <si>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</si>
  <si>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</si>
  <si>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</si>
  <si>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</si>
  <si>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</si>
  <si>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</si>
  <si>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</si>
  <si>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</si>
  <si>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</si>
  <si>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</si>
  <si>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</si>
  <si>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</si>
  <si>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</si>
  <si>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</si>
  <si>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</si>
  <si>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</si>
  <si>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</si>
  <si>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</si>
  <si>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</si>
  <si>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</si>
  <si>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</si>
  <si>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</si>
  <si>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</si>
  <si>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</si>
  <si>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</si>
  <si>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</si>
  <si>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</si>
  <si>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</si>
  <si>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</si>
  <si>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</si>
  <si>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</si>
  <si>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</si>
  <si>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</si>
  <si>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</si>
  <si>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</si>
  <si>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</si>
  <si>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</si>
  <si>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</si>
  <si>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</si>
  <si>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</si>
  <si>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</si>
  <si>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</si>
  <si>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</si>
  <si>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</si>
  <si>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</si>
  <si>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</si>
  <si>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</si>
  <si>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</si>
  <si>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</si>
  <si>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</si>
  <si>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</si>
  <si>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</si>
  <si>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</si>
  <si>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</si>
  <si>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</si>
  <si>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</si>
  <si>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</si>
  <si>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</si>
  <si>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</si>
  <si>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</si>
  <si>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</si>
  <si>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</si>
  <si>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</si>
  <si>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</si>
  <si>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</si>
  <si>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</si>
  <si>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</si>
  <si>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</si>
  <si>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</si>
  <si>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</si>
  <si>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</si>
  <si>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</si>
  <si>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</si>
  <si>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</si>
  <si>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</si>
  <si>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</si>
  <si>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</si>
  <si>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</si>
  <si>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</si>
  <si>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</si>
  <si>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</si>
  <si>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</si>
  <si>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</si>
  <si>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</si>
  <si>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</si>
  <si>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</si>
  <si>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</si>
  <si>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</si>
  <si>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</si>
  <si>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</si>
  <si>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</si>
  <si>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</si>
  <si>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</si>
  <si>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</si>
  <si>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</si>
  <si>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</si>
  <si>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</si>
  <si>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</si>
  <si>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</si>
  <si>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</si>
  <si>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</si>
  <si>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</si>
  <si>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</si>
  <si>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</si>
  <si>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</si>
  <si>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</si>
  <si>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</si>
  <si>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</si>
  <si>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</si>
  <si>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</si>
  <si>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</si>
  <si>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</si>
  <si>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</si>
  <si>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</si>
  <si>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</si>
  <si>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</si>
  <si>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</si>
  <si>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</si>
  <si>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</si>
  <si>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</si>
  <si>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</si>
  <si>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</si>
  <si>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</si>
  <si>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</si>
  <si>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</si>
  <si>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</si>
  <si>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</si>
  <si>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</si>
  <si>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</si>
  <si>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</si>
  <si>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</si>
  <si>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</si>
  <si>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</si>
  <si>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</si>
  <si>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</si>
  <si>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</si>
  <si>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</si>
  <si>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</si>
  <si>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</si>
  <si>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</si>
  <si>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</si>
  <si>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</si>
  <si>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</si>
  <si>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</si>
  <si>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</si>
  <si>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</si>
  <si>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</si>
  <si>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</si>
  <si>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</si>
  <si>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</si>
  <si>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</si>
  <si>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</si>
  <si>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</si>
  <si>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</si>
  <si>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</si>
  <si>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</si>
  <si>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</si>
  <si>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</si>
  <si>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</si>
  <si>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</si>
  <si>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</si>
  <si>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</si>
  <si>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</si>
  <si>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</si>
  <si>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</si>
  <si>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</si>
  <si>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</si>
  <si>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</si>
  <si>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</si>
  <si>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</si>
  <si>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</si>
  <si>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</si>
  <si>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</si>
  <si>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</si>
  <si>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</si>
  <si>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</si>
  <si>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</si>
  <si>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</si>
  <si>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</si>
  <si>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</si>
  <si>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</si>
  <si>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</si>
  <si>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</si>
  <si>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</si>
  <si>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</si>
  <si>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</si>
  <si>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</si>
  <si>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</si>
  <si>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</si>
  <si>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</si>
  <si>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</si>
  <si>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</si>
  <si>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</si>
  <si>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</si>
  <si>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</si>
  <si>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</si>
  <si>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</si>
  <si>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</si>
  <si>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</si>
  <si>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</si>
  <si>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</si>
  <si>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</si>
  <si>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</si>
  <si>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</si>
  <si>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</si>
  <si>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</si>
  <si>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</si>
  <si>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</si>
  <si>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</si>
  <si>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</si>
  <si>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</si>
  <si>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</si>
  <si>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</si>
  <si>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</si>
  <si>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</si>
  <si>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</si>
  <si>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</si>
  <si>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</si>
  <si>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</si>
  <si>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</si>
  <si>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</si>
  <si>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</si>
  <si>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</si>
  <si>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</si>
  <si>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</si>
  <si>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</si>
  <si>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</si>
  <si>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</si>
  <si>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</si>
  <si>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</si>
  <si>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</si>
  <si>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</si>
  <si>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</si>
  <si>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</si>
  <si>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</si>
  <si>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</si>
  <si>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</si>
  <si>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</si>
  <si>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</si>
  <si>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</si>
  <si>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</si>
  <si>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</si>
  <si>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</si>
  <si>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</si>
  <si>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</si>
  <si>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</si>
  <si>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</si>
  <si>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</si>
  <si>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</si>
  <si>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</si>
  <si>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</si>
  <si>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</si>
  <si>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</si>
  <si>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</si>
  <si>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</si>
  <si>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</si>
  <si>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</si>
  <si>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</si>
  <si>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</si>
  <si>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</si>
  <si>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</si>
  <si>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</si>
  <si>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</si>
  <si>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</si>
  <si>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</si>
  <si>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</si>
  <si>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</si>
  <si>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</si>
  <si>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</si>
  <si>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</si>
  <si>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</si>
  <si>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</si>
  <si>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</si>
  <si>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</si>
  <si>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</si>
  <si>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</si>
  <si>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</si>
  <si>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</si>
  <si>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</si>
  <si>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</si>
  <si>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</si>
  <si>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</si>
  <si>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</si>
  <si>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</si>
  <si>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</si>
  <si>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</si>
  <si>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</si>
  <si>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</si>
  <si>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</si>
  <si>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</si>
  <si>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</si>
  <si>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</si>
  <si>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</si>
  <si>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</si>
  <si>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</si>
  <si>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</si>
  <si>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</si>
  <si>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</si>
  <si>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</si>
  <si>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</si>
  <si>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</si>
  <si>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</si>
  <si>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</si>
  <si>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</si>
  <si>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</si>
  <si>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</si>
  <si>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</si>
  <si>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</si>
  <si>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</si>
  <si>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</si>
  <si>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</si>
  <si>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</si>
  <si>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</si>
  <si>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</si>
  <si>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</si>
  <si>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</si>
  <si>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</si>
  <si>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</si>
  <si>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</si>
  <si>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</si>
  <si>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</si>
  <si>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</si>
  <si>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</si>
  <si>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</si>
  <si>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</si>
  <si>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</si>
  <si>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</si>
  <si>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</si>
  <si>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</si>
  <si>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</si>
  <si>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</si>
  <si>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</si>
  <si>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</si>
  <si>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</si>
  <si>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</si>
  <si>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</si>
  <si>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</si>
  <si>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</si>
  <si>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</si>
  <si>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</si>
  <si>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</si>
  <si>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</si>
  <si>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</si>
  <si>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</si>
  <si>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</si>
  <si>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</si>
  <si>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</si>
  <si>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</si>
  <si>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</si>
  <si>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</si>
  <si>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</si>
  <si>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</si>
  <si>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</si>
  <si>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</si>
  <si>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</si>
  <si>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</si>
  <si>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</si>
  <si>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</si>
  <si>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</si>
  <si>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</si>
  <si>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</si>
  <si>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</si>
  <si>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</si>
  <si>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</si>
  <si>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</si>
  <si>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</si>
  <si>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</si>
  <si>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</si>
  <si>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</si>
  <si>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</si>
  <si>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</si>
  <si>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</si>
  <si>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</si>
  <si>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</si>
  <si>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</si>
  <si>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</si>
  <si>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</si>
  <si>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</si>
  <si>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</si>
  <si>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</si>
  <si>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</si>
  <si>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</si>
  <si>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</si>
  <si>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</si>
  <si>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</si>
  <si>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</si>
  <si>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</si>
  <si>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</si>
  <si>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</si>
  <si>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</si>
  <si>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</si>
  <si>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</si>
  <si>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</si>
  <si>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</si>
  <si>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</si>
  <si>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</si>
  <si>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</si>
  <si>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</si>
  <si>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</si>
  <si>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</si>
  <si>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</si>
  <si>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</si>
  <si>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</si>
  <si>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</si>
  <si>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</si>
  <si>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</si>
  <si>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</si>
  <si>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</si>
  <si>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</si>
  <si>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</si>
  <si>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</si>
  <si>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</si>
  <si>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</si>
  <si>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</si>
  <si>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</si>
  <si>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</si>
  <si>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</si>
  <si>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</si>
  <si>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</si>
  <si>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</si>
  <si>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</si>
  <si>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</si>
  <si>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</si>
  <si>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</si>
  <si>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</si>
  <si>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</si>
  <si>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</si>
  <si>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</si>
  <si>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</si>
  <si>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</si>
  <si>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</si>
  <si>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</si>
  <si>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</si>
  <si>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</si>
  <si>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</si>
  <si>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</si>
  <si>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</si>
  <si>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</si>
  <si>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</si>
  <si>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</si>
  <si>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</si>
  <si>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</si>
  <si>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</si>
  <si>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</si>
  <si>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</si>
  <si>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</si>
  <si>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</si>
  <si>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</si>
  <si>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</si>
  <si>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</si>
  <si>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</si>
  <si>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</si>
  <si>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</si>
  <si>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</si>
  <si>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</si>
  <si>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</si>
  <si>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</si>
  <si>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</si>
  <si>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</si>
  <si>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</si>
  <si>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</si>
  <si>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</si>
  <si>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</si>
  <si>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</si>
  <si>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</si>
  <si>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</si>
  <si>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</si>
  <si>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</si>
  <si>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</si>
  <si>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</si>
  <si>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</si>
  <si>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</si>
  <si>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</si>
  <si>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</si>
  <si>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</si>
  <si>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</si>
  <si>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</si>
  <si>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</si>
  <si>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</si>
  <si>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</si>
  <si>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</si>
  <si>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</si>
  <si>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</si>
  <si>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</si>
  <si>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</si>
  <si>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</si>
  <si>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</si>
  <si>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</si>
  <si>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</si>
  <si>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</si>
  <si>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</si>
  <si>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</si>
  <si>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</si>
  <si>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</si>
  <si>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</si>
  <si>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</si>
  <si>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</si>
  <si>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</si>
  <si>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</si>
  <si>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</si>
  <si>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</si>
  <si>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</si>
  <si>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</si>
  <si>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</si>
  <si>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</si>
  <si>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</si>
  <si>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</si>
  <si>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</si>
  <si>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</si>
  <si>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</si>
  <si>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</si>
  <si>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</si>
  <si>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</si>
  <si>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</si>
  <si>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</si>
  <si>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</si>
  <si>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</si>
  <si>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</si>
  <si>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</si>
  <si>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</si>
  <si>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</si>
  <si>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</si>
  <si>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</si>
  <si>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</si>
  <si>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</si>
  <si>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</si>
  <si>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</si>
  <si>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</si>
  <si>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</si>
  <si>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</si>
  <si>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</si>
  <si>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</si>
  <si>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</si>
  <si>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</si>
  <si>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</si>
  <si>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</si>
  <si>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</si>
  <si>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</si>
  <si>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</si>
  <si>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</si>
  <si>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</si>
  <si>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</si>
  <si>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</si>
  <si>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</si>
  <si>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</si>
  <si>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</si>
  <si>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</si>
  <si>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</si>
  <si>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</si>
  <si>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</si>
  <si>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</si>
  <si>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</si>
  <si>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</si>
  <si>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</si>
  <si>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</si>
  <si>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</si>
  <si>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</si>
  <si>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</si>
  <si>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</si>
  <si>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</si>
  <si>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</si>
  <si>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</si>
  <si>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</si>
  <si>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</si>
  <si>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</si>
  <si>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</si>
  <si>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</si>
  <si>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</si>
  <si>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</si>
  <si>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</si>
  <si>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</si>
  <si>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</si>
  <si>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</si>
  <si>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</si>
  <si>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</si>
  <si>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</si>
  <si>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</si>
  <si>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</si>
  <si>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</si>
  <si>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</si>
  <si>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</si>
  <si>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</si>
  <si>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</si>
  <si>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</si>
  <si>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</si>
  <si>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</si>
  <si>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</si>
  <si>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</si>
  <si>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</si>
  <si>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</si>
  <si>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</si>
  <si>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</si>
  <si>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</si>
  <si>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</si>
  <si>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</si>
  <si>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</si>
  <si>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</si>
  <si>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</si>
  <si>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</si>
  <si>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</si>
  <si>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</si>
  <si>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</si>
  <si>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</si>
  <si>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</si>
  <si>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</si>
  <si>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</si>
  <si>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</si>
  <si>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</si>
  <si>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</si>
  <si>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</si>
  <si>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</si>
  <si>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</si>
  <si>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</si>
  <si>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</si>
  <si>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</si>
  <si>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</si>
  <si>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</si>
  <si>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</si>
  <si>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</si>
  <si>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</si>
  <si>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</si>
  <si>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</si>
  <si>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</si>
  <si>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</si>
  <si>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</si>
  <si>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</si>
  <si>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</si>
  <si>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</si>
  <si>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</si>
  <si>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</si>
  <si>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</si>
  <si>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</si>
  <si>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</si>
  <si>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</si>
  <si>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</si>
  <si>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</si>
  <si>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</si>
  <si>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</si>
  <si>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</si>
  <si>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</si>
  <si>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</si>
  <si>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</si>
  <si>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</si>
  <si>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</si>
  <si>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</si>
  <si>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</si>
  <si>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</si>
  <si>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</si>
  <si>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</si>
  <si>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</si>
  <si>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</si>
  <si>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</si>
  <si>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</si>
  <si>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</si>
  <si>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</si>
  <si>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</si>
  <si>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</si>
  <si>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</si>
  <si>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</si>
  <si>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</si>
  <si>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</si>
  <si>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</si>
  <si>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</si>
  <si>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</si>
  <si>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</si>
  <si>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</si>
  <si>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</si>
  <si>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</si>
  <si>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</si>
  <si>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</si>
  <si>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</si>
  <si>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</si>
  <si>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</si>
  <si>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</si>
  <si>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</si>
  <si>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</si>
  <si>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</si>
  <si>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</si>
  <si>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</si>
  <si>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</si>
  <si>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</si>
  <si>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</si>
  <si>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</si>
  <si>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</si>
  <si>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</si>
  <si>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</si>
  <si>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</si>
  <si>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</si>
  <si>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</si>
  <si>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</si>
  <si>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</si>
  <si>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</si>
  <si>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</si>
  <si>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</si>
  <si>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</si>
  <si>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</si>
  <si>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</si>
  <si>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</si>
  <si>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</si>
  <si>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</si>
  <si>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</si>
  <si>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</si>
  <si>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</si>
  <si>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</si>
  <si>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</si>
  <si>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</si>
  <si>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</si>
  <si>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</si>
  <si>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</si>
  <si>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</si>
  <si>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</si>
  <si>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</si>
  <si>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</si>
  <si>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</si>
  <si>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</si>
  <si>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</si>
  <si>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</si>
  <si>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</si>
  <si>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</si>
  <si>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</si>
  <si>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</si>
  <si>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</si>
  <si>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</si>
  <si>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</si>
  <si>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</si>
  <si>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</si>
  <si>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</si>
  <si>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</si>
  <si>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</si>
  <si>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</si>
  <si>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</si>
  <si>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</si>
  <si>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</si>
  <si>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</si>
  <si>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</si>
  <si>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</si>
  <si>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</si>
  <si>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</si>
  <si>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</si>
  <si>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</si>
  <si>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</si>
  <si>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</si>
  <si>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</si>
  <si>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</si>
  <si>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</si>
  <si>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</si>
  <si>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</si>
  <si>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</si>
  <si>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</si>
  <si>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</si>
  <si>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</si>
  <si>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</si>
  <si>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</si>
  <si>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</si>
  <si>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</si>
  <si>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</si>
  <si>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</si>
  <si>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</si>
  <si>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</si>
  <si>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</si>
  <si>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</si>
  <si>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</si>
  <si>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</si>
  <si>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</si>
  <si>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</si>
  <si>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</si>
  <si>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</si>
  <si>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</si>
  <si>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</si>
  <si>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</si>
  <si>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</si>
  <si>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</si>
  <si>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</si>
  <si>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</si>
  <si>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</si>
  <si>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</si>
  <si>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</si>
  <si>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</si>
  <si>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</si>
  <si>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</si>
  <si>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</si>
  <si>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</si>
  <si>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</si>
  <si>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</si>
  <si>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</si>
  <si>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</si>
  <si>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</si>
  <si>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</si>
  <si>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</si>
  <si>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</si>
  <si>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</si>
  <si>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</si>
  <si>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</si>
  <si>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</si>
  <si>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</si>
  <si>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</si>
  <si>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</si>
  <si>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</si>
  <si>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</si>
  <si>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</si>
  <si>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</si>
  <si>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</si>
  <si>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</si>
  <si>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</si>
  <si>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</si>
  <si>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</si>
  <si>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</si>
  <si>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</si>
  <si>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</si>
  <si>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</si>
  <si>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</si>
  <si>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</si>
  <si>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</si>
  <si>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</si>
  <si>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</si>
  <si>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</si>
  <si>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</si>
  <si>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</si>
  <si>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</si>
  <si>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</si>
  <si>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</si>
  <si>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</si>
  <si>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</si>
  <si>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</si>
  <si>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</si>
  <si>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</si>
  <si>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</si>
  <si>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</si>
  <si>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</si>
  <si>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</si>
  <si>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</si>
  <si>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</si>
  <si>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</si>
  <si>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</si>
  <si>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</si>
  <si>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</si>
  <si>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</si>
  <si>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</si>
  <si>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</si>
  <si>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</si>
  <si>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</si>
  <si>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</si>
  <si>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</si>
  <si>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</si>
  <si>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</si>
  <si>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</si>
  <si>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</si>
  <si>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</si>
  <si>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</si>
  <si>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</si>
  <si>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</si>
  <si>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</si>
  <si>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</si>
  <si>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</si>
  <si>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</si>
  <si>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</si>
  <si>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</si>
  <si>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</si>
  <si>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</si>
  <si>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</si>
  <si>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</si>
  <si>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</si>
  <si>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</si>
  <si>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</si>
  <si>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</si>
  <si>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</si>
  <si>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</si>
  <si>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</si>
  <si>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</si>
  <si>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</si>
  <si>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</si>
  <si>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</si>
  <si>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</si>
  <si>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</si>
  <si>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</si>
  <si>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</si>
  <si>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</si>
  <si>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</si>
  <si>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</si>
  <si>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</si>
  <si>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</si>
  <si>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</si>
  <si>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</si>
  <si>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</si>
  <si>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</si>
  <si>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</si>
  <si>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</si>
  <si>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</si>
  <si>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</si>
  <si>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</si>
  <si>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</si>
  <si>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</si>
  <si>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</si>
  <si>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</si>
  <si>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</si>
  <si>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</si>
  <si>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</si>
  <si>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</si>
  <si>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</si>
  <si>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</si>
  <si>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</si>
  <si>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</si>
  <si>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</si>
  <si>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</si>
  <si>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</si>
  <si>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</si>
  <si>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</si>
  <si>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</si>
  <si>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</si>
  <si>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</si>
  <si>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</si>
  <si>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</si>
  <si>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</si>
  <si>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</si>
  <si>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</si>
  <si>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</si>
  <si>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</si>
  <si>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</si>
  <si>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</si>
  <si>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</si>
  <si>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</si>
  <si>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</si>
  <si>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</si>
  <si>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</si>
  <si>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</si>
  <si>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</si>
  <si>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</si>
  <si>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</si>
  <si>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</si>
  <si>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</si>
  <si>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</si>
  <si>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</si>
  <si>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</si>
  <si>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</si>
  <si>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</si>
  <si>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</si>
  <si>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</si>
  <si>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</si>
  <si>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</si>
  <si>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</si>
  <si>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</si>
  <si>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</si>
  <si>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</si>
  <si>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</si>
  <si>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</si>
  <si>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</si>
  <si>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</si>
  <si>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</si>
  <si>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</si>
  <si>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</si>
  <si>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</si>
  <si>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</si>
  <si>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</si>
  <si>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</si>
  <si>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</si>
  <si>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</si>
  <si>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</si>
  <si>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</si>
  <si>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</si>
  <si>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</si>
  <si>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</si>
  <si>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</si>
  <si>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</si>
  <si>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</si>
  <si>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</si>
  <si>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</si>
  <si>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</si>
  <si>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</si>
  <si>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</si>
  <si>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</si>
  <si>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</si>
  <si>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</si>
  <si>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</si>
  <si>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</si>
  <si>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</si>
  <si>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</si>
  <si>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</si>
  <si>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</si>
  <si>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</si>
  <si>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</si>
  <si>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</si>
  <si>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</si>
  <si>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</si>
  <si>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</si>
  <si>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</si>
  <si>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</si>
  <si>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</si>
  <si>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</si>
  <si>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</si>
  <si>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</si>
  <si>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</si>
  <si>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</si>
  <si>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</si>
  <si>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</si>
  <si>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</si>
  <si>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</si>
  <si>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</si>
  <si>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</si>
  <si>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</si>
  <si>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</si>
  <si>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</si>
  <si>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</si>
  <si>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</si>
  <si>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</si>
  <si>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</si>
  <si>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</si>
  <si>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</si>
  <si>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</si>
  <si>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</si>
  <si>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</si>
  <si>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</si>
  <si>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</si>
  <si>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</si>
  <si>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</si>
  <si>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</si>
  <si>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</si>
  <si>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</si>
  <si>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</si>
  <si>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</si>
  <si>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</si>
  <si>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</si>
  <si>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</si>
  <si>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</si>
  <si>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</si>
  <si>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</si>
  <si>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</si>
  <si>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</si>
  <si>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</si>
  <si>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</si>
  <si>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</si>
  <si>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</si>
  <si>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</si>
  <si>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</si>
  <si>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</si>
  <si>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</si>
  <si>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</si>
  <si>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</si>
  <si>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</si>
  <si>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</si>
  <si>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</si>
  <si>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</si>
  <si>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</si>
  <si>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</si>
  <si>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</si>
  <si>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</si>
  <si>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</si>
  <si>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</si>
  <si>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</si>
  <si>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</si>
  <si>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</si>
  <si>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</si>
  <si>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</si>
  <si>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</si>
  <si>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</si>
  <si>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</si>
  <si>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</si>
  <si>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</si>
  <si>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</si>
  <si>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</si>
  <si>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</si>
  <si>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</si>
  <si>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</si>
  <si>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</si>
  <si>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</si>
  <si>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</si>
  <si>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</si>
  <si>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</si>
  <si>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</si>
  <si>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</si>
  <si>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</si>
  <si>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</si>
  <si>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</si>
  <si>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</si>
  <si>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</si>
  <si>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</si>
  <si>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</si>
  <si>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</si>
  <si>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</si>
  <si>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</si>
  <si>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</si>
  <si>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</si>
  <si>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</si>
  <si>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</si>
  <si>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</si>
  <si>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</si>
  <si>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</si>
  <si>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</si>
  <si>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</si>
  <si>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</si>
  <si>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</si>
  <si>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</si>
  <si>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</si>
  <si>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</si>
  <si>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</si>
  <si>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</si>
  <si>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</si>
  <si>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</si>
  <si>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</si>
  <si>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</si>
  <si>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</si>
  <si>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</si>
  <si>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</si>
  <si>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</si>
  <si>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</si>
  <si>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</si>
  <si>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</si>
  <si>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</si>
  <si>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</si>
  <si>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</si>
  <si>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</si>
  <si>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</si>
  <si>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</si>
  <si>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</si>
  <si>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</si>
  <si>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</si>
  <si>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</si>
  <si>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</si>
  <si>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</si>
  <si>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</si>
  <si>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</si>
  <si>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</si>
  <si>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</si>
  <si>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</si>
  <si>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</si>
  <si>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</si>
  <si>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</si>
  <si>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</si>
  <si>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</si>
  <si>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</si>
  <si>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</si>
  <si>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</si>
  <si>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</si>
  <si>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</si>
  <si>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</si>
  <si>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</si>
  <si>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</si>
  <si>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</si>
  <si>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</si>
  <si>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</si>
  <si>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</si>
  <si>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</si>
  <si>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</si>
  <si>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</si>
  <si>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</si>
  <si>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</si>
  <si>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</si>
  <si>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</si>
  <si>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</si>
  <si>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</si>
  <si>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</si>
  <si>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</si>
  <si>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</si>
  <si>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</si>
  <si>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</si>
  <si>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</si>
  <si>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</si>
  <si>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</si>
  <si>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</si>
  <si>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</si>
  <si>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</si>
  <si>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</si>
  <si>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</si>
  <si>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</si>
  <si>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</si>
  <si>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</si>
  <si>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</si>
  <si>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</si>
  <si>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</si>
  <si>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</si>
  <si>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</si>
  <si>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</si>
  <si>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</si>
  <si>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</si>
  <si>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</si>
  <si>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</si>
  <si>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</si>
  <si>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</si>
  <si>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</si>
  <si>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</si>
  <si>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</si>
  <si>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</si>
  <si>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</si>
  <si>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</si>
  <si>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</si>
  <si>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</si>
  <si>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</si>
  <si>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</si>
  <si>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</si>
  <si>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</si>
  <si>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</si>
  <si>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</si>
  <si>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</si>
  <si>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</si>
  <si>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</si>
  <si>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</si>
  <si>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</si>
  <si>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</si>
  <si>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</si>
  <si>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</si>
  <si>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</si>
  <si>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</si>
  <si>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</si>
  <si>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</si>
  <si>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</si>
  <si>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</si>
  <si>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</si>
  <si>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</si>
  <si>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</si>
  <si>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</si>
  <si>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</si>
  <si>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</si>
  <si>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</si>
  <si>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</si>
  <si>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</si>
  <si>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</si>
  <si>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</si>
  <si>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</si>
  <si>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</si>
  <si>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</si>
  <si>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</si>
  <si>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</si>
  <si>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</si>
  <si>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</si>
  <si>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</si>
  <si>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</si>
  <si>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</si>
  <si>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</si>
  <si>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</si>
  <si>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</si>
  <si>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</si>
  <si>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</si>
  <si>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</si>
  <si>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</si>
  <si>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</si>
  <si>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</si>
  <si>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</si>
  <si>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</si>
  <si>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</si>
  <si>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</si>
  <si>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</si>
  <si>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</si>
  <si>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</si>
  <si>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</si>
  <si>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</si>
  <si>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</si>
  <si>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</si>
  <si>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</si>
  <si>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</si>
  <si>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</si>
  <si>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</si>
  <si>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</si>
  <si>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</si>
  <si>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</si>
  <si>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</si>
  <si>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</si>
  <si>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</si>
  <si>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</si>
  <si>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</si>
  <si>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</si>
  <si>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</si>
  <si>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</si>
  <si>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</si>
  <si>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</si>
  <si>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</si>
  <si>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</si>
  <si>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</si>
  <si>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</si>
  <si>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</si>
  <si>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</si>
  <si>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</si>
  <si>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</si>
  <si>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</si>
  <si>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</si>
  <si>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</si>
  <si>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</si>
  <si>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</si>
  <si>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</si>
  <si>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</si>
  <si>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</si>
  <si>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</si>
  <si>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</si>
  <si>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</si>
  <si>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</si>
  <si>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</si>
  <si>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</si>
  <si>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</si>
  <si>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</si>
  <si>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</si>
  <si>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</si>
  <si>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</si>
  <si>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</si>
  <si>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</si>
  <si>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</si>
  <si>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</si>
  <si>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</si>
  <si>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</si>
  <si>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</si>
  <si>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</si>
  <si>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</si>
  <si>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</si>
  <si>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</si>
  <si>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</si>
  <si>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</si>
  <si>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</si>
  <si>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</si>
  <si>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</si>
  <si>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</si>
  <si>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</si>
  <si>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</si>
  <si>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</si>
  <si>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</si>
  <si>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</si>
  <si>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</si>
  <si>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</si>
  <si>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</si>
  <si>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</si>
  <si>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</si>
  <si>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</si>
  <si>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</si>
  <si>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</si>
  <si>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</si>
  <si>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</si>
  <si>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</si>
  <si>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</si>
  <si>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</si>
  <si>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</si>
  <si>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</si>
  <si>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</si>
  <si>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</si>
  <si>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</si>
  <si>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</si>
  <si>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</si>
  <si>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</si>
  <si>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</si>
  <si>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</si>
  <si>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</si>
  <si>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</si>
  <si>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</si>
  <si>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</si>
  <si>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</si>
  <si>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</si>
  <si>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</si>
  <si>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</si>
  <si>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</si>
  <si>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</si>
  <si>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</si>
  <si>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</si>
  <si>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</si>
  <si>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</si>
  <si>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</si>
  <si>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</si>
  <si>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</si>
  <si>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</si>
  <si>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</si>
  <si>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</si>
  <si>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</si>
  <si>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</si>
  <si>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</si>
  <si>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</si>
  <si>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</si>
  <si>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</si>
  <si>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</si>
  <si>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</si>
  <si>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</si>
  <si>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</si>
  <si>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</si>
  <si>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</si>
  <si>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</si>
  <si>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</si>
  <si>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</si>
  <si>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</si>
  <si>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</si>
  <si>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</si>
  <si>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</si>
  <si>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</si>
  <si>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</si>
  <si>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</si>
  <si>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</si>
  <si>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</si>
  <si>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</si>
  <si>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</si>
  <si>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</si>
  <si>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</si>
  <si>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</si>
  <si>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</si>
  <si>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</si>
  <si>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</si>
  <si>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</si>
  <si>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</si>
  <si>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</si>
  <si>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</si>
  <si>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</si>
  <si>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</si>
  <si>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</si>
  <si>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</si>
  <si>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</si>
  <si>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</si>
  <si>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</si>
  <si>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</si>
  <si>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</si>
  <si>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</si>
  <si>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</si>
  <si>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</si>
  <si>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</si>
  <si>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</si>
  <si>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</si>
  <si>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</si>
  <si>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</si>
  <si>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</si>
  <si>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</si>
  <si>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</si>
  <si>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</si>
  <si>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</si>
  <si>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</si>
  <si>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</si>
  <si>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</si>
  <si>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</si>
  <si>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</si>
  <si>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</si>
  <si>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</si>
  <si>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</si>
  <si>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</si>
  <si>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</si>
  <si>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</si>
  <si>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</si>
  <si>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</si>
  <si>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</si>
  <si>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</si>
  <si>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</si>
  <si>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</si>
  <si>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</si>
  <si>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</si>
  <si>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</si>
  <si>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</si>
  <si>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</si>
  <si>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</si>
  <si>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</si>
  <si>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</si>
  <si>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</si>
  <si>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</si>
  <si>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</si>
  <si>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</si>
  <si>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</si>
  <si>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</si>
  <si>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</si>
  <si>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</si>
  <si>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</si>
  <si>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</si>
  <si>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</si>
  <si>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</si>
  <si>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</si>
  <si>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</si>
  <si>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</si>
  <si>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</si>
  <si>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</si>
  <si>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</si>
  <si>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</si>
  <si>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</si>
  <si>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</si>
  <si>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</si>
  <si>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</si>
  <si>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</si>
  <si>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</si>
  <si>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</si>
  <si>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</si>
  <si>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</si>
  <si>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</si>
  <si>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</si>
  <si>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</si>
  <si>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</si>
  <si>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</si>
  <si>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</si>
  <si>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</si>
  <si>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</si>
  <si>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</si>
  <si>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</si>
  <si>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</si>
  <si>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</si>
  <si>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</si>
  <si>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</si>
  <si>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</si>
  <si>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</si>
  <si>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</si>
  <si>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</si>
  <si>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</si>
  <si>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</si>
  <si>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</si>
  <si>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</si>
  <si>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</si>
  <si>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</si>
  <si>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</si>
  <si>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</si>
  <si>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</si>
  <si>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</si>
  <si>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</si>
  <si>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</si>
  <si>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</si>
  <si>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</si>
  <si>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</si>
  <si>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</si>
  <si>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</si>
  <si>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</si>
  <si>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</si>
  <si>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</si>
  <si>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</si>
  <si>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</si>
  <si>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</si>
  <si>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</si>
  <si>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</si>
  <si>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</si>
  <si>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</si>
  <si>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</si>
  <si>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</si>
  <si>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</si>
  <si>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</si>
  <si>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</si>
  <si>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</si>
  <si>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</si>
  <si>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</si>
  <si>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</si>
  <si>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</si>
  <si>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</si>
  <si>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</si>
  <si>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</si>
  <si>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</si>
  <si>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</si>
  <si>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</si>
  <si>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</si>
  <si>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</si>
  <si>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</si>
  <si>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</si>
  <si>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</si>
  <si>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</si>
  <si>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</si>
  <si>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</si>
  <si>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</si>
  <si>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</si>
  <si>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</si>
  <si>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</si>
  <si>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</si>
  <si>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</si>
  <si>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</si>
  <si>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</si>
  <si>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</si>
  <si>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</si>
  <si>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</si>
  <si>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</si>
  <si>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</si>
  <si>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</si>
  <si>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</si>
  <si>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</si>
  <si>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</si>
  <si>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</si>
  <si>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</si>
  <si>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</si>
  <si>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</si>
  <si>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</si>
  <si>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</si>
  <si>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</si>
  <si>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</si>
  <si>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</si>
  <si>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</si>
  <si>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</si>
  <si>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</si>
  <si>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</si>
  <si>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</si>
  <si>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</si>
  <si>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</si>
  <si>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</si>
  <si>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</si>
  <si>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</si>
  <si>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</si>
  <si>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</si>
  <si>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</si>
  <si>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</si>
  <si>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</si>
  <si>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</si>
  <si>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</si>
  <si>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</si>
  <si>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</si>
  <si>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</si>
  <si>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</si>
  <si>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</si>
  <si>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</si>
  <si>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</si>
  <si>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</si>
  <si>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</si>
  <si>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</si>
  <si>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</si>
  <si>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</si>
  <si>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</si>
  <si>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</si>
  <si>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</si>
  <si>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</si>
  <si>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</si>
  <si>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</si>
  <si>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</si>
  <si>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</si>
  <si>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</si>
  <si>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</si>
  <si>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</si>
  <si>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</si>
  <si>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</si>
  <si>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</si>
  <si>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</si>
  <si>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</si>
  <si>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</si>
  <si>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</si>
  <si>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</si>
  <si>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</si>
  <si>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</si>
  <si>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</si>
  <si>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</si>
  <si>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</si>
  <si>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</si>
  <si>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</si>
  <si>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</si>
  <si>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</si>
  <si>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</si>
  <si>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</si>
  <si>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</si>
  <si>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</si>
  <si>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</si>
  <si>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</si>
  <si>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</si>
  <si>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</si>
  <si>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</si>
  <si>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</si>
  <si>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</si>
  <si>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</si>
  <si>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</si>
  <si>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</si>
  <si>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</si>
  <si>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</si>
  <si>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</si>
  <si>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</si>
  <si>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</si>
  <si>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</si>
  <si>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</si>
  <si>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</si>
  <si>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</si>
  <si>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</si>
  <si>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</si>
  <si>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</si>
  <si>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</si>
  <si>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</si>
  <si>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</si>
  <si>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</si>
  <si>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</si>
  <si>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</si>
  <si>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</si>
  <si>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</si>
  <si>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</si>
  <si>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</si>
  <si>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</si>
  <si>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</si>
  <si>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</si>
  <si>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</si>
  <si>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</si>
  <si>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</si>
  <si>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</si>
  <si>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</si>
  <si>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</si>
  <si>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</si>
  <si>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</si>
  <si>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</si>
  <si>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</si>
  <si>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</si>
  <si>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</si>
  <si>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</si>
  <si>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</si>
  <si>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</si>
  <si>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</si>
  <si>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</si>
  <si>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</si>
  <si>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</si>
  <si>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</si>
  <si>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</si>
  <si>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</si>
  <si>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</si>
  <si>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</si>
  <si>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</si>
  <si>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</si>
  <si>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</si>
  <si>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</si>
  <si>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</si>
  <si>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</si>
  <si>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</si>
  <si>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</si>
  <si>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</si>
  <si>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</si>
  <si>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</si>
  <si>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</si>
  <si>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</si>
  <si>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</si>
  <si>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</si>
  <si>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</si>
  <si>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</si>
  <si>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</si>
  <si>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</si>
  <si>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</si>
  <si>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</si>
  <si>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</si>
  <si>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</si>
  <si>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</si>
  <si>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</si>
  <si>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</si>
  <si>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</si>
  <si>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</si>
  <si>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</si>
  <si>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</si>
  <si>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</si>
  <si>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</si>
  <si>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</si>
  <si>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</si>
  <si>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</si>
  <si>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</si>
  <si>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</si>
  <si>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</si>
  <si>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</si>
  <si>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</si>
  <si>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</si>
  <si>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</si>
  <si>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</si>
  <si>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</si>
  <si>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</si>
  <si>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</si>
  <si>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</si>
  <si>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</si>
  <si>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</si>
  <si>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</si>
  <si>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</si>
  <si>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</si>
  <si>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</si>
  <si>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</si>
  <si>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</si>
  <si>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</si>
  <si>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</si>
  <si>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</si>
  <si>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</si>
  <si>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</si>
  <si>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</si>
  <si>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</si>
  <si>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</si>
  <si>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</si>
  <si>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</si>
  <si>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</si>
  <si>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</si>
  <si>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</si>
  <si>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</si>
  <si>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</si>
  <si>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</si>
  <si>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</si>
  <si>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</si>
  <si>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</si>
  <si>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</si>
  <si>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</si>
  <si>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</si>
  <si>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</si>
  <si>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</si>
  <si>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</si>
  <si>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</si>
  <si>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</si>
  <si>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</si>
  <si>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</si>
  <si>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</si>
  <si>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</si>
  <si>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</si>
  <si>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</si>
  <si>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</si>
  <si>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</si>
  <si>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</si>
  <si>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</si>
  <si>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</si>
  <si>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</si>
  <si>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</si>
  <si>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</si>
  <si>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</si>
  <si>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</si>
  <si>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</si>
  <si>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</si>
  <si>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</si>
  <si>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</si>
  <si>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</si>
  <si>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</si>
  <si>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</si>
  <si>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</si>
  <si>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</si>
  <si>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</si>
  <si>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</si>
  <si>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</si>
  <si>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</si>
  <si>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</si>
  <si>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</si>
  <si>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</si>
  <si>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</si>
  <si>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</si>
  <si>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</si>
  <si>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</si>
  <si>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</si>
  <si>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</si>
  <si>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</si>
  <si>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</si>
  <si>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</si>
  <si>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</si>
  <si>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</si>
  <si>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</si>
  <si>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</si>
  <si>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</si>
  <si>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</si>
  <si>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</si>
  <si>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</si>
  <si>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</si>
  <si>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</si>
  <si>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</si>
  <si>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</si>
  <si>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</si>
  <si>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</si>
  <si>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</si>
  <si>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</si>
  <si>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</si>
  <si>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</si>
  <si>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</si>
  <si>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</si>
  <si>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</si>
  <si>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</si>
  <si>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</si>
  <si>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</si>
  <si>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</si>
  <si>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</si>
  <si>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</si>
  <si>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</si>
  <si>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</si>
  <si>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</si>
  <si>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</si>
  <si>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</si>
  <si>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</si>
  <si>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</si>
  <si>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</si>
  <si>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</si>
  <si>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</si>
  <si>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</si>
  <si>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</si>
  <si>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</si>
  <si>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</si>
  <si>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</si>
  <si>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</si>
  <si>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</si>
  <si>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</si>
  <si>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</si>
  <si>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</si>
  <si>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</si>
  <si>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</si>
  <si>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</si>
  <si>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</si>
  <si>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</si>
  <si>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</si>
  <si>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</si>
  <si>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</si>
  <si>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</si>
  <si>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</si>
  <si>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</si>
  <si>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</si>
  <si>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</si>
  <si>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</si>
  <si>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</si>
  <si>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</si>
  <si>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</si>
  <si>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</si>
  <si>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</si>
  <si>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</si>
  <si>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</si>
  <si>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</si>
  <si>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</si>
  <si>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</si>
  <si>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</si>
  <si>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</si>
  <si>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</si>
  <si>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</si>
  <si>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</si>
  <si>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</si>
  <si>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</si>
  <si>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</si>
  <si>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</si>
  <si>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</si>
  <si>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</si>
  <si>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</si>
  <si>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</si>
  <si>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</si>
  <si>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</si>
  <si>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</si>
  <si>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</si>
  <si>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</si>
  <si>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</si>
  <si>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</si>
  <si>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</si>
  <si>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</si>
  <si>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</si>
  <si>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</si>
  <si>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</si>
  <si>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</si>
  <si>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</si>
  <si>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</si>
  <si>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</si>
  <si>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</si>
  <si>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</si>
  <si>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</si>
  <si>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</si>
  <si>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</si>
  <si>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</si>
  <si>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</si>
  <si>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</si>
  <si>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</si>
  <si>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</si>
  <si>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</si>
  <si>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</si>
  <si>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</si>
  <si>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</si>
  <si>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</si>
  <si>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</si>
  <si>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</si>
  <si>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</si>
  <si>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</si>
  <si>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</si>
  <si>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</si>
  <si>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</si>
  <si>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</si>
  <si>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</si>
  <si>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</si>
  <si>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</si>
  <si>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</si>
  <si>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</si>
  <si>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</si>
  <si>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</si>
  <si>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</si>
  <si>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</si>
  <si>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</si>
  <si>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</si>
  <si>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</si>
  <si>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</si>
  <si>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</si>
  <si>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</si>
  <si>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</si>
  <si>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</si>
  <si>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</si>
  <si>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</si>
  <si>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</si>
  <si>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</si>
  <si>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</si>
  <si>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</si>
  <si>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</si>
  <si>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</si>
  <si>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</si>
  <si>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</si>
  <si>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</si>
  <si>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</si>
  <si>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</si>
  <si>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</si>
  <si>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</si>
  <si>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</si>
  <si>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</si>
  <si>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</si>
  <si>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</si>
  <si>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</si>
  <si>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</si>
  <si>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</si>
  <si>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</si>
  <si>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</si>
  <si>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</si>
  <si>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</si>
  <si>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</si>
  <si>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</si>
  <si>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</si>
  <si>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</si>
  <si>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</si>
  <si>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</si>
  <si>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</si>
  <si>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</si>
  <si>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</si>
  <si>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</si>
  <si>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</si>
  <si>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</si>
  <si>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</si>
  <si>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</si>
  <si>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</si>
  <si>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</si>
  <si>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</si>
  <si>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</si>
  <si>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</si>
  <si>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</si>
  <si>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</si>
  <si>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</si>
  <si>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</si>
  <si>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</si>
  <si>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</si>
  <si>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</si>
  <si>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</si>
  <si>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</si>
  <si>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</si>
  <si>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</si>
  <si>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</si>
  <si>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</si>
  <si>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</si>
  <si>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</si>
  <si>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</si>
  <si>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</si>
  <si>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</si>
  <si>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</si>
  <si>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</si>
  <si>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</si>
  <si>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</si>
  <si>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</si>
  <si>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</si>
  <si>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</si>
  <si>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</si>
  <si>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</si>
  <si>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</si>
  <si>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</si>
  <si>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</si>
  <si>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</si>
  <si>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</si>
  <si>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</si>
  <si>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</si>
  <si>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</si>
  <si>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</si>
  <si>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</si>
  <si>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</si>
  <si>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</si>
  <si>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</si>
  <si>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</si>
  <si>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</si>
  <si>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</si>
  <si>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</si>
  <si>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</si>
  <si>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</si>
  <si>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</si>
  <si>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</si>
  <si>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</si>
  <si>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</si>
  <si>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</si>
  <si>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</si>
  <si>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</si>
  <si>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</si>
  <si>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</si>
  <si>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</si>
  <si>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</si>
  <si>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</si>
  <si>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</si>
  <si>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</si>
  <si>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</si>
  <si>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</si>
  <si>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</si>
  <si>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</si>
  <si>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</si>
  <si>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</si>
  <si>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</si>
  <si>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</si>
  <si>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</si>
  <si>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</si>
  <si>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</si>
  <si>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</si>
  <si>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</si>
  <si>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</si>
  <si>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</si>
  <si>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</si>
  <si>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</si>
  <si>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</si>
  <si>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</si>
  <si>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</si>
  <si>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</si>
  <si>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</si>
  <si>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</si>
  <si>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</si>
  <si>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</si>
  <si>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</si>
  <si>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</si>
  <si>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</si>
  <si>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</si>
  <si>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</si>
  <si>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</si>
  <si>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</si>
  <si>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</si>
  <si>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</si>
  <si>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</si>
  <si>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</si>
  <si>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</si>
  <si>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</si>
  <si>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</si>
  <si>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</si>
  <si>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</si>
  <si>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</si>
  <si>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</si>
  <si>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</si>
  <si>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</si>
  <si>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</si>
  <si>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</si>
  <si>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</si>
  <si>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</si>
  <si>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</si>
  <si>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</si>
  <si>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</si>
  <si>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</si>
  <si>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</si>
  <si>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</si>
  <si>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</si>
  <si>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</si>
  <si>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</si>
  <si>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</si>
  <si>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</si>
  <si>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</si>
  <si>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</si>
  <si>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</si>
  <si>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</si>
  <si>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</si>
  <si>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</si>
  <si>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</si>
  <si>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</si>
  <si>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</si>
  <si>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</si>
  <si>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</si>
  <si>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</si>
  <si>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</si>
  <si>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</si>
  <si>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</si>
  <si>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</si>
  <si>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</si>
  <si>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</si>
  <si>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</si>
  <si>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</si>
  <si>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</si>
  <si>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</si>
  <si>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</si>
  <si>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</si>
  <si>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</si>
  <si>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</si>
  <si>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</si>
  <si>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</si>
  <si>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</si>
  <si>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</si>
  <si>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</si>
  <si>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</si>
  <si>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</si>
  <si>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</si>
  <si>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</si>
  <si>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</si>
  <si>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</si>
  <si>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</si>
  <si>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</si>
  <si>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</si>
  <si>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</si>
  <si>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</si>
  <si>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</si>
  <si>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</si>
  <si>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</si>
  <si>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</si>
  <si>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</si>
  <si>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</si>
  <si>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</si>
  <si>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</si>
  <si>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</si>
  <si>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</si>
  <si>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</si>
  <si>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</si>
  <si>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</si>
  <si>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</si>
  <si>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</si>
  <si>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</si>
  <si>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</si>
  <si>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</si>
  <si>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</si>
  <si>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</si>
  <si>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</si>
  <si>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</si>
  <si>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</si>
  <si>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</si>
  <si>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</si>
  <si>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</si>
  <si>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</si>
  <si>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</si>
  <si>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</si>
  <si>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</si>
  <si>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</si>
  <si>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</si>
  <si>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</si>
  <si>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</si>
  <si>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</si>
  <si>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</si>
  <si>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</si>
  <si>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</si>
  <si>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</si>
  <si>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</si>
  <si>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</si>
  <si>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</si>
  <si>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</si>
  <si>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</si>
  <si>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</si>
  <si>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</si>
  <si>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</si>
  <si>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</si>
  <si>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</si>
  <si>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</si>
  <si>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</si>
  <si>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</si>
  <si>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</si>
  <si>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</si>
  <si>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</si>
  <si>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</si>
  <si>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</si>
  <si>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</si>
  <si>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</si>
  <si>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</si>
  <si>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</si>
  <si>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</si>
  <si>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</si>
  <si>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</si>
  <si>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</si>
  <si>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</si>
  <si>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</si>
  <si>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</si>
  <si>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</si>
  <si>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</si>
  <si>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</si>
  <si>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</si>
  <si>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</si>
  <si>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</si>
  <si>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</si>
  <si>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</si>
  <si>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</si>
  <si>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</si>
  <si>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</si>
  <si>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</si>
  <si>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</si>
  <si>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</si>
  <si>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</si>
  <si>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</si>
  <si>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</si>
  <si>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</si>
  <si>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</si>
  <si>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</si>
  <si>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</si>
  <si>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</si>
  <si>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</si>
  <si>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</si>
  <si>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</si>
  <si>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</si>
  <si>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</si>
  <si>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</si>
  <si>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</si>
  <si>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</si>
  <si>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</si>
  <si>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</si>
  <si>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</si>
  <si>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</si>
  <si>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</si>
  <si>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</si>
  <si>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</si>
  <si>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</si>
  <si>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</si>
  <si>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</si>
  <si>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</si>
  <si>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</si>
  <si>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</si>
  <si>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</si>
  <si>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</si>
  <si>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</si>
  <si>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</si>
  <si>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</si>
  <si>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</si>
  <si>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</si>
  <si>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</si>
  <si>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</si>
  <si>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</si>
  <si>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</si>
  <si>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</si>
  <si>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</si>
  <si>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</si>
  <si>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</si>
  <si>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</si>
  <si>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</si>
  <si>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</si>
  <si>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</si>
  <si>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</si>
  <si>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</si>
  <si>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</si>
  <si>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</si>
  <si>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</si>
  <si>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</si>
  <si>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</si>
  <si>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</si>
  <si>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</si>
  <si>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</si>
  <si>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</si>
  <si>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</si>
  <si>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</si>
  <si>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</si>
  <si>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</si>
  <si>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</si>
  <si>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</si>
  <si>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</si>
  <si>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</si>
  <si>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</si>
  <si>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</si>
  <si>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</si>
  <si>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</si>
  <si>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</si>
  <si>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</si>
  <si>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</si>
  <si>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</si>
  <si>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</si>
  <si>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</si>
  <si>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</si>
  <si>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</si>
  <si>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</si>
  <si>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</si>
  <si>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</si>
  <si>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</si>
  <si>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</si>
  <si>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</si>
  <si>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</si>
  <si>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</si>
  <si>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</si>
  <si>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</si>
  <si>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</si>
  <si>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</si>
  <si>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</si>
  <si>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</si>
  <si>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</si>
  <si>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</si>
  <si>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</si>
  <si>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</si>
  <si>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</si>
  <si>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</si>
  <si>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</si>
  <si>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</si>
  <si>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</si>
  <si>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</si>
  <si>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</si>
  <si>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</si>
  <si>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</si>
  <si>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</si>
  <si>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</si>
  <si>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</si>
  <si>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</si>
  <si>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</si>
  <si>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</si>
  <si>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</si>
  <si>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</si>
  <si>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</si>
  <si>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</si>
  <si>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</si>
  <si>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</si>
  <si>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</si>
  <si>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</si>
  <si>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</si>
  <si>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</si>
  <si>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</si>
  <si>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</si>
  <si>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</si>
  <si>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</si>
  <si>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</si>
  <si>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</si>
  <si>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</si>
  <si>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</si>
  <si>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</si>
  <si>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</si>
  <si>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</si>
  <si>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</si>
  <si>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</si>
  <si>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</si>
  <si>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</si>
  <si>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</si>
  <si>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</si>
  <si>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</si>
  <si>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</si>
  <si>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</si>
  <si>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</si>
  <si>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</si>
  <si>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</si>
  <si>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</si>
  <si>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</si>
  <si>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</si>
  <si>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</si>
  <si>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</si>
  <si>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</si>
  <si>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</si>
  <si>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</si>
  <si>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</si>
  <si>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</si>
  <si>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</si>
  <si>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</si>
  <si>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</si>
  <si>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</si>
  <si>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</si>
  <si>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</si>
  <si>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</si>
  <si>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</si>
  <si>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</si>
  <si>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</si>
  <si>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</si>
  <si>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</si>
  <si>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</si>
  <si>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</si>
  <si>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</si>
  <si>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</si>
  <si>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</si>
  <si>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</si>
  <si>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</si>
  <si>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</si>
  <si>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</si>
  <si>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</si>
  <si>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</si>
  <si>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</si>
  <si>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</si>
  <si>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</si>
  <si>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</si>
  <si>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</si>
  <si>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</si>
  <si>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</si>
  <si>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</si>
  <si>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</si>
  <si>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</si>
  <si>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</si>
  <si>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</si>
  <si>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</si>
  <si>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</si>
  <si>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</si>
  <si>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</si>
  <si>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</si>
  <si>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</si>
  <si>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</si>
  <si>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</si>
  <si>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</si>
  <si>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</si>
  <si>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</si>
  <si>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</si>
  <si>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</si>
  <si>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</si>
  <si>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</si>
  <si>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</si>
  <si>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</si>
  <si>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</si>
  <si>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</si>
  <si>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</si>
  <si>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</si>
  <si>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</si>
  <si>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</si>
  <si>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</si>
  <si>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</si>
  <si>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</si>
  <si>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</si>
  <si>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</si>
  <si>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</si>
  <si>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</si>
  <si>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</si>
  <si>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</si>
  <si>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</si>
  <si>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</si>
  <si>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</si>
  <si>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</si>
  <si>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</si>
  <si>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</si>
  <si>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</si>
  <si>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</si>
  <si>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</si>
  <si>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</si>
  <si>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</si>
  <si>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</si>
  <si>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</si>
  <si>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</si>
  <si>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</si>
  <si>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</si>
  <si>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</si>
  <si>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</si>
  <si>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</si>
  <si>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</si>
  <si>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</si>
  <si>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</si>
  <si>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</si>
  <si>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</si>
  <si>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</si>
  <si>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</si>
  <si>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</si>
  <si>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</si>
  <si>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</si>
  <si>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</si>
  <si>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</si>
  <si>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</si>
  <si>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</si>
  <si>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</si>
  <si>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</si>
  <si>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</si>
  <si>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</si>
  <si>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</si>
  <si>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</si>
  <si>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</si>
  <si>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</si>
  <si>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</si>
  <si>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</si>
  <si>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</si>
  <si>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</si>
  <si>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</si>
  <si>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</si>
  <si>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</si>
  <si>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</si>
  <si>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</si>
  <si>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</si>
  <si>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</si>
  <si>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</si>
  <si>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</si>
  <si>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</si>
  <si>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</si>
  <si>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</si>
  <si>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</si>
  <si>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</si>
  <si>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</si>
  <si>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</si>
  <si>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</si>
  <si>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</si>
  <si>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</si>
  <si>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</si>
  <si>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</si>
  <si>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</si>
  <si>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</si>
  <si>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</si>
  <si>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</si>
  <si>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</si>
  <si>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</si>
  <si>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</si>
  <si>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</si>
  <si>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</si>
  <si>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</si>
  <si>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</si>
  <si>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</si>
  <si>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</si>
  <si>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</si>
  <si>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</si>
  <si>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</si>
  <si>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</si>
  <si>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</si>
  <si>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</si>
  <si>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</si>
  <si>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</si>
  <si>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</si>
  <si>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</si>
  <si>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</si>
  <si>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</si>
  <si>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</si>
  <si>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</si>
  <si>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</si>
  <si>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</si>
  <si>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</si>
  <si>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</si>
  <si>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</si>
  <si>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</si>
  <si>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</si>
  <si>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</si>
  <si>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</si>
  <si>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</si>
  <si>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</si>
  <si>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</si>
  <si>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</si>
  <si>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</si>
  <si>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</si>
  <si>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</si>
  <si>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</si>
  <si>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</si>
  <si>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</si>
  <si>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</si>
  <si>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</si>
  <si>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</si>
  <si>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</si>
  <si>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</si>
  <si>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</si>
  <si>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</si>
  <si>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</si>
  <si>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</si>
  <si>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</si>
  <si>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</si>
  <si>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</si>
  <si>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</si>
  <si>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</si>
  <si>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</si>
  <si>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</si>
  <si>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</si>
  <si>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</si>
  <si>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</si>
  <si>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</si>
  <si>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</si>
  <si>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</si>
  <si>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</si>
  <si>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</si>
  <si>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</si>
  <si>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</si>
  <si>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</si>
  <si>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</si>
  <si>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</si>
  <si>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</si>
  <si>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</si>
  <si>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</si>
  <si>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</si>
  <si>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</si>
  <si>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</si>
  <si>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</si>
  <si>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</si>
  <si>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</si>
  <si>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</si>
  <si>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</si>
  <si>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 xml:space="preserve"> 17 Aug 2026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</si>
  <si>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</si>
  <si>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</si>
  <si>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</si>
  <si>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</si>
  <si>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</si>
  <si>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</si>
  <si>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</si>
  <si>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</si>
  <si>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</si>
  <si>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</si>
  <si>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</si>
  <si>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</si>
  <si>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</si>
  <si>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</si>
  <si>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</si>
  <si>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</si>
  <si>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</si>
  <si>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</si>
  <si>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</si>
  <si>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</si>
  <si>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</si>
  <si>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 xml:space="preserve"> 18 Aug 2026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</si>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</sst>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1" xfId="0" applyFont="1" applyFill="1" applyBorder="1" applyAlignment="1"/>
    <xf numFmtId="0" fontId="2" fillId="0" borderId="3" xfId="0" applyFont="1" applyFill="1" applyBorder="1" applyAlignmen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</dxfs>
  <tableStyles count="0" defaultTableStyle="TableStyleMedium2" defaultPivotStyle="PivotStyleLight16"/>
  <colors>
    <mruColors>
      <color rgb="FFDD9411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[]</a:t>
                </a:fld>
                <a:endParaRPr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4"/>
              <c:layout>
                <c:manualLayout>
                  <c:x val="-3.0428769017980736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B8BC96-6E2C-407D-8C7A-C6DF1291BE55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/>
                      </a:pPr>
                      <a:t>[]</a:t>
                    </a:fld>
                    <a:endParaRPr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389996502273523E-2"/>
              <c:y val="-0.128479657387580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fld id="{23846B20-F7CC-4069-A007-81E3FDCE0969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[]</a:t>
                </a:fld>
                <a:endParaRPr/>
              </a:p>
            </c:rich>
          </c:tx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1.5389996502273523E-2"/>
                  <c:y val="-0.1284796573875803"/>
                </c:manualLayout>
              </c:layout>
              <c:tx>
                <c:rich>
                  <a:bodyPr/>
                  <a:lstStyle/>
                  <a:p>
                    <a:fld id="{23846B20-F7CC-4069-A007-81E3FDCE0969}" type="VALUE">
                      <a:rPr lang="en-US" b="1">
                        <a:solidFill>
                          <a:schemeClr val="bg1"/>
                        </a:solidFill>
                      </a:rPr>
                      <a:pPr/>
                      <a:t>[]</a:t>
                    </a:fld>
                    <a:endParaRPr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1">
      <pivotArea outline="0" collapsedLevelsAreSubtotals="1" fieldPosition="0"/>
    </format>
    <format dxfId="2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4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5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6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2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2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>
      <c r="C3" t="s">
        <v>3</v>
      </c>
      <c r="U3" s="64"/>
      <c r="V3" s="64"/>
      <c r="W3" s="64"/>
      <c r="X3" s="64"/>
      <c r="Y3" s="64"/>
      <c r="Z3" s="64"/>
    </row>
    <row r="4" spans="1:27" ht="1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>
      <c r="U5" s="65"/>
      <c r="V5" s="65"/>
      <c r="W5" s="65"/>
      <c r="X5" s="65"/>
      <c r="Y5" s="65"/>
      <c r="Z5" s="65"/>
      <c r="AA5" s="65"/>
    </row>
    <row r="6" spans="1:27">
      <c r="U6" s="66"/>
      <c r="V6" s="66"/>
      <c r="W6" s="66"/>
      <c r="X6" s="66"/>
      <c r="Y6" s="52"/>
      <c r="Z6" s="52"/>
    </row>
    <row r="7" spans="1:27">
      <c r="U7" s="66"/>
      <c r="V7" s="66"/>
      <c r="W7" s="66"/>
      <c r="X7" s="66"/>
      <c r="Y7" s="52"/>
      <c r="Z7" s="52"/>
    </row>
    <row r="8" spans="1:27">
      <c r="U8" s="67"/>
      <c r="V8" s="67"/>
      <c r="W8" s="67"/>
      <c r="X8" s="67"/>
      <c r="Y8" s="52"/>
      <c r="Z8" s="52"/>
    </row>
    <row r="9" spans="1:27">
      <c r="U9" s="67"/>
      <c r="V9" s="67"/>
      <c r="W9" s="67"/>
      <c r="X9" s="67"/>
      <c r="Y9" s="52"/>
      <c r="Z9" s="52"/>
    </row>
    <row r="10" spans="1:27">
      <c r="U10" s="67"/>
      <c r="V10" s="67"/>
      <c r="W10" s="67"/>
      <c r="X10" s="67"/>
      <c r="Y10" s="52"/>
      <c r="Z10" s="52"/>
    </row>
    <row r="11" spans="1:27">
      <c r="U11" s="67"/>
      <c r="V11" s="67"/>
      <c r="W11" s="67"/>
      <c r="X11" s="67"/>
      <c r="Y11" s="52"/>
      <c r="Z11" s="52"/>
    </row>
    <row r="12" spans="1:27">
      <c r="U12" s="67"/>
      <c r="V12" s="67"/>
      <c r="W12" s="67"/>
      <c r="X12" s="67"/>
      <c r="Y12" s="52"/>
      <c r="Z12" s="52"/>
    </row>
    <row r="13" spans="1:27" ht="24.75" customHeight="1">
      <c r="U13" s="67"/>
      <c r="V13" s="67"/>
      <c r="W13" s="67"/>
      <c r="X13" s="67"/>
      <c r="Y13" s="52"/>
      <c r="Z13" s="52"/>
    </row>
    <row r="14" spans="1:27" ht="24.75" customHeight="1">
      <c r="U14" s="67"/>
      <c r="V14" s="67"/>
      <c r="W14" s="67"/>
      <c r="X14" s="67"/>
      <c r="Y14" s="52"/>
      <c r="Z14" s="52"/>
    </row>
    <row r="15" spans="1:27" ht="24.75" customHeight="1">
      <c r="U15" s="67"/>
      <c r="V15" s="67"/>
      <c r="W15" s="67"/>
      <c r="X15" s="67"/>
      <c r="Y15" s="52"/>
      <c r="Z15" s="52"/>
    </row>
    <row r="16" spans="1:27" ht="24.75" customHeight="1">
      <c r="U16" s="52"/>
      <c r="V16" s="52"/>
      <c r="W16" s="52"/>
      <c r="X16" s="52"/>
      <c r="Y16" s="52"/>
      <c r="Z16" s="52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R7" sqref="R7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>
      <c r="U3" s="64"/>
      <c r="V3" s="64"/>
      <c r="W3" s="64"/>
      <c r="X3" s="64"/>
      <c r="Y3" s="64"/>
      <c r="Z3" s="64"/>
    </row>
    <row r="4" spans="1:27" ht="1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>
      <c r="U5" s="65"/>
      <c r="V5" s="65"/>
      <c r="W5" s="65"/>
      <c r="X5" s="65"/>
      <c r="Y5" s="65"/>
      <c r="Z5" s="65"/>
      <c r="AA5" s="65"/>
    </row>
    <row r="6" spans="1:27">
      <c r="U6" s="66"/>
      <c r="V6" s="66"/>
      <c r="W6" s="66"/>
      <c r="X6" s="66"/>
      <c r="Y6" s="52"/>
      <c r="Z6" s="52"/>
    </row>
    <row r="7" spans="1:27">
      <c r="U7" s="66"/>
      <c r="V7" s="66"/>
      <c r="W7" s="66"/>
      <c r="X7" s="66"/>
      <c r="Y7" s="52"/>
      <c r="Z7" s="52"/>
    </row>
    <row r="8" spans="1:27">
      <c r="U8" s="67"/>
      <c r="V8" s="67"/>
      <c r="W8" s="67"/>
      <c r="X8" s="67"/>
      <c r="Y8" s="52"/>
      <c r="Z8" s="52"/>
    </row>
    <row r="9" spans="1:27">
      <c r="U9" s="67"/>
      <c r="V9" s="67"/>
      <c r="W9" s="67"/>
      <c r="X9" s="67"/>
      <c r="Y9" s="52"/>
      <c r="Z9" s="52"/>
    </row>
    <row r="10" spans="1:27">
      <c r="U10" s="67"/>
      <c r="V10" s="67"/>
      <c r="W10" s="67"/>
      <c r="X10" s="67"/>
      <c r="Y10" s="52"/>
      <c r="Z10" s="52"/>
    </row>
    <row r="11" spans="1:27">
      <c r="U11" s="67"/>
      <c r="V11" s="67"/>
      <c r="W11" s="67"/>
      <c r="X11" s="67"/>
      <c r="Y11" s="52"/>
      <c r="Z11" s="52"/>
    </row>
    <row r="12" spans="1:27">
      <c r="U12" s="67"/>
      <c r="V12" s="67"/>
      <c r="W12" s="67"/>
      <c r="X12" s="67"/>
      <c r="Y12" s="52"/>
      <c r="Z12" s="52"/>
    </row>
    <row r="13" spans="1:27" ht="24.75" customHeight="1">
      <c r="U13" s="67"/>
      <c r="V13" s="67"/>
      <c r="W13" s="67"/>
      <c r="X13" s="67"/>
      <c r="Y13" s="52"/>
      <c r="Z13" s="52"/>
    </row>
    <row r="14" spans="1:27" ht="24.75" customHeight="1">
      <c r="U14" s="67"/>
      <c r="V14" s="67"/>
      <c r="W14" s="67"/>
      <c r="X14" s="67"/>
      <c r="Y14" s="52"/>
      <c r="Z14" s="52"/>
    </row>
    <row r="15" spans="1:27" ht="24.75" customHeight="1">
      <c r="U15" s="67"/>
      <c r="V15" s="67"/>
      <c r="W15" s="67"/>
      <c r="X15" s="67"/>
      <c r="Y15" s="52"/>
      <c r="Z15" s="52"/>
    </row>
    <row r="16" spans="1:27" ht="24.75" customHeight="1">
      <c r="U16" s="52"/>
      <c r="V16" s="52"/>
      <c r="W16" s="52"/>
      <c r="X16" s="52"/>
      <c r="Y16" s="52"/>
      <c r="Z16" s="52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0"/>
  <sheetViews>
    <sheetView tabSelected="1" zoomScaleNormal="100" workbookViewId="0">
      <pane ySplit="4" topLeftCell="A860" activePane="bottomLeft" state="frozen"/>
      <selection pane="bottomLeft" activeCell="I877" sqref="I877"/>
    </sheetView>
  </sheetViews>
  <sheetFormatPr defaultColWidth="9.140625" defaultRowHeight="1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>
      <c r="A1" s="53" t="s">
        <v>4</v>
      </c>
      <c r="O1" s="75"/>
    </row>
    <row r="2" spans="1:28">
      <c r="A2" s="53" t="s">
        <v>5</v>
      </c>
      <c r="H2" s="1">
        <f>15000/7</f>
        <v>2142.8571428571427</v>
      </c>
      <c r="O2" s="75"/>
    </row>
    <row r="3" spans="1:28">
      <c r="A3" s="53" t="s">
        <v>6</v>
      </c>
      <c r="O3" s="75"/>
    </row>
    <row r="4" spans="1:28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56"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56"/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56"/>
        <v>2142.8571428571427</v>
      </c>
      <c r="I797" s="6">
        <f t="shared" ref="I797:I804" si="57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56"/>
        <v>2142.8571428571427</v>
      </c>
      <c r="I798" s="6">
        <f t="shared" si="57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56"/>
        <v>2142.8571428571427</v>
      </c>
      <c r="I799" s="6">
        <f t="shared" si="57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7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56"/>
        <v>2142.8571428571427</v>
      </c>
      <c r="I801" s="6">
        <f t="shared" si="57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7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7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7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8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8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8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8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8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8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9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60">15000/6</f>
        <v>2500</v>
      </c>
      <c r="I817" s="6">
        <f t="shared" si="59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60"/>
        <v>2500</v>
      </c>
      <c r="I818" s="6">
        <f t="shared" si="59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9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60"/>
        <v>2500</v>
      </c>
      <c r="I820" s="6">
        <f t="shared" si="59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9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9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9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61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61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61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62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62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3:H838" si="63">15000/6</f>
        <v>2500</v>
      </c>
      <c r="I833" s="6">
        <f t="shared" si="62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63"/>
        <v>2500</v>
      </c>
      <c r="I834" s="6">
        <f t="shared" si="62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63"/>
        <v>2500</v>
      </c>
      <c r="I835" s="6">
        <f t="shared" si="62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63"/>
        <v>2500</v>
      </c>
      <c r="I836" s="6">
        <f t="shared" si="62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62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63"/>
        <v>2500</v>
      </c>
      <c r="I838" s="6">
        <f t="shared" si="62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62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62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64">15000/5</f>
        <v>3000</v>
      </c>
      <c r="I841" s="6">
        <f t="shared" si="62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64"/>
        <v>3000</v>
      </c>
      <c r="I842" s="6">
        <f t="shared" si="62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64"/>
        <v>3000</v>
      </c>
      <c r="I843" s="6">
        <f t="shared" si="62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64"/>
        <v>3000</v>
      </c>
      <c r="I844" s="6">
        <f t="shared" si="62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62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64"/>
        <v>3000</v>
      </c>
      <c r="I846" s="6">
        <f t="shared" si="62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62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62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62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62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62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62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62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62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>
      <c r="A855" s="2" t="s">
        <v>3094</v>
      </c>
      <c r="B855" s="8" t="s">
        <v>3095</v>
      </c>
      <c r="C855" s="8" t="s">
        <v>36</v>
      </c>
      <c r="D855" s="8" t="s">
        <v>39</v>
      </c>
      <c r="E855" s="8" t="s">
        <v>47</v>
      </c>
      <c r="F855" s="13"/>
      <c r="G855" s="59"/>
      <c r="H855" s="6"/>
      <c r="I855" s="6">
        <f t="shared" si="62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3096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3097</v>
      </c>
      <c r="X855" s="2" t="s">
        <v>3098</v>
      </c>
      <c r="Y855" s="2" t="s">
        <v>3099</v>
      </c>
      <c r="Z855" s="2">
        <v>0.4</v>
      </c>
      <c r="AA855" s="2" t="s">
        <v>548</v>
      </c>
      <c r="AB855" s="2">
        <v>292.8</v>
      </c>
    </row>
    <row r="856" spans="1:28">
      <c r="A856" s="2" t="s">
        <v>3094</v>
      </c>
      <c r="B856" s="8" t="s">
        <v>3095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62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3100</v>
      </c>
    </row>
    <row r="857" spans="1:28">
      <c r="A857" s="2" t="s">
        <v>3094</v>
      </c>
      <c r="B857" s="8" t="s">
        <v>3095</v>
      </c>
      <c r="C857" s="8" t="s">
        <v>36</v>
      </c>
      <c r="D857" s="8" t="s">
        <v>67</v>
      </c>
      <c r="E857" s="8" t="s">
        <v>47</v>
      </c>
      <c r="F857" s="13"/>
      <c r="G857" s="59"/>
      <c r="H857" s="6"/>
      <c r="I857" s="6">
        <f t="shared" si="62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3101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3102</v>
      </c>
      <c r="Y857" s="2" t="s">
        <v>3103</v>
      </c>
      <c r="Z857" s="2" t="s">
        <v>548</v>
      </c>
      <c r="AA857" s="2" t="s">
        <v>548</v>
      </c>
      <c r="AB857" s="2">
        <v>72.3</v>
      </c>
    </row>
    <row r="858" spans="1:28">
      <c r="A858" s="2" t="s">
        <v>3094</v>
      </c>
      <c r="B858" s="8" t="s">
        <v>3095</v>
      </c>
      <c r="C858" s="8" t="s">
        <v>36</v>
      </c>
      <c r="D858" s="8" t="s">
        <v>50</v>
      </c>
      <c r="E858" s="8" t="s">
        <v>47</v>
      </c>
      <c r="F858" s="13"/>
      <c r="G858" s="59"/>
      <c r="H858" s="6"/>
      <c r="I858" s="6">
        <f t="shared" si="62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3104</v>
      </c>
      <c r="Y858" s="2" t="s">
        <v>3105</v>
      </c>
      <c r="Z858" s="2">
        <v>0.1</v>
      </c>
      <c r="AA858" s="2" t="s">
        <v>548</v>
      </c>
      <c r="AB858" s="2">
        <v>337.5</v>
      </c>
    </row>
    <row r="859" spans="1:28">
      <c r="A859" s="2" t="s">
        <v>3094</v>
      </c>
      <c r="B859" s="8" t="s">
        <v>3095</v>
      </c>
      <c r="C859" s="8" t="s">
        <v>36</v>
      </c>
      <c r="D859" s="8" t="s">
        <v>52</v>
      </c>
      <c r="E859" s="8" t="s">
        <v>47</v>
      </c>
      <c r="F859" s="13"/>
      <c r="G859" s="59"/>
      <c r="H859" s="6"/>
      <c r="I859" s="6">
        <f t="shared" si="62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3106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3107</v>
      </c>
      <c r="Y859" s="2" t="s">
        <v>3108</v>
      </c>
      <c r="Z859" s="2">
        <v>0.1</v>
      </c>
      <c r="AA859" s="2" t="s">
        <v>548</v>
      </c>
      <c r="AB859" s="2">
        <v>121.5</v>
      </c>
    </row>
    <row r="860" spans="1:28">
      <c r="A860" s="2" t="s">
        <v>3094</v>
      </c>
      <c r="B860" s="8" t="s">
        <v>3095</v>
      </c>
      <c r="C860" s="8" t="s">
        <v>36</v>
      </c>
      <c r="D860" s="7" t="s">
        <v>46</v>
      </c>
      <c r="E860" s="8" t="s">
        <v>47</v>
      </c>
      <c r="F860" s="13"/>
      <c r="G860" s="59"/>
      <c r="H860" s="6"/>
      <c r="I860" s="6">
        <f t="shared" si="62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3109</v>
      </c>
      <c r="Y860" s="2" t="s">
        <v>3110</v>
      </c>
      <c r="Z860" s="2" t="s">
        <v>548</v>
      </c>
      <c r="AA860" s="2" t="s">
        <v>548</v>
      </c>
      <c r="AB860" s="2">
        <v>256.39999999999998</v>
      </c>
    </row>
    <row r="861" spans="1:28">
      <c r="A861" s="2" t="s">
        <v>3094</v>
      </c>
      <c r="B861" s="8" t="s">
        <v>3095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/>
      <c r="I861" s="6">
        <f t="shared" si="62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3111</v>
      </c>
      <c r="Y861" s="2" t="s">
        <v>3112</v>
      </c>
      <c r="Z861" s="2">
        <v>0.1</v>
      </c>
      <c r="AA861" s="2" t="s">
        <v>548</v>
      </c>
      <c r="AB861" s="2">
        <v>49.7</v>
      </c>
    </row>
    <row r="862" spans="1:28">
      <c r="A862" s="2" t="s">
        <v>3094</v>
      </c>
      <c r="B862" s="8" t="s">
        <v>3095</v>
      </c>
      <c r="C862" s="8" t="s">
        <v>36</v>
      </c>
      <c r="D862" s="8" t="s">
        <v>49</v>
      </c>
      <c r="E862" s="8" t="s">
        <v>47</v>
      </c>
      <c r="F862" s="13"/>
      <c r="G862" s="59"/>
      <c r="H862" s="6"/>
      <c r="I862" s="6">
        <f t="shared" si="62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3113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3114</v>
      </c>
      <c r="Y862" s="2" t="s">
        <v>3115</v>
      </c>
      <c r="Z862" s="2" t="s">
        <v>548</v>
      </c>
      <c r="AA862" s="2" t="s">
        <v>548</v>
      </c>
      <c r="AB862" s="2">
        <v>5.7</v>
      </c>
    </row>
    <row r="863" spans="1:28">
      <c r="A863" s="2" t="s">
        <v>3094</v>
      </c>
      <c r="B863" s="8" t="s">
        <v>3095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67" si="65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>
      <c r="A864" s="2" t="s">
        <v>3116</v>
      </c>
      <c r="B864" s="8" t="s">
        <v>3095</v>
      </c>
      <c r="C864" s="8" t="s">
        <v>36</v>
      </c>
      <c r="D864" s="8" t="s">
        <v>39</v>
      </c>
      <c r="E864" s="8" t="s">
        <v>47</v>
      </c>
      <c r="F864" s="13"/>
      <c r="G864" s="59"/>
      <c r="H864" s="6"/>
      <c r="I864" s="6">
        <f t="shared" si="65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3117</v>
      </c>
      <c r="Y864" s="2" t="s">
        <v>3118</v>
      </c>
      <c r="Z864" s="2" t="s">
        <v>548</v>
      </c>
      <c r="AA864" s="2" t="s">
        <v>548</v>
      </c>
      <c r="AB864" s="2">
        <v>292.8</v>
      </c>
    </row>
    <row r="865" spans="1:28">
      <c r="A865" s="2" t="s">
        <v>3116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5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>
      <c r="A866" s="2" t="s">
        <v>3116</v>
      </c>
      <c r="B866" s="8" t="s">
        <v>3095</v>
      </c>
      <c r="C866" s="8" t="s">
        <v>36</v>
      </c>
      <c r="D866" s="8" t="s">
        <v>67</v>
      </c>
      <c r="E866" s="8" t="s">
        <v>47</v>
      </c>
      <c r="F866" s="13"/>
      <c r="G866" s="6"/>
      <c r="H866" s="6"/>
      <c r="I866" s="6">
        <f t="shared" si="65"/>
        <v>200.42857142857142</v>
      </c>
      <c r="J866" s="2">
        <v>9.15</v>
      </c>
      <c r="K866" s="2" t="s">
        <v>3119</v>
      </c>
      <c r="L866" s="2">
        <v>2.15</v>
      </c>
      <c r="M866" s="2">
        <v>23.5</v>
      </c>
      <c r="N866" s="2" t="s">
        <v>3120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3121</v>
      </c>
      <c r="Y866" s="2" t="s">
        <v>3122</v>
      </c>
      <c r="Z866" s="2">
        <v>0.7</v>
      </c>
      <c r="AA866" s="2" t="s">
        <v>548</v>
      </c>
      <c r="AB866" s="2" t="s">
        <v>3123</v>
      </c>
    </row>
    <row r="867" spans="1:28">
      <c r="A867" s="2" t="s">
        <v>3116</v>
      </c>
      <c r="B867" s="8" t="s">
        <v>3095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5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>
      <c r="A868" s="2" t="s">
        <v>3116</v>
      </c>
      <c r="B868" s="8" t="s">
        <v>3095</v>
      </c>
      <c r="C868" s="8" t="s">
        <v>36</v>
      </c>
      <c r="D868" s="8" t="s">
        <v>50</v>
      </c>
      <c r="E868" s="8" t="s">
        <v>47</v>
      </c>
      <c r="F868" s="13"/>
      <c r="G868" s="59"/>
      <c r="H868" s="6"/>
      <c r="I868" s="6">
        <f t="shared" ref="I868:I870" si="66">IFERROR(O868/K868,)</f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3124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3125</v>
      </c>
      <c r="Y868" s="2" t="s">
        <v>3126</v>
      </c>
      <c r="Z868" s="2">
        <v>0.6</v>
      </c>
      <c r="AA868" s="2" t="s">
        <v>548</v>
      </c>
      <c r="AB868" s="2">
        <v>338.1</v>
      </c>
    </row>
    <row r="869" spans="1:28">
      <c r="A869" s="2" t="s">
        <v>3116</v>
      </c>
      <c r="B869" s="8" t="s">
        <v>3095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6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>
      <c r="A870" s="2" t="s">
        <v>3116</v>
      </c>
      <c r="B870" s="8" t="s">
        <v>3095</v>
      </c>
      <c r="C870" s="8" t="s">
        <v>36</v>
      </c>
      <c r="D870" s="8" t="s">
        <v>52</v>
      </c>
      <c r="E870" s="8" t="s">
        <v>47</v>
      </c>
      <c r="F870" s="13"/>
      <c r="G870" s="59"/>
      <c r="H870" s="6"/>
      <c r="I870" s="6">
        <f t="shared" si="66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3127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3128</v>
      </c>
      <c r="Y870" s="2" t="s">
        <v>3129</v>
      </c>
      <c r="Z870" s="2">
        <v>0.1</v>
      </c>
      <c r="AA870" s="2" t="s">
        <v>548</v>
      </c>
      <c r="AB870" s="2">
        <v>121.6</v>
      </c>
    </row>
    <row r="871" spans="1:28">
      <c r="A871" s="2" t="s">
        <v>3116</v>
      </c>
      <c r="B871" s="8" t="s">
        <v>3095</v>
      </c>
      <c r="C871" s="8" t="s">
        <v>36</v>
      </c>
      <c r="D871" s="7" t="s">
        <v>46</v>
      </c>
      <c r="E871" s="8" t="s">
        <v>47</v>
      </c>
      <c r="F871" s="13"/>
      <c r="G871" s="59"/>
      <c r="H871" s="6"/>
      <c r="I871" s="6">
        <f t="shared" ref="I871" si="67">IFERROR(O871/K871,)</f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3130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3131</v>
      </c>
      <c r="Y871" s="2" t="s">
        <v>3132</v>
      </c>
      <c r="Z871" s="2">
        <v>0.9</v>
      </c>
      <c r="AA871" s="2" t="s">
        <v>548</v>
      </c>
      <c r="AB871" s="2">
        <v>257.3</v>
      </c>
    </row>
    <row r="872" spans="1:28">
      <c r="A872" s="2" t="s">
        <v>3116</v>
      </c>
      <c r="B872" s="8" t="s">
        <v>3095</v>
      </c>
      <c r="C872" s="8" t="s">
        <v>36</v>
      </c>
      <c r="D872" s="8" t="s">
        <v>48</v>
      </c>
      <c r="E872" s="7" t="s">
        <v>38</v>
      </c>
      <c r="F872" s="13"/>
      <c r="G872" s="59"/>
      <c r="H872" s="6"/>
      <c r="I872" s="6">
        <f t="shared" ref="I872" si="68">IFERROR(O872/K872,)</f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3133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3134</v>
      </c>
      <c r="Y872" s="2" t="s">
        <v>3135</v>
      </c>
      <c r="Z872" s="2" t="s">
        <v>548</v>
      </c>
      <c r="AA872" s="2" t="s">
        <v>548</v>
      </c>
      <c r="AB872" s="2">
        <v>49.7</v>
      </c>
    </row>
    <row r="873" spans="1:28">
      <c r="A873" s="85" t="s">
        <v>3116</v>
      </c>
      <c r="B873" s="8" t="s">
        <v>3095</v>
      </c>
      <c r="C873" s="8" t="s">
        <v>36</v>
      </c>
      <c r="D873" s="8" t="s">
        <v>49</v>
      </c>
      <c r="E873" s="8" t="s">
        <v>47</v>
      </c>
      <c r="F873" s="13"/>
      <c r="G873" s="59"/>
      <c r="H873" s="6"/>
      <c r="I873" s="6">
        <f t="shared" ref="I873" si="69">IFERROR(O873/K873,)</f>
        <v>426.77824267782427</v>
      </c>
      <c r="J873" s="86">
        <v>7.08</v>
      </c>
      <c r="K873" s="86">
        <v>4.78</v>
      </c>
      <c r="L873" s="86">
        <v>2.2999999999999998</v>
      </c>
      <c r="M873" s="86">
        <v>32.47</v>
      </c>
      <c r="N873" s="86">
        <v>602</v>
      </c>
      <c r="O873" s="56">
        <v>2040</v>
      </c>
      <c r="P873" s="86">
        <v>3.39</v>
      </c>
      <c r="Q873" s="86">
        <v>10.1</v>
      </c>
      <c r="R873" s="86">
        <v>202.05</v>
      </c>
      <c r="S873" s="86">
        <v>9.94</v>
      </c>
      <c r="T873" s="86">
        <v>4.32</v>
      </c>
      <c r="U873" s="86">
        <v>192.11</v>
      </c>
      <c r="V873" s="86">
        <v>40.17</v>
      </c>
      <c r="W873" s="86">
        <v>2119.79</v>
      </c>
      <c r="X873" s="86">
        <v>208348</v>
      </c>
      <c r="Y873" s="86">
        <v>701087</v>
      </c>
      <c r="Z873" s="86">
        <v>0</v>
      </c>
      <c r="AA873" s="86">
        <v>0</v>
      </c>
      <c r="AB873" s="86">
        <v>5.7</v>
      </c>
    </row>
    <row r="874" spans="1:28">
      <c r="A874" s="2"/>
      <c r="B874" s="8"/>
      <c r="C874" s="8"/>
      <c r="D874" s="8"/>
      <c r="E874" s="8"/>
      <c r="F874" s="13"/>
      <c r="G874" s="59"/>
      <c r="H874" s="6"/>
      <c r="I874" s="6"/>
      <c r="J874" s="2"/>
      <c r="K874" s="2"/>
      <c r="L874" s="2"/>
      <c r="M874" s="2"/>
      <c r="N874" s="2"/>
      <c r="O874" s="56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>
      <c r="A875" s="2"/>
      <c r="B875" s="8"/>
      <c r="C875" s="8"/>
      <c r="D875" s="8"/>
      <c r="E875" s="8"/>
      <c r="F875" s="13"/>
      <c r="G875" s="59"/>
      <c r="H875" s="6"/>
      <c r="I875" s="6"/>
      <c r="J875" s="2"/>
      <c r="K875" s="2"/>
      <c r="L875" s="2"/>
      <c r="M875" s="2"/>
      <c r="N875" s="2"/>
      <c r="O875" s="56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>
      <c r="A876" s="2"/>
      <c r="B876" s="8"/>
      <c r="C876" s="8"/>
      <c r="D876" s="8"/>
      <c r="E876" s="8"/>
      <c r="F876" s="13"/>
      <c r="G876" s="59"/>
      <c r="H876" s="6"/>
      <c r="I876" s="6"/>
      <c r="J876" s="2"/>
      <c r="K876" s="2"/>
      <c r="L876" s="2"/>
      <c r="M876" s="2"/>
      <c r="N876" s="2"/>
      <c r="O876" s="56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>
      <c r="A877" s="2"/>
      <c r="B877" s="8"/>
      <c r="C877" s="8"/>
      <c r="D877" s="8"/>
      <c r="E877" s="8"/>
      <c r="F877" s="13"/>
      <c r="G877" s="59"/>
      <c r="H877" s="6"/>
      <c r="I877" s="6"/>
      <c r="J877" s="2"/>
      <c r="K877" s="2"/>
      <c r="L877" s="2"/>
      <c r="M877" s="2"/>
      <c r="N877" s="2"/>
      <c r="O877" s="56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>
      <c r="A878" s="2"/>
      <c r="B878" s="8"/>
      <c r="C878" s="8"/>
      <c r="D878" s="8"/>
      <c r="E878" s="8"/>
      <c r="F878" s="13"/>
      <c r="G878" s="59"/>
      <c r="H878" s="6"/>
      <c r="I878" s="6"/>
      <c r="J878" s="2"/>
      <c r="K878" s="2"/>
      <c r="L878" s="2"/>
      <c r="M878" s="2"/>
      <c r="N878" s="2"/>
      <c r="O878" s="56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>
      <c r="A879" s="2"/>
      <c r="B879" s="8"/>
      <c r="C879" s="8"/>
      <c r="D879" s="8"/>
      <c r="E879" s="8"/>
      <c r="F879" s="13"/>
      <c r="G879" s="59"/>
      <c r="H879" s="6"/>
      <c r="I879" s="6"/>
      <c r="J879" s="2"/>
      <c r="K879" s="2"/>
      <c r="L879" s="2"/>
      <c r="M879" s="2"/>
      <c r="N879" s="2"/>
      <c r="O879" s="56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>
      <c r="A880" s="2"/>
      <c r="B880" s="8"/>
      <c r="C880" s="8"/>
      <c r="D880" s="8"/>
      <c r="E880" s="8"/>
      <c r="F880" s="13"/>
      <c r="G880" s="59"/>
      <c r="H880" s="6"/>
      <c r="I880" s="6"/>
      <c r="J880" s="2"/>
      <c r="K880" s="2"/>
      <c r="L880" s="2"/>
      <c r="M880" s="2"/>
      <c r="N880" s="2"/>
      <c r="O880" s="56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>
      <c r="A881" s="2"/>
      <c r="B881" s="8"/>
      <c r="C881" s="8"/>
      <c r="D881" s="8"/>
      <c r="E881" s="8"/>
      <c r="F881" s="13"/>
      <c r="G881" s="59"/>
      <c r="H881" s="6"/>
      <c r="I881" s="6"/>
      <c r="J881" s="2"/>
      <c r="K881" s="2"/>
      <c r="L881" s="2"/>
      <c r="M881" s="2"/>
      <c r="N881" s="2"/>
      <c r="O881" s="56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>
      <c r="A882" s="2"/>
      <c r="B882" s="8"/>
      <c r="C882" s="8"/>
      <c r="D882" s="8"/>
      <c r="E882" s="8"/>
      <c r="F882" s="13"/>
      <c r="G882" s="59"/>
      <c r="H882" s="6"/>
      <c r="I882" s="6"/>
      <c r="J882" s="2"/>
      <c r="K882" s="2"/>
      <c r="L882" s="2"/>
      <c r="M882" s="2"/>
      <c r="N882" s="2"/>
      <c r="O882" s="56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>
      <c r="A883" s="2"/>
      <c r="B883" s="8"/>
      <c r="C883" s="8"/>
      <c r="D883" s="8"/>
      <c r="E883" s="8"/>
      <c r="F883" s="13"/>
      <c r="G883" s="59"/>
      <c r="H883" s="6"/>
      <c r="I883" s="6"/>
      <c r="J883" s="2"/>
      <c r="K883" s="2"/>
      <c r="L883" s="2"/>
      <c r="M883" s="2"/>
      <c r="N883" s="2"/>
      <c r="O883" s="56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>
      <c r="A884" s="2"/>
      <c r="B884" s="8"/>
      <c r="C884" s="8"/>
      <c r="D884" s="8"/>
      <c r="E884" s="8"/>
      <c r="F884" s="13"/>
      <c r="G884" s="59"/>
      <c r="H884" s="6"/>
      <c r="I884" s="6"/>
      <c r="J884" s="2"/>
      <c r="K884" s="2"/>
      <c r="L884" s="2"/>
      <c r="M884" s="2"/>
      <c r="N884" s="2"/>
      <c r="O884" s="56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>
      <c r="A885" s="2"/>
      <c r="B885" s="8"/>
      <c r="C885" s="8"/>
      <c r="D885" s="8"/>
      <c r="E885" s="8"/>
      <c r="F885" s="13"/>
      <c r="G885" s="59"/>
      <c r="H885" s="6"/>
      <c r="I885" s="6"/>
      <c r="J885" s="2"/>
      <c r="K885" s="2"/>
      <c r="L885" s="2"/>
      <c r="M885" s="2"/>
      <c r="N885" s="2"/>
      <c r="O885" s="56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>
      <c r="A886" s="2"/>
      <c r="B886" s="8"/>
      <c r="C886" s="8"/>
      <c r="D886" s="8"/>
      <c r="E886" s="8"/>
      <c r="F886" s="13"/>
      <c r="G886" s="59"/>
      <c r="H886" s="6"/>
      <c r="I886" s="6"/>
      <c r="J886" s="2"/>
      <c r="K886" s="2"/>
      <c r="L886" s="2"/>
      <c r="M886" s="2"/>
      <c r="N886" s="2"/>
      <c r="O886" s="56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>
      <c r="A887" s="2"/>
      <c r="B887" s="8"/>
      <c r="C887" s="8"/>
      <c r="D887" s="8"/>
      <c r="E887" s="8"/>
      <c r="F887" s="13"/>
      <c r="G887" s="59"/>
      <c r="H887" s="6"/>
      <c r="I887" s="6"/>
      <c r="J887" s="2"/>
      <c r="K887" s="2"/>
      <c r="L887" s="2"/>
      <c r="M887" s="2"/>
      <c r="N887" s="2"/>
      <c r="O887" s="56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>
      <c r="A888" s="2"/>
      <c r="B888" s="8"/>
      <c r="C888" s="8"/>
      <c r="D888" s="8"/>
      <c r="E888" s="8"/>
      <c r="F888" s="13"/>
      <c r="G888" s="59"/>
      <c r="H888" s="6"/>
      <c r="I888" s="6"/>
      <c r="J888" s="2"/>
      <c r="K888" s="2"/>
      <c r="L888" s="2"/>
      <c r="M888" s="2"/>
      <c r="N888" s="2"/>
      <c r="O888" s="56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>
      <c r="A889" s="2"/>
      <c r="B889" s="8"/>
      <c r="C889" s="8"/>
      <c r="D889" s="8"/>
      <c r="E889" s="8"/>
      <c r="F889" s="13"/>
      <c r="G889" s="59"/>
      <c r="H889" s="6"/>
      <c r="I889" s="6"/>
      <c r="J889" s="2"/>
      <c r="K889" s="2"/>
      <c r="L889" s="2"/>
      <c r="M889" s="2"/>
      <c r="N889" s="2"/>
      <c r="O889" s="56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>
      <c r="A890" s="2"/>
      <c r="B890" s="8"/>
      <c r="C890" s="8"/>
      <c r="D890" s="8"/>
      <c r="E890" s="8"/>
      <c r="F890" s="13"/>
      <c r="G890" s="59"/>
      <c r="H890" s="6"/>
      <c r="I890" s="6"/>
      <c r="J890" s="2"/>
      <c r="K890" s="2"/>
      <c r="L890" s="2"/>
      <c r="M890" s="2"/>
      <c r="N890" s="2"/>
      <c r="O890" s="56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>
      <c r="A891" s="2"/>
      <c r="B891" s="8"/>
      <c r="C891" s="8"/>
      <c r="D891" s="8"/>
      <c r="E891" s="8"/>
      <c r="F891" s="13"/>
      <c r="G891" s="59"/>
      <c r="H891" s="6"/>
      <c r="I891" s="6"/>
      <c r="J891" s="2"/>
      <c r="K891" s="2"/>
      <c r="L891" s="2"/>
      <c r="M891" s="2"/>
      <c r="N891" s="2"/>
      <c r="O891" s="56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>
      <c r="A892" s="2"/>
      <c r="B892" s="8"/>
      <c r="C892" s="8"/>
      <c r="D892" s="8"/>
      <c r="E892" s="8"/>
      <c r="F892" s="13"/>
      <c r="G892" s="59"/>
      <c r="H892" s="6"/>
      <c r="I892" s="6"/>
      <c r="J892" s="2"/>
      <c r="K892" s="2"/>
      <c r="L892" s="2"/>
      <c r="M892" s="2"/>
      <c r="N892" s="2"/>
      <c r="O892" s="56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>
      <c r="A893" s="2"/>
      <c r="B893" s="8"/>
      <c r="C893" s="8"/>
      <c r="D893" s="8"/>
      <c r="E893" s="8"/>
      <c r="F893" s="13"/>
      <c r="G893" s="59"/>
      <c r="H893" s="6"/>
      <c r="I893" s="6"/>
      <c r="J893" s="2"/>
      <c r="K893" s="2"/>
      <c r="L893" s="2"/>
      <c r="M893" s="2"/>
      <c r="N893" s="2"/>
      <c r="O893" s="56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>
      <c r="A894" s="2"/>
      <c r="B894" s="8"/>
      <c r="C894" s="8"/>
      <c r="D894" s="8"/>
      <c r="E894" s="8"/>
      <c r="F894" s="13"/>
      <c r="G894" s="59"/>
      <c r="H894" s="6"/>
      <c r="I894" s="6"/>
      <c r="J894" s="2"/>
      <c r="K894" s="2"/>
      <c r="L894" s="2"/>
      <c r="M894" s="2"/>
      <c r="N894" s="2"/>
      <c r="O894" s="56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>
      <c r="A895" s="2"/>
      <c r="B895" s="8"/>
      <c r="C895" s="8"/>
      <c r="D895" s="8"/>
      <c r="E895" s="8"/>
      <c r="F895" s="13"/>
      <c r="G895" s="59"/>
      <c r="H895" s="6"/>
      <c r="I895" s="6"/>
      <c r="J895" s="2"/>
      <c r="K895" s="2"/>
      <c r="L895" s="2"/>
      <c r="M895" s="2"/>
      <c r="N895" s="2"/>
      <c r="O895" s="56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>
      <c r="A896" s="2"/>
      <c r="B896" s="8"/>
      <c r="C896" s="8"/>
      <c r="D896" s="8"/>
      <c r="E896" s="8"/>
      <c r="F896" s="13"/>
      <c r="G896" s="59"/>
      <c r="H896" s="6"/>
      <c r="I896" s="6"/>
      <c r="J896" s="2"/>
      <c r="K896" s="2"/>
      <c r="L896" s="2"/>
      <c r="M896" s="2"/>
      <c r="N896" s="2"/>
      <c r="O896" s="56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>
      <c r="A897" s="2"/>
      <c r="B897" s="8"/>
      <c r="C897" s="8"/>
      <c r="D897" s="8"/>
      <c r="E897" s="8"/>
      <c r="F897" s="13"/>
      <c r="G897" s="59"/>
      <c r="H897" s="6"/>
      <c r="I897" s="6"/>
      <c r="J897" s="2"/>
      <c r="K897" s="2"/>
      <c r="L897" s="2"/>
      <c r="M897" s="2"/>
      <c r="N897" s="2"/>
      <c r="O897" s="56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>
      <c r="A898" s="2"/>
      <c r="B898" s="8"/>
      <c r="C898" s="8"/>
      <c r="D898" s="8"/>
      <c r="E898" s="8"/>
      <c r="F898" s="13"/>
      <c r="G898" s="59"/>
      <c r="H898" s="6"/>
      <c r="I898" s="6"/>
      <c r="J898" s="2"/>
      <c r="K898" s="2"/>
      <c r="L898" s="2"/>
      <c r="M898" s="2"/>
      <c r="N898" s="2"/>
      <c r="O898" s="56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>
      <c r="A899" s="2"/>
      <c r="B899" s="8"/>
      <c r="C899" s="8"/>
      <c r="D899" s="8"/>
      <c r="E899" s="8"/>
      <c r="F899" s="13"/>
      <c r="G899" s="59"/>
      <c r="H899" s="6"/>
      <c r="I899" s="6"/>
      <c r="J899" s="2"/>
      <c r="K899" s="2"/>
      <c r="L899" s="2"/>
      <c r="M899" s="2"/>
      <c r="N899" s="2"/>
      <c r="O899" s="56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>
      <c r="A900" s="2"/>
      <c r="B900" s="8"/>
      <c r="C900" s="8"/>
      <c r="D900" s="8"/>
      <c r="E900" s="8"/>
      <c r="F900" s="13"/>
      <c r="G900" s="59"/>
      <c r="H900" s="6"/>
      <c r="I900" s="6"/>
      <c r="J900" s="2"/>
      <c r="K900" s="2"/>
      <c r="L900" s="2"/>
      <c r="M900" s="2"/>
      <c r="N900" s="2"/>
      <c r="O900" s="56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>
      <c r="A901" s="2"/>
      <c r="B901" s="8"/>
      <c r="C901" s="8"/>
      <c r="D901" s="8"/>
      <c r="E901" s="8"/>
      <c r="F901" s="13"/>
      <c r="G901" s="59"/>
      <c r="H901" s="6"/>
      <c r="I901" s="6"/>
      <c r="J901" s="2"/>
      <c r="K901" s="2"/>
      <c r="L901" s="2"/>
      <c r="M901" s="2"/>
      <c r="N901" s="2"/>
      <c r="O901" s="56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>
      <c r="A902" s="2"/>
      <c r="B902" s="8"/>
      <c r="C902" s="8"/>
      <c r="D902" s="8"/>
      <c r="E902" s="8"/>
      <c r="F902" s="13"/>
      <c r="G902" s="59"/>
      <c r="H902" s="6"/>
      <c r="I902" s="6"/>
      <c r="J902" s="2"/>
      <c r="K902" s="2"/>
      <c r="L902" s="2"/>
      <c r="M902" s="2"/>
      <c r="N902" s="2"/>
      <c r="O902" s="56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>
      <c r="A903" s="2"/>
      <c r="B903" s="8"/>
      <c r="C903" s="8"/>
      <c r="D903" s="8"/>
      <c r="E903" s="8"/>
      <c r="F903" s="13"/>
      <c r="G903" s="59"/>
      <c r="H903" s="6"/>
      <c r="I903" s="6"/>
      <c r="J903" s="2"/>
      <c r="K903" s="2"/>
      <c r="L903" s="2"/>
      <c r="M903" s="2"/>
      <c r="N903" s="2"/>
      <c r="O903" s="56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>
      <c r="A904" s="2"/>
      <c r="B904" s="8"/>
      <c r="C904" s="8"/>
      <c r="D904" s="8"/>
      <c r="E904" s="8"/>
      <c r="F904" s="13"/>
      <c r="G904" s="59"/>
      <c r="H904" s="6"/>
      <c r="I904" s="6"/>
      <c r="J904" s="2"/>
      <c r="K904" s="2"/>
      <c r="L904" s="2"/>
      <c r="M904" s="2"/>
      <c r="N904" s="2"/>
      <c r="O904" s="56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>
      <c r="A905" s="2"/>
      <c r="B905" s="8"/>
      <c r="C905" s="8"/>
      <c r="D905" s="8"/>
      <c r="E905" s="8"/>
      <c r="F905" s="13"/>
      <c r="G905" s="59"/>
      <c r="H905" s="6"/>
      <c r="I905" s="6"/>
      <c r="J905" s="2"/>
      <c r="K905" s="2"/>
      <c r="L905" s="2"/>
      <c r="M905" s="2"/>
      <c r="N905" s="2"/>
      <c r="O905" s="56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>
      <c r="A906" s="2"/>
      <c r="B906" s="8"/>
      <c r="C906" s="8"/>
      <c r="D906" s="8"/>
      <c r="E906" s="8"/>
      <c r="F906" s="13"/>
      <c r="G906" s="59"/>
      <c r="H906" s="6"/>
      <c r="I906" s="6"/>
      <c r="J906" s="2"/>
      <c r="K906" s="2"/>
      <c r="L906" s="2"/>
      <c r="M906" s="2"/>
      <c r="N906" s="2"/>
      <c r="O906" s="56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>
      <c r="A907" s="2"/>
      <c r="B907" s="8"/>
      <c r="C907" s="8"/>
      <c r="D907" s="8"/>
      <c r="E907" s="8"/>
      <c r="F907" s="13"/>
      <c r="G907" s="59"/>
      <c r="H907" s="6"/>
      <c r="I907" s="6"/>
      <c r="J907" s="2"/>
      <c r="K907" s="2"/>
      <c r="L907" s="2"/>
      <c r="M907" s="2"/>
      <c r="N907" s="2"/>
      <c r="O907" s="56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>
      <c r="A908" s="2"/>
      <c r="B908" s="8"/>
      <c r="C908" s="8"/>
      <c r="D908" s="8"/>
      <c r="E908" s="8"/>
      <c r="F908" s="13"/>
      <c r="G908" s="59"/>
      <c r="H908" s="6"/>
      <c r="I908" s="6"/>
      <c r="J908" s="2"/>
      <c r="K908" s="2"/>
      <c r="L908" s="2"/>
      <c r="M908" s="2"/>
      <c r="N908" s="2"/>
      <c r="O908" s="56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>
      <c r="A909" s="2"/>
      <c r="B909" s="8"/>
      <c r="C909" s="8"/>
      <c r="D909" s="8"/>
      <c r="E909" s="8"/>
      <c r="F909" s="13"/>
      <c r="G909" s="59"/>
      <c r="H909" s="6"/>
      <c r="I909" s="6"/>
      <c r="J909" s="2"/>
      <c r="K909" s="2"/>
      <c r="L909" s="2"/>
      <c r="M909" s="2"/>
      <c r="N909" s="2"/>
      <c r="O909" s="56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>
      <c r="A910" s="2"/>
      <c r="B910" s="8"/>
      <c r="C910" s="8"/>
      <c r="D910" s="8"/>
      <c r="E910" s="8"/>
      <c r="F910" s="13"/>
      <c r="G910" s="59"/>
      <c r="H910" s="6"/>
      <c r="I910" s="6"/>
      <c r="J910" s="2"/>
      <c r="K910" s="2"/>
      <c r="L910" s="2"/>
      <c r="M910" s="2"/>
      <c r="N910" s="2"/>
      <c r="O910" s="56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>
      <c r="A911" s="2"/>
      <c r="B911" s="8"/>
      <c r="C911" s="8"/>
      <c r="D911" s="8"/>
      <c r="E911" s="8"/>
      <c r="F911" s="13"/>
      <c r="G911" s="59"/>
      <c r="H911" s="6"/>
      <c r="I911" s="6"/>
      <c r="J911" s="2"/>
      <c r="K911" s="2"/>
      <c r="L911" s="2"/>
      <c r="M911" s="2"/>
      <c r="N911" s="2"/>
      <c r="O911" s="56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>
      <c r="A912" s="2"/>
      <c r="B912" s="8"/>
      <c r="C912" s="8"/>
      <c r="D912" s="8"/>
      <c r="E912" s="8"/>
      <c r="F912" s="13"/>
      <c r="G912" s="59"/>
      <c r="H912" s="6"/>
      <c r="I912" s="6"/>
      <c r="J912" s="2"/>
      <c r="K912" s="2"/>
      <c r="L912" s="2"/>
      <c r="M912" s="2"/>
      <c r="N912" s="2"/>
      <c r="O912" s="56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>
      <c r="A913" s="2"/>
      <c r="B913" s="8"/>
      <c r="C913" s="8"/>
      <c r="D913" s="8"/>
      <c r="E913" s="8"/>
      <c r="F913" s="13"/>
      <c r="G913" s="59"/>
      <c r="H913" s="6"/>
      <c r="I913" s="6"/>
      <c r="J913" s="2"/>
      <c r="K913" s="2"/>
      <c r="L913" s="2"/>
      <c r="M913" s="2"/>
      <c r="N913" s="2"/>
      <c r="O913" s="56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>
      <c r="A914" s="2"/>
      <c r="B914" s="8"/>
      <c r="C914" s="8"/>
      <c r="D914" s="8"/>
      <c r="E914" s="8"/>
      <c r="F914" s="13"/>
      <c r="G914" s="59"/>
      <c r="H914" s="6"/>
      <c r="I914" s="6"/>
      <c r="J914" s="2"/>
      <c r="K914" s="2"/>
      <c r="L914" s="2"/>
      <c r="M914" s="2"/>
      <c r="N914" s="2"/>
      <c r="O914" s="56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>
      <c r="A915" s="2"/>
      <c r="B915" s="8"/>
      <c r="C915" s="8"/>
      <c r="D915" s="8"/>
      <c r="E915" s="8"/>
      <c r="F915" s="13"/>
      <c r="G915" s="59"/>
      <c r="H915" s="6"/>
      <c r="I915" s="6"/>
      <c r="J915" s="2"/>
      <c r="K915" s="2"/>
      <c r="L915" s="2"/>
      <c r="M915" s="2"/>
      <c r="N915" s="2"/>
      <c r="O915" s="56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>
      <c r="A916" s="2"/>
      <c r="B916" s="8"/>
      <c r="C916" s="8"/>
      <c r="D916" s="8"/>
      <c r="E916" s="8"/>
      <c r="F916" s="13"/>
      <c r="G916" s="59"/>
      <c r="H916" s="6"/>
      <c r="I916" s="6"/>
      <c r="J916" s="2"/>
      <c r="K916" s="2"/>
      <c r="L916" s="2"/>
      <c r="M916" s="2"/>
      <c r="N916" s="2"/>
      <c r="O916" s="56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>
      <c r="A917" s="2"/>
      <c r="B917" s="8"/>
      <c r="C917" s="8"/>
      <c r="D917" s="8"/>
      <c r="E917" s="8"/>
      <c r="F917" s="13"/>
      <c r="G917" s="59"/>
      <c r="H917" s="6"/>
      <c r="I917" s="6"/>
      <c r="J917" s="2"/>
      <c r="K917" s="2"/>
      <c r="L917" s="2"/>
      <c r="M917" s="2"/>
      <c r="N917" s="2"/>
      <c r="O917" s="56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>
      <c r="A918" s="2"/>
      <c r="B918" s="8"/>
      <c r="C918" s="8"/>
      <c r="D918" s="8"/>
      <c r="E918" s="8"/>
      <c r="F918" s="13"/>
      <c r="G918" s="59"/>
      <c r="H918" s="6"/>
      <c r="I918" s="6"/>
      <c r="J918" s="2"/>
      <c r="K918" s="2"/>
      <c r="L918" s="2"/>
      <c r="M918" s="2"/>
      <c r="N918" s="2"/>
      <c r="O918" s="56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>
      <c r="A919" s="2"/>
      <c r="B919" s="8"/>
      <c r="C919" s="8"/>
      <c r="D919" s="8"/>
      <c r="E919" s="8"/>
      <c r="F919" s="13"/>
      <c r="G919" s="59"/>
      <c r="H919" s="6"/>
      <c r="I919" s="6"/>
      <c r="J919" s="2"/>
      <c r="K919" s="2"/>
      <c r="L919" s="2"/>
      <c r="M919" s="2"/>
      <c r="N919" s="2"/>
      <c r="O919" s="56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>
      <c r="A920" s="2"/>
      <c r="B920" s="8"/>
      <c r="C920" s="8"/>
      <c r="D920" s="8"/>
      <c r="E920" s="8"/>
      <c r="F920" s="13"/>
      <c r="G920" s="59"/>
      <c r="H920" s="6"/>
      <c r="I920" s="6"/>
      <c r="J920" s="2"/>
      <c r="K920" s="2"/>
      <c r="L920" s="2"/>
      <c r="M920" s="2"/>
      <c r="N920" s="2"/>
      <c r="O920" s="56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>
      <c r="A921" s="2"/>
      <c r="B921" s="8"/>
      <c r="C921" s="8"/>
      <c r="D921" s="8"/>
      <c r="E921" s="8"/>
      <c r="F921" s="13"/>
      <c r="G921" s="59"/>
      <c r="H921" s="6"/>
      <c r="I921" s="6"/>
      <c r="J921" s="2"/>
      <c r="K921" s="2"/>
      <c r="L921" s="2"/>
      <c r="M921" s="2"/>
      <c r="N921" s="2"/>
      <c r="O921" s="56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>
      <c r="A922" s="2"/>
      <c r="B922" s="8"/>
      <c r="C922" s="8"/>
      <c r="D922" s="8"/>
      <c r="E922" s="8"/>
      <c r="F922" s="13"/>
      <c r="G922" s="59"/>
      <c r="H922" s="6"/>
      <c r="I922" s="6"/>
      <c r="J922" s="2"/>
      <c r="K922" s="2"/>
      <c r="L922" s="2"/>
      <c r="M922" s="2"/>
      <c r="N922" s="2"/>
      <c r="O922" s="56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>
      <c r="A923" s="2"/>
      <c r="B923" s="8"/>
      <c r="C923" s="8"/>
      <c r="D923" s="8"/>
      <c r="E923" s="8"/>
      <c r="F923" s="13"/>
      <c r="G923" s="59"/>
      <c r="H923" s="6"/>
      <c r="I923" s="6"/>
      <c r="J923" s="2"/>
      <c r="K923" s="2"/>
      <c r="L923" s="2"/>
      <c r="M923" s="2"/>
      <c r="N923" s="2"/>
      <c r="O923" s="56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>
      <c r="A924" s="2"/>
      <c r="B924" s="8"/>
      <c r="C924" s="8"/>
      <c r="D924" s="8"/>
      <c r="E924" s="8"/>
      <c r="F924" s="13"/>
      <c r="G924" s="59"/>
      <c r="H924" s="6"/>
      <c r="I924" s="6"/>
      <c r="J924" s="2"/>
      <c r="K924" s="2"/>
      <c r="L924" s="2"/>
      <c r="M924" s="2"/>
      <c r="N924" s="2"/>
      <c r="O924" s="56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>
      <c r="A925" s="2"/>
      <c r="B925" s="8"/>
      <c r="C925" s="8"/>
      <c r="D925" s="8"/>
      <c r="E925" s="8"/>
      <c r="F925" s="13"/>
      <c r="G925" s="59"/>
      <c r="H925" s="6"/>
      <c r="I925" s="6"/>
      <c r="J925" s="2"/>
      <c r="K925" s="2"/>
      <c r="L925" s="2"/>
      <c r="M925" s="2"/>
      <c r="N925" s="2"/>
      <c r="O925" s="5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>
      <c r="A926" s="2"/>
      <c r="B926" s="8"/>
      <c r="C926" s="8"/>
      <c r="D926" s="8"/>
      <c r="E926" s="8"/>
      <c r="F926" s="13"/>
      <c r="G926" s="59"/>
      <c r="H926" s="6"/>
      <c r="I926" s="6"/>
      <c r="J926" s="2"/>
      <c r="K926" s="2"/>
      <c r="L926" s="2"/>
      <c r="M926" s="2"/>
      <c r="N926" s="2"/>
      <c r="O926" s="5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>
      <c r="A927" s="2"/>
      <c r="B927" s="8"/>
      <c r="C927" s="8"/>
      <c r="D927" s="8"/>
      <c r="E927" s="8"/>
      <c r="F927" s="13"/>
      <c r="G927" s="59"/>
      <c r="H927" s="6"/>
      <c r="I927" s="6"/>
      <c r="J927" s="2"/>
      <c r="K927" s="2"/>
      <c r="L927" s="2"/>
      <c r="M927" s="2"/>
      <c r="N927" s="2"/>
      <c r="O927" s="5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>
      <c r="Q1" s="9" t="s">
        <v>3136</v>
      </c>
      <c r="R1" t="s">
        <v>3137</v>
      </c>
      <c r="S1" t="s">
        <v>3138</v>
      </c>
      <c r="T1" t="s">
        <v>3139</v>
      </c>
    </row>
    <row r="2" spans="1:20">
      <c r="Q2" s="18" t="s">
        <v>1827</v>
      </c>
      <c r="R2" s="19">
        <v>21413</v>
      </c>
      <c r="S2" s="19">
        <v>24000</v>
      </c>
      <c r="T2" s="19">
        <v>17022</v>
      </c>
    </row>
    <row r="3" spans="1:20">
      <c r="A3" s="9" t="s">
        <v>3136</v>
      </c>
      <c r="B3" s="15" t="s">
        <v>3138</v>
      </c>
      <c r="C3" s="15" t="s">
        <v>3137</v>
      </c>
      <c r="D3" t="s">
        <v>3140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>
      <c r="A4" s="10" t="s">
        <v>2974</v>
      </c>
      <c r="B4" s="15">
        <v>90000.000000000015</v>
      </c>
      <c r="C4" s="15">
        <v>61676</v>
      </c>
      <c r="D4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>
      <c r="A5" s="11" t="s">
        <v>47</v>
      </c>
      <c r="B5" s="15">
        <v>90000.000000000015</v>
      </c>
      <c r="C5" s="15">
        <v>61676</v>
      </c>
      <c r="D5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>
      <c r="A6" s="12">
        <v>46249</v>
      </c>
      <c r="B6" s="15">
        <v>15000</v>
      </c>
      <c r="C6" s="15">
        <v>10018</v>
      </c>
      <c r="D6">
        <v>5</v>
      </c>
      <c r="Q6" s="18" t="s">
        <v>3141</v>
      </c>
      <c r="R6" s="19">
        <v>110935</v>
      </c>
      <c r="S6" s="19">
        <v>96000</v>
      </c>
      <c r="T6" s="19">
        <v>88475</v>
      </c>
    </row>
    <row r="7" spans="1:20">
      <c r="A7" s="12">
        <v>46248</v>
      </c>
      <c r="B7" s="15">
        <v>15000</v>
      </c>
      <c r="C7" s="15">
        <v>12349</v>
      </c>
      <c r="D7">
        <v>6</v>
      </c>
    </row>
    <row r="8" spans="1:20">
      <c r="A8" s="12">
        <v>46247</v>
      </c>
      <c r="B8" s="15">
        <v>15000</v>
      </c>
      <c r="C8" s="15">
        <v>12708</v>
      </c>
      <c r="D8">
        <v>6</v>
      </c>
    </row>
    <row r="9" spans="1:20">
      <c r="A9" s="12">
        <v>46246</v>
      </c>
      <c r="B9" s="15">
        <v>15000</v>
      </c>
      <c r="C9" s="15">
        <v>12153</v>
      </c>
      <c r="D9">
        <v>6</v>
      </c>
    </row>
    <row r="10" spans="1:20">
      <c r="A10" s="12">
        <v>46245</v>
      </c>
      <c r="B10" s="15">
        <v>15000</v>
      </c>
      <c r="C10" s="15">
        <v>5587</v>
      </c>
      <c r="D10">
        <v>5</v>
      </c>
    </row>
    <row r="11" spans="1:20">
      <c r="A11" s="12">
        <v>46244</v>
      </c>
      <c r="B11" s="15">
        <v>15000</v>
      </c>
      <c r="C11" s="15">
        <v>8861</v>
      </c>
      <c r="D11">
        <v>7</v>
      </c>
    </row>
    <row r="12" spans="1:20" hidden="1">
      <c r="A12" s="10" t="s">
        <v>3141</v>
      </c>
      <c r="B12" s="15">
        <v>90000.000000000015</v>
      </c>
      <c r="C12" s="15">
        <v>61676</v>
      </c>
      <c r="D12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>
      <c r="A3" s="9" t="s">
        <v>3136</v>
      </c>
      <c r="B3" t="s">
        <v>3138</v>
      </c>
      <c r="C3" t="s">
        <v>3142</v>
      </c>
      <c r="O3" s="9" t="s">
        <v>3136</v>
      </c>
      <c r="P3" t="s">
        <v>3138</v>
      </c>
      <c r="Q3" t="s">
        <v>3142</v>
      </c>
    </row>
    <row r="4" spans="1:17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>
      <c r="A8" s="55">
        <v>46170</v>
      </c>
      <c r="B8" s="52">
        <v>2</v>
      </c>
      <c r="C8" s="52">
        <v>2.2142500000000003</v>
      </c>
      <c r="O8" s="10" t="s">
        <v>3143</v>
      </c>
    </row>
    <row r="9" spans="1:17">
      <c r="A9" s="55">
        <v>46171</v>
      </c>
      <c r="B9" s="52">
        <v>2</v>
      </c>
      <c r="C9" s="52">
        <v>2.0195454545454545</v>
      </c>
      <c r="O9" s="10" t="s">
        <v>3141</v>
      </c>
      <c r="P9">
        <v>48</v>
      </c>
      <c r="Q9">
        <v>35.931320898056192</v>
      </c>
    </row>
    <row r="10" spans="1:17">
      <c r="A10" s="55">
        <v>46172</v>
      </c>
      <c r="B10" s="52">
        <v>2</v>
      </c>
      <c r="C10" s="52">
        <v>1.7595238095238097</v>
      </c>
    </row>
    <row r="11" spans="1:17">
      <c r="A11" s="10" t="s">
        <v>3141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>
      <c r="F3" s="17" t="s">
        <v>3144</v>
      </c>
      <c r="G3" s="17" t="s">
        <v>3145</v>
      </c>
      <c r="H3" s="17" t="s">
        <v>3146</v>
      </c>
      <c r="I3" s="17" t="s">
        <v>3147</v>
      </c>
      <c r="J3" s="17" t="s">
        <v>3148</v>
      </c>
      <c r="K3" s="17" t="s">
        <v>3149</v>
      </c>
    </row>
    <row r="4" spans="6:11">
      <c r="F4" s="17">
        <v>99</v>
      </c>
      <c r="G4" s="17">
        <v>101</v>
      </c>
      <c r="H4" s="17">
        <v>96</v>
      </c>
      <c r="I4" s="17">
        <v>97</v>
      </c>
      <c r="J4" s="17" t="s">
        <v>3150</v>
      </c>
    </row>
    <row r="5" spans="6:11">
      <c r="F5" s="17">
        <v>116</v>
      </c>
      <c r="H5" s="17">
        <v>110</v>
      </c>
      <c r="J5" s="17" t="s">
        <v>3151</v>
      </c>
    </row>
    <row r="6" spans="6:11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>
      <c r="A1" s="30"/>
    </row>
    <row r="2" spans="1:17" ht="18.75">
      <c r="A2" s="30"/>
      <c r="O2" s="33" t="s">
        <v>3152</v>
      </c>
    </row>
    <row r="3" spans="1:17">
      <c r="A3" s="25" t="s">
        <v>7</v>
      </c>
      <c r="B3" s="25" t="s">
        <v>3153</v>
      </c>
      <c r="C3" s="25" t="s">
        <v>3154</v>
      </c>
      <c r="D3" s="25" t="s">
        <v>3155</v>
      </c>
      <c r="E3" s="25" t="s">
        <v>3156</v>
      </c>
      <c r="F3" s="25" t="s">
        <v>3157</v>
      </c>
      <c r="H3" s="22" t="s">
        <v>3157</v>
      </c>
      <c r="I3" s="22" t="s">
        <v>3153</v>
      </c>
      <c r="J3" s="22" t="s">
        <v>3154</v>
      </c>
      <c r="K3" s="22" t="s">
        <v>3156</v>
      </c>
      <c r="L3" s="22" t="s">
        <v>3158</v>
      </c>
      <c r="M3" s="25" t="s">
        <v>3159</v>
      </c>
      <c r="O3" s="25" t="s">
        <v>7</v>
      </c>
      <c r="P3" s="25" t="s">
        <v>3156</v>
      </c>
      <c r="Q3" s="25" t="s">
        <v>14</v>
      </c>
    </row>
    <row r="4" spans="1:17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3160</v>
      </c>
      <c r="H4" s="28" t="s">
        <v>3160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3160</v>
      </c>
      <c r="H5" s="28" t="s">
        <v>3161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3160</v>
      </c>
      <c r="H6" s="28" t="s">
        <v>3162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3160</v>
      </c>
      <c r="H7" s="28" t="s">
        <v>3163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3160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3160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3160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3160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3160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3160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3161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3161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3161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3161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3161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3161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3161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3162</v>
      </c>
    </row>
    <row r="22" spans="1:17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3162</v>
      </c>
    </row>
    <row r="23" spans="1:17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3162</v>
      </c>
    </row>
    <row r="24" spans="1:17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3162</v>
      </c>
    </row>
    <row r="25" spans="1:17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3162</v>
      </c>
    </row>
    <row r="26" spans="1:17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3162</v>
      </c>
    </row>
    <row r="27" spans="1:17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3162</v>
      </c>
    </row>
    <row r="28" spans="1:17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3162</v>
      </c>
    </row>
    <row r="29" spans="1:17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3162</v>
      </c>
    </row>
    <row r="30" spans="1:17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3162</v>
      </c>
    </row>
    <row r="31" spans="1:17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3162</v>
      </c>
    </row>
    <row r="32" spans="1:17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3162</v>
      </c>
    </row>
    <row r="33" spans="1:10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3162</v>
      </c>
    </row>
    <row r="34" spans="1:10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3163</v>
      </c>
    </row>
    <row r="35" spans="1:10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3163</v>
      </c>
      <c r="I35" s="26"/>
      <c r="J35" s="26"/>
    </row>
    <row r="36" spans="1:10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3163</v>
      </c>
    </row>
    <row r="37" spans="1:10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3163</v>
      </c>
    </row>
    <row r="38" spans="1:10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3163</v>
      </c>
    </row>
    <row r="39" spans="1:10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3163</v>
      </c>
    </row>
    <row r="40" spans="1:10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3163</v>
      </c>
    </row>
    <row r="41" spans="1:10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3163</v>
      </c>
    </row>
    <row r="42" spans="1:10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3163</v>
      </c>
    </row>
    <row r="43" spans="1:10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3163</v>
      </c>
    </row>
    <row r="44" spans="1:10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3163</v>
      </c>
    </row>
    <row r="45" spans="1:10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3163</v>
      </c>
    </row>
    <row r="46" spans="1:10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3163</v>
      </c>
    </row>
    <row r="47" spans="1:10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3163</v>
      </c>
    </row>
    <row r="48" spans="1:10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3163</v>
      </c>
    </row>
    <row r="49" spans="1:6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3163</v>
      </c>
    </row>
    <row r="50" spans="1:6">
      <c r="A50" s="84" t="s">
        <v>3164</v>
      </c>
      <c r="B50" s="84"/>
      <c r="C50" s="84"/>
      <c r="E50" s="23">
        <f>SUM(E4:E49)</f>
        <v>12900</v>
      </c>
    </row>
    <row r="56" spans="1:6" ht="15.75">
      <c r="A56" s="34" t="s">
        <v>3165</v>
      </c>
    </row>
    <row r="57" spans="1:6" ht="25.5">
      <c r="A57" s="35" t="s">
        <v>3166</v>
      </c>
      <c r="B57" s="36" t="s">
        <v>3167</v>
      </c>
      <c r="C57" s="36" t="s">
        <v>3168</v>
      </c>
      <c r="D57" s="36" t="s">
        <v>3169</v>
      </c>
    </row>
    <row r="58" spans="1:6">
      <c r="A58" s="40" t="s">
        <v>3170</v>
      </c>
      <c r="B58" s="37">
        <v>108384.01</v>
      </c>
      <c r="C58" s="37"/>
      <c r="D58" s="37">
        <v>108384.01</v>
      </c>
    </row>
    <row r="59" spans="1:6">
      <c r="A59" s="40" t="s">
        <v>3171</v>
      </c>
      <c r="B59" s="37">
        <v>226208.87299999999</v>
      </c>
      <c r="C59" s="37"/>
      <c r="D59" s="37">
        <v>226208.87299999999</v>
      </c>
    </row>
    <row r="60" spans="1:6">
      <c r="A60" s="40" t="s">
        <v>3172</v>
      </c>
      <c r="B60" s="37">
        <f>185.64+208.48</f>
        <v>394.12</v>
      </c>
      <c r="C60" s="37"/>
      <c r="D60" s="37">
        <f>185.64+208.48</f>
        <v>394.12</v>
      </c>
    </row>
    <row r="61" spans="1:6">
      <c r="A61" s="40" t="s">
        <v>3173</v>
      </c>
      <c r="B61" s="37">
        <f>418.45+517.43</f>
        <v>935.87999999999988</v>
      </c>
      <c r="C61" s="37"/>
      <c r="D61" s="37">
        <f>418.45+517.43</f>
        <v>935.87999999999988</v>
      </c>
    </row>
    <row r="62" spans="1:6">
      <c r="A62" s="40" t="s">
        <v>3174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>
      <c r="A63" s="40" t="s">
        <v>3175</v>
      </c>
      <c r="B63" s="37">
        <v>23784.219000000001</v>
      </c>
      <c r="C63" s="37"/>
      <c r="D63" s="37">
        <v>23784.219000000001</v>
      </c>
    </row>
    <row r="64" spans="1:6">
      <c r="A64" s="40" t="s">
        <v>3176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>
      <c r="A65" s="40" t="s">
        <v>3177</v>
      </c>
      <c r="B65" s="37">
        <v>23860.793000000001</v>
      </c>
      <c r="C65" s="37"/>
      <c r="D65" s="37"/>
    </row>
    <row r="66" spans="1:4">
      <c r="A66" s="40" t="s">
        <v>3178</v>
      </c>
      <c r="B66" s="37">
        <v>1344.431</v>
      </c>
      <c r="C66" s="37"/>
      <c r="D66" s="37"/>
    </row>
    <row r="67" spans="1:4">
      <c r="A67" s="38" t="s">
        <v>3164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>
      <c r="B2" s="47" t="s">
        <v>7</v>
      </c>
      <c r="C2" s="47" t="s">
        <v>8</v>
      </c>
      <c r="D2" s="48" t="s">
        <v>3179</v>
      </c>
      <c r="E2" s="48" t="s">
        <v>3180</v>
      </c>
      <c r="F2" s="48" t="s">
        <v>3181</v>
      </c>
      <c r="G2" s="48" t="s">
        <v>3182</v>
      </c>
      <c r="H2" s="48" t="s">
        <v>3183</v>
      </c>
      <c r="I2" s="48" t="s">
        <v>3184</v>
      </c>
      <c r="J2" s="48" t="s">
        <v>3185</v>
      </c>
      <c r="K2" s="48" t="s">
        <v>3186</v>
      </c>
      <c r="L2" s="48" t="s">
        <v>14</v>
      </c>
    </row>
    <row r="3" spans="2:1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2026-08-20T11:03:15Z</dcterms:modified>
  <cp:category/>
  <cp:contentStatus/>
</cp:coreProperties>
</file>