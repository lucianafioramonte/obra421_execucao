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921" documentId="8_{CE5C6F22-4BE2-41D0-BCDC-905D26C0C4E3}" xr6:coauthVersionLast="47" xr6:coauthVersionMax="47" xr10:uidLastSave="{3C64226B-4FF4-45A0-86B5-8EB9B819382C}"/>
  <bookViews>
    <workbookView xWindow="-120" yWindow="-120" windowWidth="20730" windowHeight="1104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82" i="1" l="1"/>
  <c r="I981" i="1"/>
  <c r="I980" i="1"/>
  <c r="I979" i="1"/>
  <c r="I978" i="1"/>
  <c r="I977" i="1"/>
  <c r="H975" i="1"/>
  <c r="H967" i="1"/>
  <c r="H959" i="1"/>
  <c r="H951" i="1"/>
  <c r="H943" i="1"/>
  <c r="H934" i="1"/>
  <c r="H968" i="1"/>
  <c r="H966" i="1"/>
  <c r="H965" i="1"/>
  <c r="H964" i="1"/>
  <c r="H963" i="1"/>
  <c r="H961" i="1"/>
  <c r="H960" i="1"/>
  <c r="H958" i="1"/>
  <c r="H957" i="1"/>
  <c r="H956" i="1"/>
  <c r="H955" i="1"/>
  <c r="H953" i="1"/>
  <c r="H952" i="1"/>
  <c r="H950" i="1"/>
  <c r="H949" i="1"/>
  <c r="H948" i="1"/>
  <c r="H947" i="1"/>
  <c r="H945" i="1"/>
  <c r="H944" i="1"/>
  <c r="H942" i="1"/>
  <c r="H941" i="1"/>
  <c r="H939" i="1"/>
  <c r="H938" i="1"/>
  <c r="H936" i="1"/>
  <c r="H935" i="1"/>
  <c r="H933" i="1"/>
  <c r="H932" i="1"/>
  <c r="H930" i="1"/>
  <c r="H929" i="1"/>
  <c r="H922" i="1"/>
  <c r="H923" i="1"/>
  <c r="H924" i="1"/>
  <c r="H925" i="1"/>
  <c r="H921" i="1"/>
  <c r="H919" i="1"/>
  <c r="H91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<sst xmlns="http://schemas.openxmlformats.org/spreadsheetml/2006/main" count="12184" uniqueCount="3403">
  <si>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</si>
  <si>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</si>
  <si>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</si>
  <si>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</si>
  <si>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</si>
  <si>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</si>
  <si>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</si>
  <si>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</si>
  <si>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</si>
  <si>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</si>
  <si>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</si>
  <si>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</si>
  <si>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</si>
  <si>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</si>
  <si>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</si>
  <si>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</si>
  <si>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</si>
  <si>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</si>
  <si>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</si>
  <si>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</si>
  <si>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</si>
  <si>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</si>
  <si>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</si>
  <si>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</si>
  <si>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</si>
  <si>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</si>
  <si>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</si>
  <si>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</si>
  <si>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</si>
  <si>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</si>
  <si>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</si>
  <si>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</si>
  <si>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</si>
  <si>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</si>
  <si>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</si>
  <si>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</si>
  <si>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</si>
  <si>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</si>
  <si>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</si>
  <si>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</si>
  <si>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</si>
  <si>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</si>
  <si>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</si>
  <si>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</si>
  <si>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</si>
  <si>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</si>
  <si>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</si>
  <si>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</si>
  <si>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</si>
  <si>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</si>
  <si>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</si>
  <si>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</si>
  <si>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</si>
  <si>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</si>
  <si>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</si>
  <si>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</si>
  <si>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</si>
  <si>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</si>
  <si>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</si>
  <si>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</si>
  <si>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</si>
  <si>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</si>
  <si>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</si>
  <si>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</si>
  <si>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</si>
  <si>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</si>
  <si>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</si>
  <si>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</si>
  <si>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</si>
  <si>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</si>
  <si>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</si>
  <si>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</si>
  <si>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</si>
  <si>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</si>
  <si>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</si>
  <si>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</si>
  <si>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</si>
  <si>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</si>
  <si>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</si>
  <si>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</si>
  <si>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</si>
  <si>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</si>
  <si>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</si>
  <si>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</si>
  <si>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</si>
  <si>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</si>
  <si>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</si>
  <si>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</si>
  <si>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</si>
  <si>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</si>
  <si>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</si>
  <si>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</si>
  <si>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</si>
  <si>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</si>
  <si>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</si>
  <si>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</si>
  <si>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</si>
  <si>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</si>
  <si>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</si>
  <si>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</si>
  <si>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</si>
  <si>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</si>
  <si>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</si>
  <si>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</si>
  <si>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</si>
  <si>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</si>
  <si>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</si>
  <si>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</si>
  <si>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</si>
  <si>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</si>
  <si>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</si>
  <si>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</si>
  <si>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</si>
  <si>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</si>
  <si>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</si>
  <si>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</si>
  <si>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</si>
  <si>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</si>
  <si>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</si>
  <si>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</si>
  <si>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</si>
  <si>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</si>
  <si>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</si>
  <si>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</si>
  <si>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</si>
  <si>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</si>
  <si>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</si>
  <si>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</si>
  <si>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</si>
  <si>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</si>
  <si>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</si>
  <si>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</si>
  <si>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</si>
  <si>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</si>
  <si>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</si>
  <si>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</si>
  <si>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</si>
  <si>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</si>
  <si>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</si>
  <si>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</si>
  <si>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</si>
  <si>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</si>
  <si>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</si>
  <si>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</si>
  <si>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</si>
  <si>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</si>
  <si>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</si>
  <si>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</si>
  <si>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</si>
  <si>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</si>
  <si>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</si>
  <si>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</si>
  <si>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</si>
  <si>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</si>
  <si>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</si>
  <si>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</si>
  <si>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</si>
  <si>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</si>
  <si>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</si>
  <si>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</si>
  <si>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</si>
  <si>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</si>
  <si>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</si>
  <si>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</si>
  <si>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</si>
  <si>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</si>
  <si>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</si>
  <si>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</si>
  <si>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</si>
  <si>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</si>
  <si>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</si>
  <si>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</si>
  <si>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</si>
  <si>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</si>
  <si>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</si>
  <si>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</si>
  <si>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</si>
  <si>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</si>
  <si>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</si>
  <si>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</si>
  <si>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</si>
  <si>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</si>
  <si>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</si>
  <si>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</si>
  <si>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</si>
  <si>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</si>
  <si>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</si>
  <si>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</si>
  <si>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</si>
  <si>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</si>
  <si>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</si>
  <si>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</si>
  <si>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</si>
  <si>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</si>
  <si>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</si>
  <si>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</si>
  <si>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</si>
  <si>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</si>
  <si>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</si>
  <si>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</si>
  <si>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</si>
  <si>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</si>
  <si>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</si>
  <si>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</si>
  <si>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</si>
  <si>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</si>
  <si>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</si>
  <si>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</si>
  <si>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</si>
  <si>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</si>
  <si>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</si>
  <si>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</si>
  <si>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</si>
  <si>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</si>
  <si>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</si>
  <si>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</si>
  <si>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</si>
  <si>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</si>
  <si>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</si>
  <si>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</si>
  <si>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</si>
  <si>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</si>
  <si>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</si>
  <si>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</si>
  <si>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</si>
  <si>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</si>
  <si>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</si>
  <si>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</si>
  <si>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</si>
  <si>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</si>
  <si>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</si>
  <si>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</si>
  <si>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</si>
  <si>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</si>
  <si>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</si>
  <si>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</si>
  <si>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</si>
  <si>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</si>
  <si>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</si>
  <si>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</si>
  <si>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</si>
  <si>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</si>
  <si>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</si>
  <si>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</si>
  <si>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</si>
  <si>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</si>
  <si>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</si>
  <si>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</si>
  <si>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</si>
  <si>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</si>
  <si>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</si>
  <si>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</si>
  <si>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</si>
  <si>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</si>
  <si>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</si>
  <si>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</si>
  <si>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</si>
  <si>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</si>
  <si>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</si>
  <si>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</si>
  <si>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</si>
  <si>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</si>
  <si>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</si>
  <si>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</si>
  <si>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</si>
  <si>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</si>
  <si>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</si>
  <si>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</si>
  <si>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</si>
  <si>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</si>
  <si>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</si>
  <si>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</si>
  <si>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</si>
  <si>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</si>
  <si>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</si>
  <si>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</si>
  <si>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</si>
  <si>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</si>
  <si>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</si>
  <si>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</si>
  <si>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</si>
  <si>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</si>
  <si>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</si>
  <si>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</si>
  <si>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</si>
  <si>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</si>
  <si>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</si>
  <si>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</si>
  <si>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</si>
  <si>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</si>
  <si>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</si>
  <si>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</si>
  <si>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</si>
  <si>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</si>
  <si>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</si>
  <si>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</si>
  <si>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</si>
  <si>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</si>
  <si>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</si>
  <si>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</si>
  <si>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</si>
  <si>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</si>
  <si>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</si>
  <si>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</si>
  <si>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</si>
  <si>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</si>
  <si>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</si>
  <si>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</si>
  <si>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</si>
  <si>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</si>
  <si>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</si>
  <si>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</si>
  <si>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</si>
  <si>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</si>
  <si>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</si>
  <si>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</si>
  <si>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</si>
  <si>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</si>
  <si>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</si>
  <si>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</si>
  <si>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</si>
  <si>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</si>
  <si>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</si>
  <si>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</si>
  <si>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</si>
  <si>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</si>
  <si>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</si>
  <si>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</si>
  <si>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</si>
  <si>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</si>
  <si>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</si>
  <si>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</si>
  <si>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</si>
  <si>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</si>
  <si>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</si>
  <si>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</si>
  <si>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</si>
  <si>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</si>
  <si>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</si>
  <si>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</si>
  <si>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</si>
  <si>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</si>
  <si>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</si>
  <si>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</si>
  <si>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</si>
  <si>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</si>
  <si>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</si>
  <si>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</si>
  <si>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</si>
  <si>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</si>
  <si>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</si>
  <si>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</si>
  <si>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</si>
  <si>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</si>
  <si>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</si>
  <si>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</si>
  <si>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</si>
  <si>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</si>
  <si>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</si>
  <si>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</si>
  <si>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</si>
  <si>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</si>
  <si>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</si>
  <si>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</si>
  <si>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</si>
  <si>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</si>
  <si>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</si>
  <si>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</si>
  <si>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</si>
  <si>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</si>
  <si>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</si>
  <si>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</si>
  <si>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</si>
  <si>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</si>
  <si>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</si>
  <si>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</si>
  <si>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</si>
  <si>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</si>
  <si>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</si>
  <si>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</si>
  <si>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</si>
  <si>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</si>
  <si>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</si>
  <si>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</si>
  <si>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</si>
  <si>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</si>
  <si>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</si>
  <si>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</si>
  <si>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</si>
  <si>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</si>
  <si>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</si>
  <si>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</si>
  <si>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</si>
  <si>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</si>
  <si>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</si>
  <si>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</si>
  <si>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</si>
  <si>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</si>
  <si>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</si>
  <si>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</si>
  <si>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</si>
  <si>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</si>
  <si>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</si>
  <si>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</si>
  <si>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</si>
  <si>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</si>
  <si>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</si>
  <si>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</si>
  <si>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</si>
  <si>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</si>
  <si>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</si>
  <si>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</si>
  <si>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</si>
  <si>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</si>
  <si>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</si>
  <si>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</si>
  <si>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</si>
  <si>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</si>
  <si>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</si>
  <si>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</si>
  <si>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</si>
  <si>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</si>
  <si>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</si>
  <si>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</si>
  <si>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</si>
  <si>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</si>
  <si>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</si>
  <si>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</si>
  <si>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</si>
  <si>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</si>
  <si>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</si>
  <si>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</si>
  <si>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</si>
  <si>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</si>
  <si>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</si>
  <si>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</si>
  <si>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</si>
  <si>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</si>
  <si>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</si>
  <si>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</si>
  <si>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</si>
  <si>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</si>
  <si>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</si>
  <si>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</si>
  <si>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</si>
  <si>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</si>
  <si>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</si>
  <si>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</si>
  <si>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</si>
  <si>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</si>
  <si>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</si>
  <si>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</si>
  <si>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</si>
  <si>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</si>
  <si>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</si>
  <si>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</si>
  <si>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</si>
  <si>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</si>
  <si>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</si>
  <si>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</si>
  <si>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</si>
  <si>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</si>
  <si>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</si>
  <si>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</si>
  <si>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</si>
  <si>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</si>
  <si>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</si>
  <si>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</si>
  <si>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</si>
  <si>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</si>
  <si>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</si>
  <si>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</si>
  <si>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</si>
  <si>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</si>
  <si>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</si>
  <si>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</si>
  <si>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</si>
  <si>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</si>
  <si>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</si>
  <si>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</si>
  <si>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</si>
  <si>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</si>
  <si>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</si>
  <si>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</si>
  <si>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</si>
  <si>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</si>
  <si>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</si>
  <si>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</si>
  <si>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</si>
  <si>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</si>
  <si>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</si>
  <si>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</si>
  <si>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</si>
  <si>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</si>
  <si>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</si>
  <si>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</si>
  <si>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</si>
  <si>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</si>
  <si>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</si>
  <si>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</si>
  <si>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</si>
  <si>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</si>
  <si>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</si>
  <si>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</si>
  <si>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</si>
  <si>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</si>
  <si>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</si>
  <si>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</si>
  <si>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</si>
  <si>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</si>
  <si>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</si>
  <si>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</si>
  <si>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</si>
  <si>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</si>
  <si>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</si>
  <si>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</si>
  <si>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</si>
  <si>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</si>
  <si>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</si>
  <si>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</si>
  <si>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</si>
  <si>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</si>
  <si>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</si>
  <si>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</si>
  <si>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</si>
  <si>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</si>
  <si>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</si>
  <si>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</si>
  <si>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</si>
  <si>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</si>
  <si>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</si>
  <si>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</si>
  <si>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</si>
  <si>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</si>
  <si>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</si>
  <si>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</si>
  <si>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</si>
  <si>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</si>
  <si>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</si>
  <si>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</si>
  <si>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</si>
  <si>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</si>
  <si>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</si>
  <si>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</si>
  <si>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</si>
  <si>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</si>
  <si>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</si>
  <si>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</si>
  <si>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</si>
  <si>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</si>
  <si>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</si>
  <si>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</si>
  <si>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</si>
  <si>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</si>
  <si>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</si>
  <si>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</si>
  <si>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</si>
  <si>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</si>
  <si>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</si>
  <si>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</si>
  <si>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</si>
  <si>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</si>
  <si>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</si>
  <si>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</si>
  <si>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</si>
  <si>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</si>
  <si>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</si>
  <si>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</si>
  <si>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</si>
  <si>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</si>
  <si>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</si>
  <si>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</si>
  <si>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</si>
  <si>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</si>
  <si>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</si>
  <si>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</si>
  <si>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</si>
  <si>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</si>
  <si>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</si>
  <si>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</si>
  <si>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</si>
  <si>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</si>
  <si>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</si>
  <si>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</si>
  <si>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</si>
  <si>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</si>
  <si>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</si>
  <si>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</si>
  <si>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</si>
  <si>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</si>
  <si>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</si>
  <si>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</si>
  <si>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</si>
  <si>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</si>
  <si>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</si>
  <si>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</si>
  <si>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</si>
  <si>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</si>
  <si>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</si>
  <si>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</si>
  <si>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</si>
  <si>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</si>
  <si>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</si>
  <si>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</si>
  <si>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</si>
  <si>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</si>
  <si>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</si>
  <si>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</si>
  <si>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</si>
  <si>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</si>
  <si>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</si>
  <si>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</si>
  <si>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</si>
  <si>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</si>
  <si>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</si>
  <si>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</si>
  <si>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</si>
  <si>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</si>
  <si>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</si>
  <si>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</si>
  <si>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</si>
  <si>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</si>
  <si>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</si>
  <si>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</si>
  <si>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</si>
  <si>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</si>
  <si>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</si>
  <si>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</si>
  <si>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</si>
  <si>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</si>
  <si>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</si>
  <si>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</si>
  <si>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</si>
  <si>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</si>
  <si>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</si>
  <si>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</si>
  <si>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</si>
  <si>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</si>
  <si>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</si>
  <si>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</si>
  <si>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</si>
  <si>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</si>
  <si>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</si>
  <si>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</si>
  <si>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</si>
  <si>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</si>
  <si>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</si>
  <si>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</si>
  <si>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</si>
  <si>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</si>
  <si>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</si>
  <si>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</si>
  <si>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</si>
  <si>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</si>
  <si>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</si>
  <si>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</si>
  <si>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</si>
  <si>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</si>
  <si>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</si>
  <si>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</si>
  <si>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</si>
  <si>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</si>
  <si>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</si>
  <si>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</si>
  <si>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</si>
  <si>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</si>
  <si>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</si>
  <si>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</si>
  <si>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</si>
  <si>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</si>
  <si>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</si>
  <si>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</si>
  <si>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</si>
  <si>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</si>
  <si>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</si>
  <si>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</si>
  <si>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</si>
  <si>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</si>
  <si>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</si>
  <si>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</si>
  <si>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</si>
  <si>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</si>
  <si>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</si>
  <si>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</si>
  <si>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</si>
  <si>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</si>
  <si>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</si>
  <si>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</si>
  <si>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</si>
  <si>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</si>
  <si>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</si>
  <si>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</si>
  <si>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</si>
  <si>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</si>
  <si>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</si>
  <si>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</si>
  <si>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</si>
  <si>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</si>
  <si>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</si>
  <si>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</si>
  <si>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</si>
  <si>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</si>
  <si>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</si>
  <si>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</si>
  <si>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</si>
  <si>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</si>
  <si>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</si>
  <si>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</si>
  <si>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</si>
  <si>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</si>
  <si>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</si>
  <si>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</si>
  <si>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</si>
  <si>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</si>
  <si>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</si>
  <si>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</si>
  <si>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</si>
  <si>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</si>
  <si>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</si>
  <si>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</si>
  <si>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</si>
  <si>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</si>
  <si>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</si>
  <si>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</si>
  <si>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</si>
  <si>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</si>
  <si>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</si>
  <si>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</si>
  <si>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</si>
  <si>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</si>
  <si>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</si>
  <si>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</si>
  <si>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</si>
  <si>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</si>
  <si>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</si>
  <si>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</si>
  <si>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</si>
  <si>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</si>
  <si>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</si>
  <si>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</si>
  <si>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</si>
  <si>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</si>
  <si>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</si>
  <si>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</si>
  <si>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</si>
  <si>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</si>
  <si>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</si>
  <si>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</si>
  <si>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</si>
  <si>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</si>
  <si>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</si>
  <si>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</si>
  <si>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</si>
  <si>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</si>
  <si>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</si>
  <si>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</si>
  <si>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</si>
  <si>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</si>
  <si>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</si>
  <si>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</si>
  <si>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</si>
  <si>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</si>
  <si>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</si>
  <si>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</si>
  <si>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</si>
  <si>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</si>
  <si>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</si>
  <si>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</si>
  <si>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</si>
  <si>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</si>
  <si>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</si>
  <si>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</si>
  <si>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</si>
  <si>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</si>
  <si>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</si>
  <si>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</si>
  <si>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</si>
  <si>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</si>
  <si>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</si>
  <si>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</si>
  <si>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</si>
  <si>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</si>
  <si>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</si>
  <si>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</si>
  <si>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</si>
  <si>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</si>
  <si>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</si>
  <si>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</si>
  <si>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</si>
  <si>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</si>
  <si>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</si>
  <si>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</si>
  <si>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</si>
  <si>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</si>
  <si>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</si>
  <si>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</si>
  <si>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</si>
  <si>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</si>
  <si>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</si>
  <si>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</si>
  <si>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</si>
  <si>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</si>
  <si>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</si>
  <si>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</si>
  <si>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</si>
  <si>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</si>
  <si>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</si>
  <si>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</si>
  <si>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</si>
  <si>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</si>
  <si>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</si>
  <si>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</si>
  <si>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</si>
  <si>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</si>
  <si>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</si>
  <si>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</si>
  <si>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</si>
  <si>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</si>
  <si>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</si>
  <si>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</si>
  <si>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</si>
  <si>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</si>
  <si>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</si>
  <si>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</si>
  <si>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</si>
  <si>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</si>
  <si>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</si>
  <si>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</si>
  <si>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</si>
  <si>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</si>
  <si>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</si>
  <si>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</si>
  <si>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</si>
  <si>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</si>
  <si>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</si>
  <si>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</si>
  <si>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</si>
  <si>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</si>
  <si>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</si>
  <si>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</si>
  <si>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</si>
  <si>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</si>
  <si>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</si>
  <si>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</si>
  <si>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</si>
  <si>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</si>
  <si>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</si>
  <si>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</si>
  <si>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</si>
  <si>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</si>
  <si>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</si>
  <si>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</si>
  <si>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</si>
  <si>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</si>
  <si>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</si>
  <si>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</si>
  <si>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</si>
  <si>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</si>
  <si>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</si>
  <si>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</si>
  <si>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</si>
  <si>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</si>
  <si>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</si>
  <si>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</si>
  <si>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</si>
  <si>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</si>
  <si>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</si>
  <si>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</si>
  <si>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</si>
  <si>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</si>
  <si>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</si>
  <si>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</si>
  <si>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</si>
  <si>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</si>
  <si>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</si>
  <si>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</si>
  <si>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</si>
  <si>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</si>
  <si>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</si>
  <si>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</si>
  <si>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</si>
  <si>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</si>
  <si>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</si>
  <si>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</si>
  <si>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</si>
  <si>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</si>
  <si>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</si>
  <si>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</si>
  <si>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</si>
  <si>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</si>
  <si>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</si>
  <si>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</si>
  <si>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</si>
  <si>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</si>
  <si>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</si>
  <si>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</si>
  <si>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</si>
  <si>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</si>
  <si>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</si>
  <si>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</si>
  <si>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</si>
  <si>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</si>
  <si>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</si>
  <si>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</si>
  <si>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</si>
  <si>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</si>
  <si>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</si>
  <si>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</si>
  <si>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</si>
  <si>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</si>
  <si>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</si>
  <si>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</si>
  <si>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</si>
  <si>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</si>
  <si>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</si>
  <si>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</si>
  <si>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</si>
  <si>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</si>
  <si>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</si>
  <si>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</si>
  <si>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</si>
  <si>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</si>
  <si>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</si>
  <si>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</si>
  <si>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</si>
  <si>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</si>
  <si>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</si>
  <si>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</si>
  <si>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</si>
  <si>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</si>
  <si>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</si>
  <si>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</si>
  <si>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</si>
  <si>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</si>
  <si>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</si>
  <si>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</si>
  <si>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</si>
  <si>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</si>
  <si>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</si>
  <si>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</si>
  <si>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</si>
  <si>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</si>
  <si>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</si>
  <si>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</si>
  <si>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</si>
  <si>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</si>
  <si>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</si>
  <si>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</si>
  <si>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</si>
  <si>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</si>
  <si>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</si>
  <si>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</si>
  <si>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</si>
  <si>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</si>
  <si>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</si>
  <si>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</si>
  <si>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</si>
  <si>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</si>
  <si>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</si>
  <si>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</si>
  <si>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</si>
  <si>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</si>
  <si>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</si>
  <si>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</si>
  <si>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</si>
  <si>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</si>
  <si>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</si>
  <si>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</si>
  <si>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</si>
  <si>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</si>
  <si>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</si>
  <si>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</si>
  <si>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</si>
  <si>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</si>
  <si>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</si>
  <si>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</si>
  <si>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</si>
  <si>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</si>
  <si>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</si>
  <si>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</si>
  <si>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</si>
  <si>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</si>
  <si>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</si>
  <si>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</si>
  <si>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</si>
  <si>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</si>
  <si>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</si>
  <si>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</si>
  <si>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</si>
  <si>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</si>
  <si>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</si>
  <si>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</si>
  <si>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</si>
  <si>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</si>
  <si>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</si>
  <si>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</si>
  <si>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</si>
  <si>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</si>
  <si>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</si>
  <si>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</si>
  <si>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</si>
  <si>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</si>
  <si>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</si>
  <si>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</si>
  <si>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</si>
  <si>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</si>
  <si>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</si>
  <si>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</si>
  <si>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</si>
  <si>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</si>
  <si>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</si>
  <si>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</si>
  <si>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</si>
  <si>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</si>
  <si>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</si>
  <si>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</si>
  <si>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</si>
  <si>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</si>
  <si>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</si>
  <si>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</si>
  <si>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</si>
  <si>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</si>
  <si>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</si>
  <si>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</si>
  <si>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</si>
  <si>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</si>
  <si>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</si>
  <si>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</si>
  <si>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</si>
  <si>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</si>
  <si>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</si>
  <si>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</si>
  <si>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</si>
  <si>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</si>
  <si>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</si>
  <si>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</si>
  <si>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</si>
  <si>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</si>
  <si>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</si>
  <si>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</si>
  <si>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</si>
  <si>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</si>
  <si>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</si>
  <si>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</si>
  <si>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</si>
  <si>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</si>
  <si>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</si>
  <si>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</si>
  <si>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</si>
  <si>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</si>
  <si>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</si>
  <si>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</si>
  <si>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</si>
  <si>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</si>
  <si>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</si>
  <si>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</si>
  <si>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</si>
  <si>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</si>
  <si>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</si>
  <si>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</si>
  <si>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</si>
  <si>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</si>
  <si>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</si>
  <si>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</si>
  <si>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</si>
  <si>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</si>
  <si>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</si>
  <si>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</si>
  <si>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</si>
  <si>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</si>
  <si>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</si>
  <si>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</si>
  <si>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</si>
  <si>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</si>
  <si>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</si>
  <si>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</si>
  <si>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</si>
  <si>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</si>
  <si>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</si>
  <si>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</si>
  <si>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</si>
  <si>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</si>
  <si>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</si>
  <si>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</si>
  <si>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</si>
  <si>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</si>
  <si>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</si>
  <si>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</si>
  <si>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</si>
  <si>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</si>
  <si>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</si>
  <si>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</si>
  <si>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</si>
  <si>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</si>
  <si>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</si>
  <si>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</si>
  <si>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</si>
  <si>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</si>
  <si>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</si>
  <si>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</si>
  <si>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</si>
  <si>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</si>
  <si>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</si>
  <si>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</si>
  <si>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</si>
  <si>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</si>
  <si>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</si>
  <si>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</si>
  <si>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</si>
  <si>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</si>
  <si>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</si>
  <si>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</si>
  <si>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</si>
  <si>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</si>
  <si>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</si>
  <si>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</si>
  <si>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</si>
  <si>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</si>
  <si>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</si>
  <si>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</si>
  <si>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</si>
  <si>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</si>
  <si>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</si>
  <si>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</si>
  <si>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</si>
  <si>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</si>
  <si>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</si>
  <si>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</si>
  <si>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</si>
  <si>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</si>
  <si>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</si>
  <si>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</si>
  <si>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</si>
  <si>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</si>
  <si>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</si>
  <si>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</si>
  <si>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</si>
  <si>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</si>
  <si>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</si>
  <si>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</si>
  <si>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</si>
  <si>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</si>
  <si>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</si>
  <si>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</si>
  <si>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</si>
  <si>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</si>
  <si>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</si>
  <si>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</si>
  <si>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</si>
  <si>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</si>
  <si>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</si>
  <si>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</si>
  <si>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</si>
  <si>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</si>
  <si>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</si>
  <si>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</si>
  <si>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</si>
  <si>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</si>
  <si>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</si>
  <si>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</si>
  <si>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</si>
  <si>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</si>
  <si>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</si>
  <si>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</si>
  <si>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</si>
  <si>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</si>
  <si>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</si>
  <si>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</si>
  <si>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</si>
  <si>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</si>
  <si>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</si>
  <si>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</si>
  <si>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</si>
  <si>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</si>
  <si>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</si>
  <si>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</si>
  <si>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</si>
  <si>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</si>
  <si>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</si>
  <si>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</si>
  <si>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</si>
  <si>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</si>
  <si>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</si>
  <si>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</si>
  <si>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</si>
  <si>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</si>
  <si>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</si>
  <si>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</si>
  <si>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</si>
  <si>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</si>
  <si>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</si>
  <si>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</si>
  <si>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</si>
  <si>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</si>
  <si>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</si>
  <si>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</si>
  <si>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</si>
  <si>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</si>
  <si>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</si>
  <si>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</si>
  <si>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</si>
  <si>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</si>
  <si>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</si>
  <si>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</si>
  <si>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</si>
  <si>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</si>
  <si>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</si>
  <si>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</si>
  <si>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</si>
  <si>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</si>
  <si>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</si>
  <si>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</si>
  <si>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</si>
  <si>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</si>
  <si>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</si>
  <si>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</si>
  <si>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</si>
  <si>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</si>
  <si>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</si>
  <si>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</si>
  <si>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</si>
  <si>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</si>
  <si>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</si>
  <si>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</si>
  <si>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</si>
  <si>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</si>
  <si>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</si>
  <si>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</si>
  <si>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</si>
  <si>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</si>
  <si>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</si>
  <si>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</si>
  <si>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</si>
  <si>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</si>
  <si>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</si>
  <si>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</si>
  <si>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</si>
  <si>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</si>
  <si>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</si>
  <si>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</si>
  <si>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</si>
  <si>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</si>
  <si>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</si>
  <si>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</si>
  <si>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</si>
  <si>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</si>
  <si>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</si>
  <si>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</si>
  <si>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</si>
  <si>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</si>
  <si>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</si>
  <si>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</si>
  <si>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</si>
  <si>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</si>
  <si>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</si>
  <si>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</si>
  <si>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</si>
  <si>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</si>
  <si>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</si>
  <si>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</si>
  <si>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</si>
  <si>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</si>
  <si>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</si>
  <si>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</si>
  <si>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</si>
  <si>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</si>
  <si>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</si>
  <si>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</si>
  <si>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</si>
  <si>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</si>
  <si>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</si>
  <si>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</si>
  <si>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</si>
  <si>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</si>
  <si>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</si>
  <si>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</si>
  <si>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</si>
  <si>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</si>
  <si>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</si>
  <si>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</si>
  <si>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</si>
  <si>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</si>
  <si>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</si>
  <si>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</si>
  <si>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</si>
  <si>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</si>
  <si>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</si>
  <si>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</si>
  <si>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</si>
  <si>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</si>
  <si>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</si>
  <si>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</si>
  <si>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</si>
  <si>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</si>
  <si>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</si>
  <si>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</si>
  <si>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</si>
  <si>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</si>
  <si>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</si>
  <si>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</si>
  <si>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</si>
  <si>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</si>
  <si>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</si>
  <si>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</si>
  <si>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</si>
  <si>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</si>
  <si>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</si>
  <si>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</si>
  <si>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</si>
  <si>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</si>
  <si>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</si>
  <si>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</si>
  <si>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</si>
  <si>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</si>
  <si>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</si>
  <si>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</si>
  <si>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</si>
  <si>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</si>
  <si>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</si>
  <si>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</si>
  <si>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</si>
  <si>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</si>
  <si>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</si>
  <si>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</si>
  <si>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</si>
  <si>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</si>
  <si>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</si>
  <si>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</si>
  <si>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</si>
  <si>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</si>
  <si>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</si>
  <si>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</si>
  <si>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</si>
  <si>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</si>
  <si>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</si>
  <si>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</si>
  <si>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</si>
  <si>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</si>
  <si>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</si>
  <si>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</si>
  <si>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</si>
  <si>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</si>
  <si>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</si>
  <si>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</si>
  <si>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</si>
  <si>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</si>
  <si>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</si>
  <si>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</si>
  <si>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</si>
  <si>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</si>
  <si>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</si>
  <si>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</si>
  <si>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</si>
  <si>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</si>
  <si>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</si>
  <si>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</si>
  <si>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</si>
  <si>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</si>
  <si>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</si>
  <si>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</si>
  <si>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</si>
  <si>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</si>
  <si>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</si>
  <si>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</si>
  <si>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</si>
  <si>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</si>
  <si>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</si>
  <si>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</si>
  <si>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</si>
  <si>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</si>
  <si>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</si>
  <si>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</si>
  <si>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</si>
  <si>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</si>
  <si>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</si>
  <si>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</si>
  <si>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</si>
  <si>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</si>
  <si>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</si>
  <si>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</si>
  <si>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</si>
  <si>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</si>
  <si>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</si>
  <si>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</si>
  <si>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</si>
  <si>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</si>
  <si>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</si>
  <si>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</si>
  <si>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</si>
  <si>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</si>
  <si>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</si>
  <si>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</si>
  <si>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</si>
  <si>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</si>
  <si>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</si>
  <si>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</si>
  <si>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</si>
  <si>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</si>
  <si>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</si>
  <si>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</si>
  <si>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</si>
  <si>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</si>
  <si>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</si>
  <si>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</si>
  <si>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</si>
  <si>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</si>
  <si>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</si>
  <si>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</si>
  <si>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</si>
  <si>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</si>
  <si>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</si>
  <si>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</si>
  <si>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</si>
  <si>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</si>
  <si>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</si>
  <si>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</si>
  <si>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</si>
  <si>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</si>
  <si>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</si>
  <si>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</si>
  <si>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</si>
  <si>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</si>
  <si>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</si>
  <si>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</si>
  <si>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</si>
  <si>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</si>
  <si>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</si>
  <si>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</si>
  <si>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</si>
  <si>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</si>
  <si>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</si>
  <si>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</si>
  <si>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</si>
  <si>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</si>
  <si>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</si>
  <si>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</si>
  <si>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</si>
  <si>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</si>
  <si>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</si>
  <si>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</si>
  <si>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</si>
  <si>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</si>
  <si>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</si>
  <si>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</si>
  <si>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</si>
  <si>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</si>
  <si>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</si>
  <si>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</si>
  <si>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</si>
  <si>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</si>
  <si>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</si>
  <si>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</si>
  <si>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</si>
  <si>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</si>
  <si>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</si>
  <si>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</si>
  <si>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</si>
  <si>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</si>
  <si>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</si>
  <si>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</si>
  <si>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</si>
  <si>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</si>
  <si>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</si>
  <si>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</si>
  <si>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</si>
  <si>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</si>
  <si>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</si>
  <si>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</si>
  <si>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</si>
  <si>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</si>
  <si>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</si>
  <si>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</si>
  <si>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</si>
  <si>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</si>
  <si>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</si>
  <si>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</si>
  <si>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</si>
  <si>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</si>
  <si>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</si>
  <si>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</si>
  <si>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</si>
  <si>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</si>
  <si>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</si>
  <si>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</si>
  <si>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</si>
  <si>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</si>
  <si>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</si>
  <si>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</si>
  <si>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</si>
  <si>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</si>
  <si>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</si>
  <si>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</si>
  <si>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</si>
  <si>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</si>
  <si>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</si>
  <si>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</si>
  <si>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</si>
  <si>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</si>
  <si>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</si>
  <si>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</si>
  <si>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</si>
  <si>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</si>
  <si>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</si>
  <si>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</si>
  <si>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</si>
  <si>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</si>
  <si>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</si>
  <si>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</si>
  <si>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</si>
  <si>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</si>
  <si>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</si>
  <si>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</si>
  <si>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</si>
  <si>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</si>
  <si>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</si>
  <si>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</si>
  <si>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</si>
  <si>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</si>
  <si>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</si>
  <si>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</si>
  <si>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</si>
  <si>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</si>
  <si>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</si>
  <si>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</si>
  <si>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</si>
  <si>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</si>
  <si>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</si>
  <si>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</si>
  <si>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</si>
  <si>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</si>
  <si>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</si>
  <si>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</si>
  <si>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</si>
  <si>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</si>
  <si>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</si>
  <si>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</si>
  <si>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</si>
  <si>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</si>
  <si>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</si>
  <si>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</si>
  <si>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</si>
  <si>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</si>
  <si>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</si>
  <si>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</si>
  <si>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</si>
  <si>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</si>
  <si>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</si>
  <si>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</si>
  <si>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</si>
  <si>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</si>
  <si>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</si>
  <si>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</si>
  <si>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</si>
  <si>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</si>
  <si>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</si>
  <si>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</si>
  <si>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</si>
  <si>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</si>
  <si>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</si>
  <si>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</si>
  <si>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</si>
  <si>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</si>
  <si>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</si>
  <si>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</si>
  <si>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</si>
  <si>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</si>
  <si>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</si>
  <si>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</si>
  <si>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</si>
  <si>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</si>
  <si>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</si>
  <si>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</si>
  <si>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</si>
  <si>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</si>
  <si>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</si>
  <si>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</si>
  <si>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</si>
  <si>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</si>
  <si>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</si>
  <si>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</si>
  <si>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</si>
  <si>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</si>
  <si>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</si>
  <si>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</si>
  <si>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</si>
  <si>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</si>
  <si>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</si>
  <si>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</si>
  <si>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</si>
  <si>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</si>
  <si>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</si>
  <si>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</si>
  <si>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</si>
  <si>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</si>
  <si>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</si>
  <si>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</si>
  <si>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</si>
  <si>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</si>
  <si>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</si>
  <si>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</si>
  <si>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</si>
  <si>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</si>
  <si>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</si>
  <si>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</si>
  <si>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</si>
  <si>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</si>
  <si>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</si>
  <si>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</si>
  <si>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</si>
  <si>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</si>
  <si>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</si>
  <si>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</si>
  <si>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</si>
  <si>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</si>
  <si>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</si>
  <si>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</si>
  <si>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</si>
  <si>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</si>
  <si>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</si>
  <si>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</si>
  <si>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</si>
  <si>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</si>
  <si>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</si>
  <si>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</si>
  <si>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</si>
  <si>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</si>
  <si>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</si>
  <si>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</si>
  <si>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</si>
  <si>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</si>
  <si>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</si>
  <si>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</si>
  <si>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</si>
  <si>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</si>
  <si>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</si>
  <si>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</si>
  <si>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</si>
  <si>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</si>
  <si>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</si>
  <si>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</si>
  <si>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</si>
  <si>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</si>
  <si>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</si>
  <si>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</si>
  <si>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</si>
  <si>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</si>
  <si>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</si>
  <si>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</si>
  <si>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</si>
  <si>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</si>
  <si>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</si>
  <si>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</si>
  <si>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</si>
  <si>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</si>
  <si>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</si>
  <si>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</si>
  <si>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</si>
  <si>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</si>
  <si>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</si>
  <si>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</si>
  <si>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</si>
  <si>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</si>
  <si>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</si>
  <si>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</si>
  <si>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</si>
  <si>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</si>
  <si>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</si>
  <si>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</si>
  <si>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</si>
  <si>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</si>
  <si>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</si>
  <si>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</si>
  <si>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</si>
  <si>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</si>
  <si>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</si>
  <si>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</si>
  <si>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</si>
  <si>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</si>
  <si>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</si>
  <si>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</si>
  <si>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</si>
  <si>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</si>
  <si>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</si>
  <si>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</si>
  <si>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</si>
  <si>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</si>
  <si>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</si>
  <si>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</si>
  <si>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</si>
  <si>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</si>
  <si>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</si>
  <si>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</si>
  <si>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</si>
  <si>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</si>
  <si>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</si>
  <si>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</si>
  <si>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</si>
  <si>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</si>
  <si>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</si>
  <si>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</si>
  <si>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</si>
  <si>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</si>
  <si>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</si>
  <si>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</si>
  <si>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</si>
  <si>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</si>
  <si>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</si>
  <si>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</si>
  <si>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</si>
  <si>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</si>
  <si>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</si>
  <si>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</si>
  <si>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</si>
  <si>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</si>
  <si>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</si>
  <si>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</si>
  <si>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</si>
  <si>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</si>
  <si>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</si>
  <si>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</si>
  <si>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</si>
  <si>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</si>
  <si>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</si>
  <si>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</si>
  <si>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</si>
  <si>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</si>
  <si>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</si>
  <si>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</si>
  <si>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</si>
  <si>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</si>
  <si>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</si>
  <si>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</si>
  <si>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</si>
  <si>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</si>
  <si>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</si>
  <si>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</si>
  <si>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</si>
  <si>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</si>
  <si>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</si>
  <si>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</si>
  <si>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</si>
  <si>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</si>
  <si>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</si>
  <si>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</si>
  <si>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</si>
  <si>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</si>
  <si>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</si>
  <si>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</si>
  <si>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</si>
  <si>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</si>
  <si>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</si>
  <si>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</si>
  <si>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</si>
  <si>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</si>
  <si>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</si>
  <si>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</si>
  <si>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</si>
  <si>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</si>
  <si>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</si>
  <si>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</si>
  <si>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</si>
  <si>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</si>
  <si>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</si>
  <si>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</si>
  <si>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</si>
  <si>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</si>
  <si>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</si>
  <si>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</si>
  <si>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</si>
  <si>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</si>
  <si>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</si>
  <si>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</si>
  <si>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</si>
  <si>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</si>
  <si>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</si>
  <si>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</si>
  <si>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</si>
  <si>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</si>
  <si>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</si>
  <si>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</si>
  <si>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</si>
  <si>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</si>
  <si>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</si>
  <si>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</si>
  <si>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</si>
  <si>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</si>
  <si>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</si>
  <si>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</si>
  <si>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</si>
  <si>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</si>
  <si>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</si>
  <si>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</si>
  <si>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</si>
  <si>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</si>
  <si>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</si>
  <si>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</si>
  <si>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</si>
  <si>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</si>
  <si>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</si>
  <si>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</si>
  <si>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</si>
  <si>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</si>
  <si>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</si>
  <si>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</si>
  <si>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</si>
  <si>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</si>
  <si>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</si>
  <si>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</si>
  <si>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</si>
  <si>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</si>
  <si>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</si>
  <si>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</si>
  <si>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</si>
  <si>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</si>
  <si>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</si>
  <si>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</si>
  <si>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</si>
  <si>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</si>
  <si>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</si>
  <si>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</si>
  <si>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</si>
  <si>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</si>
  <si>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</si>
  <si>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</si>
  <si>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</si>
  <si>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</si>
  <si>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</si>
  <si>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</si>
  <si>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</si>
  <si>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</si>
  <si>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</si>
  <si>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</si>
  <si>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</si>
  <si>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</si>
  <si>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</si>
  <si>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</si>
  <si>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</si>
  <si>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</si>
  <si>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</si>
  <si>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</si>
  <si>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</si>
  <si>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</si>
  <si>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</si>
  <si>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</si>
  <si>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</si>
  <si>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</si>
  <si>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</si>
  <si>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</si>
  <si>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</si>
  <si>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</si>
  <si>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</si>
  <si>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</si>
  <si>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</si>
  <si>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</si>
  <si>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</si>
  <si>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</si>
  <si>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</si>
  <si>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</si>
  <si>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</si>
  <si>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</si>
  <si>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</si>
  <si>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</si>
  <si>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</si>
  <si>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</si>
  <si>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</si>
  <si>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</si>
  <si>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</si>
  <si>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</si>
  <si>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</si>
  <si>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</si>
  <si>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</si>
  <si>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</si>
  <si>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</si>
  <si>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</si>
  <si>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</si>
  <si>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</si>
  <si>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</si>
  <si>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</si>
  <si>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</si>
  <si>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</si>
  <si>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</si>
  <si>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</si>
  <si>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</si>
  <si>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</si>
  <si>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</si>
  <si>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</si>
  <si>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</si>
  <si>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</si>
  <si>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</si>
  <si>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</si>
  <si>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</si>
  <si>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</si>
  <si>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</si>
  <si>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</si>
  <si>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</si>
  <si>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</si>
  <si>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</si>
  <si>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</si>
  <si>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</si>
  <si>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</si>
  <si>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</si>
  <si>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</si>
  <si>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</si>
  <si>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</si>
  <si>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</si>
  <si>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</si>
  <si>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</si>
  <si>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</si>
  <si>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</si>
  <si>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</si>
  <si>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</si>
  <si>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</si>
  <si>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</si>
  <si>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</si>
  <si>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</si>
  <si>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</si>
  <si>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</si>
  <si>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</si>
  <si>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</si>
  <si>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</si>
  <si>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</si>
  <si>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</si>
  <si>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</si>
  <si>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</si>
  <si>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</si>
  <si>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</si>
  <si>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</si>
  <si>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</si>
  <si>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</si>
  <si>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</si>
  <si>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</si>
  <si>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</si>
  <si>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</si>
  <si>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</si>
  <si>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</si>
  <si>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</si>
  <si>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</si>
  <si>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</si>
  <si>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</si>
  <si>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</si>
  <si>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</si>
  <si>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</si>
  <si>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</si>
  <si>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</si>
  <si>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</si>
  <si>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</si>
  <si>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</si>
  <si>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</si>
  <si>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</si>
  <si>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</si>
  <si>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</si>
  <si>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</si>
  <si>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</si>
  <si>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</si>
  <si>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</si>
  <si>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</si>
  <si>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</si>
  <si>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</si>
  <si>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</si>
  <si>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</si>
  <si>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</si>
  <si>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</si>
  <si>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</si>
  <si>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</si>
  <si>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</si>
  <si>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</si>
  <si>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</si>
  <si>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</si>
  <si>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</si>
  <si>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</si>
  <si>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</si>
  <si>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</si>
  <si>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</si>
  <si>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</si>
  <si>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</si>
  <si>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</si>
  <si>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</si>
  <si>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</si>
  <si>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</si>
  <si>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</si>
  <si>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</si>
  <si>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</si>
  <si>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</si>
  <si>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</si>
  <si>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</si>
  <si>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</si>
  <si>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</si>
  <si>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</si>
  <si>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</si>
  <si>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</si>
  <si>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</si>
  <si>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</si>
  <si>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</si>
  <si>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</si>
  <si>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</si>
  <si>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</si>
  <si>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</si>
  <si>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</si>
  <si>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</si>
  <si>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</si>
  <si>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</si>
  <si>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</si>
  <si>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</si>
  <si>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</si>
  <si>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</si>
  <si>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</si>
  <si>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</si>
  <si>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</si>
  <si>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</si>
  <si>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</si>
  <si>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</si>
  <si>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</si>
  <si>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</si>
  <si>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</si>
  <si>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</si>
  <si>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</si>
  <si>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</si>
  <si>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</si>
  <si>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</si>
  <si>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</si>
  <si>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</si>
  <si>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</si>
  <si>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</si>
  <si>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</si>
  <si>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</si>
  <si>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</si>
  <si>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</si>
  <si>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</si>
  <si>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</si>
  <si>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</si>
  <si>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</si>
  <si>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</si>
  <si>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</si>
  <si>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</si>
  <si>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</si>
  <si>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</si>
  <si>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</si>
  <si>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</si>
  <si>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</si>
  <si>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</si>
  <si>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</si>
  <si>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</si>
  <si>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</si>
  <si>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</si>
  <si>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</si>
  <si>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</si>
  <si>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</si>
  <si>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</si>
  <si>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</si>
  <si>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</si>
  <si>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</si>
  <si>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</si>
  <si>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</si>
  <si>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</si>
  <si>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</si>
  <si>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</si>
  <si>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</si>
  <si>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</si>
  <si>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</si>
  <si>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</si>
  <si>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</si>
  <si>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</si>
  <si>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</si>
  <si>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</si>
  <si>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</si>
  <si>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</si>
  <si>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</si>
  <si>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</si>
  <si>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</si>
  <si>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</si>
  <si>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</si>
  <si>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</si>
  <si>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</si>
  <si>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</si>
  <si>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</si>
  <si>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</si>
  <si>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</si>
  <si>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</si>
  <si>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</si>
  <si>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</si>
  <si>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</si>
  <si>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</si>
  <si>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</si>
  <si>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</si>
  <si>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</si>
  <si>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</si>
  <si>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</si>
  <si>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</si>
  <si>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</si>
  <si>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</si>
  <si>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</si>
  <si>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</si>
  <si>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</si>
  <si>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</si>
  <si>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</si>
  <si>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</si>
  <si>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</si>
  <si>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</si>
  <si>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</si>
  <si>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</si>
  <si>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</si>
  <si>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</si>
  <si>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</si>
  <si>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</si>
  <si>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</si>
  <si>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</si>
  <si>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</si>
  <si>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</si>
  <si>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</si>
  <si>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</si>
  <si>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</si>
  <si>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</si>
  <si>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</si>
  <si>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</si>
  <si>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</si>
  <si>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</si>
  <si>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</si>
  <si>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</si>
  <si>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</si>
  <si>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</si>
  <si>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</si>
  <si>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</si>
  <si>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</si>
  <si>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</si>
  <si>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</si>
  <si>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</si>
  <si>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</si>
  <si>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</si>
  <si>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</si>
  <si>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</si>
  <si>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</si>
  <si>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</si>
  <si>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</si>
  <si>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</si>
  <si>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</si>
  <si>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</si>
  <si>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</si>
  <si>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</si>
  <si>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</si>
  <si>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</si>
  <si>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</si>
  <si>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</si>
  <si>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</si>
  <si>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</si>
  <si>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</si>
  <si>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</si>
  <si>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</si>
  <si>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</si>
  <si>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</si>
  <si>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</si>
  <si>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</si>
  <si>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</si>
  <si>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</si>
  <si>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</si>
  <si>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</si>
  <si>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</si>
  <si>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</si>
  <si>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</si>
  <si>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</si>
  <si>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</si>
  <si>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</si>
  <si>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</si>
  <si>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</si>
  <si>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</si>
  <si>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</si>
  <si>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</si>
  <si>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</si>
  <si>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</si>
  <si>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</si>
  <si>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</si>
  <si>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</si>
  <si>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</si>
  <si>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</si>
  <si>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</si>
  <si>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</si>
  <si>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</si>
  <si>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</si>
  <si>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</si>
  <si>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</si>
  <si>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</si>
  <si>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</si>
  <si>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</si>
  <si>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</si>
  <si>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</si>
  <si>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</si>
  <si>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</si>
  <si>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</si>
  <si>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</si>
  <si>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</si>
  <si>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</si>
  <si>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</si>
  <si>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</si>
  <si>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</si>
  <si>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</si>
  <si>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</si>
  <si>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</si>
  <si>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</si>
  <si>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</si>
  <si>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</si>
  <si>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</si>
  <si>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</si>
  <si>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</si>
  <si>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</si>
  <si>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</si>
  <si>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</si>
  <si>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</si>
  <si>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</si>
  <si>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</si>
  <si>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</si>
  <si>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</si>
  <si>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</si>
  <si>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</si>
  <si>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</si>
  <si>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</si>
  <si>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</si>
  <si>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</si>
  <si>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</si>
  <si>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</si>
  <si>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</si>
  <si>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</si>
  <si>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</si>
  <si>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</si>
  <si>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</si>
  <si>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</si>
  <si>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</si>
  <si>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</si>
  <si>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</si>
  <si>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</si>
  <si>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</si>
  <si>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</si>
  <si>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</si>
  <si>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</si>
  <si>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</si>
  <si>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</si>
  <si>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</si>
  <si>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</si>
  <si>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</si>
  <si>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</si>
  <si>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</si>
  <si>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</si>
  <si>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</si>
  <si>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</si>
  <si>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</si>
  <si>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</si>
  <si>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</si>
  <si>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</si>
  <si>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</si>
  <si>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</si>
  <si>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</si>
  <si>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</si>
  <si>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</si>
  <si>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</si>
  <si>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</si>
  <si>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</si>
  <si>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</si>
  <si>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</si>
  <si>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</si>
  <si>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</si>
  <si>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</si>
  <si>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</si>
  <si>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</si>
  <si>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</si>
  <si>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</si>
  <si>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</si>
  <si>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</si>
  <si>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</si>
  <si>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</si>
  <si>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</si>
  <si>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</si>
  <si>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</si>
  <si>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</si>
  <si>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</si>
  <si>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</si>
  <si>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</si>
  <si>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</si>
  <si>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</si>
  <si>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</si>
  <si>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</si>
  <si>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</si>
  <si>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</si>
  <si>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</si>
  <si>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</si>
  <si>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</si>
  <si>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</si>
  <si>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</si>
  <si>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</si>
  <si>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</si>
  <si>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</si>
  <si>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</si>
  <si>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</si>
  <si>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</si>
  <si>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</si>
  <si>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</si>
  <si>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</si>
  <si>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</si>
  <si>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</si>
  <si>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</si>
  <si>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</si>
  <si>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</si>
  <si>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</si>
  <si>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</si>
  <si>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</si>
  <si>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</si>
  <si>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</si>
  <si>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</si>
  <si>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</si>
  <si>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</si>
  <si>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</si>
  <si>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</si>
  <si>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</si>
  <si>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</si>
  <si>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</si>
  <si>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</si>
  <si>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</si>
  <si>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</si>
  <si>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</si>
  <si>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</si>
  <si>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</si>
  <si>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</si>
  <si>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</si>
  <si>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</si>
  <si>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</si>
  <si>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</si>
  <si>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</si>
  <si>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</si>
  <si>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</si>
  <si>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</si>
  <si>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</si>
  <si>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</si>
  <si>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</si>
  <si>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</si>
  <si>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</si>
  <si>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</si>
  <si>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</si>
  <si>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</si>
  <si>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</si>
  <si>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</si>
  <si>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</si>
  <si>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</si>
  <si>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</si>
  <si>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</si>
  <si>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</si>
  <si>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</si>
  <si>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</si>
  <si>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</si>
  <si>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</si>
  <si>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</si>
  <si>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</si>
  <si>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</si>
  <si>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</si>
  <si>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</si>
  <si>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</si>
  <si>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</si>
  <si>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</si>
  <si>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</si>
  <si>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</si>
  <si>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</si>
  <si>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</si>
  <si>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</si>
  <si>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</si>
  <si>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</si>
  <si>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</si>
  <si>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</si>
  <si>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</si>
  <si>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</si>
  <si>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</si>
  <si>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</si>
  <si>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</si>
  <si>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</si>
  <si>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</si>
  <si>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</si>
  <si>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</si>
  <si>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</si>
  <si>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</si>
  <si>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</si>
  <si>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</si>
  <si>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</si>
  <si>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</si>
  <si>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</si>
  <si>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</si>
  <si>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</si>
  <si>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</si>
  <si>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</si>
  <si>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</si>
  <si>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</si>
  <si>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</si>
  <si>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</si>
  <si>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</si>
  <si>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</si>
  <si>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</si>
  <si>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</si>
  <si>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</si>
  <si>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</si>
  <si>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</si>
  <si>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</si>
  <si>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</si>
  <si>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</si>
  <si>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</si>
  <si>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</si>
  <si>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</si>
  <si>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</si>
  <si>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</si>
  <si>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</si>
  <si>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</si>
  <si>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</si>
  <si>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</si>
  <si>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</si>
  <si>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</si>
  <si>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</si>
  <si>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</si>
  <si>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</si>
  <si>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</si>
  <si>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</si>
  <si>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</si>
  <si>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</si>
  <si>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</si>
  <si>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</si>
  <si>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</si>
  <si>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</si>
  <si>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</si>
  <si>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</si>
  <si>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</si>
  <si>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</si>
  <si>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</si>
  <si>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</si>
  <si>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</si>
  <si>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</si>
  <si>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</si>
  <si>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</si>
  <si>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</si>
  <si>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</si>
  <si>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</si>
  <si>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</si>
  <si>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</si>
  <si>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</si>
  <si>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</si>
  <si>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</si>
  <si>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</si>
  <si>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</si>
  <si>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</si>
  <si>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</si>
  <si>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</si>
  <si>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</si>
  <si>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</si>
  <si>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</si>
  <si>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</si>
  <si>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</si>
  <si>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</si>
  <si>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</si>
  <si>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</si>
  <si>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</si>
  <si>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</si>
  <si>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</si>
  <si>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</si>
  <si>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</si>
  <si>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</si>
  <si>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</si>
  <si>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</si>
  <si>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</si>
  <si>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</si>
  <si>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</si>
  <si>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</si>
  <si>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</si>
  <si>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</si>
  <si>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</si>
  <si>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</si>
  <si>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</si>
  <si>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</si>
  <si>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</si>
  <si>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</si>
  <si>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</si>
  <si>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</si>
  <si>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</si>
  <si>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</si>
  <si>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</si>
  <si>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</si>
  <si>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</si>
  <si>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</si>
  <si>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</si>
  <si>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</si>
  <si>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</si>
  <si>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</si>
  <si>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</si>
  <si>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</si>
  <si>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</si>
  <si>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</si>
  <si>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</si>
  <si>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</si>
  <si>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</si>
  <si>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</si>
  <si>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</si>
  <si>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</si>
  <si>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</si>
  <si>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</si>
  <si>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</si>
  <si>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</si>
  <si>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</si>
  <si>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</si>
  <si>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</si>
  <si>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</si>
  <si>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</si>
  <si>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</si>
  <si>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</si>
  <si>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</si>
  <si>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</si>
  <si>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</si>
  <si>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</si>
  <si>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</si>
  <si>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</si>
  <si>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</si>
  <si>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</si>
  <si>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</si>
  <si>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</si>
  <si>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</si>
  <si>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</si>
  <si>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</si>
  <si>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</si>
  <si>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</si>
  <si>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</si>
  <si>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</si>
  <si>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</si>
  <si>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</si>
  <si>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</si>
  <si>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</si>
  <si>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</si>
  <si>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</si>
  <si>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</si>
  <si>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</si>
  <si>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</si>
  <si>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</si>
  <si>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</si>
  <si>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</si>
  <si>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</si>
  <si>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</si>
  <si>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</si>
  <si>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</si>
  <si>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</si>
  <si>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</si>
  <si>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</si>
  <si>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</si>
  <si>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</si>
  <si>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</si>
  <si>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</si>
  <si>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</si>
  <si>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</si>
  <si>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</si>
  <si>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</si>
  <si>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</si>
  <si>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</si>
  <si>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</si>
  <si>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</si>
  <si>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</si>
  <si>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</si>
  <si>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</si>
  <si>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</si>
  <si>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</si>
  <si>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</si>
  <si>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</si>
  <si>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</si>
  <si>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</si>
  <si>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</si>
  <si>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</si>
  <si>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</si>
  <si>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</si>
  <si>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</si>
  <si>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</si>
  <si>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</si>
  <si>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</si>
  <si>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</si>
  <si>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</si>
  <si>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</si>
  <si>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</si>
  <si>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</si>
  <si>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</si>
  <si>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</si>
  <si>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</si>
  <si>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</si>
  <si>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</si>
  <si>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</si>
  <si>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</si>
  <si>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</si>
  <si>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</si>
  <si>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</si>
  <si>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</si>
  <si>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</si>
  <si>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</si>
  <si>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</si>
  <si>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</si>
  <si>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</si>
  <si>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</si>
  <si>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</si>
  <si>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</si>
  <si>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</si>
  <si>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</si>
  <si>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</si>
  <si>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</si>
  <si>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</si>
  <si>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</si>
  <si>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</si>
  <si>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</si>
  <si>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</si>
  <si>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</si>
  <si>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</si>
  <si>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</si>
  <si>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</si>
  <si>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</si>
  <si>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</si>
  <si>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</si>
  <si>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</si>
  <si>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</si>
  <si>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</si>
  <si>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</si>
  <si>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</si>
  <si>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</si>
  <si>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</si>
  <si>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</si>
  <si>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</si>
  <si>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</si>
  <si>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</si>
  <si>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</si>
  <si>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</si>
  <si>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</si>
  <si>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</si>
  <si>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</si>
  <si>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</si>
  <si>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</si>
  <si>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</si>
  <si>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</si>
  <si>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</si>
  <si>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</si>
  <si>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</si>
  <si>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</si>
  <si>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</si>
  <si>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</si>
  <si>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</si>
  <si>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</si>
  <si>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</si>
  <si>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</si>
  <si>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</si>
  <si>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</si>
  <si>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</si>
  <si>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</si>
  <si>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</si>
  <si>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</si>
  <si>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</si>
  <si>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</si>
  <si>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</si>
  <si>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</si>
  <si>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</si>
  <si>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</si>
  <si>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</si>
  <si>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</si>
  <si>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</si>
  <si>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</si>
  <si>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</si>
  <si>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</si>
  <si>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</si>
  <si>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</si>
  <si>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</si>
  <si>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</si>
  <si>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</si>
  <si>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</si>
  <si>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</si>
  <si>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</si>
  <si>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</si>
  <si>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</si>
  <si>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</si>
  <si>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</si>
  <si>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</si>
  <si>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</si>
  <si>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</si>
  <si>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</si>
  <si>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</si>
  <si>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</si>
  <si>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</si>
  <si>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</si>
  <si>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</si>
  <si>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</si>
  <si>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</si>
  <si>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</si>
  <si>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</si>
  <si>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</si>
  <si>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</si>
  <si>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</si>
  <si>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</si>
  <si>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</si>
  <si>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</si>
  <si>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</si>
  <si>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</si>
  <si>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</si>
  <si>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</si>
  <si>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</si>
  <si>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</si>
  <si>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</si>
  <si>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</si>
  <si>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</si>
  <si>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</si>
  <si>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</si>
  <si>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</si>
  <si>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</si>
  <si>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</si>
  <si>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</si>
  <si>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</si>
  <si>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</si>
  <si>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</si>
  <si>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</si>
  <si>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</si>
  <si>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</si>
  <si>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</si>
  <si>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</si>
  <si>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</si>
  <si>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</si>
  <si>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</si>
  <si>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</si>
  <si>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</si>
  <si>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</si>
  <si>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</si>
  <si>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</si>
  <si>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</si>
  <si>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</si>
  <si>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</si>
  <si>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</si>
  <si>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</si>
  <si>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</si>
  <si>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</si>
  <si>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</si>
  <si>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</si>
  <si>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</si>
  <si>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</si>
  <si>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</si>
  <si>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</si>
  <si>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</si>
  <si>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</si>
  <si>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</si>
  <si>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</si>
  <si>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</si>
  <si>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</si>
  <si>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</si>
  <si>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</si>
  <si>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</si>
  <si>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</si>
  <si>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</si>
  <si>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</si>
  <si>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</si>
  <si>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</si>
  <si>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</si>
  <si>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</si>
  <si>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</si>
  <si>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</si>
  <si>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</si>
  <si>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</si>
  <si>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</si>
  <si>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</si>
  <si>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</si>
  <si>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</si>
  <si>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</si>
  <si>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</si>
  <si>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</si>
  <si>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</si>
  <si>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</si>
  <si>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</si>
  <si>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</si>
  <si>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</si>
  <si>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</si>
  <si>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</si>
  <si>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</si>
  <si>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</si>
  <si>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</si>
  <si>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</si>
  <si>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</si>
  <si>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</si>
  <si>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</si>
  <si>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</si>
  <si>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</si>
  <si>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</si>
  <si>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</si>
  <si>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</si>
  <si>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</si>
  <si>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</si>
  <si>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</si>
  <si>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</si>
  <si>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</si>
  <si>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</si>
  <si>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</si>
  <si>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</si>
  <si>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</si>
  <si>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</si>
  <si>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</si>
  <si>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</si>
  <si>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</si>
  <si>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</si>
  <si>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</si>
  <si>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</si>
  <si>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</si>
  <si>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</si>
  <si>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</si>
  <si>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</si>
  <si>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</si>
  <si>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</si>
  <si>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</si>
  <si>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</si>
  <si>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</si>
  <si>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</si>
  <si>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</si>
  <si>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</si>
  <si>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</si>
  <si>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</si>
  <si>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</si>
  <si>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</si>
  <si>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</si>
  <si>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</si>
  <si>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</si>
  <si>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</si>
  <si>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</si>
  <si>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</si>
  <si>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</si>
  <si>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</si>
  <si>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</si>
  <si>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</si>
  <si>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</si>
  <si>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</si>
  <si>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</si>
  <si>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</si>
  <si>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</si>
  <si>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</si>
  <si>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</si>
  <si>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</si>
  <si>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</si>
  <si>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</si>
  <si>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</si>
  <si>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</si>
  <si>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</si>
  <si>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</si>
  <si>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</si>
  <si>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</si>
  <si>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</si>
  <si>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</si>
  <si>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</si>
  <si>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</si>
  <si>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</si>
  <si>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</si>
  <si>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</si>
  <si>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</si>
  <si>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</si>
  <si>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</si>
  <si>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</si>
  <si>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</si>
  <si>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</si>
  <si>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</si>
  <si>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</si>
  <si>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</si>
  <si>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</si>
  <si>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</si>
  <si>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</si>
  <si>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</si>
  <si>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</si>
  <si>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</si>
  <si>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</si>
  <si>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</si>
  <si>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</si>
  <si>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</si>
  <si>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</si>
  <si>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</si>
  <si>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</si>
  <si>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</si>
  <si>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</si>
  <si>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</si>
  <si>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</si>
  <si>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</si>
  <si>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</si>
  <si>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</si>
  <si>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</si>
  <si>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</si>
  <si>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</si>
  <si>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</si>
  <si>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</si>
  <si>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</si>
  <si>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</si>
  <si>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</si>
  <si>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</si>
  <si>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</si>
  <si>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</si>
  <si>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</si>
  <si>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</si>
  <si>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</si>
  <si>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</si>
  <si>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</si>
  <si>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</si>
  <si>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</si>
  <si>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</si>
  <si>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</si>
  <si>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</si>
  <si>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</si>
  <si>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</si>
  <si>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</si>
  <si>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</si>
  <si>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</si>
  <si>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</si>
  <si>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</si>
  <si>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</si>
  <si>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</si>
  <si>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</si>
  <si>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</si>
  <si>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</si>
  <si>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</si>
  <si>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</si>
  <si>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</si>
  <si>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</si>
  <si>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</si>
  <si>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</si>
  <si>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</si>
  <si>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</si>
  <si>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</si>
  <si>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</si>
  <si>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</si>
  <si>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</si>
  <si>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</si>
  <si>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</si>
  <si>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</si>
  <si>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</si>
  <si>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</si>
  <si>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</si>
  <si>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</si>
  <si>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</si>
  <si>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</si>
  <si>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</si>
  <si>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</si>
  <si>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</si>
  <si>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</si>
  <si>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</si>
  <si>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</si>
  <si>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</si>
  <si>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</si>
  <si>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</si>
  <si>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</si>
  <si>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</si>
  <si>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</si>
  <si>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</si>
  <si>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</si>
  <si>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</si>
  <si>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</si>
  <si>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</si>
  <si>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</si>
  <si>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</si>
  <si>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</si>
  <si>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</si>
  <si>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</si>
  <si>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</si>
  <si>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</si>
  <si>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</si>
  <si>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</si>
  <si>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</si>
  <si>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</si>
  <si>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</si>
  <si>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</si>
  <si>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</si>
  <si>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</si>
  <si>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</si>
  <si>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</si>
  <si>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</si>
  <si>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</si>
  <si>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</si>
  <si>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</si>
  <si>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</si>
  <si>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</si>
  <si>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</si>
  <si>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</si>
  <si>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</si>
  <si>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</si>
  <si>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</si>
  <si>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</si>
  <si>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</si>
  <si>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</si>
  <si>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</si>
  <si>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</si>
  <si>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</si>
  <si>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</si>
  <si>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</si>
  <si>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</si>
  <si>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</si>
  <si>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</si>
  <si>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</si>
  <si>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</si>
  <si>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</si>
  <si>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</si>
  <si>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</si>
  <si>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</si>
  <si>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</si>
  <si>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</si>
  <si>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</si>
  <si>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</si>
  <si>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</si>
  <si>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</si>
  <si>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</si>
  <si>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</si>
  <si>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</si>
  <si>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</si>
  <si>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</si>
  <si>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</si>
  <si>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</si>
  <si>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</si>
  <si>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</si>
  <si>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</si>
  <si>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</si>
  <si>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</si>
  <si>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</si>
  <si>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</si>
  <si>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</si>
  <si>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</si>
  <si>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</si>
  <si>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</si>
  <si>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</si>
  <si>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</si>
  <si>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</si>
  <si>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</si>
  <si>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</si>
  <si>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</si>
  <si>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</si>
  <si>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</si>
  <si>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</si>
  <si>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</si>
  <si>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</si>
  <si>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</si>
  <si>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</si>
  <si>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</si>
  <si>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</si>
  <si>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</si>
  <si>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</si>
  <si>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</si>
  <si>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</si>
  <si>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</si>
  <si>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</si>
  <si>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</si>
  <si>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</si>
  <si>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</si>
  <si>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</si>
  <si>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</si>
  <si>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</si>
  <si>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</si>
  <si>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</si>
  <si>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</si>
  <si>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</si>
  <si>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</si>
  <si>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</si>
  <si>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</si>
  <si>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</si>
  <si>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</si>
  <si>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</si>
  <si>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</si>
  <si>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</si>
  <si>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</si>
  <si>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</si>
  <si>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</si>
  <si>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</si>
  <si>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</si>
  <si>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</si>
  <si>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</si>
  <si>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</si>
  <si>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</si>
  <si>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</si>
  <si>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</si>
  <si>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</si>
  <si>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</si>
  <si>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</si>
  <si>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</si>
  <si>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</si>
  <si>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</si>
  <si>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</si>
  <si>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</si>
  <si>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</si>
  <si>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</si>
  <si>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</si>
  <si>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</si>
  <si>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</si>
  <si>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</si>
  <si>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</si>
  <si>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</si>
  <si>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</si>
  <si>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</si>
  <si>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</si>
  <si>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</si>
  <si>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</si>
  <si>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</si>
  <si>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</si>
  <si>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</si>
  <si>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</si>
  <si>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</si>
  <si>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</si>
  <si>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</si>
  <si>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</si>
  <si>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</si>
  <si>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</si>
  <si>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</si>
  <si>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</si>
  <si>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</si>
  <si>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</si>
  <si>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</si>
  <si>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</si>
  <si>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</si>
  <si>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</si>
  <si>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</si>
  <si>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</si>
  <si>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</si>
  <si>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</si>
  <si>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</si>
  <si>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</si>
  <si>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</si>
  <si>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</si>
  <si>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</si>
  <si>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</si>
  <si>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</si>
  <si>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</si>
  <si>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</si>
  <si>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</si>
  <si>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</si>
  <si>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</si>
  <si>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</si>
  <si>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</si>
  <si>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</si>
  <si>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</si>
  <si>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</si>
  <si>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</si>
  <si>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</si>
  <si>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</si>
  <si>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</si>
  <si>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</si>
  <si>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</si>
  <si>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</si>
  <si>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</si>
  <si>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</si>
  <si>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</si>
  <si>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</si>
  <si>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</si>
  <si>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</si>
  <si>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</si>
  <si>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</si>
  <si>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</si>
  <si>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</si>
  <si>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</si>
  <si>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</si>
  <si>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</si>
  <si>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</si>
  <si>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</si>
  <si>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</si>
  <si>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</si>
  <si>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</si>
  <si>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</si>
  <si>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</si>
  <si>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</si>
  <si>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</si>
  <si>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</si>
  <si>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</si>
  <si>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</si>
  <si>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</si>
  <si>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</si>
  <si>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</si>
  <si>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</si>
  <si>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</si>
  <si>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</si>
  <si>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</si>
  <si>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</si>
  <si>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</si>
  <si>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</si>
  <si>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</si>
  <si>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</si>
  <si>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</si>
  <si>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</si>
  <si>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</si>
  <si>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</si>
  <si>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</si>
  <si>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</si>
  <si>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</si>
  <si>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</si>
  <si>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</si>
  <si>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</si>
  <si>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</si>
  <si>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</si>
  <si>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</si>
  <si>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</si>
  <si>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</si>
  <si>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</si>
  <si>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</si>
  <si>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</si>
  <si>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</si>
  <si>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</si>
  <si>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</si>
  <si>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</si>
  <si>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</si>
  <si>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</si>
  <si>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</si>
  <si>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</si>
  <si>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</si>
  <si>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</si>
  <si>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</si>
  <si>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</si>
  <si>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</si>
  <si>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</si>
  <si>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</si>
  <si>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</si>
  <si>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</si>
  <si>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</si>
  <si>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</si>
  <si>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</si>
  <si>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</si>
  <si>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</si>
  <si>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</si>
  <si>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</si>
  <si>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</si>
  <si>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</si>
  <si>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</si>
  <si>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</si>
  <si>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</si>
  <si>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</si>
  <si>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</si>
  <si>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</si>
  <si>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</si>
  <si>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</si>
  <si>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</si>
  <si>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</si>
  <si>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</si>
  <si>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</si>
  <si>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</si>
  <si>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</si>
  <si>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</si>
  <si>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</si>
  <si>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</si>
  <si>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</si>
  <si>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</si>
  <si>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</si>
  <si>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</si>
  <si>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</si>
  <si>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</si>
  <si>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</si>
  <si>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</si>
  <si>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</si>
  <si>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</si>
  <si>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</si>
  <si>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</si>
  <si>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</si>
  <si>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</si>
  <si>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</si>
  <si>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</si>
  <si>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</si>
  <si>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</si>
  <si>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</si>
  <si>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</si>
  <si>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</si>
  <si>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</si>
  <si>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</si>
  <si>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</si>
  <si>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</si>
  <si>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</si>
  <si>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</si>
  <si>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</si>
  <si>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</si>
  <si>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</si>
  <si>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</si>
  <si>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</si>
  <si>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</si>
  <si>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</si>
  <si>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</si>
  <si>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</si>
  <si>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</si>
  <si>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</si>
  <si>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</si>
  <si>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</si>
  <si>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</si>
  <si>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</si>
  <si>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</si>
  <si>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</si>
  <si>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</si>
  <si>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</si>
  <si>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</si>
  <si>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</si>
  <si>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</si>
  <si>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</si>
  <si>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</si>
  <si>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</si>
  <si>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</si>
  <si>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</si>
  <si>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</si>
  <si>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</si>
  <si>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</si>
  <si>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</si>
  <si>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</si>
  <si>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</si>
  <si>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</si>
  <si>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</si>
  <si>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</si>
  <si>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</si>
  <si>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</si>
  <si>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</si>
  <si>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</si>
  <si>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</si>
  <si>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</si>
  <si>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</si>
  <si>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</si>
  <si>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</si>
  <si>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</si>
  <si>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</si>
  <si>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</si>
  <si>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</si>
  <si>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</si>
  <si>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</si>
  <si>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</si>
  <si>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</si>
  <si>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</si>
  <si>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</si>
  <si>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</si>
  <si>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</si>
  <si>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</si>
  <si>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</si>
  <si>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</si>
  <si>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</si>
  <si>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</si>
  <si>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</si>
  <si>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</si>
  <si>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</si>
  <si>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</si>
  <si>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</si>
  <si>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</si>
  <si>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</si>
  <si>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</si>
  <si>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</si>
  <si>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</si>
  <si>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</si>
  <si>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</si>
  <si>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</si>
  <si>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</si>
  <si>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</si>
  <si>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</si>
  <si>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</si>
  <si>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</si>
  <si>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</si>
  <si>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</si>
  <si>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>446017</t>
  </si>
  <si>
    <t>1627215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</si>
  <si>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</si>
  <si>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</si>
  <si>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</si>
  <si>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</si>
  <si>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</si>
  <si>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</si>
  <si>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</si>
  <si>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</si>
  <si>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</si>
  <si>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</si>
  <si>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</si>
  <si>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</si>
  <si>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</si>
  <si>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</si>
  <si>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</si>
  <si>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</si>
  <si>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</si>
  <si>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</si>
  <si>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</si>
  <si>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</si>
  <si>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</si>
  <si>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</si>
  <si>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</si>
  <si>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</si>
  <si>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</si>
  <si>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</si>
  <si>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</si>
  <si>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</si>
  <si>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</si>
  <si>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</si>
  <si>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</si>
  <si>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</si>
  <si>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</si>
  <si>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</si>
  <si>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</si>
  <si>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</si>
  <si>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</si>
  <si>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</si>
  <si>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</si>
  <si>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</si>
  <si>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</si>
  <si>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</si>
  <si>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</si>
  <si>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</si>
  <si>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</si>
  <si>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</si>
  <si>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</si>
  <si>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</si>
  <si>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</si>
  <si>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</si>
  <si>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</si>
  <si>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31 Aug 2026</t>
  </si>
  <si>
    <t>570</t>
  </si>
  <si>
    <t>111151</t>
  </si>
  <si>
    <t>168133</t>
  </si>
  <si>
    <t>S36</t>
  </si>
  <si>
    <t>84974</t>
  </si>
  <si>
    <t>168184</t>
  </si>
  <si>
    <t>190728</t>
  </si>
  <si>
    <t>369311</t>
  </si>
  <si>
    <t>1568</t>
  </si>
  <si>
    <t>137161</t>
  </si>
  <si>
    <t>301522</t>
  </si>
  <si>
    <t>467</t>
  </si>
  <si>
    <t>151422</t>
  </si>
  <si>
    <t>455578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</si>
</sst>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5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66FF33"/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</c:pivotFmt>
      <c:pivotFmt>
        <c:idx val="26"/>
      </c:pivotFmt>
      <c:pivotFmt>
        <c:idx val="27"/>
      </c:pivotFmt>
      <c:pivotFmt>
        <c:idx val="28"/>
      </c:pivotFmt>
      <c:pivotFmt>
        <c:idx val="29"/>
      </c:pivotFmt>
      <c:pivotFmt>
        <c:idx val="30"/>
      </c:pivotFmt>
      <c:pivotFmt>
        <c:idx val="31"/>
      </c:pivotFmt>
      <c:pivotFmt>
        <c:idx val="32"/>
      </c:pivotFmt>
      <c:pivotFmt>
        <c:idx val="33"/>
      </c:pivotFmt>
      <c:pivotFmt>
        <c:idx val="34"/>
      </c:pivotFmt>
      <c:pivotFmt>
        <c:idx val="35"/>
      </c:pivotFmt>
      <c:pivotFmt>
        <c:idx val="36"/>
      </c:pivotFmt>
      <c:pivotFmt>
        <c:idx val="37"/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</c:pivotFmt>
      <c:pivotFmt>
        <c:idx val="63"/>
      </c:pivotFmt>
      <c:pivotFmt>
        <c:idx val="64"/>
      </c:pivotFmt>
      <c:pivotFmt>
        <c:idx val="65"/>
      </c:pivotFmt>
      <c:pivotFmt>
        <c:idx val="66"/>
      </c:pivotFmt>
      <c:pivotFmt>
        <c:idx val="67"/>
      </c:pivotFmt>
      <c:pivotFmt>
        <c:idx val="68"/>
      </c:pivotFmt>
      <c:pivotFmt>
        <c:idx val="69"/>
      </c:pivotFmt>
      <c:pivotFmt>
        <c:idx val="70"/>
      </c:pivotFmt>
      <c:pivotFmt>
        <c:idx val="71"/>
      </c:pivotFmt>
      <c:pivotFmt>
        <c:idx val="72"/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2.9045643153526972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fld id="{C9BAB789-0592-4EE8-B90A-7B7D224A38A2}" type="VALUE">
                  <a:rPr lang="en-US" b="1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dk1"/>
                      </a:solidFill>
                    </a:defRPr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 w="25400" cap="flat" cmpd="sng" algn="ctr">
              <a:solidFill>
                <a:srgbClr val="00B050"/>
              </a:solidFill>
              <a:prstDash val="solid"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10519</c:v>
                </c:pt>
                <c:pt idx="1">
                  <c:v>12007</c:v>
                </c:pt>
                <c:pt idx="2">
                  <c:v>14016</c:v>
                </c:pt>
                <c:pt idx="3">
                  <c:v>12976</c:v>
                </c:pt>
                <c:pt idx="4">
                  <c:v>12332</c:v>
                </c:pt>
                <c:pt idx="5">
                  <c:v>14761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3"/>
              <c:layout>
                <c:manualLayout>
                  <c:x val="-2.9045643153526972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9BAB789-0592-4EE8-B90A-7B7D224A38A2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dk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 w="25400" cap="flat" cmpd="sng" algn="ctr">
                  <a:solidFill>
                    <a:srgbClr val="00B050"/>
                  </a:solidFill>
                  <a:prstDash val="solid"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29/08/2026</c:v>
                  </c:pt>
                  <c:pt idx="1">
                    <c:v>28/08/2026</c:v>
                  </c:pt>
                  <c:pt idx="2">
                    <c:v>27/08/2026</c:v>
                  </c:pt>
                  <c:pt idx="3">
                    <c:v>26/08/2026</c:v>
                  </c:pt>
                  <c:pt idx="4">
                    <c:v>25/08/2026</c:v>
                  </c:pt>
                  <c:pt idx="5">
                    <c:v>24/08/2026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S35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</c:pivotFmt>
      <c:pivotFmt>
        <c:idx val="39"/>
      </c:pivotFmt>
      <c:pivotFmt>
        <c:idx val="40"/>
      </c:pivotFmt>
      <c:pivotFmt>
        <c:idx val="41"/>
      </c:pivotFmt>
      <c:pivotFmt>
        <c:idx val="42"/>
      </c:pivotFmt>
      <c:pivotFmt>
        <c:idx val="43"/>
      </c:pivotFmt>
      <c:pivotFmt>
        <c:idx val="44"/>
      </c:pivotFmt>
      <c:pivotFmt>
        <c:idx val="45"/>
      </c:pivotFmt>
      <c:pivotFmt>
        <c:idx val="46"/>
      </c:pivotFmt>
      <c:pivotFmt>
        <c:idx val="47"/>
      </c:pivotFmt>
      <c:pivotFmt>
        <c:idx val="48"/>
      </c:pivotFmt>
      <c:pivotFmt>
        <c:idx val="49"/>
      </c:pivotFmt>
      <c:pivotFmt>
        <c:idx val="50"/>
      </c:pivotFmt>
      <c:pivotFmt>
        <c:idx val="51"/>
      </c:pivotFmt>
      <c:pivotFmt>
        <c:idx val="52"/>
      </c:pivotFmt>
      <c:pivotFmt>
        <c:idx val="53"/>
      </c:pivotFmt>
      <c:pivotFmt>
        <c:idx val="54"/>
      </c:pivotFmt>
      <c:pivotFmt>
        <c:idx val="55"/>
      </c:pivotFmt>
      <c:pivotFmt>
        <c:idx val="56"/>
      </c:pivotFmt>
      <c:pivotFmt>
        <c:idx val="57"/>
      </c:pivotFmt>
      <c:pivotFmt>
        <c:idx val="58"/>
      </c:pivotFmt>
      <c:pivotFmt>
        <c:idx val="59"/>
      </c:pivotFmt>
      <c:pivotFmt>
        <c:idx val="60"/>
      </c:pivotFmt>
      <c:pivotFmt>
        <c:idx val="61"/>
      </c:pivotFmt>
      <c:pivotFmt>
        <c:idx val="6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37834</c:v>
                </c:pt>
                <c:pt idx="1">
                  <c:v>28356</c:v>
                </c:pt>
                <c:pt idx="2">
                  <c:v>7965</c:v>
                </c:pt>
                <c:pt idx="3">
                  <c:v>24352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29549</c:v>
                </c:pt>
                <c:pt idx="1">
                  <c:v>24262</c:v>
                </c:pt>
                <c:pt idx="2">
                  <c:v>7087</c:v>
                </c:pt>
                <c:pt idx="3">
                  <c:v>18061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layout>
                <c:manualLayout>
                  <c:x val="-8.2546344875830818E-2"/>
                  <c:y val="-0.13418986438258387"/>
                </c:manualLayout>
              </c:layout>
              <c:spPr>
                <a:solidFill>
                  <a:srgbClr val="DD9411"/>
                </a:solidFill>
                <a:ln>
                  <a:solidFill>
                    <a:schemeClr val="accent6">
                      <a:lumMod val="75000"/>
                    </a:schemeClr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S32</c:v>
                </c:pt>
                <c:pt idx="1">
                  <c:v>S33</c:v>
                </c:pt>
                <c:pt idx="2">
                  <c:v>S34</c:v>
                </c:pt>
                <c:pt idx="3">
                  <c:v>S35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23999.999999999996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157409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38888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1851848" createdVersion="8" refreshedVersion="8" minRefreshableVersion="3" recordCount="1831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65.686902430556" createdVersion="8" refreshedVersion="8" minRefreshableVersion="3" recordCount="1831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31T00:00:00" count="120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m/>
      </sharedItems>
    </cacheField>
    <cacheField name="Semana" numFmtId="0">
      <sharedItems containsBlank="1" count="20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s v="S35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7.100000000000001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416.5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42.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31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096"/>
    <x v="2"/>
    <m/>
    <m/>
    <n v="2142.8571428571427"/>
    <n v="175.52083333333334"/>
    <n v="4.17"/>
    <n v="1.92"/>
    <n v="2.25"/>
    <s v="54"/>
    <s v="217"/>
    <n v="337"/>
    <n v="1.55"/>
    <n v="7.58"/>
    <n v="44.48"/>
    <n v="8.52"/>
    <n v="3.79"/>
    <n v="35.96"/>
    <n v="18.77"/>
    <n v="9385.73"/>
    <s v="107040"/>
    <s v="162029"/>
    <n v="0.1"/>
    <s v="0"/>
    <n v="293.10000000000002"/>
  </r>
  <r>
    <x v="112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s v="Em operação"/>
    <s v="ES 0135"/>
    <x v="2"/>
    <m/>
    <m/>
    <n v="2142.8571428571427"/>
    <n v="109.44881889763781"/>
    <n v="8.4"/>
    <n v="6.35"/>
    <n v="2.0499999999999998"/>
    <n v="24.41"/>
    <s v="559"/>
    <n v="695"/>
    <n v="1.65"/>
    <n v="7.23"/>
    <n v="127.28"/>
    <n v="7.1"/>
    <n v="3.46"/>
    <n v="120.19"/>
    <n v="18.93"/>
    <n v="814.41"/>
    <s v="79900"/>
    <s v="158471"/>
    <s v="1"/>
    <s v="0"/>
    <n v="80.5"/>
  </r>
  <r>
    <x v="112"/>
    <x v="17"/>
    <s v="Em operação"/>
    <s v="ES 0135"/>
    <x v="6"/>
    <m/>
    <m/>
    <m/>
    <n v="0"/>
    <m/>
    <m/>
    <m/>
    <m/>
    <m/>
    <n v="225"/>
    <m/>
    <m/>
    <m/>
    <m/>
    <m/>
    <m/>
    <m/>
    <m/>
    <m/>
    <m/>
    <m/>
    <m/>
    <m/>
  </r>
  <r>
    <x v="112"/>
    <x v="17"/>
    <s v="Em operação"/>
    <s v="ES 0110"/>
    <x v="2"/>
    <m/>
    <m/>
    <n v="2142.8571428571427"/>
    <n v="210.57401812688821"/>
    <n v="8.07"/>
    <n v="6.62"/>
    <n v="1.45"/>
    <n v="17.97"/>
    <s v="752"/>
    <n v="1394"/>
    <n v="1.85"/>
    <n v="10.09"/>
    <n v="138.16999999999999"/>
    <n v="6.15"/>
    <n v="4.24"/>
    <n v="132.02000000000001"/>
    <n v="19.95"/>
    <n v="2640.11"/>
    <s v="184783"/>
    <s v="356218"/>
    <n v="1.4"/>
    <s v="0"/>
    <s v="341"/>
  </r>
  <r>
    <x v="112"/>
    <x v="17"/>
    <s v="Em operação"/>
    <s v="ES 0126"/>
    <x v="2"/>
    <m/>
    <m/>
    <n v="2142.8571428571427"/>
    <n v="297.70992366412213"/>
    <n v="13.33"/>
    <n v="10.48"/>
    <n v="2.85"/>
    <n v="21.39"/>
    <s v="1408"/>
    <n v="3120"/>
    <n v="2.2200000000000002"/>
    <n v="13.54"/>
    <n v="230.44"/>
    <n v="10.41"/>
    <n v="3.65"/>
    <n v="220.03"/>
    <s v="21"/>
    <n v="1256.17"/>
    <s v="130468"/>
    <s v="286816"/>
    <s v="0"/>
    <s v="0"/>
    <n v="125.6"/>
  </r>
  <r>
    <x v="112"/>
    <x v="17"/>
    <s v="Em operação"/>
    <s v="ES 0099"/>
    <x v="2"/>
    <m/>
    <m/>
    <n v="2142.8571428571427"/>
    <n v="420.24336283185846"/>
    <n v="11.59"/>
    <n v="9.0399999999999991"/>
    <n v="2.5499999999999998"/>
    <s v="22"/>
    <s v="1070"/>
    <n v="3799"/>
    <n v="3.55"/>
    <n v="12.85"/>
    <n v="295.74"/>
    <n v="15.61"/>
    <n v="6.12"/>
    <n v="280.12"/>
    <n v="30.99"/>
    <n v="8249.1299999999992"/>
    <s v="145634"/>
    <s v="435390"/>
    <n v="0.1"/>
    <s v="0"/>
    <n v="259.2"/>
  </r>
  <r>
    <x v="112"/>
    <x v="17"/>
    <s v="Em operação"/>
    <s v="ES 0101"/>
    <x v="2"/>
    <m/>
    <m/>
    <n v="2142.8571428571427"/>
    <n v="499.24012158054711"/>
    <n v="7.23"/>
    <n v="6.58"/>
    <n v="0.65"/>
    <n v="8.99"/>
    <s v="741"/>
    <n v="3285"/>
    <n v="4.43"/>
    <n v="13.12"/>
    <n v="250.31"/>
    <n v="4.26"/>
    <n v="6.55"/>
    <n v="246.05"/>
    <n v="37.4"/>
    <n v="6817.02"/>
    <s v="440454"/>
    <s v="1602863"/>
    <s v="0"/>
    <s v="0"/>
    <n v="49.8"/>
  </r>
  <r>
    <x v="112"/>
    <x v="17"/>
    <s v="Em operação"/>
    <s v="ES 0116"/>
    <x v="2"/>
    <m/>
    <m/>
    <n v="2142.8571428571427"/>
    <n v="550.64599483204131"/>
    <n v="5.77"/>
    <n v="3.87"/>
    <n v="1.9"/>
    <n v="32.92"/>
    <s v="580"/>
    <n v="2131"/>
    <n v="3.76"/>
    <n v="12.95"/>
    <n v="168.45"/>
    <n v="8.52"/>
    <n v="4.4800000000000004"/>
    <n v="159.93"/>
    <n v="41.31"/>
    <n v="2151.06"/>
    <s v="211680"/>
    <s v="712726"/>
    <s v="0"/>
    <s v="0"/>
    <n v="5.7"/>
  </r>
  <r>
    <x v="112"/>
    <x v="17"/>
    <s v="Em operação"/>
    <s v="ES 0116"/>
    <x v="6"/>
    <m/>
    <m/>
    <m/>
    <n v="0"/>
    <m/>
    <m/>
    <m/>
    <m/>
    <m/>
    <n v="50"/>
    <m/>
    <m/>
    <m/>
    <m/>
    <m/>
    <m/>
    <m/>
    <m/>
    <m/>
    <m/>
    <m/>
    <m/>
    <m/>
  </r>
  <r>
    <x v="113"/>
    <x v="1"/>
    <s v="Não operacional"/>
    <s v="ES 0096"/>
    <x v="2"/>
    <m/>
    <s v="Na oficina"/>
    <m/>
    <n v="0"/>
    <n v="0.08"/>
    <n v="0.03"/>
    <n v="0.05"/>
    <n v="64.27"/>
    <s v="0"/>
    <n v="0"/>
    <s v=""/>
    <s v="0"/>
    <n v="0.47"/>
    <n v="0.47"/>
    <n v="9.4600000000000009"/>
    <s v="0"/>
    <s v="0"/>
    <n v="9385.7999999999993"/>
    <s v="107040"/>
    <s v="162029"/>
    <s v="0"/>
    <s v=""/>
    <n v="293.10000000000002"/>
  </r>
  <r>
    <x v="113"/>
    <x v="1"/>
    <s v="Não operacional"/>
    <s v="ES 0097"/>
    <x v="7"/>
    <m/>
    <s v="Na oficina"/>
    <m/>
    <n v="0"/>
    <n v="1.08"/>
    <n v="0.57999999999999996"/>
    <n v="0.5"/>
    <n v="46.3"/>
    <s v=""/>
    <s v=""/>
    <s v=""/>
    <s v=""/>
    <n v="12.3"/>
    <n v="1.89"/>
    <n v="3.79"/>
    <n v="10.41"/>
    <n v="17.95"/>
    <n v="8942.2000000000007"/>
    <s v=""/>
    <s v=""/>
    <s v="0"/>
    <s v=""/>
    <n v="266.3"/>
  </r>
  <r>
    <x v="113"/>
    <x v="17"/>
    <s v="Em operação"/>
    <s v="ES 0135"/>
    <x v="2"/>
    <m/>
    <m/>
    <n v="3000"/>
    <n v="241.92592592592592"/>
    <n v="7.85"/>
    <n v="6.75"/>
    <n v="1.1000000000000001"/>
    <n v="14.02"/>
    <s v="925"/>
    <n v="1633"/>
    <n v="1.77"/>
    <n v="13.48"/>
    <n v="121.13"/>
    <n v="3.79"/>
    <n v="3.44"/>
    <n v="117.35"/>
    <n v="17.39"/>
    <n v="822.26"/>
    <s v="80825"/>
    <s v="160104"/>
    <n v="1.6"/>
    <s v="0"/>
    <n v="82.3"/>
  </r>
  <r>
    <x v="113"/>
    <x v="17"/>
    <s v="Em operação"/>
    <s v="ES 0110"/>
    <x v="2"/>
    <m/>
    <m/>
    <n v="3000"/>
    <n v="303.19888734353265"/>
    <n v="8.44"/>
    <n v="7.19"/>
    <n v="1.25"/>
    <n v="14.81"/>
    <s v="1018"/>
    <n v="2180"/>
    <n v="2.44"/>
    <n v="16.329999999999998"/>
    <n v="151.88999999999999"/>
    <n v="4.7300000000000004"/>
    <n v="3.79"/>
    <n v="147.16"/>
    <n v="20.46"/>
    <n v="2648.55"/>
    <s v="185801"/>
    <s v="358698"/>
    <n v="0.3"/>
    <s v="0"/>
    <n v="341.3"/>
  </r>
  <r>
    <x v="113"/>
    <x v="17"/>
    <s v="Em operação"/>
    <s v="ES 0110"/>
    <x v="6"/>
    <m/>
    <m/>
    <m/>
    <m/>
    <m/>
    <m/>
    <m/>
    <m/>
    <m/>
    <n v="300"/>
    <m/>
    <m/>
    <m/>
    <m/>
    <m/>
    <m/>
    <m/>
    <m/>
    <m/>
    <m/>
    <m/>
    <m/>
    <m/>
  </r>
  <r>
    <x v="113"/>
    <x v="17"/>
    <s v="Em operação"/>
    <s v="ES 0126"/>
    <x v="2"/>
    <m/>
    <m/>
    <n v="3000"/>
    <n v="158.07926829268294"/>
    <n v="8.9600000000000009"/>
    <n v="6.56"/>
    <n v="2.4"/>
    <n v="26.78"/>
    <s v="428"/>
    <n v="1037"/>
    <n v="2.42"/>
    <n v="9.65"/>
    <n v="107.41"/>
    <n v="8.99"/>
    <n v="3.75"/>
    <n v="98.42"/>
    <s v="15"/>
    <n v="1265.1400000000001"/>
    <s v="130896"/>
    <s v="287853"/>
    <n v="0.8"/>
    <s v="0"/>
    <n v="126.4"/>
  </r>
  <r>
    <x v="113"/>
    <x v="17"/>
    <s v="Em operação"/>
    <s v="ES 0099"/>
    <x v="2"/>
    <m/>
    <m/>
    <n v="3000"/>
    <n v="415.74212893553226"/>
    <n v="16.739999999999998"/>
    <n v="13.34"/>
    <n v="3.4"/>
    <n v="20.309999999999999"/>
    <s v="1452"/>
    <n v="5546"/>
    <n v="3.82"/>
    <n v="13.29"/>
    <n v="417.34"/>
    <n v="19.399999999999999"/>
    <n v="5.71"/>
    <n v="397.94"/>
    <n v="29.83"/>
    <n v="8265.86"/>
    <s v="147086"/>
    <s v="440936"/>
    <n v="0.1"/>
    <s v="0"/>
    <n v="259.3"/>
  </r>
  <r>
    <x v="113"/>
    <x v="17"/>
    <s v="Em operação"/>
    <s v="ES 0101"/>
    <x v="0"/>
    <n v="1899"/>
    <m/>
    <n v="4000"/>
    <n v="396.38554216867465"/>
    <n v="9.1999999999999993"/>
    <n v="8.3000000000000007"/>
    <n v="0.9"/>
    <n v="9.7799999999999994"/>
    <s v="873"/>
    <n v="3290"/>
    <n v="3.77"/>
    <n v="10.199999999999999"/>
    <n v="322.70999999999998"/>
    <n v="5.2"/>
    <n v="5.78"/>
    <n v="317.5"/>
    <n v="38.25"/>
    <n v="6826.22"/>
    <s v="441327"/>
    <s v="1606153"/>
    <s v="0"/>
    <s v="0"/>
    <n v="49.8"/>
  </r>
  <r>
    <x v="113"/>
    <x v="17"/>
    <s v="Em operação"/>
    <s v="ES 0116"/>
    <x v="2"/>
    <m/>
    <m/>
    <n v="3000"/>
    <n v="553.14285714285711"/>
    <n v="4.3499999999999996"/>
    <n v="3.5"/>
    <n v="0.85"/>
    <n v="19.559999999999999"/>
    <s v="523"/>
    <n v="1936"/>
    <n v="3.7"/>
    <n v="13.87"/>
    <n v="139.59"/>
    <n v="5.2"/>
    <n v="6.12"/>
    <n v="134.38"/>
    <n v="38.43"/>
    <n v="2155.41"/>
    <s v="212203"/>
    <s v="714662"/>
    <s v="0"/>
    <s v="0"/>
    <n v="5.7"/>
  </r>
  <r>
    <x v="114"/>
    <x v="17"/>
    <s v="Em operação"/>
    <s v="ES 0096"/>
    <x v="2"/>
    <m/>
    <m/>
    <n v="2500"/>
    <n v="119.78723404255318"/>
    <n v="5.5"/>
    <n v="4.7"/>
    <n v="0.8"/>
    <n v="14.54"/>
    <s v="453"/>
    <n v="563"/>
    <n v="1.24"/>
    <n v="6.13"/>
    <n v="91.8"/>
    <n v="3.31"/>
    <n v="4.1399999999999997"/>
    <n v="88.48"/>
    <n v="18.82"/>
    <n v="9391.31"/>
    <s v="107493"/>
    <s v="162592"/>
    <s v="0"/>
    <s v="0"/>
    <n v="293.10000000000002"/>
  </r>
  <r>
    <x v="114"/>
    <x v="17"/>
    <s v="Em operação"/>
    <s v="ES 0097"/>
    <x v="6"/>
    <m/>
    <m/>
    <m/>
    <n v="135.13513513513513"/>
    <n v="7.97"/>
    <n v="5.92"/>
    <n v="2.0499999999999998"/>
    <n v="25.74"/>
    <s v=""/>
    <n v="800"/>
    <s v=""/>
    <s v=""/>
    <n v="130.6"/>
    <n v="8.52"/>
    <n v="4.1500000000000004"/>
    <n v="122.08"/>
    <n v="20.64"/>
    <n v="8950.25"/>
    <s v=""/>
    <s v=""/>
    <n v="0.2"/>
    <s v=""/>
    <n v="266.5"/>
  </r>
  <r>
    <x v="114"/>
    <x v="17"/>
    <s v="Em operação"/>
    <s v="ES 0135"/>
    <x v="2"/>
    <m/>
    <m/>
    <n v="2500"/>
    <n v="319.50146627565982"/>
    <n v="9.02"/>
    <n v="6.82"/>
    <n v="2.2000000000000002"/>
    <n v="24.38"/>
    <s v="1194"/>
    <n v="2179"/>
    <n v="1.82"/>
    <n v="14.3"/>
    <n v="152.36000000000001"/>
    <n v="7.1"/>
    <n v="3.23"/>
    <n v="145.27000000000001"/>
    <n v="21.29"/>
    <n v="831.28"/>
    <s v="82293"/>
    <s v="162738"/>
    <n v="0.4"/>
    <s v="0"/>
    <n v="82.7"/>
  </r>
  <r>
    <x v="114"/>
    <x v="17"/>
    <s v="Em operação"/>
    <s v="ES 0110"/>
    <x v="2"/>
    <m/>
    <m/>
    <n v="2500"/>
    <n v="337.7204884667571"/>
    <n v="8.32"/>
    <n v="7.37"/>
    <n v="0.95"/>
    <n v="11.42"/>
    <s v="1224"/>
    <n v="2489"/>
    <n v="2.3199999999999998"/>
    <n v="17.86"/>
    <n v="158.99"/>
    <n v="3.79"/>
    <n v="3.98"/>
    <n v="155.19999999999999"/>
    <n v="21.06"/>
    <n v="2656.87"/>
    <s v="187025"/>
    <s v="361537"/>
    <n v="0.1"/>
    <s v="0"/>
    <n v="341.4"/>
  </r>
  <r>
    <x v="114"/>
    <x v="17"/>
    <s v="Em operação"/>
    <s v="ES 0110"/>
    <x v="6"/>
    <m/>
    <m/>
    <m/>
    <n v="0"/>
    <m/>
    <m/>
    <m/>
    <m/>
    <m/>
    <n v="350"/>
    <m/>
    <m/>
    <m/>
    <m/>
    <m/>
    <m/>
    <m/>
    <m/>
    <m/>
    <m/>
    <m/>
    <m/>
    <m/>
  </r>
  <r>
    <x v="114"/>
    <x v="17"/>
    <s v="Em operação"/>
    <s v="ES 0126"/>
    <x v="2"/>
    <m/>
    <m/>
    <n v="2500"/>
    <n v="96.989528795811523"/>
    <n v="9.64"/>
    <n v="7.64"/>
    <s v="2"/>
    <n v="20.74"/>
    <s v="357"/>
    <n v="741"/>
    <n v="2.08"/>
    <n v="5.67"/>
    <n v="130.6"/>
    <n v="7.57"/>
    <n v="3.79"/>
    <n v="123.03"/>
    <n v="16.100000000000001"/>
    <n v="1274.78"/>
    <s v="131293"/>
    <s v="288652"/>
    <s v="0"/>
    <s v="0"/>
    <n v="126.5"/>
  </r>
  <r>
    <x v="114"/>
    <x v="17"/>
    <s v="Em operação"/>
    <s v="ES 0099"/>
    <x v="2"/>
    <m/>
    <m/>
    <n v="2500"/>
    <n v="385.15283842794759"/>
    <n v="16.739999999999998"/>
    <n v="13.74"/>
    <s v="3"/>
    <n v="17.920000000000002"/>
    <s v="1468"/>
    <n v="5292"/>
    <n v="3.6"/>
    <n v="12.06"/>
    <n v="438.63"/>
    <n v="18.45"/>
    <n v="6.15"/>
    <n v="420.18"/>
    <n v="30.57"/>
    <n v="8282.61"/>
    <s v="148554"/>
    <s v="446228"/>
    <n v="0.1"/>
    <s v="0"/>
    <n v="259.39999999999998"/>
  </r>
  <r>
    <x v="114"/>
    <x v="17"/>
    <s v="Em operação"/>
    <s v="ES 0101"/>
    <x v="0"/>
    <n v="4058"/>
    <m/>
    <n v="4000"/>
    <n v="524.15130940834138"/>
    <n v="11.06"/>
    <n v="10.31"/>
    <n v="0.75"/>
    <n v="6.78"/>
    <s v="1253"/>
    <n v="5404"/>
    <n v="4.3099999999999996"/>
    <n v="13.08"/>
    <n v="413.08"/>
    <n v="4.26"/>
    <n v="5.68"/>
    <n v="408.82"/>
    <n v="39.659999999999997"/>
    <n v="6837.28"/>
    <s v="442580"/>
    <s v="1611557"/>
    <n v="0.1"/>
    <s v="0"/>
    <n v="49.9"/>
  </r>
  <r>
    <x v="114"/>
    <x v="17"/>
    <s v="Em operação"/>
    <s v="ES 0116"/>
    <x v="2"/>
    <m/>
    <m/>
    <n v="2500"/>
    <n v="416.54501216545009"/>
    <n v="4.8099999999999996"/>
    <n v="4.1100000000000003"/>
    <n v="0.7"/>
    <n v="14.55"/>
    <s v="561"/>
    <n v="1712"/>
    <n v="3.05"/>
    <n v="10.19"/>
    <n v="167.98"/>
    <n v="3.31"/>
    <n v="4.7300000000000004"/>
    <n v="164.67"/>
    <n v="40.04"/>
    <n v="2160.2199999999998"/>
    <s v="212764"/>
    <s v="716374"/>
    <s v="0"/>
    <s v="0"/>
    <n v="5.7"/>
  </r>
  <r>
    <x v="115"/>
    <x v="17"/>
    <s v="Em operação"/>
    <s v="ES 0096"/>
    <x v="2"/>
    <m/>
    <m/>
    <n v="2500"/>
    <n v="312.8621089223638"/>
    <n v="9.83"/>
    <n v="8.6300000000000008"/>
    <n v="1.2"/>
    <n v="12.21"/>
    <s v="1069"/>
    <n v="2700"/>
    <n v="1.33"/>
    <n v="8.4700000000000006"/>
    <n v="167.5"/>
    <n v="5.2"/>
    <n v="4.34"/>
    <n v="162.30000000000001"/>
    <n v="18.809999999999999"/>
    <n v="9401.14"/>
    <s v="108562"/>
    <s v="164010"/>
    <n v="0.3"/>
    <s v="0"/>
    <n v="293.39999999999998"/>
  </r>
  <r>
    <x v="115"/>
    <x v="17"/>
    <s v="Em operação"/>
    <s v="ES 0097"/>
    <x v="6"/>
    <m/>
    <m/>
    <m/>
    <n v="137.14733542319749"/>
    <n v="8.6300000000000008"/>
    <n v="6.38"/>
    <n v="2.25"/>
    <n v="26.08"/>
    <s v=""/>
    <n v="875"/>
    <s v=""/>
    <s v=""/>
    <n v="136.75"/>
    <n v="9.4600000000000009"/>
    <n v="4.21"/>
    <n v="127.28"/>
    <n v="19.96"/>
    <n v="8958.89"/>
    <s v=""/>
    <s v=""/>
    <n v="0.2"/>
    <s v=""/>
    <n v="266.7"/>
  </r>
  <r>
    <x v="115"/>
    <x v="17"/>
    <s v="Em operação"/>
    <s v="ES 0135"/>
    <x v="2"/>
    <m/>
    <m/>
    <n v="2500"/>
    <n v="272.93103448275861"/>
    <n v="8.4"/>
    <n v="5.8"/>
    <n v="2.6"/>
    <n v="30.95"/>
    <s v="732"/>
    <n v="1583"/>
    <n v="2.16"/>
    <n v="16.079999999999998"/>
    <n v="98.42"/>
    <n v="8.52"/>
    <n v="3.28"/>
    <n v="89.9"/>
    <n v="15.5"/>
    <n v="839.68"/>
    <s v="83025"/>
    <s v="164321"/>
    <n v="0.3"/>
    <s v="0"/>
    <s v="83"/>
  </r>
  <r>
    <x v="115"/>
    <x v="17"/>
    <s v="Em operação"/>
    <s v="ES 0110"/>
    <x v="2"/>
    <m/>
    <m/>
    <n v="2500"/>
    <n v="370.64896755162238"/>
    <n v="7.78"/>
    <n v="6.78"/>
    <s v="1"/>
    <n v="12.86"/>
    <s v="1184"/>
    <n v="2513"/>
    <n v="2.12"/>
    <n v="16.91"/>
    <n v="148.58000000000001"/>
    <n v="3.79"/>
    <n v="3.79"/>
    <n v="144.79"/>
    <n v="21.36"/>
    <n v="2664.65"/>
    <s v="188209"/>
    <s v="364050"/>
    <n v="0.4"/>
    <s v="0"/>
    <n v="341.8"/>
  </r>
  <r>
    <x v="115"/>
    <x v="17"/>
    <s v="Em operação"/>
    <s v="ES 0126"/>
    <x v="2"/>
    <m/>
    <m/>
    <n v="2500"/>
    <n v="179.22636103151862"/>
    <n v="8.23"/>
    <n v="6.98"/>
    <n v="1.25"/>
    <n v="15.19"/>
    <s v="548"/>
    <n v="1251"/>
    <n v="2.2799999999999998"/>
    <n v="11.16"/>
    <n v="112.14"/>
    <n v="4.7300000000000004"/>
    <n v="3.79"/>
    <n v="107.41"/>
    <n v="15.39"/>
    <n v="1283.01"/>
    <s v="131894"/>
    <s v="289953"/>
    <s v="0"/>
    <s v="0"/>
    <n v="126.6"/>
  </r>
  <r>
    <x v="115"/>
    <x v="17"/>
    <s v="Em operação"/>
    <s v="ES 0099"/>
    <x v="2"/>
    <m/>
    <m/>
    <n v="2500"/>
    <n v="338.35125448028674"/>
    <n v="17.100000000000001"/>
    <n v="13.95"/>
    <n v="3.15"/>
    <n v="18.420000000000002"/>
    <s v="1519"/>
    <n v="4720"/>
    <n v="3.11"/>
    <n v="10.58"/>
    <n v="446.21"/>
    <n v="18.45"/>
    <n v="5.86"/>
    <n v="427.75"/>
    <n v="30.66"/>
    <n v="8299.7099999999991"/>
    <s v="150073"/>
    <s v="450948"/>
    <n v="0.1"/>
    <s v="0"/>
    <n v="259.5"/>
  </r>
  <r>
    <x v="115"/>
    <x v="17"/>
    <s v="Em operação"/>
    <s v="ES 0101"/>
    <x v="0"/>
    <n v="3342"/>
    <m/>
    <n v="4000"/>
    <n v="446.51162790697674"/>
    <n v="9.65"/>
    <n v="8.6"/>
    <n v="1.05"/>
    <n v="10.88"/>
    <s v="907"/>
    <n v="3840"/>
    <n v="4.2300000000000004"/>
    <n v="11.56"/>
    <n v="332.17"/>
    <n v="6.62"/>
    <n v="6.31"/>
    <n v="325.55"/>
    <n v="37.86"/>
    <n v="6846.93"/>
    <s v="443487"/>
    <s v="1615397"/>
    <s v="0"/>
    <s v="0"/>
    <n v="49.9"/>
  </r>
  <r>
    <x v="115"/>
    <x v="17"/>
    <s v="Em operação"/>
    <s v="ES 0116"/>
    <x v="2"/>
    <m/>
    <m/>
    <n v="2500"/>
    <n v="363.08139534883719"/>
    <n v="5.89"/>
    <n v="3.44"/>
    <n v="2.4500000000000002"/>
    <n v="41.56"/>
    <s v="373"/>
    <n v="1249"/>
    <n v="3.35"/>
    <n v="8.9499999999999993"/>
    <n v="139.59"/>
    <n v="9.94"/>
    <n v="4.0599999999999996"/>
    <n v="129.65"/>
    <n v="37.64"/>
    <n v="2166.11"/>
    <s v="213137"/>
    <s v="717623"/>
    <n v="0.1"/>
    <s v="0"/>
    <n v="5.8"/>
  </r>
  <r>
    <x v="116"/>
    <x v="17"/>
    <s v="Em operação"/>
    <s v="ES 0096"/>
    <x v="2"/>
    <m/>
    <m/>
    <n v="2500"/>
    <n v="386.3346104725415"/>
    <n v="8.98"/>
    <n v="7.83"/>
    <n v="1.1499999999999999"/>
    <n v="12.8"/>
    <s v="1245"/>
    <n v="3025"/>
    <n v="1.46"/>
    <n v="12.01"/>
    <n v="150.94"/>
    <n v="4.26"/>
    <n v="3.7"/>
    <n v="146.68"/>
    <n v="18.73"/>
    <n v="9410.1200000000008"/>
    <s v="109807"/>
    <s v="165823"/>
    <n v="0.2"/>
    <s v="0"/>
    <n v="293.60000000000002"/>
  </r>
  <r>
    <x v="116"/>
    <x v="17"/>
    <s v="Em operação"/>
    <s v="ES 0097"/>
    <x v="6"/>
    <m/>
    <m/>
    <m/>
    <n v="121.29380053908356"/>
    <n v="7.51"/>
    <n v="3.71"/>
    <n v="3.8"/>
    <n v="50.57"/>
    <s v=""/>
    <n v="450"/>
    <s v=""/>
    <s v=""/>
    <n v="90.85"/>
    <n v="16.559999999999999"/>
    <n v="4.3600000000000003"/>
    <n v="74.290000000000006"/>
    <s v="20"/>
    <n v="8966.43"/>
    <s v=""/>
    <s v=""/>
    <n v="0.1"/>
    <s v=""/>
    <n v="266.8"/>
  </r>
  <r>
    <x v="116"/>
    <x v="17"/>
    <s v="Em operação"/>
    <s v="ES 0135"/>
    <x v="2"/>
    <m/>
    <m/>
    <n v="2500"/>
    <n v="218.53146853146853"/>
    <n v="8.02"/>
    <n v="5.72"/>
    <n v="2.2999999999999998"/>
    <n v="28.67"/>
    <s v="694"/>
    <n v="1250"/>
    <n v="1.8"/>
    <n v="9.93"/>
    <n v="125.86"/>
    <n v="7.57"/>
    <n v="3.29"/>
    <n v="118.29"/>
    <n v="20.68"/>
    <n v="847.7"/>
    <s v="83920"/>
    <s v="166048"/>
    <n v="0.5"/>
    <s v="0"/>
    <n v="83.5"/>
  </r>
  <r>
    <x v="116"/>
    <x v="17"/>
    <s v="Em operação"/>
    <s v="ES 0110"/>
    <x v="2"/>
    <m/>
    <m/>
    <n v="2500"/>
    <n v="143.11512415349887"/>
    <n v="5.03"/>
    <n v="4.43"/>
    <n v="0.6"/>
    <n v="11.92"/>
    <s v="340"/>
    <n v="634"/>
    <n v="1.86"/>
    <n v="7.7"/>
    <n v="82.33"/>
    <n v="2.84"/>
    <n v="4.7300000000000004"/>
    <n v="79.489999999999995"/>
    <n v="17.93"/>
    <n v="2669.69"/>
    <s v="188549"/>
    <s v="364684"/>
    <n v="0.3"/>
    <s v="0"/>
    <n v="342.1"/>
  </r>
  <r>
    <x v="116"/>
    <x v="17"/>
    <s v="Em operação"/>
    <s v="ES 0126"/>
    <x v="2"/>
    <m/>
    <m/>
    <n v="2500"/>
    <n v="298.71086556169433"/>
    <n v="13.26"/>
    <n v="10.86"/>
    <n v="2.4"/>
    <n v="18.100000000000001"/>
    <s v="1521"/>
    <n v="3244"/>
    <n v="2.13"/>
    <n v="13.85"/>
    <n v="234.22"/>
    <n v="9.4600000000000009"/>
    <n v="3.94"/>
    <n v="224.76"/>
    <n v="20.7"/>
    <n v="1296.27"/>
    <s v="133575"/>
    <s v="293581"/>
    <s v="0"/>
    <s v="0"/>
    <n v="126.6"/>
  </r>
  <r>
    <x v="116"/>
    <x v="17"/>
    <s v="Em operação"/>
    <s v="ES 0099"/>
    <x v="2"/>
    <m/>
    <m/>
    <n v="2500"/>
    <n v="263.98046398046398"/>
    <n v="10.24"/>
    <n v="8.19"/>
    <n v="2.0499999999999998"/>
    <n v="20.03"/>
    <s v="631"/>
    <n v="2162"/>
    <n v="3.43"/>
    <n v="8.43"/>
    <n v="256.45999999999998"/>
    <n v="12.78"/>
    <n v="6.23"/>
    <n v="243.69"/>
    <n v="29.77"/>
    <n v="8309.94"/>
    <s v="150704"/>
    <s v="453110"/>
    <n v="0.2"/>
    <s v="0"/>
    <n v="259.7"/>
  </r>
  <r>
    <x v="116"/>
    <x v="17"/>
    <s v="Em operação"/>
    <s v="ES 0101"/>
    <x v="0"/>
    <n v="3879"/>
    <m/>
    <n v="4000"/>
    <n v="590.3769841269841"/>
    <n v="11.23"/>
    <n v="10.08"/>
    <n v="1.1499999999999999"/>
    <n v="10.24"/>
    <s v="1299"/>
    <n v="5951"/>
    <n v="4.58"/>
    <n v="15.32"/>
    <n v="388.48"/>
    <n v="7.1"/>
    <n v="6.17"/>
    <n v="381.38"/>
    <n v="37.83"/>
    <n v="6858.16"/>
    <s v="444786"/>
    <s v="1621348"/>
    <s v="0"/>
    <s v="0"/>
    <n v="49.9"/>
  </r>
  <r>
    <x v="116"/>
    <x v="17"/>
    <s v="Em operação"/>
    <s v="ES 0116"/>
    <x v="2"/>
    <m/>
    <m/>
    <n v="2500"/>
    <n v="445.26315789473688"/>
    <n v="4.8"/>
    <n v="3.8"/>
    <s v="1"/>
    <n v="20.83"/>
    <s v="535"/>
    <n v="1692"/>
    <n v="3.16"/>
    <n v="11.35"/>
    <n v="149.05000000000001"/>
    <n v="5.2"/>
    <n v="5.2"/>
    <n v="143.85"/>
    <n v="37.85"/>
    <n v="2170.91"/>
    <s v="213677"/>
    <s v="719340"/>
    <s v="0"/>
    <s v="0"/>
    <n v="5.8"/>
  </r>
  <r>
    <x v="117"/>
    <x v="17"/>
    <s v="Em operação"/>
    <s v="ES 0096"/>
    <x v="2"/>
    <m/>
    <m/>
    <n v="2500"/>
    <n v="274.12008281573497"/>
    <n v="6.38"/>
    <n v="4.83"/>
    <n v="1.55"/>
    <n v="24.3"/>
    <s v="774"/>
    <n v="1324"/>
    <n v="1.71"/>
    <n v="13.39"/>
    <n v="98.89"/>
    <n v="6.62"/>
    <n v="4.2699999999999996"/>
    <n v="92.27"/>
    <n v="19.11"/>
    <n v="9416.5"/>
    <s v="110581"/>
    <s v="167147"/>
    <s v="0"/>
    <s v="0"/>
    <n v="293.60000000000002"/>
  </r>
  <r>
    <x v="117"/>
    <x v="17"/>
    <s v="Em operação"/>
    <s v="ES 0097"/>
    <x v="7"/>
    <m/>
    <m/>
    <m/>
    <n v="0"/>
    <n v="3.87"/>
    <n v="1.82"/>
    <n v="2.0499999999999998"/>
    <n v="52.98"/>
    <s v=""/>
    <s v=""/>
    <s v=""/>
    <s v=""/>
    <n v="45.9"/>
    <n v="8.0399999999999991"/>
    <n v="3.92"/>
    <n v="37.85"/>
    <n v="20.8"/>
    <n v="8970.3700000000008"/>
    <s v=""/>
    <s v=""/>
    <n v="0.9"/>
    <s v=""/>
    <n v="267.7"/>
  </r>
  <r>
    <x v="117"/>
    <x v="17"/>
    <s v="Em operação"/>
    <s v="ES 0135"/>
    <x v="2"/>
    <m/>
    <m/>
    <n v="2500"/>
    <n v="278.78228782287823"/>
    <n v="6.87"/>
    <n v="5.42"/>
    <n v="1.45"/>
    <n v="21.12"/>
    <s v="713"/>
    <n v="1511"/>
    <n v="2.12"/>
    <n v="12.19"/>
    <n v="123.97"/>
    <n v="4.7300000000000004"/>
    <n v="3.26"/>
    <n v="119.24"/>
    <n v="22.02"/>
    <n v="854.57"/>
    <s v="84633"/>
    <s v="167559"/>
    <n v="1.4"/>
    <s v="0"/>
    <n v="84.9"/>
  </r>
  <r>
    <x v="117"/>
    <x v="17"/>
    <s v="Em operação"/>
    <s v="ES 0110"/>
    <x v="2"/>
    <m/>
    <m/>
    <n v="2500"/>
    <n v="478.11158798283259"/>
    <n v="5.56"/>
    <n v="4.66"/>
    <n v="0.9"/>
    <n v="16.2"/>
    <s v="1004"/>
    <n v="2228"/>
    <n v="2.2200000000000002"/>
    <n v="21.02"/>
    <n v="105.99"/>
    <n v="3.31"/>
    <n v="3.68"/>
    <n v="102.68"/>
    <n v="22.06"/>
    <n v="2675.24"/>
    <s v="189553"/>
    <s v="366912"/>
    <s v="0"/>
    <s v="0"/>
    <n v="342.1"/>
  </r>
  <r>
    <x v="117"/>
    <x v="17"/>
    <s v="Em operação"/>
    <s v="ES 0126"/>
    <x v="2"/>
    <m/>
    <m/>
    <n v="2500"/>
    <n v="281.46655922643032"/>
    <n v="13.96"/>
    <n v="12.41"/>
    <n v="1.55"/>
    <n v="11.1"/>
    <s v="1540"/>
    <n v="3493"/>
    <n v="2.27"/>
    <n v="16.55"/>
    <n v="211.04"/>
    <n v="6.15"/>
    <n v="3.97"/>
    <n v="204.89"/>
    <n v="16.510000000000002"/>
    <n v="1310.23"/>
    <s v="135115"/>
    <s v="297074"/>
    <s v="0"/>
    <s v="0"/>
    <n v="126.6"/>
  </r>
  <r>
    <x v="117"/>
    <x v="17"/>
    <s v="Em operação"/>
    <s v="ES 0099"/>
    <x v="2"/>
    <m/>
    <m/>
    <n v="2500"/>
    <n v="250.83798882681563"/>
    <n v="6.23"/>
    <n v="3.58"/>
    <n v="2.65"/>
    <n v="42.55"/>
    <s v="251"/>
    <n v="898"/>
    <n v="3.58"/>
    <n v="7.62"/>
    <n v="117.82"/>
    <n v="14.67"/>
    <n v="5.54"/>
    <n v="103.15"/>
    <n v="28.83"/>
    <n v="8316.17"/>
    <s v="150955"/>
    <s v="454008"/>
    <s v="0"/>
    <s v="0"/>
    <n v="259.7"/>
  </r>
  <r>
    <x v="117"/>
    <x v="17"/>
    <s v="Em operação"/>
    <s v="ES 0101"/>
    <x v="0"/>
    <n v="3190"/>
    <m/>
    <n v="4000"/>
    <n v="570.57182705718276"/>
    <n v="8.02"/>
    <n v="7.17"/>
    <n v="0.85"/>
    <n v="10.6"/>
    <s v="829"/>
    <n v="4091"/>
    <n v="4.93"/>
    <n v="14.86"/>
    <n v="275.39"/>
    <n v="5.2"/>
    <n v="6.12"/>
    <n v="270.18"/>
    <n v="37.68"/>
    <n v="6866.18"/>
    <s v="445615"/>
    <s v="1625439"/>
    <s v="0"/>
    <s v="0"/>
    <n v="49.9"/>
  </r>
  <r>
    <x v="117"/>
    <x v="17"/>
    <s v="Em operação"/>
    <s v="ES 0116"/>
    <x v="2"/>
    <m/>
    <m/>
    <n v="2500"/>
    <n v="186.84210526315789"/>
    <n v="6.85"/>
    <n v="5.7"/>
    <n v="1.1499999999999999"/>
    <n v="16.79"/>
    <s v="386"/>
    <n v="1065"/>
    <n v="2.76"/>
    <n v="5.13"/>
    <n v="207.72"/>
    <n v="5.68"/>
    <n v="4.9400000000000004"/>
    <n v="202.05"/>
    <n v="35.46"/>
    <n v="2177.7600000000002"/>
    <s v="214064"/>
    <s v="720405"/>
    <n v="0.1"/>
    <s v="0"/>
    <n v="5.9"/>
  </r>
  <r>
    <x v="118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416.5"/>
    <s v="110581"/>
    <s v="167147"/>
    <s v="0"/>
    <s v=""/>
    <n v="293.60000000000002"/>
  </r>
  <r>
    <x v="118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70.3700000000008"/>
    <s v=""/>
    <s v=""/>
    <s v="0"/>
    <s v=""/>
    <n v="267.7"/>
  </r>
  <r>
    <x v="118"/>
    <x v="1"/>
    <s v="Não operacional"/>
    <s v="ES 0135"/>
    <x v="2"/>
    <m/>
    <m/>
    <m/>
    <n v="0"/>
    <s v="0"/>
    <s v="0"/>
    <s v="0"/>
    <s v=""/>
    <s v="0"/>
    <n v="0"/>
    <s v=""/>
    <s v=""/>
    <s v="0"/>
    <s v="0"/>
    <s v=""/>
    <s v="0"/>
    <s v=""/>
    <n v="854.57"/>
    <s v="84633"/>
    <s v="167559"/>
    <s v="0"/>
    <s v=""/>
    <n v="84.9"/>
  </r>
  <r>
    <x v="118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675.24"/>
    <s v="189553"/>
    <s v="366912"/>
    <s v="0"/>
    <s v=""/>
    <n v="342.1"/>
  </r>
  <r>
    <x v="11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8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316.17"/>
    <s v="150955"/>
    <s v="454008"/>
    <s v="0"/>
    <s v=""/>
    <n v="259.7"/>
  </r>
  <r>
    <x v="118"/>
    <x v="17"/>
    <s v="Em operação"/>
    <s v="ES 0101"/>
    <x v="0"/>
    <n v="1693"/>
    <m/>
    <n v="4000"/>
    <n v="595.97315436241615"/>
    <n v="3.28"/>
    <n v="2.98"/>
    <n v="0.3"/>
    <n v="9.16"/>
    <s v="402"/>
    <n v="1776"/>
    <n v="4.42"/>
    <n v="15.97"/>
    <n v="111.2"/>
    <n v="2.37"/>
    <n v="7.89"/>
    <n v="108.83"/>
    <n v="36.56"/>
    <n v="6869.46"/>
    <s v="446017"/>
    <s v="1627215"/>
    <s v="0"/>
    <s v="0"/>
    <n v="49.9"/>
  </r>
  <r>
    <x v="11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  <r>
    <x v="119"/>
    <x v="18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showAll="0" sortType="ascending">
      <items count="20">
        <item h="1" sd="0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sd="0" x="14"/>
        <item sd="0" x="15"/>
        <item sd="0" x="16"/>
        <item sd="0" x="17"/>
        <item h="1" x="18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4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  <chartFormat chart="25" format="62">
      <pivotArea type="data" outline="0" fieldPosition="0">
        <references count="2">
          <reference field="4294967294" count="1" selected="0">
            <x v="1"/>
          </reference>
          <reference field="1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2" firstHeaderRow="0" firstDataRow="1" firstDataCol="1"/>
  <pivotFields count="28">
    <pivotField axis="axisRow" showAll="0" sortType="descending">
      <items count="121">
        <item x="119"/>
        <item x="118"/>
        <item x="117"/>
        <item x="116"/>
        <item x="115"/>
        <item x="114"/>
        <item x="113"/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1">
        <item h="1" sd="0" x="1"/>
        <item h="1" m="1" x="19"/>
        <item h="1" sd="0" x="0"/>
        <item h="1" x="18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h="1" sd="0" x="12"/>
        <item h="1" sd="0" x="13"/>
        <item h="1" sd="0" x="14"/>
        <item h="1" sd="0" x="15"/>
        <item h="1" sd="0" x="16"/>
        <item x="17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9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14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15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74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8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9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5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53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9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3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3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43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8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89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  <chartFormat chart="44" format="91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9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20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/>
        <i x="16"/>
        <i x="17" s="1"/>
        <i x="19" nd="1"/>
        <i x="18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9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 s="1"/>
        <i x="15" s="1"/>
        <i x="16" s="1"/>
        <i x="17" s="1"/>
        <i x="18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3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2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view="pageBreakPreview" topLeftCell="A2" zoomScaleNormal="100" zoomScaleSheetLayoutView="100" workbookViewId="0">
      <selection activeCell="R8" sqref="R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46258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35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view="pageBreakPreview" zoomScale="60" zoomScaleNormal="100" workbookViewId="0">
      <selection activeCell="T20" sqref="T20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46237</v>
      </c>
      <c r="D2" s="81"/>
      <c r="E2" s="62" t="s">
        <v>1</v>
      </c>
      <c r="F2" s="81">
        <v>46264</v>
      </c>
      <c r="G2" s="81"/>
      <c r="H2" s="61"/>
      <c r="I2" s="82" t="s">
        <v>2</v>
      </c>
      <c r="J2" s="82"/>
      <c r="K2" s="61">
        <f>_xlfn.ISOWEEKNUM(C2)</f>
        <v>32</v>
      </c>
      <c r="L2" s="61" t="s">
        <v>1</v>
      </c>
      <c r="M2" s="61">
        <f>_xlfn.ISOWEEKNUM(F2)</f>
        <v>35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362204722" right="0.51181102362204722" top="0.78740157480314965" bottom="0.78740157480314965" header="0.31496062992125984" footer="0.31496062992125984"/>
  <pageSetup paperSize="9" scale="105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topLeftCell="H1" zoomScaleNormal="100" workbookViewId="0">
      <pane ySplit="4" topLeftCell="A968" activePane="bottomLeft" state="frozen"/>
      <selection pane="bottomLeft" activeCell="N983" sqref="N983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>
        <f>15000/7</f>
        <v>2142.8571428571427</v>
      </c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>
        <f>15000/7</f>
        <v>2142.8571428571427</v>
      </c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>
        <f>15000/7</f>
        <v>2142.8571428571427</v>
      </c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>
        <f t="shared" ref="H922:H925" si="65">15000/7</f>
        <v>2142.8571428571427</v>
      </c>
      <c r="I922" s="6">
        <f t="shared" ref="I922" si="66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>
        <f t="shared" si="65"/>
        <v>2142.8571428571427</v>
      </c>
      <c r="I923" s="6">
        <f t="shared" ref="I923" si="67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>
        <f t="shared" si="65"/>
        <v>2142.8571428571427</v>
      </c>
      <c r="I924" s="6">
        <f t="shared" ref="I924" si="68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>
        <f t="shared" si="65"/>
        <v>2142.8571428571427</v>
      </c>
      <c r="I925" s="6">
        <f t="shared" ref="I925:I930" si="69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9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9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9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>
        <f>15000/5</f>
        <v>3000</v>
      </c>
      <c r="I929" s="6">
        <f t="shared" si="69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>
        <f>15000/5</f>
        <v>3000</v>
      </c>
      <c r="I930" s="6">
        <f t="shared" si="69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>
        <f>15000/5</f>
        <v>3000</v>
      </c>
      <c r="I932" s="6">
        <f t="shared" ref="I932:I935" si="70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>
        <f>15000/5</f>
        <v>3000</v>
      </c>
      <c r="I933" s="6">
        <f t="shared" si="70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>
        <f>24000/6</f>
        <v>4000</v>
      </c>
      <c r="I934" s="6">
        <f t="shared" si="70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>
        <f>15000/5</f>
        <v>3000</v>
      </c>
      <c r="I935" s="6">
        <f t="shared" si="70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4">
        <v>46260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>
        <f>15000/6</f>
        <v>2500</v>
      </c>
      <c r="I936" s="6">
        <f t="shared" ref="I936" si="71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3253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3254</v>
      </c>
      <c r="Y936" s="2" t="s">
        <v>3255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4">
        <v>46260</v>
      </c>
      <c r="B937" s="8" t="s">
        <v>3213</v>
      </c>
      <c r="C937" s="8" t="s">
        <v>36</v>
      </c>
      <c r="D937" s="8" t="s">
        <v>43</v>
      </c>
      <c r="E937" s="8" t="s">
        <v>61</v>
      </c>
      <c r="F937" s="13"/>
      <c r="G937" s="59"/>
      <c r="H937" s="6"/>
      <c r="I937" s="6">
        <f t="shared" ref="I937:I942" si="72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4">
        <v>46260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>
        <f>15000/6</f>
        <v>2500</v>
      </c>
      <c r="I938" s="6">
        <f t="shared" si="72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3256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3257</v>
      </c>
      <c r="Y938" s="2" t="s">
        <v>3258</v>
      </c>
      <c r="Z938" s="2">
        <v>0.4</v>
      </c>
      <c r="AA938" s="2" t="s">
        <v>548</v>
      </c>
      <c r="AB938" s="2">
        <v>82.7</v>
      </c>
    </row>
    <row r="939" spans="1:28" x14ac:dyDescent="0.25">
      <c r="A939" s="4">
        <v>46260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>
        <f>15000/6</f>
        <v>2500</v>
      </c>
      <c r="I939" s="6">
        <f t="shared" si="72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3259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3260</v>
      </c>
      <c r="Y939" s="2" t="s">
        <v>3261</v>
      </c>
      <c r="Z939" s="2">
        <v>0.1</v>
      </c>
      <c r="AA939" s="2" t="s">
        <v>548</v>
      </c>
      <c r="AB939" s="2">
        <v>341.4</v>
      </c>
    </row>
    <row r="940" spans="1:28" x14ac:dyDescent="0.25">
      <c r="A940" s="4">
        <v>46260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2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4">
        <v>46260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>
        <f>15000/6</f>
        <v>2500</v>
      </c>
      <c r="I941" s="6">
        <f t="shared" si="72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3262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3263</v>
      </c>
      <c r="Y941" s="2" t="s">
        <v>3264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4">
        <v>46260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>
        <f>15000/6</f>
        <v>2500</v>
      </c>
      <c r="I942" s="6">
        <f t="shared" si="72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3265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3266</v>
      </c>
      <c r="Y942" s="2" t="s">
        <v>3267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4">
        <v>46260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>
        <f>24000/6</f>
        <v>4000</v>
      </c>
      <c r="I943" s="6">
        <f t="shared" ref="I943:I966" si="73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3268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3269</v>
      </c>
      <c r="Y943" s="2" t="s">
        <v>3270</v>
      </c>
      <c r="Z943" s="2">
        <v>0.1</v>
      </c>
      <c r="AA943" s="2" t="s">
        <v>548</v>
      </c>
      <c r="AB943" s="2">
        <v>49.9</v>
      </c>
    </row>
    <row r="944" spans="1:28" x14ac:dyDescent="0.25">
      <c r="A944" s="4">
        <v>46260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>
        <f>15000/6</f>
        <v>2500</v>
      </c>
      <c r="I944" s="6">
        <f t="shared" si="73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3271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3272</v>
      </c>
      <c r="Y944" s="2" t="s">
        <v>3273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4">
        <v>46261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>
        <f>15000/6</f>
        <v>2500</v>
      </c>
      <c r="I945" s="6">
        <f t="shared" si="73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3274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3275</v>
      </c>
      <c r="Y945" s="2" t="s">
        <v>3276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4">
        <v>46261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3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4">
        <v>46261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>
        <f>15000/6</f>
        <v>2500</v>
      </c>
      <c r="I947" s="6">
        <f t="shared" si="73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3277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3278</v>
      </c>
      <c r="Y947" s="2" t="s">
        <v>3279</v>
      </c>
      <c r="Z947" s="2">
        <v>0.3</v>
      </c>
      <c r="AA947" s="2" t="s">
        <v>548</v>
      </c>
      <c r="AB947" s="2" t="s">
        <v>3280</v>
      </c>
    </row>
    <row r="948" spans="1:28" x14ac:dyDescent="0.25">
      <c r="A948" s="4">
        <v>46261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>
        <f>15000/6</f>
        <v>2500</v>
      </c>
      <c r="I948" s="6">
        <f t="shared" si="73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3281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3282</v>
      </c>
      <c r="Y948" s="2" t="s">
        <v>3283</v>
      </c>
      <c r="Z948" s="2">
        <v>0.4</v>
      </c>
      <c r="AA948" s="2" t="s">
        <v>548</v>
      </c>
      <c r="AB948" s="2">
        <v>341.8</v>
      </c>
    </row>
    <row r="949" spans="1:28" x14ac:dyDescent="0.25">
      <c r="A949" s="4">
        <v>46261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>
        <f>15000/6</f>
        <v>2500</v>
      </c>
      <c r="I949" s="6">
        <f t="shared" si="73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3284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3285</v>
      </c>
      <c r="Y949" s="2" t="s">
        <v>3286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4">
        <v>46261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>
        <f>15000/6</f>
        <v>2500</v>
      </c>
      <c r="I950" s="6">
        <f t="shared" si="73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3287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3288</v>
      </c>
      <c r="Y950" s="2" t="s">
        <v>3289</v>
      </c>
      <c r="Z950" s="2">
        <v>0.1</v>
      </c>
      <c r="AA950" s="2" t="s">
        <v>548</v>
      </c>
      <c r="AB950" s="2">
        <v>259.5</v>
      </c>
    </row>
    <row r="951" spans="1:28" x14ac:dyDescent="0.25">
      <c r="A951" s="4">
        <v>46261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>
        <f>24000/6</f>
        <v>4000</v>
      </c>
      <c r="I951" s="6">
        <f t="shared" si="73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3290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3291</v>
      </c>
      <c r="Y951" s="2" t="s">
        <v>3292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4">
        <v>46261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>
        <f>15000/6</f>
        <v>2500</v>
      </c>
      <c r="I952" s="6">
        <f t="shared" si="73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3293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3294</v>
      </c>
      <c r="Y952" s="2" t="s">
        <v>3295</v>
      </c>
      <c r="Z952" s="2">
        <v>0.1</v>
      </c>
      <c r="AA952" s="2" t="s">
        <v>548</v>
      </c>
      <c r="AB952" s="2">
        <v>5.8</v>
      </c>
    </row>
    <row r="953" spans="1:28" x14ac:dyDescent="0.25">
      <c r="A953" s="4">
        <v>46262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>
        <f>15000/6</f>
        <v>2500</v>
      </c>
      <c r="I953" s="6">
        <f t="shared" si="73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3296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3297</v>
      </c>
      <c r="Y953" s="2" t="s">
        <v>3298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4">
        <v>46262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3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4">
        <v>46262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>
        <f>15000/6</f>
        <v>2500</v>
      </c>
      <c r="I955" s="6">
        <f t="shared" si="73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3299</v>
      </c>
      <c r="Y955" s="2" t="s">
        <v>3300</v>
      </c>
      <c r="Z955" s="2">
        <v>0.5</v>
      </c>
      <c r="AA955" s="2" t="s">
        <v>548</v>
      </c>
      <c r="AB955" s="2">
        <v>83.5</v>
      </c>
    </row>
    <row r="956" spans="1:28" x14ac:dyDescent="0.25">
      <c r="A956" s="4">
        <v>46262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>
        <f>15000/6</f>
        <v>2500</v>
      </c>
      <c r="I956" s="6">
        <f t="shared" si="73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3301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3302</v>
      </c>
      <c r="Y956" s="2" t="s">
        <v>3303</v>
      </c>
      <c r="Z956" s="2">
        <v>0.3</v>
      </c>
      <c r="AA956" s="2" t="s">
        <v>548</v>
      </c>
      <c r="AB956" s="2">
        <v>342.1</v>
      </c>
    </row>
    <row r="957" spans="1:28" x14ac:dyDescent="0.25">
      <c r="A957" s="4">
        <v>46262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>
        <f>15000/6</f>
        <v>2500</v>
      </c>
      <c r="I957" s="6">
        <f t="shared" si="73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3304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3305</v>
      </c>
      <c r="Y957" s="2" t="s">
        <v>3306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4">
        <v>46262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>
        <f>15000/6</f>
        <v>2500</v>
      </c>
      <c r="I958" s="6">
        <f t="shared" si="73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3307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3308</v>
      </c>
      <c r="Y958" s="2" t="s">
        <v>3309</v>
      </c>
      <c r="Z958" s="2">
        <v>0.2</v>
      </c>
      <c r="AA958" s="2" t="s">
        <v>548</v>
      </c>
      <c r="AB958" s="2">
        <v>259.7</v>
      </c>
    </row>
    <row r="959" spans="1:28" x14ac:dyDescent="0.25">
      <c r="A959" s="4">
        <v>46262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>
        <f>24000/6</f>
        <v>4000</v>
      </c>
      <c r="I959" s="6">
        <f t="shared" si="73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3310</v>
      </c>
      <c r="Y959" s="2" t="s">
        <v>3311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4">
        <v>46262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>
        <f>15000/6</f>
        <v>2500</v>
      </c>
      <c r="I960" s="6">
        <f t="shared" si="73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3312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3313</v>
      </c>
      <c r="Y960" s="2" t="s">
        <v>3314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4">
        <v>46263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>
        <f>15000/6</f>
        <v>2500</v>
      </c>
      <c r="I961" s="6">
        <f t="shared" si="73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3315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3316</v>
      </c>
      <c r="Y961" s="2" t="s">
        <v>3317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4">
        <v>46263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3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4">
        <v>46263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>
        <f>15000/6</f>
        <v>2500</v>
      </c>
      <c r="I963" s="6">
        <f t="shared" si="73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3318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3319</v>
      </c>
      <c r="Y963" s="2" t="s">
        <v>3320</v>
      </c>
      <c r="Z963" s="2">
        <v>1.4</v>
      </c>
      <c r="AA963" s="2" t="s">
        <v>548</v>
      </c>
      <c r="AB963" s="2">
        <v>84.9</v>
      </c>
    </row>
    <row r="964" spans="1:28" x14ac:dyDescent="0.25">
      <c r="A964" s="4">
        <v>46263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>
        <f>15000/6</f>
        <v>2500</v>
      </c>
      <c r="I964" s="6">
        <f t="shared" si="73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3321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3322</v>
      </c>
      <c r="Y964" s="2" t="s">
        <v>3323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4">
        <v>46263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>
        <f>15000/6</f>
        <v>2500</v>
      </c>
      <c r="I965" s="6">
        <f t="shared" si="73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3324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3325</v>
      </c>
      <c r="Y965" s="2" t="s">
        <v>3326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4">
        <v>46263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>
        <f>15000/6</f>
        <v>2500</v>
      </c>
      <c r="I966" s="6">
        <f t="shared" si="73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3327</v>
      </c>
      <c r="Y966" s="2" t="s">
        <v>3328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4">
        <v>46263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>
        <f>24000/6</f>
        <v>4000</v>
      </c>
      <c r="I967" s="6">
        <f t="shared" ref="I967:I968" si="74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3329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3330</v>
      </c>
      <c r="Y967" s="2" t="s">
        <v>3331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4">
        <v>46263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>
        <f>15000/6</f>
        <v>2500</v>
      </c>
      <c r="I968" s="6">
        <f t="shared" si="74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3332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3333</v>
      </c>
      <c r="Y968" s="2" t="s">
        <v>3334</v>
      </c>
      <c r="Z968" s="2">
        <v>0.1</v>
      </c>
      <c r="AA968" s="2" t="s">
        <v>548</v>
      </c>
      <c r="AB968" s="2">
        <v>5.9</v>
      </c>
    </row>
    <row r="969" spans="1:28" x14ac:dyDescent="0.25">
      <c r="A969" s="4">
        <v>46264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5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56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3316</v>
      </c>
      <c r="Y969" s="2" t="s">
        <v>3317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4">
        <v>46264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7" si="76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4">
        <v>46264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6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56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3319</v>
      </c>
      <c r="Y971" s="2" t="s">
        <v>3320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4">
        <v>46264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6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56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3322</v>
      </c>
      <c r="Y972" s="2" t="s">
        <v>3323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4">
        <v>46264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6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4">
        <v>46264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6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56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3327</v>
      </c>
      <c r="Y974" s="2" t="s">
        <v>3328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4">
        <v>46264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>
        <f>24000/6</f>
        <v>4000</v>
      </c>
      <c r="I975" s="6">
        <f t="shared" si="76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56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3335</v>
      </c>
      <c r="Y975" s="2" t="s">
        <v>3336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4">
        <v>46264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6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 t="s">
        <v>3388</v>
      </c>
      <c r="B977" s="8" t="s">
        <v>3392</v>
      </c>
      <c r="C977" s="8" t="s">
        <v>36</v>
      </c>
      <c r="D977" s="8" t="s">
        <v>39</v>
      </c>
      <c r="E977" s="8" t="s">
        <v>47</v>
      </c>
      <c r="F977" s="13"/>
      <c r="G977" s="59"/>
      <c r="H977" s="59"/>
      <c r="I977" s="6">
        <f t="shared" si="76"/>
        <v>217.39130434782609</v>
      </c>
      <c r="J977" s="2">
        <v>5.93</v>
      </c>
      <c r="K977" s="2">
        <v>4.83</v>
      </c>
      <c r="L977" s="2">
        <v>1.1000000000000001</v>
      </c>
      <c r="M977" s="2">
        <v>18.54</v>
      </c>
      <c r="N977" s="2" t="s">
        <v>3389</v>
      </c>
      <c r="O977" s="56">
        <v>1050</v>
      </c>
      <c r="P977" s="2">
        <v>1.73</v>
      </c>
      <c r="Q977" s="2">
        <v>9.83</v>
      </c>
      <c r="R977" s="2">
        <v>100.31</v>
      </c>
      <c r="S977" s="2">
        <v>3.79</v>
      </c>
      <c r="T977" s="2">
        <v>3.44</v>
      </c>
      <c r="U977" s="2">
        <v>96.53</v>
      </c>
      <c r="V977" s="2">
        <v>19.97</v>
      </c>
      <c r="W977" s="2">
        <v>9422.43</v>
      </c>
      <c r="X977" s="2" t="s">
        <v>3390</v>
      </c>
      <c r="Y977" s="2" t="s">
        <v>3391</v>
      </c>
      <c r="Z977" s="2" t="s">
        <v>548</v>
      </c>
      <c r="AA977" s="2" t="s">
        <v>548</v>
      </c>
      <c r="AB977" s="2">
        <v>293.60000000000002</v>
      </c>
    </row>
    <row r="978" spans="1:28" x14ac:dyDescent="0.25">
      <c r="A978" s="2" t="s">
        <v>3388</v>
      </c>
      <c r="B978" s="8" t="s">
        <v>3392</v>
      </c>
      <c r="C978" s="8" t="s">
        <v>36</v>
      </c>
      <c r="D978" s="8" t="s">
        <v>43</v>
      </c>
      <c r="E978" s="8" t="s">
        <v>2994</v>
      </c>
      <c r="F978" s="13"/>
      <c r="G978" s="59"/>
      <c r="H978" s="59"/>
      <c r="I978" s="6">
        <f t="shared" ref="I978" si="77">IFERROR(O978/K978,)</f>
        <v>0</v>
      </c>
      <c r="J978" s="2">
        <v>6.18</v>
      </c>
      <c r="K978" s="2">
        <v>3.23</v>
      </c>
      <c r="L978" s="2">
        <v>2.95</v>
      </c>
      <c r="M978" s="2">
        <v>47.74</v>
      </c>
      <c r="N978" s="2" t="s">
        <v>45</v>
      </c>
      <c r="O978" s="56" t="s">
        <v>45</v>
      </c>
      <c r="P978" s="2" t="s">
        <v>45</v>
      </c>
      <c r="Q978" s="2" t="s">
        <v>45</v>
      </c>
      <c r="R978" s="2">
        <v>79.489999999999995</v>
      </c>
      <c r="S978" s="2">
        <v>11.83</v>
      </c>
      <c r="T978" s="2">
        <v>4.01</v>
      </c>
      <c r="U978" s="2">
        <v>67.66</v>
      </c>
      <c r="V978" s="2">
        <v>20.95</v>
      </c>
      <c r="W978" s="2">
        <v>8976.5499999999993</v>
      </c>
      <c r="X978" s="2" t="s">
        <v>45</v>
      </c>
      <c r="Y978" s="2" t="s">
        <v>45</v>
      </c>
      <c r="Z978" s="2">
        <v>0.5</v>
      </c>
      <c r="AA978" s="2" t="s">
        <v>45</v>
      </c>
      <c r="AB978" s="2">
        <v>268.2</v>
      </c>
    </row>
    <row r="979" spans="1:28" x14ac:dyDescent="0.25">
      <c r="A979" s="2" t="s">
        <v>3388</v>
      </c>
      <c r="B979" s="8" t="s">
        <v>3392</v>
      </c>
      <c r="C979" s="8" t="s">
        <v>36</v>
      </c>
      <c r="D979" s="8" t="s">
        <v>67</v>
      </c>
      <c r="E979" s="8" t="s">
        <v>47</v>
      </c>
      <c r="F979" s="13"/>
      <c r="G979" s="59"/>
      <c r="H979" s="59"/>
      <c r="I979" s="6">
        <f t="shared" ref="I979" si="78">IFERROR(O979/K979,)</f>
        <v>84.688346883468839</v>
      </c>
      <c r="J979" s="2">
        <v>8.33</v>
      </c>
      <c r="K979" s="2">
        <v>7.38</v>
      </c>
      <c r="L979" s="2">
        <v>0.95</v>
      </c>
      <c r="M979" s="2">
        <v>11.41</v>
      </c>
      <c r="N979" s="2" t="s">
        <v>3223</v>
      </c>
      <c r="O979" s="56">
        <v>625</v>
      </c>
      <c r="P979" s="2">
        <v>1.83</v>
      </c>
      <c r="Q979" s="2">
        <v>5.0199999999999996</v>
      </c>
      <c r="R979" s="2">
        <v>124.45</v>
      </c>
      <c r="S979" s="2">
        <v>3.79</v>
      </c>
      <c r="T979" s="2">
        <v>3.98</v>
      </c>
      <c r="U979" s="2">
        <v>120.66</v>
      </c>
      <c r="V979" s="2">
        <v>16.350000000000001</v>
      </c>
      <c r="W979" s="2">
        <v>862.9</v>
      </c>
      <c r="X979" s="2" t="s">
        <v>3393</v>
      </c>
      <c r="Y979" s="2" t="s">
        <v>3394</v>
      </c>
      <c r="Z979" s="2">
        <v>1.1000000000000001</v>
      </c>
      <c r="AA979" s="2" t="s">
        <v>548</v>
      </c>
      <c r="AB979" s="2" t="s">
        <v>1730</v>
      </c>
    </row>
    <row r="980" spans="1:28" x14ac:dyDescent="0.25">
      <c r="A980" s="2" t="s">
        <v>3388</v>
      </c>
      <c r="B980" s="8" t="s">
        <v>3392</v>
      </c>
      <c r="C980" s="8" t="s">
        <v>36</v>
      </c>
      <c r="D980" s="8" t="s">
        <v>50</v>
      </c>
      <c r="E980" s="8" t="s">
        <v>47</v>
      </c>
      <c r="F980" s="13"/>
      <c r="G980" s="59"/>
      <c r="H980" s="59"/>
      <c r="I980" s="6">
        <f t="shared" ref="I980" si="79">IFERROR(O980/K980,)</f>
        <v>429.92831541218635</v>
      </c>
      <c r="J980" s="2">
        <v>6.78</v>
      </c>
      <c r="K980" s="2">
        <v>5.58</v>
      </c>
      <c r="L980" s="2">
        <v>1.2</v>
      </c>
      <c r="M980" s="2">
        <v>17.690000000000001</v>
      </c>
      <c r="N980" s="2" t="s">
        <v>2768</v>
      </c>
      <c r="O980" s="56">
        <v>2399</v>
      </c>
      <c r="P980" s="2">
        <v>2.04</v>
      </c>
      <c r="Q980" s="2">
        <v>18.850000000000001</v>
      </c>
      <c r="R980" s="2">
        <v>127.28</v>
      </c>
      <c r="S980" s="2">
        <v>3.79</v>
      </c>
      <c r="T980" s="2">
        <v>3.15</v>
      </c>
      <c r="U980" s="2">
        <v>123.5</v>
      </c>
      <c r="V980" s="2">
        <v>22.11</v>
      </c>
      <c r="W980" s="2">
        <v>2682.03</v>
      </c>
      <c r="X980" s="2" t="s">
        <v>3395</v>
      </c>
      <c r="Y980" s="2" t="s">
        <v>3396</v>
      </c>
      <c r="Z980" s="2" t="s">
        <v>548</v>
      </c>
      <c r="AA980" s="2" t="s">
        <v>548</v>
      </c>
      <c r="AB980" s="2">
        <v>342.1</v>
      </c>
    </row>
    <row r="981" spans="1:28" x14ac:dyDescent="0.25">
      <c r="A981" s="2" t="s">
        <v>3388</v>
      </c>
      <c r="B981" s="8" t="s">
        <v>3392</v>
      </c>
      <c r="C981" s="8" t="s">
        <v>36</v>
      </c>
      <c r="D981" s="8" t="s">
        <v>52</v>
      </c>
      <c r="E981" s="8" t="s">
        <v>47</v>
      </c>
      <c r="F981" s="13"/>
      <c r="G981" s="59"/>
      <c r="H981" s="59"/>
      <c r="I981" s="6">
        <f t="shared" ref="I981" si="80">IFERROR(O981/K981,)</f>
        <v>348.07302231237327</v>
      </c>
      <c r="J981" s="2">
        <v>11.41</v>
      </c>
      <c r="K981" s="2">
        <v>9.86</v>
      </c>
      <c r="L981" s="2">
        <v>1.55</v>
      </c>
      <c r="M981" s="2">
        <v>13.59</v>
      </c>
      <c r="N981" s="2" t="s">
        <v>3397</v>
      </c>
      <c r="O981" s="56">
        <v>3432</v>
      </c>
      <c r="P981" s="2">
        <v>2.19</v>
      </c>
      <c r="Q981" s="2">
        <v>16.12</v>
      </c>
      <c r="R981" s="2">
        <v>212.93</v>
      </c>
      <c r="S981" s="2">
        <v>6.15</v>
      </c>
      <c r="T981" s="2">
        <v>3.97</v>
      </c>
      <c r="U981" s="2">
        <v>206.78</v>
      </c>
      <c r="V981" s="2">
        <v>20.98</v>
      </c>
      <c r="W981" s="2">
        <v>1321.63</v>
      </c>
      <c r="X981" s="2" t="s">
        <v>3398</v>
      </c>
      <c r="Y981" s="2" t="s">
        <v>3399</v>
      </c>
      <c r="Z981" s="2" t="s">
        <v>548</v>
      </c>
      <c r="AA981" s="2" t="s">
        <v>548</v>
      </c>
      <c r="AB981" s="2">
        <v>126.6</v>
      </c>
    </row>
    <row r="982" spans="1:28" x14ac:dyDescent="0.25">
      <c r="A982" s="2" t="s">
        <v>3388</v>
      </c>
      <c r="B982" s="8" t="s">
        <v>3392</v>
      </c>
      <c r="C982" s="8" t="s">
        <v>36</v>
      </c>
      <c r="D982" s="7" t="s">
        <v>46</v>
      </c>
      <c r="E982" s="8" t="s">
        <v>47</v>
      </c>
      <c r="F982" s="13"/>
      <c r="G982" s="59"/>
      <c r="H982" s="59"/>
      <c r="I982" s="6">
        <f t="shared" ref="I982" si="81">IFERROR(O982/K982,)</f>
        <v>263.42281879194633</v>
      </c>
      <c r="J982" s="2">
        <v>7.46</v>
      </c>
      <c r="K982" s="2">
        <v>5.96</v>
      </c>
      <c r="L982" s="2">
        <v>1.5</v>
      </c>
      <c r="M982" s="2">
        <v>20.11</v>
      </c>
      <c r="N982" s="2" t="s">
        <v>3400</v>
      </c>
      <c r="O982" s="56">
        <v>1570</v>
      </c>
      <c r="P982" s="2">
        <v>3.36</v>
      </c>
      <c r="Q982" s="2">
        <v>8.92</v>
      </c>
      <c r="R982" s="2">
        <v>176.02</v>
      </c>
      <c r="S982" s="2">
        <v>10.41</v>
      </c>
      <c r="T982" s="2">
        <v>6.94</v>
      </c>
      <c r="U982" s="2">
        <v>165.61</v>
      </c>
      <c r="V982" s="2">
        <v>27.79</v>
      </c>
      <c r="W982" s="2">
        <v>8323.6299999999992</v>
      </c>
      <c r="X982" s="2" t="s">
        <v>3401</v>
      </c>
      <c r="Y982" s="2" t="s">
        <v>3402</v>
      </c>
      <c r="Z982" s="2" t="s">
        <v>548</v>
      </c>
      <c r="AA982" s="2" t="s">
        <v>548</v>
      </c>
      <c r="AB982" s="2">
        <v>259.7</v>
      </c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M1" zoomScale="90" zoomScaleNormal="90" workbookViewId="0">
      <selection activeCell="Q19" sqref="Q19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3337</v>
      </c>
      <c r="R1" t="s">
        <v>3338</v>
      </c>
      <c r="S1" t="s">
        <v>3339</v>
      </c>
      <c r="T1" t="s">
        <v>3340</v>
      </c>
    </row>
    <row r="2" spans="1:20" x14ac:dyDescent="0.2">
      <c r="Q2" s="18" t="s">
        <v>2681</v>
      </c>
      <c r="R2" s="19">
        <v>37834</v>
      </c>
      <c r="S2" s="19">
        <v>23999.999999999996</v>
      </c>
      <c r="T2" s="19">
        <v>29549</v>
      </c>
    </row>
    <row r="3" spans="1:20" x14ac:dyDescent="0.2">
      <c r="A3" s="9" t="s">
        <v>3337</v>
      </c>
      <c r="B3" s="15" t="s">
        <v>3339</v>
      </c>
      <c r="C3" s="15" t="s">
        <v>3338</v>
      </c>
      <c r="D3" t="s">
        <v>3341</v>
      </c>
      <c r="Q3" s="18" t="s">
        <v>2974</v>
      </c>
      <c r="R3" s="19">
        <v>28356</v>
      </c>
      <c r="S3" s="19">
        <v>24000</v>
      </c>
      <c r="T3" s="19">
        <v>24262</v>
      </c>
    </row>
    <row r="4" spans="1:20" x14ac:dyDescent="0.2">
      <c r="A4" s="10" t="s">
        <v>3213</v>
      </c>
      <c r="B4" s="15">
        <v>90000.000000000015</v>
      </c>
      <c r="C4" s="15">
        <v>76611</v>
      </c>
      <c r="D4">
        <v>36</v>
      </c>
      <c r="Q4" s="18" t="s">
        <v>3094</v>
      </c>
      <c r="R4" s="19">
        <v>7965</v>
      </c>
      <c r="S4" s="19">
        <v>24000</v>
      </c>
      <c r="T4" s="19">
        <v>7087</v>
      </c>
    </row>
    <row r="5" spans="1:20" x14ac:dyDescent="0.2">
      <c r="A5" s="11" t="s">
        <v>47</v>
      </c>
      <c r="B5" s="15">
        <v>90000.000000000015</v>
      </c>
      <c r="C5" s="15">
        <v>76611</v>
      </c>
      <c r="D5">
        <v>36</v>
      </c>
      <c r="Q5" s="18" t="s">
        <v>3213</v>
      </c>
      <c r="R5" s="19">
        <v>24352</v>
      </c>
      <c r="S5" s="19">
        <v>24000</v>
      </c>
      <c r="T5" s="19">
        <v>18061</v>
      </c>
    </row>
    <row r="6" spans="1:20" x14ac:dyDescent="0.2">
      <c r="A6" s="12">
        <v>46263</v>
      </c>
      <c r="B6" s="15">
        <v>15000</v>
      </c>
      <c r="C6" s="15">
        <v>10519</v>
      </c>
      <c r="D6">
        <v>6</v>
      </c>
      <c r="Q6" s="18" t="s">
        <v>3342</v>
      </c>
      <c r="R6" s="19">
        <v>98507</v>
      </c>
      <c r="S6" s="19">
        <v>96000</v>
      </c>
      <c r="T6" s="19">
        <v>78959</v>
      </c>
    </row>
    <row r="7" spans="1:20" x14ac:dyDescent="0.2">
      <c r="A7" s="12">
        <v>46262</v>
      </c>
      <c r="B7" s="15">
        <v>15000</v>
      </c>
      <c r="C7" s="15">
        <v>12007</v>
      </c>
      <c r="D7">
        <v>6</v>
      </c>
    </row>
    <row r="8" spans="1:20" x14ac:dyDescent="0.2">
      <c r="A8" s="12">
        <v>46261</v>
      </c>
      <c r="B8" s="15">
        <v>15000</v>
      </c>
      <c r="C8" s="15">
        <v>14016</v>
      </c>
      <c r="D8">
        <v>6</v>
      </c>
    </row>
    <row r="9" spans="1:20" x14ac:dyDescent="0.2">
      <c r="A9" s="12">
        <v>46260</v>
      </c>
      <c r="B9" s="15">
        <v>15000</v>
      </c>
      <c r="C9" s="15">
        <v>12976</v>
      </c>
      <c r="D9">
        <v>6</v>
      </c>
    </row>
    <row r="10" spans="1:20" x14ac:dyDescent="0.2">
      <c r="A10" s="12">
        <v>46259</v>
      </c>
      <c r="B10" s="15">
        <v>15000</v>
      </c>
      <c r="C10" s="15">
        <v>12332</v>
      </c>
      <c r="D10">
        <v>5</v>
      </c>
    </row>
    <row r="11" spans="1:20" x14ac:dyDescent="0.2">
      <c r="A11" s="12">
        <v>46258</v>
      </c>
      <c r="B11" s="15">
        <v>15000</v>
      </c>
      <c r="C11" s="15">
        <v>14761</v>
      </c>
      <c r="D11">
        <v>7</v>
      </c>
    </row>
    <row r="12" spans="1:20" hidden="1" x14ac:dyDescent="0.2">
      <c r="A12" s="10" t="s">
        <v>3342</v>
      </c>
      <c r="B12" s="15">
        <v>90000.000000000015</v>
      </c>
      <c r="C12" s="15">
        <v>76611</v>
      </c>
      <c r="D12">
        <v>36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3337</v>
      </c>
      <c r="B3" t="s">
        <v>3339</v>
      </c>
      <c r="C3" t="s">
        <v>3343</v>
      </c>
      <c r="O3" s="9" t="s">
        <v>3337</v>
      </c>
      <c r="P3" t="s">
        <v>3339</v>
      </c>
      <c r="Q3" t="s">
        <v>3343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3344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3342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3342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3345</v>
      </c>
      <c r="G3" s="17" t="s">
        <v>3346</v>
      </c>
      <c r="H3" s="17" t="s">
        <v>3347</v>
      </c>
      <c r="I3" s="17" t="s">
        <v>3348</v>
      </c>
      <c r="J3" s="17" t="s">
        <v>3349</v>
      </c>
      <c r="K3" s="17" t="s">
        <v>3350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3351</v>
      </c>
    </row>
    <row r="5" spans="6:11" x14ac:dyDescent="0.2">
      <c r="F5" s="17">
        <v>116</v>
      </c>
      <c r="H5" s="17">
        <v>110</v>
      </c>
      <c r="J5" s="17" t="s">
        <v>3352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3353</v>
      </c>
    </row>
    <row r="3" spans="1:17" x14ac:dyDescent="0.2">
      <c r="A3" s="25" t="s">
        <v>7</v>
      </c>
      <c r="B3" s="25" t="s">
        <v>3354</v>
      </c>
      <c r="C3" s="25" t="s">
        <v>3355</v>
      </c>
      <c r="D3" s="25" t="s">
        <v>3356</v>
      </c>
      <c r="E3" s="25" t="s">
        <v>3357</v>
      </c>
      <c r="F3" s="25" t="s">
        <v>3358</v>
      </c>
      <c r="H3" s="22" t="s">
        <v>3358</v>
      </c>
      <c r="I3" s="22" t="s">
        <v>3354</v>
      </c>
      <c r="J3" s="22" t="s">
        <v>3355</v>
      </c>
      <c r="K3" s="22" t="s">
        <v>3357</v>
      </c>
      <c r="L3" s="22" t="s">
        <v>3359</v>
      </c>
      <c r="M3" s="25" t="s">
        <v>3360</v>
      </c>
      <c r="O3" s="25" t="s">
        <v>7</v>
      </c>
      <c r="P3" s="25" t="s">
        <v>3357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3361</v>
      </c>
      <c r="H4" s="28" t="s">
        <v>3361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3361</v>
      </c>
      <c r="H5" s="28" t="s">
        <v>3362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3361</v>
      </c>
      <c r="H6" s="28" t="s">
        <v>3363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3361</v>
      </c>
      <c r="H7" s="28" t="s">
        <v>3364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3361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3361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3361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3361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3361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3361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3362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3362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3362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3362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3362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3362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3362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3363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3363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3363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3363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3363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3363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3363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3363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3363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3363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3363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3363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3363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3364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3364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3364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3364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3364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3364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3364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3364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3364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3364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3364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3364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3364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3364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3364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3364</v>
      </c>
    </row>
    <row r="50" spans="1:6" x14ac:dyDescent="0.2">
      <c r="A50" s="84" t="s">
        <v>3365</v>
      </c>
      <c r="B50" s="84"/>
      <c r="C50" s="84"/>
      <c r="E50" s="23">
        <f>SUM(E4:E49)</f>
        <v>12900</v>
      </c>
    </row>
    <row r="56" spans="1:6" ht="15.75" x14ac:dyDescent="0.25">
      <c r="A56" s="34" t="s">
        <v>3366</v>
      </c>
    </row>
    <row r="57" spans="1:6" ht="25.5" x14ac:dyDescent="0.2">
      <c r="A57" s="35" t="s">
        <v>3367</v>
      </c>
      <c r="B57" s="36" t="s">
        <v>3368</v>
      </c>
      <c r="C57" s="36" t="s">
        <v>3369</v>
      </c>
      <c r="D57" s="36" t="s">
        <v>3370</v>
      </c>
    </row>
    <row r="58" spans="1:6" x14ac:dyDescent="0.2">
      <c r="A58" s="40" t="s">
        <v>3371</v>
      </c>
      <c r="B58" s="37">
        <v>108384.01</v>
      </c>
      <c r="C58" s="37"/>
      <c r="D58" s="37">
        <v>108384.01</v>
      </c>
    </row>
    <row r="59" spans="1:6" x14ac:dyDescent="0.2">
      <c r="A59" s="40" t="s">
        <v>3372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3373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3374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3375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3376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3377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3378</v>
      </c>
      <c r="B65" s="37">
        <v>23860.793000000001</v>
      </c>
      <c r="C65" s="37"/>
      <c r="D65" s="37"/>
    </row>
    <row r="66" spans="1:4" x14ac:dyDescent="0.2">
      <c r="A66" s="40" t="s">
        <v>3379</v>
      </c>
      <c r="B66" s="37">
        <v>1344.431</v>
      </c>
      <c r="C66" s="37"/>
      <c r="D66" s="37"/>
    </row>
    <row r="67" spans="1:4" x14ac:dyDescent="0.2">
      <c r="A67" s="38" t="s">
        <v>3365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3380</v>
      </c>
      <c r="E2" s="48" t="s">
        <v>3381</v>
      </c>
      <c r="F2" s="48" t="s">
        <v>3382</v>
      </c>
      <c r="G2" s="48" t="s">
        <v>3383</v>
      </c>
      <c r="H2" s="48" t="s">
        <v>3384</v>
      </c>
      <c r="I2" s="48" t="s">
        <v>3385</v>
      </c>
      <c r="J2" s="48" t="s">
        <v>3386</v>
      </c>
      <c r="K2" s="48" t="s">
        <v>3387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cp:lastPrinted>2026-08-31T19:43:58Z</cp:lastPrinted>
  <dcterms:created xsi:type="dcterms:W3CDTF">2026-05-12T12:10:54Z</dcterms:created>
  <dcterms:modified xsi:type="dcterms:W3CDTF">2026-09-01T13:43:56Z</dcterms:modified>
  <cp:category/>
  <cp:contentStatus/>
</cp:coreProperties>
</file>