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7809" documentId="8_{CE5C6F22-4BE2-41D0-BCDC-905D26C0C4E3}" xr6:coauthVersionLast="47" xr6:coauthVersionMax="47" xr10:uidLastSave="{15D7BEF1-7B91-4322-B344-E27239C55509}"/>
  <bookViews>
    <workbookView xWindow="-120" yWindow="-120" windowWidth="20730" windowHeight="11040" tabRatio="678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BD!$A$4:$AB$805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0" r:id="rId9"/>
    <pivotCache cacheId="1" r:id="rId10"/>
    <pivotCache cacheId="2" r:id="rId11"/>
    <pivotCache cacheId="3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75" i="1" l="1"/>
  <c r="H967" i="1"/>
  <c r="H959" i="1"/>
  <c r="H951" i="1"/>
  <c r="H943" i="1"/>
  <c r="H934" i="1"/>
  <c r="H968" i="1"/>
  <c r="H966" i="1"/>
  <c r="H965" i="1"/>
  <c r="H964" i="1"/>
  <c r="H963" i="1"/>
  <c r="H961" i="1"/>
  <c r="H960" i="1"/>
  <c r="H958" i="1"/>
  <c r="H957" i="1"/>
  <c r="H956" i="1"/>
  <c r="H955" i="1"/>
  <c r="H953" i="1"/>
  <c r="H952" i="1"/>
  <c r="H950" i="1"/>
  <c r="H949" i="1"/>
  <c r="H948" i="1"/>
  <c r="H947" i="1"/>
  <c r="H945" i="1"/>
  <c r="H944" i="1"/>
  <c r="H942" i="1"/>
  <c r="H941" i="1"/>
  <c r="H939" i="1"/>
  <c r="H938" i="1"/>
  <c r="H936" i="1"/>
  <c r="H935" i="1"/>
  <c r="H933" i="1"/>
  <c r="H932" i="1"/>
  <c r="H930" i="1"/>
  <c r="H929" i="1"/>
  <c r="H922" i="1"/>
  <c r="H923" i="1"/>
  <c r="H924" i="1"/>
  <c r="H925" i="1"/>
  <c r="H921" i="1"/>
  <c r="H919" i="1"/>
  <c r="H91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/>
  <c r="I946" i="1"/>
  <c r="I945" i="1"/>
  <c r="I944" i="1"/>
  <c r="I943" i="1"/>
  <c r="I942" i="1"/>
  <c r="I940" i="1"/>
  <c r="I941" i="1"/>
  <c r="O939" i="1"/>
  <c r="I939" i="1"/>
  <c r="I938" i="1"/>
  <c r="I937" i="1"/>
  <c r="I936" i="1"/>
  <c r="O931" i="1"/>
  <c r="I935" i="1"/>
  <c r="I934" i="1"/>
  <c r="I933" i="1"/>
  <c r="I932" i="1"/>
  <c r="I930" i="1"/>
  <c r="I929" i="1"/>
  <c r="I928" i="1"/>
  <c r="I920" i="1"/>
  <c r="I926" i="1"/>
  <c r="I927" i="1"/>
  <c r="I925" i="1"/>
  <c r="I924" i="1"/>
  <c r="I923" i="1"/>
  <c r="I922" i="1"/>
  <c r="I921" i="1"/>
  <c r="I919" i="1"/>
  <c r="I918" i="1"/>
  <c r="I917" i="1"/>
  <c r="H908" i="1"/>
  <c r="H906" i="1"/>
  <c r="H905" i="1"/>
  <c r="H904" i="1"/>
  <c r="H901" i="1"/>
  <c r="H900" i="1"/>
  <c r="H898" i="1"/>
  <c r="H897" i="1"/>
  <c r="H896" i="1"/>
  <c r="H894" i="1"/>
  <c r="H892" i="1"/>
  <c r="H891" i="1"/>
  <c r="H889" i="1"/>
  <c r="H888" i="1"/>
  <c r="H887" i="1"/>
  <c r="H885" i="1"/>
  <c r="H883" i="1"/>
  <c r="H882" i="1"/>
  <c r="H880" i="1"/>
  <c r="H879" i="1"/>
  <c r="H878" i="1"/>
  <c r="H876" i="1"/>
  <c r="H874" i="1"/>
  <c r="H873" i="1"/>
  <c r="H871" i="1"/>
  <c r="H870" i="1"/>
  <c r="H868" i="1"/>
  <c r="H866" i="1"/>
  <c r="H864" i="1"/>
  <c r="H862" i="1"/>
  <c r="H858" i="1"/>
  <c r="H859" i="1"/>
  <c r="H860" i="1"/>
  <c r="H857" i="1"/>
  <c r="H855" i="1"/>
  <c r="H881" i="1"/>
  <c r="H872" i="1"/>
  <c r="H861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O894" i="1"/>
  <c r="O895" i="1"/>
  <c r="I892" i="1"/>
  <c r="I900" i="1"/>
  <c r="I899" i="1"/>
  <c r="I898" i="1"/>
  <c r="I897" i="1"/>
  <c r="I896" i="1"/>
  <c r="I894" i="1"/>
  <c r="I893" i="1"/>
  <c r="I891" i="1"/>
  <c r="I882" i="1"/>
  <c r="I890" i="1"/>
  <c r="I881" i="1"/>
  <c r="I889" i="1"/>
  <c r="I880" i="1"/>
  <c r="I888" i="1"/>
  <c r="I879" i="1"/>
  <c r="I877" i="1"/>
  <c r="I887" i="1"/>
  <c r="I878" i="1"/>
  <c r="I876" i="1"/>
  <c r="I886" i="1"/>
  <c r="I885" i="1"/>
  <c r="I875" i="1"/>
  <c r="I884" i="1"/>
  <c r="I883" i="1"/>
  <c r="I874" i="1"/>
  <c r="I873" i="1"/>
  <c r="I872" i="1"/>
  <c r="I871" i="1"/>
  <c r="I870" i="1"/>
  <c r="O868" i="1"/>
  <c r="I868" i="1" s="1"/>
  <c r="O869" i="1"/>
  <c r="I869" i="1" s="1"/>
  <c r="O866" i="1"/>
  <c r="I866" i="1" s="1"/>
  <c r="O867" i="1"/>
  <c r="I867" i="1" s="1"/>
  <c r="I864" i="1"/>
  <c r="I865" i="1"/>
  <c r="O862" i="1"/>
  <c r="O863" i="1"/>
  <c r="I863" i="1" s="1"/>
  <c r="I862" i="1"/>
  <c r="I861" i="1"/>
  <c r="I860" i="1"/>
  <c r="I859" i="1"/>
  <c r="I858" i="1"/>
  <c r="I857" i="1"/>
  <c r="I856" i="1"/>
  <c r="I855" i="1"/>
  <c r="H829" i="1"/>
  <c r="H826" i="1"/>
  <c r="H827" i="1"/>
  <c r="H825" i="1"/>
  <c r="H823" i="1"/>
  <c r="H821" i="1"/>
  <c r="H846" i="1"/>
  <c r="H841" i="1"/>
  <c r="H842" i="1"/>
  <c r="H843" i="1"/>
  <c r="H844" i="1"/>
  <c r="H838" i="1"/>
  <c r="H833" i="1"/>
  <c r="H834" i="1"/>
  <c r="H835" i="1"/>
  <c r="H836" i="1"/>
  <c r="H831" i="1"/>
  <c r="H811" i="1"/>
  <c r="H809" i="1"/>
  <c r="H807" i="1"/>
  <c r="H805" i="1"/>
  <c r="H802" i="1"/>
  <c r="H820" i="1"/>
  <c r="H817" i="1"/>
  <c r="H818" i="1"/>
  <c r="H816" i="1"/>
  <c r="H814" i="1"/>
  <c r="H812" i="1"/>
  <c r="H801" i="1"/>
  <c r="H794" i="1"/>
  <c r="H795" i="1"/>
  <c r="H797" i="1"/>
  <c r="H798" i="1"/>
  <c r="H799" i="1"/>
  <c r="H793" i="1"/>
  <c r="H837" i="1"/>
  <c r="H845" i="1"/>
  <c r="H819" i="1"/>
  <c r="H828" i="1"/>
  <c r="H800" i="1"/>
  <c r="H810" i="1"/>
  <c r="I854" i="1"/>
  <c r="I846" i="1"/>
  <c r="I838" i="1"/>
  <c r="I853" i="1"/>
  <c r="I845" i="1"/>
  <c r="I837" i="1"/>
  <c r="I852" i="1"/>
  <c r="I844" i="1"/>
  <c r="I836" i="1"/>
  <c r="I851" i="1"/>
  <c r="I843" i="1"/>
  <c r="I835" i="1"/>
  <c r="I850" i="1"/>
  <c r="I842" i="1"/>
  <c r="I834" i="1"/>
  <c r="I849" i="1"/>
  <c r="I841" i="1"/>
  <c r="I833" i="1"/>
  <c r="I848" i="1"/>
  <c r="I840" i="1"/>
  <c r="I832" i="1"/>
  <c r="I847" i="1"/>
  <c r="I839" i="1"/>
  <c r="I831" i="1"/>
  <c r="O814" i="1"/>
  <c r="I814" i="1" s="1"/>
  <c r="O815" i="1"/>
  <c r="O829" i="1"/>
  <c r="I829" i="1" s="1"/>
  <c r="O830" i="1"/>
  <c r="O823" i="1"/>
  <c r="O824" i="1"/>
  <c r="I820" i="1"/>
  <c r="I828" i="1"/>
  <c r="I819" i="1"/>
  <c r="I827" i="1"/>
  <c r="I818" i="1"/>
  <c r="I826" i="1"/>
  <c r="I817" i="1"/>
  <c r="I825" i="1"/>
  <c r="I816" i="1"/>
  <c r="I823" i="1"/>
  <c r="I822" i="1"/>
  <c r="I813" i="1"/>
  <c r="I821" i="1"/>
  <c r="I812" i="1"/>
  <c r="O808" i="1"/>
  <c r="O807" i="1" s="1"/>
  <c r="I807" i="1" s="1"/>
  <c r="O805" i="1"/>
  <c r="O804" i="1" s="1"/>
  <c r="I804" i="1" s="1"/>
  <c r="O796" i="1"/>
  <c r="O795" i="1" s="1"/>
  <c r="I795" i="1" s="1"/>
  <c r="I811" i="1"/>
  <c r="I801" i="1"/>
  <c r="I810" i="1"/>
  <c r="I800" i="1"/>
  <c r="I809" i="1"/>
  <c r="I799" i="1"/>
  <c r="I798" i="1"/>
  <c r="I806" i="1"/>
  <c r="I797" i="1"/>
  <c r="I803" i="1"/>
  <c r="I794" i="1"/>
  <c r="I793" i="1"/>
  <c r="I802" i="1"/>
  <c r="I784" i="1"/>
  <c r="H783" i="1"/>
  <c r="H777" i="1"/>
  <c r="H780" i="1"/>
  <c r="H775" i="1"/>
  <c r="H774" i="1"/>
  <c r="H768" i="1"/>
  <c r="H769" i="1"/>
  <c r="H770" i="1"/>
  <c r="H771" i="1"/>
  <c r="H767" i="1"/>
  <c r="H766" i="1"/>
  <c r="H757" i="1"/>
  <c r="H758" i="1"/>
  <c r="H760" i="1"/>
  <c r="H761" i="1"/>
  <c r="H762" i="1"/>
  <c r="H763" i="1"/>
  <c r="H756" i="1"/>
  <c r="H750" i="1"/>
  <c r="H751" i="1"/>
  <c r="H752" i="1"/>
  <c r="H753" i="1"/>
  <c r="H754" i="1"/>
  <c r="H749" i="1"/>
  <c r="H748" i="1"/>
  <c r="H746" i="1"/>
  <c r="H744" i="1"/>
  <c r="H743" i="1"/>
  <c r="H741" i="1"/>
  <c r="H740" i="1"/>
  <c r="H733" i="1"/>
  <c r="H735" i="1"/>
  <c r="H736" i="1"/>
  <c r="H737" i="1"/>
  <c r="H738" i="1"/>
  <c r="H732" i="1"/>
  <c r="H782" i="1"/>
  <c r="H791" i="1"/>
  <c r="H773" i="1"/>
  <c r="H765" i="1"/>
  <c r="H755" i="1"/>
  <c r="H747" i="1"/>
  <c r="H739" i="1"/>
  <c r="H730" i="1"/>
  <c r="H722" i="1"/>
  <c r="H713" i="1"/>
  <c r="H703" i="1"/>
  <c r="H694" i="1"/>
  <c r="H686" i="1"/>
  <c r="H678" i="1"/>
  <c r="I792" i="1"/>
  <c r="I783" i="1"/>
  <c r="I791" i="1"/>
  <c r="I782" i="1"/>
  <c r="I790" i="1"/>
  <c r="I781" i="1"/>
  <c r="I789" i="1"/>
  <c r="I780" i="1"/>
  <c r="I788" i="1"/>
  <c r="I779" i="1"/>
  <c r="O777" i="1"/>
  <c r="I777" i="1" s="1"/>
  <c r="O778" i="1"/>
  <c r="I778" i="1" s="1"/>
  <c r="I787" i="1"/>
  <c r="I786" i="1"/>
  <c r="I776" i="1"/>
  <c r="I785" i="1"/>
  <c r="I775" i="1"/>
  <c r="I774" i="1"/>
  <c r="I773" i="1"/>
  <c r="I772" i="1"/>
  <c r="I771" i="1"/>
  <c r="I770" i="1"/>
  <c r="I769" i="1"/>
  <c r="I768" i="1"/>
  <c r="I767" i="1"/>
  <c r="I766" i="1"/>
  <c r="I765" i="1"/>
  <c r="O763" i="1"/>
  <c r="I763" i="1" s="1"/>
  <c r="O764" i="1"/>
  <c r="I764" i="1" s="1"/>
  <c r="I762" i="1"/>
  <c r="I761" i="1"/>
  <c r="I759" i="1"/>
  <c r="I760" i="1"/>
  <c r="I757" i="1"/>
  <c r="I758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O733" i="1"/>
  <c r="I733" i="1" s="1"/>
  <c r="I732" i="1"/>
  <c r="H679" i="1"/>
  <c r="H677" i="1"/>
  <c r="H676" i="1"/>
  <c r="H675" i="1"/>
  <c r="H674" i="1"/>
  <c r="H672" i="1"/>
  <c r="H723" i="1"/>
  <c r="H721" i="1"/>
  <c r="H720" i="1"/>
  <c r="H719" i="1"/>
  <c r="H718" i="1"/>
  <c r="H716" i="1"/>
  <c r="H715" i="1"/>
  <c r="H714" i="1"/>
  <c r="H712" i="1"/>
  <c r="H711" i="1"/>
  <c r="H710" i="1"/>
  <c r="H708" i="1"/>
  <c r="H706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I724" i="1"/>
  <c r="I725" i="1"/>
  <c r="I726" i="1"/>
  <c r="I727" i="1"/>
  <c r="I728" i="1"/>
  <c r="I729" i="1"/>
  <c r="I730" i="1"/>
  <c r="I731" i="1"/>
  <c r="I723" i="1"/>
  <c r="I714" i="1"/>
  <c r="I722" i="1"/>
  <c r="I713" i="1"/>
  <c r="I721" i="1"/>
  <c r="I712" i="1"/>
  <c r="I720" i="1"/>
  <c r="I711" i="1"/>
  <c r="I719" i="1"/>
  <c r="I710" i="1"/>
  <c r="I718" i="1"/>
  <c r="I709" i="1"/>
  <c r="I716" i="1"/>
  <c r="I717" i="1"/>
  <c r="I707" i="1"/>
  <c r="I708" i="1"/>
  <c r="I715" i="1"/>
  <c r="I706" i="1"/>
  <c r="O704" i="1"/>
  <c r="I704" i="1" s="1"/>
  <c r="O705" i="1"/>
  <c r="I705" i="1" s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<sst xmlns="http://schemas.openxmlformats.org/spreadsheetml/2006/main" count="12166" uniqueCount="3388">
  <si>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</si>
  <si>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</si>
  <si>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</si>
  <si>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</si>
  <si>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</si>
  <si>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</si>
  <si>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</si>
  <si>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</si>
  <si>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</si>
  <si>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</si>
  <si>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</si>
  <si>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</si>
  <si>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</si>
  <si>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</si>
  <si>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</si>
  <si>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</si>
  <si>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</si>
  <si>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</si>
  <si>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</si>
  <si>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</si>
  <si>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</si>
  <si>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</si>
  <si>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</si>
  <si>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</si>
  <si>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</si>
  <si>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</si>
  <si>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</si>
  <si>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</si>
  <si>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</si>
  <si>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</si>
  <si>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</si>
  <si>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</si>
  <si>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</si>
  <si>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</si>
  <si>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</si>
  <si>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</si>
  <si>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</si>
  <si>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</si>
  <si>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</si>
  <si>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</si>
  <si>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</si>
  <si>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</si>
  <si>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</si>
  <si>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</si>
  <si>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</si>
  <si>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</si>
  <si>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</si>
  <si>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</si>
  <si>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</si>
  <si>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</si>
  <si>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</si>
  <si>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</si>
  <si>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</si>
  <si>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</si>
  <si>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</si>
  <si>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</si>
  <si>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</si>
  <si>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</si>
  <si>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</si>
  <si>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</si>
  <si>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</si>
  <si>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</si>
  <si>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</si>
  <si>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</si>
  <si>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</si>
  <si>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</si>
  <si>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</si>
  <si>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</si>
  <si>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</si>
  <si>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</si>
  <si>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</si>
  <si>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</si>
  <si>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</si>
  <si>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</si>
  <si>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</si>
  <si>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</si>
  <si>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</si>
  <si>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</si>
  <si>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</si>
  <si>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</si>
  <si>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</si>
  <si>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</si>
  <si>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</si>
  <si>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</si>
  <si>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</si>
  <si>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</si>
  <si>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</si>
  <si>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</si>
  <si>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</si>
  <si>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</si>
  <si>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</si>
  <si>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</si>
  <si>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</si>
  <si>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</si>
  <si>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</si>
  <si>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</si>
  <si>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</si>
  <si>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</si>
  <si>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</si>
  <si>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</si>
  <si>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</si>
  <si>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</si>
  <si>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</si>
  <si>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</si>
  <si>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</si>
  <si>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</si>
  <si>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</si>
  <si>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</si>
  <si>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</si>
  <si>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</si>
  <si>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</si>
  <si>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</si>
  <si>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</si>
  <si>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</si>
  <si>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</si>
  <si>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</si>
  <si>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</si>
  <si>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</si>
  <si>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</si>
  <si>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</si>
  <si>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</si>
  <si>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</si>
  <si>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</si>
  <si>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</si>
  <si>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</si>
  <si>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</si>
  <si>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</si>
  <si>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</si>
  <si>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</si>
  <si>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</si>
  <si>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</si>
  <si>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</si>
  <si>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</si>
  <si>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</si>
  <si>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</si>
  <si>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</si>
  <si>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</si>
  <si>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</si>
  <si>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</si>
  <si>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</si>
  <si>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</si>
  <si>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</si>
  <si>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</si>
  <si>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</si>
  <si>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</si>
  <si>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</si>
  <si>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</si>
  <si>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</si>
  <si>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</si>
  <si>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</si>
  <si>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</si>
  <si>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</si>
  <si>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</si>
  <si>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</si>
  <si>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</si>
  <si>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</si>
  <si>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</si>
  <si>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</si>
  <si>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</si>
  <si>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</si>
  <si>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</si>
  <si>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</si>
  <si>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</si>
  <si>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</si>
  <si>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</si>
  <si>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</si>
  <si>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</si>
  <si>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</si>
  <si>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</si>
  <si>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</si>
  <si>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</si>
  <si>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</si>
  <si>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</si>
  <si>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</si>
  <si>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</si>
  <si>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</si>
  <si>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</si>
  <si>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</si>
  <si>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</si>
  <si>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</si>
  <si>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</si>
  <si>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</si>
  <si>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</si>
  <si>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</si>
  <si>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</si>
  <si>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</si>
  <si>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</si>
  <si>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</si>
  <si>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</si>
  <si>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</si>
  <si>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</si>
  <si>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</si>
  <si>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</si>
  <si>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</si>
  <si>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</si>
  <si>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</si>
  <si>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</si>
  <si>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</si>
  <si>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</si>
  <si>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</si>
  <si>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</si>
  <si>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</si>
  <si>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</si>
  <si>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</si>
  <si>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</si>
  <si>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</si>
  <si>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</si>
  <si>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</si>
  <si>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</si>
  <si>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</si>
  <si>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</si>
  <si>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</si>
  <si>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</si>
  <si>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</si>
  <si>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</si>
  <si>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</si>
  <si>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</si>
  <si>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</si>
  <si>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</si>
  <si>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</si>
  <si>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</si>
  <si>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</si>
  <si>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</si>
  <si>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</si>
  <si>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</si>
  <si>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</si>
  <si>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</si>
  <si>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</si>
  <si>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</si>
  <si>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</si>
  <si>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</si>
  <si>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</si>
  <si>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</si>
  <si>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</si>
  <si>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</si>
  <si>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</si>
  <si>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</si>
  <si>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</si>
  <si>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</si>
  <si>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</si>
  <si>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</si>
  <si>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</si>
  <si>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</si>
  <si>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</si>
  <si>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</si>
  <si>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</si>
  <si>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</si>
  <si>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</si>
  <si>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</si>
  <si>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</si>
  <si>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</si>
  <si>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</si>
  <si>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</si>
  <si>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</si>
  <si>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</si>
  <si>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</si>
  <si>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</si>
  <si>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</si>
  <si>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</si>
  <si>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</si>
  <si>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</si>
  <si>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</si>
  <si>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</si>
  <si>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</si>
  <si>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</si>
  <si>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</si>
  <si>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</si>
  <si>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</si>
  <si>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</si>
  <si>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</si>
  <si>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</si>
  <si>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</si>
  <si>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</si>
  <si>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</si>
  <si>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</si>
  <si>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</si>
  <si>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</si>
  <si>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</si>
  <si>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</si>
  <si>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</si>
  <si>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</si>
  <si>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</si>
  <si>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</si>
  <si>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</si>
  <si>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</si>
  <si>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</si>
  <si>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</si>
  <si>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</si>
  <si>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</si>
  <si>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</si>
  <si>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</si>
  <si>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</si>
  <si>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</si>
  <si>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</si>
  <si>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</si>
  <si>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</si>
  <si>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</si>
  <si>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</si>
  <si>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</si>
  <si>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</si>
  <si>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</si>
  <si>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</si>
  <si>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</si>
  <si>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</si>
  <si>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</si>
  <si>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</si>
  <si>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</si>
  <si>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</si>
  <si>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</si>
  <si>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</si>
  <si>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</si>
  <si>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</si>
  <si>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</si>
  <si>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</si>
  <si>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</si>
  <si>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</si>
  <si>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</si>
  <si>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</si>
  <si>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</si>
  <si>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</si>
  <si>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</si>
  <si>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</si>
  <si>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</si>
  <si>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</si>
  <si>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</si>
  <si>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</si>
  <si>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</si>
  <si>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</si>
  <si>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</si>
  <si>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</si>
  <si>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</si>
  <si>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</si>
  <si>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</si>
  <si>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</si>
  <si>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</si>
  <si>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</si>
  <si>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</si>
  <si>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</si>
  <si>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</si>
  <si>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</si>
  <si>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</si>
  <si>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</si>
  <si>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</si>
  <si>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</si>
  <si>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</si>
  <si>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</si>
  <si>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</si>
  <si>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</si>
  <si>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</si>
  <si>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</si>
  <si>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</si>
  <si>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</si>
  <si>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</si>
  <si>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</si>
  <si>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</si>
  <si>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</si>
  <si>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</si>
  <si>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</si>
  <si>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</si>
  <si>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</si>
  <si>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</si>
  <si>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</si>
  <si>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</si>
  <si>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</si>
  <si>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</si>
  <si>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</si>
  <si>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</si>
  <si>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</si>
  <si>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</si>
  <si>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</si>
  <si>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</si>
  <si>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</si>
  <si>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</si>
  <si>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</si>
  <si>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</si>
  <si>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</si>
  <si>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</si>
  <si>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</si>
  <si>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</si>
  <si>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</si>
  <si>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</si>
  <si>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</si>
  <si>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</si>
  <si>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</si>
  <si>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</si>
  <si>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</si>
  <si>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</si>
  <si>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</si>
  <si>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</si>
  <si>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</si>
  <si>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</si>
  <si>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</si>
  <si>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</si>
  <si>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</si>
  <si>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</si>
  <si>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</si>
  <si>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</si>
  <si>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</si>
  <si>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</si>
  <si>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</si>
  <si>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</si>
  <si>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</si>
  <si>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</si>
  <si>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</si>
  <si>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</si>
  <si>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</si>
  <si>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</si>
  <si>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</si>
  <si>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</si>
  <si>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</si>
  <si>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</si>
  <si>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</si>
  <si>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</si>
  <si>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</si>
  <si>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</si>
  <si>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</si>
  <si>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</si>
  <si>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</si>
  <si>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</si>
  <si>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</si>
  <si>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</si>
  <si>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</si>
  <si>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</si>
  <si>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</si>
  <si>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</si>
  <si>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</si>
  <si>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</si>
  <si>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</si>
  <si>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</si>
  <si>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</si>
  <si>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</si>
  <si>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</si>
  <si>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</si>
  <si>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</si>
  <si>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</si>
  <si>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</si>
  <si>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</si>
  <si>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</si>
  <si>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</si>
  <si>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</si>
  <si>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</si>
  <si>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</si>
  <si>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</si>
  <si>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</si>
  <si>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</si>
  <si>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</si>
  <si>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</si>
  <si>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</si>
  <si>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</si>
  <si>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</si>
  <si>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</si>
  <si>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</si>
  <si>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</si>
  <si>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</si>
  <si>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</si>
  <si>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</si>
  <si>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</si>
  <si>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</si>
  <si>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</si>
  <si>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</si>
  <si>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</si>
  <si>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</si>
  <si>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</si>
  <si>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</si>
  <si>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</si>
  <si>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</si>
  <si>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</si>
  <si>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</si>
  <si>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</si>
  <si>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</si>
  <si>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</si>
  <si>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</si>
  <si>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</si>
  <si>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</si>
  <si>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</si>
  <si>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</si>
  <si>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</si>
  <si>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</si>
  <si>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</si>
  <si>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</si>
  <si>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</si>
  <si>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</si>
  <si>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</si>
  <si>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</si>
  <si>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</si>
  <si>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</si>
  <si>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</si>
  <si>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</si>
  <si>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</si>
  <si>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</si>
  <si>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</si>
  <si>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</si>
  <si>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</si>
  <si>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</si>
  <si>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</si>
  <si>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</si>
  <si>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</si>
  <si>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</si>
  <si>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</si>
  <si>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</si>
  <si>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</si>
  <si>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</si>
  <si>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</si>
  <si>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</si>
  <si>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</si>
  <si>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</si>
  <si>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</si>
  <si>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</si>
  <si>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</si>
  <si>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</si>
  <si>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</si>
  <si>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</si>
  <si>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</si>
  <si>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</si>
  <si>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</si>
  <si>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</si>
  <si>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</si>
  <si>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</si>
  <si>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</si>
  <si>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</si>
  <si>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</si>
  <si>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</si>
  <si>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</si>
  <si>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</si>
  <si>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</si>
  <si>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</si>
  <si>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</si>
  <si>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</si>
  <si>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</si>
  <si>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</si>
  <si>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</si>
  <si>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</si>
  <si>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</si>
  <si>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</si>
  <si>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</si>
  <si>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</si>
  <si>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</si>
  <si>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</si>
  <si>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</si>
  <si>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</si>
  <si>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</si>
  <si>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</si>
  <si>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</si>
  <si>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</si>
  <si>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</si>
  <si>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</si>
  <si>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</si>
  <si>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</si>
  <si>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</si>
  <si>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</si>
  <si>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</si>
  <si>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</si>
  <si>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</si>
  <si>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</si>
  <si>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</si>
  <si>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</si>
  <si>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</si>
  <si>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</si>
  <si>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</si>
  <si>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</si>
  <si>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</si>
  <si>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</si>
  <si>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</si>
  <si>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</si>
  <si>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</si>
  <si>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</si>
  <si>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</si>
  <si>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</si>
  <si>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</si>
  <si>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</si>
  <si>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</si>
  <si>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</si>
  <si>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</si>
  <si>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</si>
  <si>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</si>
  <si>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</si>
  <si>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</si>
  <si>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</si>
  <si>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</si>
  <si>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</si>
  <si>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</si>
  <si>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</si>
  <si>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</si>
  <si>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</si>
  <si>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</si>
  <si>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</si>
  <si>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</si>
  <si>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</si>
  <si>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</si>
  <si>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</si>
  <si>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</si>
  <si>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</si>
  <si>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</si>
  <si>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</si>
  <si>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</si>
  <si>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</si>
  <si>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</si>
  <si>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</si>
  <si>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</si>
  <si>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</si>
  <si>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</si>
  <si>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</si>
  <si>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</si>
  <si>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</si>
  <si>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</si>
  <si>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</si>
  <si>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</si>
  <si>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</si>
  <si>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</si>
  <si>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</si>
  <si>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</si>
  <si>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</si>
  <si>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</si>
  <si>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</si>
  <si>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</si>
  <si>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</si>
  <si>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</si>
  <si>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</si>
  <si>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</si>
  <si>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</si>
  <si>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</si>
  <si>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</si>
  <si>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</si>
  <si>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</si>
  <si>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</si>
  <si>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</si>
  <si>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</si>
  <si>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</si>
  <si>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</si>
  <si>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</si>
  <si>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</si>
  <si>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</si>
  <si>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</si>
  <si>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</si>
  <si>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</si>
  <si>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</si>
  <si>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</si>
  <si>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</si>
  <si>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</si>
  <si>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</si>
  <si>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</si>
  <si>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</si>
  <si>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</si>
  <si>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</si>
  <si>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</si>
  <si>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</si>
  <si>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</si>
  <si>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</si>
  <si>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</si>
  <si>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</si>
  <si>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</si>
  <si>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</si>
  <si>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</si>
  <si>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</si>
  <si>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</si>
  <si>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</si>
  <si>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</si>
  <si>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</si>
  <si>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</si>
  <si>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</si>
  <si>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</si>
  <si>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</si>
  <si>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</si>
  <si>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</si>
  <si>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</si>
  <si>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</si>
  <si>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</si>
  <si>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</si>
  <si>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</si>
  <si>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</si>
  <si>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</si>
  <si>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</si>
  <si>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</si>
  <si>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</si>
  <si>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</si>
  <si>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</si>
  <si>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</si>
  <si>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</si>
  <si>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</si>
  <si>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</si>
  <si>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</si>
  <si>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</si>
  <si>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</si>
  <si>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</si>
  <si>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</si>
  <si>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</si>
  <si>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</si>
  <si>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</si>
  <si>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</si>
  <si>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</si>
  <si>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</si>
  <si>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</si>
  <si>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</si>
  <si>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</si>
  <si>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</si>
  <si>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</si>
  <si>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</si>
  <si>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</si>
  <si>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</si>
  <si>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</si>
  <si>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</si>
  <si>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</si>
  <si>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</si>
  <si>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</si>
  <si>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</si>
  <si>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</si>
  <si>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</si>
  <si>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</si>
  <si>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</si>
  <si>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</si>
  <si>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</si>
  <si>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</si>
  <si>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</si>
  <si>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</si>
  <si>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</si>
  <si>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</si>
  <si>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</si>
  <si>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</si>
  <si>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</si>
  <si>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</si>
  <si>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</si>
  <si>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</si>
  <si>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</si>
  <si>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</si>
  <si>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</si>
  <si>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</si>
  <si>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</si>
  <si>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</si>
  <si>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</si>
  <si>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</si>
  <si>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</si>
  <si>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</si>
  <si>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</si>
  <si>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</si>
  <si>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</si>
  <si>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</si>
  <si>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</si>
  <si>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</si>
  <si>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</si>
  <si>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</si>
  <si>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</si>
  <si>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</si>
  <si>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</si>
  <si>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</si>
  <si>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</si>
  <si>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</si>
  <si>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</si>
  <si>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</si>
  <si>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</si>
  <si>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</si>
  <si>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</si>
  <si>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</si>
  <si>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</si>
  <si>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</si>
  <si>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</si>
  <si>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</si>
  <si>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</si>
  <si>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</si>
  <si>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</si>
  <si>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</si>
  <si>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</si>
  <si>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</si>
  <si>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</si>
  <si>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</si>
  <si>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</si>
  <si>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</si>
  <si>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</si>
  <si>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</si>
  <si>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</si>
  <si>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</si>
  <si>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</si>
  <si>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</si>
  <si>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</si>
  <si>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</si>
  <si>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</si>
  <si>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</si>
  <si>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</si>
  <si>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</si>
  <si>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</si>
  <si>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</si>
  <si>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</si>
  <si>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</si>
  <si>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</si>
  <si>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</si>
  <si>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</si>
  <si>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</si>
  <si>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</si>
  <si>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</si>
  <si>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</si>
  <si>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</si>
  <si>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</si>
  <si>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</si>
  <si>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</si>
  <si>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</si>
  <si>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</si>
  <si>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</si>
  <si>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</si>
  <si>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</si>
  <si>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</si>
  <si>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</si>
  <si>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</si>
  <si>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</si>
  <si>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</si>
  <si>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</si>
  <si>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</si>
  <si>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</si>
  <si>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</si>
  <si>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</si>
  <si>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</si>
  <si>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</si>
  <si>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</si>
  <si>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</si>
  <si>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</si>
  <si>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</si>
  <si>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</si>
  <si>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</si>
  <si>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</si>
  <si>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</si>
  <si>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</si>
  <si>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</si>
  <si>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</si>
  <si>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</si>
  <si>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</si>
  <si>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</si>
  <si>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</si>
  <si>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</si>
  <si>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</si>
  <si>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</si>
  <si>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</si>
  <si>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</si>
  <si>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</si>
  <si>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</si>
  <si>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</si>
  <si>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</si>
  <si>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</si>
  <si>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</si>
  <si>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</si>
  <si>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</si>
  <si>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</si>
  <si>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</si>
  <si>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</si>
  <si>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</si>
  <si>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</si>
  <si>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</si>
  <si>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</si>
  <si>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</si>
  <si>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</si>
  <si>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</si>
  <si>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</si>
  <si>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</si>
  <si>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</si>
  <si>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</si>
  <si>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</si>
  <si>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</si>
  <si>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</si>
  <si>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</si>
  <si>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</si>
  <si>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</si>
  <si>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</si>
  <si>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</si>
  <si>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</si>
  <si>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</si>
  <si>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</si>
  <si>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</si>
  <si>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</si>
  <si>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</si>
  <si>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</si>
  <si>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</si>
  <si>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</si>
  <si>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</si>
  <si>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</si>
  <si>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</si>
  <si>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</si>
  <si>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</si>
  <si>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</si>
  <si>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</si>
  <si>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</si>
  <si>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</si>
  <si>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</si>
  <si>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</si>
  <si>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</si>
  <si>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</si>
  <si>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</si>
  <si>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</si>
  <si>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</si>
  <si>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</si>
  <si>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</si>
  <si>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</si>
  <si>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</si>
  <si>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</si>
  <si>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</si>
  <si>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</si>
  <si>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</si>
  <si>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</si>
  <si>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</si>
  <si>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</si>
  <si>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</si>
  <si>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</si>
  <si>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</si>
  <si>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</si>
  <si>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</si>
  <si>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</si>
  <si>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</si>
  <si>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</si>
  <si>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</si>
  <si>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</si>
  <si>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</si>
  <si>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</si>
  <si>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</si>
  <si>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</si>
  <si>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</si>
  <si>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</si>
  <si>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</si>
  <si>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</si>
  <si>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</si>
  <si>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</si>
  <si>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</si>
  <si>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</si>
  <si>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</si>
  <si>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</si>
  <si>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</si>
  <si>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</si>
  <si>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</si>
  <si>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</si>
  <si>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</si>
  <si>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</si>
  <si>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</si>
  <si>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</si>
  <si>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</si>
  <si>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</si>
  <si>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</si>
  <si>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</si>
  <si>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</si>
  <si>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</si>
  <si>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</si>
  <si>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</si>
  <si>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</si>
  <si>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</si>
  <si>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</si>
  <si>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</si>
  <si>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</si>
  <si>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</si>
  <si>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</si>
  <si>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</si>
  <si>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</si>
  <si>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</si>
  <si>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</si>
  <si>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</si>
  <si>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</si>
  <si>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</si>
  <si>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</si>
  <si>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</si>
  <si>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</si>
  <si>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</si>
  <si>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</si>
  <si>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</si>
  <si>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</si>
  <si>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</si>
  <si>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</si>
  <si>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</si>
  <si>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</si>
  <si>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</si>
  <si>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</si>
  <si>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</si>
  <si>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</si>
  <si>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</si>
  <si>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</si>
  <si>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</si>
  <si>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</si>
  <si>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</si>
  <si>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</si>
  <si>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</si>
  <si>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</si>
  <si>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</si>
  <si>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</si>
  <si>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</si>
  <si>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</si>
  <si>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</si>
  <si>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</si>
  <si>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</si>
  <si>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</si>
  <si>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</si>
  <si>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</si>
  <si>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</si>
  <si>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</si>
  <si>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</si>
  <si>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</si>
  <si>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</si>
  <si>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</si>
  <si>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</si>
  <si>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</si>
  <si>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</si>
  <si>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</si>
  <si>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</si>
  <si>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</si>
  <si>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</si>
  <si>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</si>
  <si>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</si>
  <si>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</si>
  <si>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</si>
  <si>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</si>
  <si>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</si>
  <si>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</si>
  <si>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</si>
  <si>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</si>
  <si>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</si>
  <si>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</si>
  <si>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</si>
  <si>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</si>
  <si>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</si>
  <si>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</si>
  <si>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</si>
  <si>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</si>
  <si>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</si>
  <si>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</si>
  <si>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</si>
  <si>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</si>
  <si>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</si>
  <si>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</si>
  <si>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</si>
  <si>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</si>
  <si>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</si>
  <si>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</si>
  <si>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</si>
  <si>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</si>
  <si>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</si>
  <si>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</si>
  <si>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</si>
  <si>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</si>
  <si>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</si>
  <si>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</si>
  <si>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</si>
  <si>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</si>
  <si>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</si>
  <si>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</si>
  <si>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</si>
  <si>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</si>
  <si>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</si>
  <si>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</si>
  <si>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</si>
  <si>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</si>
  <si>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</si>
  <si>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</si>
  <si>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</si>
  <si>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</si>
  <si>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</si>
  <si>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</si>
  <si>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</si>
  <si>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</si>
  <si>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</si>
  <si>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</si>
  <si>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</si>
  <si>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</si>
  <si>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</si>
  <si>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</si>
  <si>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</si>
  <si>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</si>
  <si>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</si>
  <si>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</si>
  <si>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</si>
  <si>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</si>
  <si>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</si>
  <si>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</si>
  <si>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</si>
  <si>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</si>
  <si>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</si>
  <si>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</si>
  <si>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</si>
  <si>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</si>
  <si>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</si>
  <si>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</si>
  <si>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</si>
  <si>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</si>
  <si>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</si>
  <si>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</si>
  <si>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</si>
  <si>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</si>
  <si>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</si>
  <si>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</si>
  <si>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</si>
  <si>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</si>
  <si>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</si>
  <si>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</si>
  <si>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</si>
  <si>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</si>
  <si>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</si>
  <si>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</si>
  <si>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</si>
  <si>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</si>
  <si>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</si>
  <si>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</si>
  <si>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</si>
  <si>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</si>
  <si>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</si>
  <si>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</si>
  <si>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</si>
  <si>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</si>
  <si>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</si>
  <si>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</si>
  <si>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</si>
  <si>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</si>
  <si>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</si>
  <si>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</si>
  <si>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</si>
  <si>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</si>
  <si>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</si>
  <si>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</si>
  <si>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</si>
  <si>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</si>
  <si>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</si>
  <si>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</si>
  <si>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</si>
  <si>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</si>
  <si>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</si>
  <si>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</si>
  <si>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</si>
  <si>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</si>
  <si>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</si>
  <si>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</si>
  <si>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</si>
  <si>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</si>
  <si>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</si>
  <si>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</si>
  <si>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</si>
  <si>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</si>
  <si>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</si>
  <si>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</si>
  <si>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</si>
  <si>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</si>
  <si>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</si>
  <si>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</si>
  <si>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</si>
  <si>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</si>
  <si>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</si>
  <si>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</si>
  <si>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</si>
  <si>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</si>
  <si>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</si>
  <si>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</si>
  <si>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</si>
  <si>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</si>
  <si>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</si>
  <si>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</si>
  <si>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</si>
  <si>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</si>
  <si>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</si>
  <si>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</si>
  <si>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</si>
  <si>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</si>
  <si>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</si>
  <si>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</si>
  <si>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</si>
  <si>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</si>
  <si>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</si>
  <si>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</si>
  <si>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</si>
  <si>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</si>
  <si>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</si>
  <si>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</si>
  <si>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</si>
  <si>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</si>
  <si>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</si>
  <si>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</si>
  <si>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</si>
  <si>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</si>
  <si>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</si>
  <si>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</si>
  <si>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</si>
  <si>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</si>
  <si>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</si>
  <si>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</si>
  <si>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</si>
  <si>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</si>
  <si>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</si>
  <si>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</si>
  <si>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</si>
  <si>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</si>
  <si>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</si>
  <si>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</si>
  <si>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</si>
  <si>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</si>
  <si>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</si>
  <si>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</si>
  <si>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</si>
  <si>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</si>
  <si>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</si>
  <si>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</si>
  <si>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</si>
  <si>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</si>
  <si>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</si>
  <si>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</si>
  <si>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</si>
  <si>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</si>
  <si>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</si>
  <si>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</si>
  <si>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</si>
  <si>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</si>
  <si>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</si>
  <si>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</si>
  <si>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</si>
  <si>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</si>
  <si>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</si>
  <si>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</si>
  <si>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</si>
  <si>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</si>
  <si>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</si>
  <si>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</si>
  <si>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</si>
  <si>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</si>
  <si>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</si>
  <si>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</si>
  <si>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</si>
  <si>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</si>
  <si>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</si>
  <si>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</si>
  <si>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</si>
  <si>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</si>
  <si>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</si>
  <si>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</si>
  <si>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</si>
  <si>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</si>
  <si>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</si>
  <si>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</si>
  <si>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</si>
  <si>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</si>
  <si>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</si>
  <si>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</si>
  <si>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</si>
  <si>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</si>
  <si>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</si>
  <si>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</si>
  <si>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</si>
  <si>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</si>
  <si>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</si>
  <si>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</si>
  <si>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</si>
  <si>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</si>
  <si>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</si>
  <si>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</si>
  <si>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</si>
  <si>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</si>
  <si>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</si>
  <si>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</si>
  <si>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</si>
  <si>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</si>
  <si>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</si>
  <si>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</si>
  <si>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</si>
  <si>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</si>
  <si>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</si>
  <si>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</si>
  <si>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</si>
  <si>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</si>
  <si>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</si>
  <si>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</si>
  <si>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</si>
  <si>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</si>
  <si>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</si>
  <si>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</si>
  <si>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</si>
  <si>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</si>
  <si>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</si>
  <si>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</si>
  <si>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</si>
  <si>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</si>
  <si>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</si>
  <si>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</si>
  <si>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</si>
  <si>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</si>
  <si>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</si>
  <si>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</si>
  <si>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</si>
  <si>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</si>
  <si>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</si>
  <si>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</si>
  <si>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</si>
  <si>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</si>
  <si>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</si>
  <si>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</si>
  <si>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</si>
  <si>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</si>
  <si>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</si>
  <si>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</si>
  <si>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</si>
  <si>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</si>
  <si>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</si>
  <si>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</si>
  <si>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</si>
  <si>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</si>
  <si>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</si>
  <si>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</si>
  <si>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</si>
  <si>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</si>
  <si>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</si>
  <si>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</si>
  <si>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</si>
  <si>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</si>
  <si>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</si>
  <si>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</si>
  <si>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</si>
  <si>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</si>
  <si>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</si>
  <si>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</si>
  <si>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</si>
  <si>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</si>
  <si>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</si>
  <si>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</si>
  <si>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</si>
  <si>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</si>
  <si>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</si>
  <si>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</si>
  <si>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</si>
  <si>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</si>
  <si>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</si>
  <si>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</si>
  <si>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</si>
  <si>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</si>
  <si>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</si>
  <si>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</si>
  <si>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</si>
  <si>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</si>
  <si>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</si>
  <si>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</si>
  <si>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</si>
  <si>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</si>
  <si>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</si>
  <si>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</si>
  <si>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</si>
  <si>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</si>
  <si>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</si>
  <si>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</si>
  <si>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</si>
  <si>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</si>
  <si>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</si>
  <si>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</si>
  <si>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</si>
  <si>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</si>
  <si>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</si>
  <si>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</si>
  <si>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</si>
  <si>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</si>
  <si>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</si>
  <si>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</si>
  <si>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</si>
  <si>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</si>
  <si>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</si>
  <si>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</si>
  <si>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</si>
  <si>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</si>
  <si>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</si>
  <si>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</si>
  <si>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</si>
  <si>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</si>
  <si>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</si>
  <si>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</si>
  <si>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</si>
  <si>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</si>
  <si>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</si>
  <si>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</si>
  <si>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</si>
  <si>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</si>
  <si>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</si>
  <si>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</si>
  <si>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</si>
  <si>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</si>
  <si>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</si>
  <si>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</si>
  <si>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</si>
  <si>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</si>
  <si>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</si>
  <si>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</si>
  <si>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</si>
  <si>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</si>
  <si>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</si>
  <si>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</si>
  <si>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</si>
  <si>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</si>
  <si>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</si>
  <si>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</si>
  <si>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</si>
  <si>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</si>
  <si>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</si>
  <si>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</si>
  <si>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</si>
  <si>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</si>
  <si>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</si>
  <si>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</si>
  <si>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</si>
  <si>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</si>
  <si>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</si>
  <si>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</si>
  <si>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</si>
  <si>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</si>
  <si>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</si>
  <si>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</si>
  <si>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</si>
  <si>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</si>
  <si>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</si>
  <si>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</si>
  <si>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</si>
  <si>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</si>
  <si>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</si>
  <si>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</si>
  <si>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</si>
  <si>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</si>
  <si>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</si>
  <si>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</si>
  <si>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</si>
  <si>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</si>
  <si>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</si>
  <si>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</si>
  <si>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</si>
  <si>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</si>
  <si>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</si>
  <si>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</si>
  <si>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</si>
  <si>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</si>
  <si>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</si>
  <si>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</si>
  <si>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</si>
  <si>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</si>
  <si>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</si>
  <si>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</si>
  <si>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</si>
  <si>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</si>
  <si>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</si>
  <si>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</si>
  <si>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</si>
  <si>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</si>
  <si>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</si>
  <si>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</si>
  <si>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</si>
  <si>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</si>
  <si>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</si>
  <si>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</si>
  <si>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</si>
  <si>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</si>
  <si>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</si>
  <si>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</si>
  <si>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</si>
  <si>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</si>
  <si>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</si>
  <si>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</si>
  <si>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</si>
  <si>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</si>
  <si>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</si>
  <si>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</si>
  <si>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</si>
  <si>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</si>
  <si>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</si>
  <si>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</si>
  <si>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</si>
  <si>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</si>
  <si>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</si>
  <si>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</si>
  <si>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</si>
  <si>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</si>
  <si>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</si>
  <si>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</si>
  <si>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</si>
  <si>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</si>
  <si>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</si>
  <si>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</si>
  <si>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</si>
  <si>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</si>
  <si>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</si>
  <si>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</si>
  <si>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</si>
  <si>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</si>
  <si>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</si>
  <si>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</si>
  <si>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</si>
  <si>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</si>
  <si>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</si>
  <si>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</si>
  <si>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</si>
  <si>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</si>
  <si>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</si>
  <si>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</si>
  <si>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</si>
  <si>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</si>
  <si>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</si>
  <si>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</si>
  <si>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</si>
  <si>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</si>
  <si>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</si>
  <si>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</si>
  <si>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</si>
  <si>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</si>
  <si>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</si>
  <si>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</si>
  <si>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</si>
  <si>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</si>
  <si>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</si>
  <si>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</si>
  <si>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</si>
  <si>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</si>
  <si>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</si>
  <si>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</si>
  <si>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</si>
  <si>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</si>
  <si>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</si>
  <si>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</si>
  <si>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</si>
  <si>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</si>
  <si>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</si>
  <si>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</si>
  <si>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</si>
  <si>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</si>
  <si>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</si>
  <si>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</si>
  <si>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</si>
  <si>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</si>
  <si>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</si>
  <si>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</si>
  <si>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</si>
  <si>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</si>
  <si>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</si>
  <si>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</si>
  <si>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</si>
  <si>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</si>
  <si>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</si>
  <si>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</si>
  <si>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</si>
  <si>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</si>
  <si>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</si>
  <si>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</si>
  <si>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</si>
  <si>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</si>
  <si>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</si>
  <si>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</si>
  <si>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</si>
  <si>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</si>
  <si>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</si>
  <si>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</si>
  <si>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</si>
  <si>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</si>
  <si>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</si>
  <si>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</si>
  <si>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</si>
  <si>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</si>
  <si>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</si>
  <si>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</si>
  <si>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</si>
  <si>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</si>
  <si>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</si>
  <si>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</si>
  <si>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</si>
  <si>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</si>
  <si>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</si>
  <si>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</si>
  <si>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</si>
  <si>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</si>
  <si>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</si>
  <si>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</si>
  <si>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</si>
  <si>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</si>
  <si>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</si>
  <si>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</si>
  <si>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</si>
  <si>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</si>
  <si>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</si>
  <si>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</si>
  <si>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</si>
  <si>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</si>
  <si>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</si>
  <si>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</si>
  <si>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</si>
  <si>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</si>
  <si>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</si>
  <si>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</si>
  <si>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</si>
  <si>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</si>
  <si>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</si>
  <si>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</si>
  <si>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</si>
  <si>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</si>
  <si>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</si>
  <si>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</si>
  <si>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</si>
  <si>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</si>
  <si>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</si>
  <si>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</si>
  <si>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</si>
  <si>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</si>
  <si>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</si>
  <si>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</si>
  <si>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</si>
  <si>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</si>
  <si>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</si>
  <si>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</si>
  <si>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</si>
  <si>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</si>
  <si>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</si>
  <si>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</si>
  <si>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</si>
  <si>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</si>
  <si>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</si>
  <si>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</si>
  <si>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</si>
  <si>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</si>
  <si>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</si>
  <si>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</si>
  <si>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</si>
  <si>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</si>
  <si>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</si>
  <si>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</si>
  <si>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</si>
  <si>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</si>
  <si>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</si>
  <si>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</si>
  <si>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</si>
  <si>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</si>
  <si>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</si>
  <si>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</si>
  <si>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</si>
  <si>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</si>
  <si>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</si>
  <si>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</si>
  <si>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</si>
  <si>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</si>
  <si>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</si>
  <si>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</si>
  <si>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</si>
  <si>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</si>
  <si>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</si>
  <si>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</si>
  <si>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</si>
  <si>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</si>
  <si>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</si>
  <si>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</si>
  <si>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</si>
  <si>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</si>
  <si>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</si>
  <si>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</si>
  <si>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</si>
  <si>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</si>
  <si>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</si>
  <si>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</si>
  <si>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</si>
  <si>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</si>
  <si>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</si>
  <si>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</si>
  <si>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</si>
  <si>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</si>
  <si>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</si>
  <si>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</si>
  <si>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</si>
  <si>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</si>
  <si>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</si>
  <si>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</si>
  <si>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</si>
  <si>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</si>
  <si>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</si>
  <si>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</si>
  <si>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</si>
  <si>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</si>
  <si>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</si>
  <si>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</si>
  <si>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</si>
  <si>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</si>
  <si>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</si>
  <si>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</si>
  <si>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</si>
  <si>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</si>
  <si>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</si>
  <si>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</si>
  <si>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</si>
  <si>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</si>
  <si>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</si>
  <si>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</si>
  <si>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</si>
  <si>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</si>
  <si>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</si>
  <si>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</si>
  <si>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</si>
  <si>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</si>
  <si>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</si>
  <si>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</si>
  <si>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</si>
  <si>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</si>
  <si>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</si>
  <si>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</si>
  <si>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</si>
  <si>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</si>
  <si>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</si>
  <si>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</si>
  <si>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</si>
  <si>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</si>
  <si>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</si>
  <si>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</si>
  <si>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</si>
  <si>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</si>
  <si>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</si>
  <si>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</si>
  <si>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</si>
  <si>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</si>
  <si>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</si>
  <si>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</si>
  <si>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</si>
  <si>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</si>
  <si>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</si>
  <si>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</si>
  <si>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</si>
  <si>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</si>
  <si>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</si>
  <si>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</si>
  <si>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</si>
  <si>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</si>
  <si>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</si>
  <si>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</si>
  <si>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</si>
  <si>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</si>
  <si>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</si>
  <si>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</si>
  <si>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</si>
  <si>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</si>
  <si>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</si>
  <si>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</si>
  <si>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</si>
  <si>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</si>
  <si>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</si>
  <si>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</si>
  <si>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</si>
  <si>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</si>
  <si>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</si>
  <si>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</si>
  <si>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</si>
  <si>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</si>
  <si>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</si>
  <si>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</si>
  <si>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</si>
  <si>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</si>
  <si>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</si>
  <si>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</si>
  <si>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</si>
  <si>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</si>
  <si>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</si>
  <si>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</si>
  <si>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</si>
  <si>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</si>
  <si>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</si>
  <si>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</si>
  <si>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</si>
  <si>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</si>
  <si>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</si>
  <si>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</si>
  <si>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</si>
  <si>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</si>
  <si>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</si>
  <si>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</si>
  <si>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</si>
  <si>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</si>
  <si>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</si>
  <si>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</si>
  <si>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</si>
  <si>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</si>
  <si>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</si>
  <si>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</si>
  <si>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</si>
  <si>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</si>
  <si>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</si>
  <si>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</si>
  <si>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</si>
  <si>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</si>
  <si>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</si>
  <si>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</si>
  <si>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</si>
  <si>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</si>
  <si>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</si>
  <si>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</si>
  <si>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</si>
  <si>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</si>
  <si>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</si>
  <si>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</si>
  <si>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</si>
  <si>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</si>
  <si>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</si>
  <si>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</si>
  <si>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</si>
  <si>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</si>
  <si>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</si>
  <si>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</si>
  <si>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</si>
  <si>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</si>
  <si>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</si>
  <si>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</si>
  <si>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</si>
  <si>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</si>
  <si>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</si>
  <si>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</si>
  <si>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</si>
  <si>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</si>
  <si>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</si>
  <si>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</si>
  <si>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</si>
  <si>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</si>
  <si>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</si>
  <si>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</si>
  <si>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</si>
  <si>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</si>
  <si>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</si>
  <si>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</si>
  <si>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</si>
  <si>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</si>
  <si>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</si>
  <si>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</si>
  <si>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</si>
  <si>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</si>
  <si>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</si>
  <si>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</si>
  <si>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</si>
  <si>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</si>
  <si>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</si>
  <si>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</si>
  <si>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</si>
  <si>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</si>
  <si>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</si>
  <si>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</si>
  <si>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</si>
  <si>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</si>
  <si>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</si>
  <si>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</si>
  <si>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</si>
  <si>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</si>
  <si>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</si>
  <si>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</si>
  <si>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</si>
  <si>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</si>
  <si>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</si>
  <si>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</si>
  <si>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</si>
  <si>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</si>
  <si>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</si>
  <si>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</si>
  <si>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</si>
  <si>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</si>
  <si>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</si>
  <si>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</si>
  <si>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</si>
  <si>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</si>
  <si>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</si>
  <si>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</si>
  <si>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</si>
  <si>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</si>
  <si>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</si>
  <si>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</si>
  <si>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</si>
  <si>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</si>
  <si>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</si>
  <si>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</si>
  <si>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</si>
  <si>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</si>
  <si>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</si>
  <si>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</si>
  <si>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</si>
  <si>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</si>
  <si>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</si>
  <si>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</si>
  <si>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</si>
  <si>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</si>
  <si>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</si>
  <si>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</si>
  <si>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</si>
  <si>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</si>
  <si>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</si>
  <si>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</si>
  <si>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</si>
  <si>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</si>
  <si>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</si>
  <si>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</si>
  <si>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</si>
  <si>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</si>
  <si>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</si>
  <si>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</si>
  <si>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</si>
  <si>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</si>
  <si>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</si>
  <si>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</si>
  <si>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</si>
  <si>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</si>
  <si>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</si>
  <si>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</si>
  <si>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</si>
  <si>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</si>
  <si>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</si>
  <si>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</si>
  <si>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</si>
  <si>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</si>
  <si>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</si>
  <si>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</si>
  <si>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</si>
  <si>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</si>
  <si>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</si>
  <si>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</si>
  <si>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</si>
  <si>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</si>
  <si>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</si>
  <si>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</si>
  <si>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</si>
  <si>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</si>
  <si>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</si>
  <si>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</si>
  <si>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</si>
  <si>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</si>
  <si>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</si>
  <si>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</si>
  <si>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</si>
  <si>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</si>
  <si>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</si>
  <si>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</si>
  <si>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</si>
  <si>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</si>
  <si>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</si>
  <si>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</si>
  <si>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</si>
  <si>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</si>
  <si>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</si>
  <si>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</si>
  <si>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</si>
  <si>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</si>
  <si>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</si>
  <si>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</si>
  <si>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</si>
  <si>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</si>
  <si>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</si>
  <si>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</si>
  <si>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</si>
  <si>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</si>
  <si>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</si>
  <si>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</si>
  <si>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</si>
  <si>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</si>
  <si>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</si>
  <si>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</si>
  <si>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</si>
  <si>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</si>
  <si>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</si>
  <si>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</si>
  <si>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</si>
  <si>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</si>
  <si>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</si>
  <si>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</si>
  <si>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</si>
  <si>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</si>
  <si>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</si>
  <si>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</si>
  <si>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</si>
  <si>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</si>
  <si>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</si>
  <si>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</si>
  <si>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</si>
  <si>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</si>
  <si>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</si>
  <si>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</si>
  <si>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</si>
  <si>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</si>
  <si>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</si>
  <si>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</si>
  <si>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</si>
  <si>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</si>
  <si>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</si>
  <si>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</si>
  <si>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</si>
  <si>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</si>
  <si>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</si>
  <si>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</si>
  <si>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</si>
  <si>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</si>
  <si>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</si>
  <si>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</si>
  <si>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</si>
  <si>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</si>
  <si>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</si>
  <si>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</si>
  <si>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</si>
  <si>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</si>
  <si>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</si>
  <si>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</si>
  <si>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</si>
  <si>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</si>
  <si>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</si>
  <si>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</si>
  <si>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</si>
  <si>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</si>
  <si>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</si>
  <si>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</si>
  <si>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</si>
  <si>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</si>
  <si>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</si>
  <si>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</si>
  <si>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</si>
  <si>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</si>
  <si>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</si>
  <si>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</si>
  <si>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</si>
  <si>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</si>
  <si>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</si>
  <si>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</si>
  <si>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</si>
  <si>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</si>
  <si>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</si>
  <si>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</si>
  <si>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</si>
  <si>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</si>
  <si>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</si>
  <si>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</si>
  <si>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</si>
  <si>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</si>
  <si>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</si>
  <si>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</si>
  <si>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</si>
  <si>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</si>
  <si>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</si>
  <si>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</si>
  <si>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</si>
  <si>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</si>
  <si>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</si>
  <si>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</si>
  <si>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</si>
  <si>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</si>
  <si>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</si>
  <si>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</si>
  <si>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</si>
  <si>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</si>
  <si>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</si>
  <si>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</si>
  <si>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</si>
  <si>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</si>
  <si>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</si>
  <si>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</si>
  <si>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</si>
  <si>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</si>
  <si>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</si>
  <si>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</si>
  <si>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</si>
  <si>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</si>
  <si>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</si>
  <si>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</si>
  <si>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</si>
  <si>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</si>
  <si>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</si>
  <si>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</si>
  <si>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</si>
  <si>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</si>
  <si>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</si>
  <si>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</si>
  <si>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</si>
  <si>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</si>
  <si>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</si>
  <si>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</si>
  <si>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</si>
  <si>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</si>
  <si>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</si>
  <si>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</si>
  <si>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</si>
  <si>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</si>
  <si>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</si>
  <si>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</si>
  <si>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</si>
  <si>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</si>
  <si>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</si>
  <si>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</si>
  <si>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</si>
  <si>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</si>
  <si>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</si>
  <si>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</si>
  <si>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</si>
  <si>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</si>
  <si>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</si>
  <si>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</si>
  <si>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</si>
  <si>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</si>
  <si>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</si>
  <si>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</si>
  <si>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</si>
  <si>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</si>
  <si>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</si>
  <si>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</si>
  <si>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</si>
  <si>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</si>
  <si>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</si>
  <si>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</si>
  <si>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</si>
  <si>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</si>
  <si>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</si>
  <si>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</si>
  <si>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</si>
  <si>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</si>
  <si>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</si>
  <si>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</si>
  <si>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</si>
  <si>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</si>
  <si>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</si>
  <si>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</si>
  <si>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</si>
  <si>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</si>
  <si>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</si>
  <si>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</si>
  <si>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</si>
  <si>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</si>
  <si>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</si>
  <si>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</si>
  <si>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</si>
  <si>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</si>
  <si>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</si>
  <si>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</si>
  <si>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</si>
  <si>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</si>
  <si>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</si>
  <si>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</si>
  <si>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</si>
  <si>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</si>
  <si>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</si>
  <si>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</si>
  <si>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</si>
  <si>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</si>
  <si>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</si>
  <si>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</si>
  <si>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</si>
  <si>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</si>
  <si>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</si>
  <si>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</si>
  <si>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</si>
  <si>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</si>
  <si>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</si>
  <si>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</si>
  <si>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</si>
  <si>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</si>
  <si>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</si>
  <si>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</si>
  <si>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</si>
  <si>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</si>
  <si>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</si>
  <si>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</si>
  <si>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</si>
  <si>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</si>
  <si>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</si>
  <si>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</si>
  <si>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</si>
  <si>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</si>
  <si>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</si>
  <si>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</si>
  <si>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</si>
  <si>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</si>
  <si>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</si>
  <si>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</si>
  <si>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</si>
  <si>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</si>
  <si>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</si>
  <si>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</si>
  <si>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</si>
  <si>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</si>
  <si>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</si>
  <si>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</si>
  <si>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</si>
  <si>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</si>
  <si>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</si>
  <si>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</si>
  <si>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</si>
  <si>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</si>
  <si>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</si>
  <si>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</si>
  <si>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</si>
  <si>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</si>
  <si>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</si>
  <si>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</si>
  <si>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</si>
  <si>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</si>
  <si>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</si>
  <si>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</si>
  <si>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</si>
  <si>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</si>
  <si>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</si>
  <si>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</si>
  <si>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</si>
  <si>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</si>
  <si>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</si>
  <si>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</si>
  <si>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</si>
  <si>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</si>
  <si>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</si>
  <si>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</si>
  <si>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</si>
  <si>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</si>
  <si>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</si>
  <si>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</si>
  <si>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</si>
  <si>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</si>
  <si>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</si>
  <si>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</si>
  <si>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</si>
  <si>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</si>
  <si>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</si>
  <si>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</si>
  <si>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</si>
  <si>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</si>
  <si>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</si>
  <si>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</si>
  <si>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</si>
  <si>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</si>
  <si>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</si>
  <si>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</si>
  <si>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</si>
  <si>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</si>
  <si>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</si>
  <si>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</si>
  <si>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</si>
  <si>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</si>
  <si>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</si>
  <si>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</si>
  <si>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</si>
  <si>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</si>
  <si>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</si>
  <si>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</si>
  <si>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</si>
  <si>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</si>
  <si>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</si>
  <si>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</si>
  <si>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</si>
  <si>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</si>
  <si>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</si>
  <si>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</si>
  <si>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</si>
  <si>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</si>
  <si>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</si>
  <si>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</si>
  <si>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</si>
  <si>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</si>
  <si>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</si>
  <si>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</si>
  <si>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</si>
  <si>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</si>
  <si>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</si>
  <si>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</si>
  <si>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</si>
  <si>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</si>
  <si>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</si>
  <si>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</si>
  <si>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</si>
  <si>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</si>
  <si>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</si>
  <si>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</si>
  <si>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</si>
  <si>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</si>
  <si>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</si>
  <si>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</si>
  <si>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</si>
  <si>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</si>
  <si>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</si>
  <si>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</si>
  <si>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</si>
  <si>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</si>
  <si>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</si>
  <si>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</si>
  <si>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</si>
  <si>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</si>
  <si>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</si>
  <si>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</si>
  <si>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</si>
  <si>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</si>
  <si>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</si>
  <si>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</si>
  <si>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</si>
  <si>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</si>
  <si>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</si>
  <si>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</si>
  <si>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</si>
  <si>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</si>
  <si>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</si>
  <si>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</si>
  <si>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</si>
  <si>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</si>
  <si>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</si>
  <si>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</si>
  <si>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</si>
  <si>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</si>
  <si>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</si>
  <si>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</si>
  <si>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</si>
  <si>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</si>
  <si>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</si>
  <si>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</si>
  <si>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</si>
  <si>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</si>
  <si>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</si>
  <si>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</si>
  <si>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</si>
  <si>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</si>
  <si>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</si>
  <si>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</si>
  <si>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</si>
  <si>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</si>
  <si>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</si>
  <si>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</si>
  <si>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</si>
  <si>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</si>
  <si>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</si>
  <si>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</si>
  <si>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</si>
  <si>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</si>
  <si>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</si>
  <si>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</si>
  <si>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</si>
  <si>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</si>
  <si>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</si>
  <si>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</si>
  <si>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</si>
  <si>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</si>
  <si>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</si>
  <si>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</si>
  <si>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</si>
  <si>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</si>
  <si>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</si>
  <si>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</si>
  <si>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</si>
  <si>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</si>
  <si>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</si>
  <si>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</si>
  <si>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</si>
  <si>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</si>
  <si>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</si>
  <si>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</si>
  <si>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</si>
  <si>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</si>
  <si>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</si>
  <si>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</si>
  <si>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</si>
  <si>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</si>
  <si>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</si>
  <si>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</si>
  <si>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</si>
  <si>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</si>
  <si>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</si>
  <si>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</si>
  <si>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</si>
  <si>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</si>
  <si>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</si>
  <si>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</si>
  <si>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</si>
  <si>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</si>
  <si>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</si>
  <si>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</si>
  <si>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</si>
  <si>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</si>
  <si>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</si>
  <si>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</si>
  <si>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</si>
  <si>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</si>
  <si>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</si>
  <si>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</si>
  <si>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</si>
  <si>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</si>
  <si>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</si>
  <si>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</si>
  <si>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</si>
  <si>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</si>
  <si>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</si>
  <si>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</si>
  <si>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</si>
  <si>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</si>
  <si>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</si>
  <si>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</si>
  <si>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</si>
  <si>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</si>
  <si>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</si>
  <si>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</si>
  <si>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</si>
  <si>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</si>
  <si>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</si>
  <si>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</si>
  <si>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</si>
  <si>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</si>
  <si>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</si>
  <si>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</si>
  <si>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</si>
  <si>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</si>
  <si>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</si>
  <si>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</si>
  <si>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</si>
  <si>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</si>
  <si>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</si>
  <si>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</si>
  <si>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</si>
  <si>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</si>
  <si>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</si>
  <si>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</si>
  <si>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</si>
  <si>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</si>
  <si>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</si>
  <si>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</si>
  <si>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</si>
  <si>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</si>
  <si>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</si>
  <si>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</si>
  <si>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</si>
  <si>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</si>
  <si>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</si>
  <si>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</si>
  <si>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</si>
  <si>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</si>
  <si>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</si>
  <si>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</si>
  <si>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</si>
  <si>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</si>
  <si>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</si>
  <si>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</si>
  <si>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</si>
  <si>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</si>
  <si>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</si>
  <si>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</si>
  <si>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</si>
  <si>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</si>
  <si>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</si>
  <si>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</si>
  <si>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</si>
  <si>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</si>
  <si>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</si>
  <si>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</si>
  <si>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</si>
  <si>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</si>
  <si>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</si>
  <si>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</si>
  <si>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</si>
  <si>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</si>
  <si>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</si>
  <si>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</si>
  <si>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</si>
  <si>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</si>
  <si>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</si>
  <si>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</si>
  <si>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</si>
  <si>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</si>
  <si>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</si>
  <si>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</si>
  <si>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</si>
  <si>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</si>
  <si>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</si>
  <si>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</si>
  <si>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</si>
  <si>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</si>
  <si>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</si>
  <si>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</si>
  <si>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</si>
  <si>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</si>
  <si>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</si>
  <si>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</si>
  <si>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</si>
  <si>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</si>
  <si>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</si>
  <si>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</si>
  <si>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</si>
  <si>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</si>
  <si>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</si>
  <si>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</si>
  <si>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</si>
  <si>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</si>
  <si>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</si>
  <si>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</si>
  <si>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</si>
  <si>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</si>
  <si>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</si>
  <si>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</si>
  <si>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</si>
  <si>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</si>
  <si>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</si>
  <si>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</si>
  <si>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</si>
  <si>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</si>
  <si>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</si>
  <si>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</si>
  <si>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</si>
  <si>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</si>
  <si>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</si>
  <si>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</si>
  <si>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</si>
  <si>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</si>
  <si>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</si>
  <si>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</si>
  <si>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</si>
  <si>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</si>
  <si>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</si>
  <si>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</si>
  <si>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</si>
  <si>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</si>
  <si>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</si>
  <si>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</si>
  <si>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</si>
  <si>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</si>
  <si>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</si>
  <si>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</si>
  <si>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</si>
  <si>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</si>
  <si>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</si>
  <si>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</si>
  <si>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</si>
  <si>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</si>
  <si>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</si>
  <si>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</si>
  <si>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</si>
  <si>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</si>
  <si>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</si>
  <si>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</si>
  <si>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</si>
  <si>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</si>
  <si>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</si>
  <si>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</si>
  <si>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</si>
  <si>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</si>
  <si>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</si>
  <si>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</si>
  <si>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</si>
  <si>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</si>
  <si>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</si>
  <si>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</si>
  <si>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</si>
  <si>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</si>
  <si>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</si>
  <si>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</si>
  <si>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</si>
  <si>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</si>
  <si>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</si>
  <si>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</si>
  <si>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</si>
  <si>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</si>
  <si>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</si>
  <si>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</si>
  <si>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</si>
  <si>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</si>
  <si>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</si>
  <si>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</si>
  <si>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</si>
  <si>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</si>
  <si>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</si>
  <si>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</si>
  <si>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</si>
  <si>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</si>
  <si>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5.34</t>
  </si>
  <si>
    <t>16.85</t>
  </si>
  <si>
    <t>89.43</t>
  </si>
  <si>
    <t>20.13</t>
  </si>
  <si>
    <t>8839.12</t>
  </si>
  <si>
    <t>244.1</t>
  </si>
  <si>
    <t>1.33</t>
  </si>
  <si>
    <t>56.32</t>
  </si>
  <si>
    <t>15</t>
  </si>
  <si>
    <t>11.39</t>
  </si>
  <si>
    <t>632.65</t>
  </si>
  <si>
    <t>57157</t>
  </si>
  <si>
    <t>113982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</si>
  <si>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</si>
  <si>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</si>
  <si>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</si>
  <si>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</si>
  <si>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</si>
  <si>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</si>
  <si>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</si>
  <si>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</si>
  <si>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</si>
  <si>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9.56</t>
  </si>
  <si>
    <t>16.22</t>
  </si>
  <si>
    <t>20.69</t>
  </si>
  <si>
    <t>1086.9</t>
  </si>
  <si>
    <t>112779</t>
  </si>
  <si>
    <t>251734</t>
  </si>
  <si>
    <t>117.3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</si>
  <si>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</si>
  <si>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</si>
  <si>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</si>
  <si>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</si>
  <si>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</si>
  <si>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</si>
  <si>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</si>
  <si>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</si>
  <si>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</si>
  <si>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</si>
  <si>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</si>
  <si>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</si>
  <si>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</si>
  <si>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253.6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</si>
  <si>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</si>
  <si>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</si>
  <si>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</si>
  <si>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</si>
  <si>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</si>
  <si>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</si>
  <si>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</si>
  <si>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</si>
  <si>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</si>
  <si>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</si>
  <si>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</si>
  <si>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</si>
  <si>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</si>
  <si>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</si>
  <si>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</si>
  <si>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</si>
  <si>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</si>
  <si>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</si>
  <si>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</si>
  <si>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</si>
  <si>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</si>
  <si>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</si>
  <si>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</si>
  <si>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</si>
  <si>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</si>
  <si>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</si>
  <si>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83.75</t>
  </si>
  <si>
    <t>77.13</t>
  </si>
  <si>
    <t>20.29</t>
  </si>
  <si>
    <t>8844.62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</si>
  <si>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</si>
  <si>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</si>
  <si>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</si>
  <si>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</si>
  <si>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</si>
  <si>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</si>
  <si>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</si>
  <si>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</si>
  <si>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</si>
  <si>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</si>
  <si>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</si>
  <si>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</si>
  <si>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</si>
  <si>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</si>
  <si>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</si>
  <si>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</si>
  <si>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</si>
  <si>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</si>
  <si>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</si>
  <si>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</si>
  <si>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</si>
  <si>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</si>
  <si>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</si>
  <si>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</si>
  <si>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</si>
  <si>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</si>
  <si>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</si>
  <si>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</si>
  <si>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</si>
  <si>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</si>
  <si>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</si>
  <si>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</si>
  <si>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</si>
  <si>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</si>
  <si>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</si>
  <si>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</si>
  <si>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</si>
  <si>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</si>
  <si>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</si>
  <si>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</si>
  <si>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</si>
  <si>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</si>
  <si>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</si>
  <si>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</si>
  <si>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</si>
  <si>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</si>
  <si>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</si>
  <si>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</si>
  <si>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</si>
  <si>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</si>
  <si>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</si>
  <si>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</si>
  <si>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</si>
  <si>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</si>
  <si>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</si>
  <si>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</si>
  <si>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</si>
  <si>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</si>
  <si>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</si>
  <si>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</si>
  <si>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</si>
  <si>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</si>
  <si>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</si>
  <si>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</si>
  <si>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</si>
  <si>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</si>
  <si>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</si>
  <si>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</si>
  <si>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</si>
  <si>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</si>
  <si>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</si>
  <si>
    <t>S32</t>
  </si>
  <si>
    <t>17.83</t>
  </si>
  <si>
    <t>562</t>
  </si>
  <si>
    <t>1.48</t>
  </si>
  <si>
    <t>19.55</t>
  </si>
  <si>
    <t>9249.12</t>
  </si>
  <si>
    <t>91849</t>
  </si>
  <si>
    <t>137053</t>
  </si>
  <si>
    <t>5.85</t>
  </si>
  <si>
    <t>23.94</t>
  </si>
  <si>
    <t>88.01</t>
  </si>
  <si>
    <t>82.33</t>
  </si>
  <si>
    <t>18.51</t>
  </si>
  <si>
    <t>8850.49</t>
  </si>
  <si>
    <t>244.7</t>
  </si>
  <si>
    <t>1666</t>
  </si>
  <si>
    <t>176.97</t>
  </si>
  <si>
    <t>21.67</t>
  </si>
  <si>
    <t>647.54</t>
  </si>
  <si>
    <t>59582</t>
  </si>
  <si>
    <t>118683</t>
  </si>
  <si>
    <t>60.3</t>
  </si>
  <si>
    <t>12.86</t>
  </si>
  <si>
    <t>1168</t>
  </si>
  <si>
    <t>12.61</t>
  </si>
  <si>
    <t>21.88</t>
  </si>
  <si>
    <t>2510.9</t>
  </si>
  <si>
    <t>169435</t>
  </si>
  <si>
    <t>325433</t>
  </si>
  <si>
    <t>327.7</t>
  </si>
  <si>
    <t>19.72</t>
  </si>
  <si>
    <t>327</t>
  </si>
  <si>
    <t>11.65</t>
  </si>
  <si>
    <t>61.99</t>
  </si>
  <si>
    <t>1098.11</t>
  </si>
  <si>
    <t>113840</t>
  </si>
  <si>
    <t>254289</t>
  </si>
  <si>
    <t>19.66</t>
  </si>
  <si>
    <t>644</t>
  </si>
  <si>
    <t>3.39</t>
  </si>
  <si>
    <t>10.8</t>
  </si>
  <si>
    <t>5.8</t>
  </si>
  <si>
    <t>193.06</t>
  </si>
  <si>
    <t>30.49</t>
  </si>
  <si>
    <t>8066.83</t>
  </si>
  <si>
    <t>129652</t>
  </si>
  <si>
    <t>386575</t>
  </si>
  <si>
    <t>253.7</t>
  </si>
  <si>
    <t>7.99</t>
  </si>
  <si>
    <t>1143</t>
  </si>
  <si>
    <t>38.83</t>
  </si>
  <si>
    <t>6660.16</t>
  </si>
  <si>
    <t>424259</t>
  </si>
  <si>
    <t>1523026</t>
  </si>
  <si>
    <t>20.7</t>
  </si>
  <si>
    <t>1454</t>
  </si>
  <si>
    <t>3.72</t>
  </si>
  <si>
    <t>12.73</t>
  </si>
  <si>
    <t>424.91</t>
  </si>
  <si>
    <t>4.65</t>
  </si>
  <si>
    <t>412.14</t>
  </si>
  <si>
    <t>39.11</t>
  </si>
  <si>
    <t>2025.21</t>
  </si>
  <si>
    <t>198571</t>
  </si>
  <si>
    <t>667520</t>
  </si>
  <si>
    <t>8.88</t>
  </si>
  <si>
    <t>11.63</t>
  </si>
  <si>
    <t>144.32</t>
  </si>
  <si>
    <t>136.27</t>
  </si>
  <si>
    <t>19.38</t>
  </si>
  <si>
    <t>9258</t>
  </si>
  <si>
    <t>92737</t>
  </si>
  <si>
    <t>138732</t>
  </si>
  <si>
    <t>290.9</t>
  </si>
  <si>
    <t>26.83</t>
  </si>
  <si>
    <t>163.72</t>
  </si>
  <si>
    <t>19.36</t>
  </si>
  <si>
    <t>8862.12</t>
  </si>
  <si>
    <t>249.8</t>
  </si>
  <si>
    <t>14.76</t>
  </si>
  <si>
    <t>699</t>
  </si>
  <si>
    <t>0.96</t>
  </si>
  <si>
    <t>653.64</t>
  </si>
  <si>
    <t>60281</t>
  </si>
  <si>
    <t>119356</t>
  </si>
  <si>
    <t>61.2</t>
  </si>
  <si>
    <t>17.73</t>
  </si>
  <si>
    <t>1175</t>
  </si>
  <si>
    <t>2519.37</t>
  </si>
  <si>
    <t>170610</t>
  </si>
  <si>
    <t>327610</t>
  </si>
  <si>
    <t>328.4</t>
  </si>
  <si>
    <t>34.91</t>
  </si>
  <si>
    <t>10.15</t>
  </si>
  <si>
    <t>1098.54</t>
  </si>
  <si>
    <t>686</t>
  </si>
  <si>
    <t>9.45</t>
  </si>
  <si>
    <t>218.13</t>
  </si>
  <si>
    <t>8074.34</t>
  </si>
  <si>
    <t>130338</t>
  </si>
  <si>
    <t>388659</t>
  </si>
  <si>
    <t>253.9</t>
  </si>
  <si>
    <t>7.09</t>
  </si>
  <si>
    <t>1675</t>
  </si>
  <si>
    <t>5.15</t>
  </si>
  <si>
    <t>411.66</t>
  </si>
  <si>
    <t>5.91</t>
  </si>
  <si>
    <t>406.93</t>
  </si>
  <si>
    <t>38.84</t>
  </si>
  <si>
    <t>6671.43</t>
  </si>
  <si>
    <t>425934</t>
  </si>
  <si>
    <t>1531660</t>
  </si>
  <si>
    <t>1145</t>
  </si>
  <si>
    <t>12.88</t>
  </si>
  <si>
    <t>301.89</t>
  </si>
  <si>
    <t>34.73</t>
  </si>
  <si>
    <t>2035.22</t>
  </si>
  <si>
    <t>199716</t>
  </si>
  <si>
    <t>671409</t>
  </si>
  <si>
    <t>8.72</t>
  </si>
  <si>
    <t>9.18</t>
  </si>
  <si>
    <t>1276</t>
  </si>
  <si>
    <t>14.46</t>
  </si>
  <si>
    <t>9266.72</t>
  </si>
  <si>
    <t>94013</t>
  </si>
  <si>
    <t>141106</t>
  </si>
  <si>
    <t>291.2</t>
  </si>
  <si>
    <t>15.22</t>
  </si>
  <si>
    <t>273.5</t>
  </si>
  <si>
    <t>20.68</t>
  </si>
  <si>
    <t>8877.34</t>
  </si>
  <si>
    <t>251</t>
  </si>
  <si>
    <t>8.56</t>
  </si>
  <si>
    <t>16.94</t>
  </si>
  <si>
    <t>1428</t>
  </si>
  <si>
    <t>17.37</t>
  </si>
  <si>
    <t>156.15</t>
  </si>
  <si>
    <t>21.97</t>
  </si>
  <si>
    <t>662.19</t>
  </si>
  <si>
    <t>61709</t>
  </si>
  <si>
    <t>122159</t>
  </si>
  <si>
    <t>61.6</t>
  </si>
  <si>
    <t>8.24</t>
  </si>
  <si>
    <t>939</t>
  </si>
  <si>
    <t>13.77</t>
  </si>
  <si>
    <t>139.59</t>
  </si>
  <si>
    <t>21.04</t>
  </si>
  <si>
    <t>2527.6</t>
  </si>
  <si>
    <t>171549</t>
  </si>
  <si>
    <t>329611</t>
  </si>
  <si>
    <t>6.81</t>
  </si>
  <si>
    <t>14.68</t>
  </si>
  <si>
    <t>604</t>
  </si>
  <si>
    <t>10.81</t>
  </si>
  <si>
    <t>21.25</t>
  </si>
  <si>
    <t>1105.35</t>
  </si>
  <si>
    <t>114444</t>
  </si>
  <si>
    <t>255665</t>
  </si>
  <si>
    <t>118.8</t>
  </si>
  <si>
    <t>7.63</t>
  </si>
  <si>
    <t>506</t>
  </si>
  <si>
    <t>5.77</t>
  </si>
  <si>
    <t>208.67</t>
  </si>
  <si>
    <t>31.42</t>
  </si>
  <si>
    <t>8081.97</t>
  </si>
  <si>
    <t>130844</t>
  </si>
  <si>
    <t>389863</t>
  </si>
  <si>
    <t>254.2</t>
  </si>
  <si>
    <t>10.74</t>
  </si>
  <si>
    <t>9.78</t>
  </si>
  <si>
    <t>1467</t>
  </si>
  <si>
    <t>5.38</t>
  </si>
  <si>
    <t>6682.17</t>
  </si>
  <si>
    <t>427401</t>
  </si>
  <si>
    <t>1539553</t>
  </si>
  <si>
    <t>49.2</t>
  </si>
  <si>
    <t>17.29</t>
  </si>
  <si>
    <t>669</t>
  </si>
  <si>
    <t>5.01</t>
  </si>
  <si>
    <t>42</t>
  </si>
  <si>
    <t>2040.13</t>
  </si>
  <si>
    <t>200612</t>
  </si>
  <si>
    <t>673998</t>
  </si>
  <si>
    <t>13.46</t>
  </si>
  <si>
    <t>1588</t>
  </si>
  <si>
    <t>1.87</t>
  </si>
  <si>
    <t>13.97</t>
  </si>
  <si>
    <t>206.3</t>
  </si>
  <si>
    <t>20.06</t>
  </si>
  <si>
    <t>9278.6</t>
  </si>
  <si>
    <t>95601</t>
  </si>
  <si>
    <t>144075</t>
  </si>
  <si>
    <t>291.3</t>
  </si>
  <si>
    <t>10.66</t>
  </si>
  <si>
    <t>27.21</t>
  </si>
  <si>
    <t>145.74</t>
  </si>
  <si>
    <t>18.78</t>
  </si>
  <si>
    <t>8888</t>
  </si>
  <si>
    <t>261</t>
  </si>
  <si>
    <t>691</t>
  </si>
  <si>
    <t>11.26</t>
  </si>
  <si>
    <t>102.68</t>
  </si>
  <si>
    <t>15.16</t>
  </si>
  <si>
    <t>669.77</t>
  </si>
  <si>
    <t>62400</t>
  </si>
  <si>
    <t>123315</t>
  </si>
  <si>
    <t>63.1</t>
  </si>
  <si>
    <t>2.17</t>
  </si>
  <si>
    <t>15.97</t>
  </si>
  <si>
    <t>134.86</t>
  </si>
  <si>
    <t>2535.25</t>
  </si>
  <si>
    <t>172576</t>
  </si>
  <si>
    <t>331840</t>
  </si>
  <si>
    <t>329.3</t>
  </si>
  <si>
    <t>658</t>
  </si>
  <si>
    <t>13.92</t>
  </si>
  <si>
    <t>112.14</t>
  </si>
  <si>
    <t>107.41</t>
  </si>
  <si>
    <t>16.71</t>
  </si>
  <si>
    <t>1112.98</t>
  </si>
  <si>
    <t>115102</t>
  </si>
  <si>
    <t>257226</t>
  </si>
  <si>
    <t>119.1</t>
  </si>
  <si>
    <t>513</t>
  </si>
  <si>
    <t>2.04</t>
  </si>
  <si>
    <t>30.48</t>
  </si>
  <si>
    <t>8090.08</t>
  </si>
  <si>
    <t>131357</t>
  </si>
  <si>
    <t>390910</t>
  </si>
  <si>
    <t>254.4</t>
  </si>
  <si>
    <t>762</t>
  </si>
  <si>
    <t>5.17</t>
  </si>
  <si>
    <t>11.82</t>
  </si>
  <si>
    <t>329.33</t>
  </si>
  <si>
    <t>39.81</t>
  </si>
  <si>
    <t>6691.04</t>
  </si>
  <si>
    <t>428163</t>
  </si>
  <si>
    <t>1543495</t>
  </si>
  <si>
    <t>49.3</t>
  </si>
  <si>
    <t>5.76</t>
  </si>
  <si>
    <t>32.99</t>
  </si>
  <si>
    <t>450</t>
  </si>
  <si>
    <t>3.37</t>
  </si>
  <si>
    <t>161.83</t>
  </si>
  <si>
    <t>39.72</t>
  </si>
  <si>
    <t>2045.89</t>
  </si>
  <si>
    <t>201062</t>
  </si>
  <si>
    <t>675513</t>
  </si>
  <si>
    <t>1161</t>
  </si>
  <si>
    <t>96762</t>
  </si>
  <si>
    <t>146153</t>
  </si>
  <si>
    <t>263</t>
  </si>
  <si>
    <t>1095</t>
  </si>
  <si>
    <t>63723</t>
  </si>
  <si>
    <t>125612</t>
  </si>
  <si>
    <t>912</t>
  </si>
  <si>
    <t>173488</t>
  </si>
  <si>
    <t>333598</t>
  </si>
  <si>
    <t>115579</t>
  </si>
  <si>
    <t>258145</t>
  </si>
  <si>
    <t>560</t>
  </si>
  <si>
    <t>131917</t>
  </si>
  <si>
    <t>392064</t>
  </si>
  <si>
    <t>777</t>
  </si>
  <si>
    <t>428940</t>
  </si>
  <si>
    <t>1547512</t>
  </si>
  <si>
    <t>1561</t>
  </si>
  <si>
    <t>202623</t>
  </si>
  <si>
    <t>681642</t>
  </si>
  <si>
    <t>97734</t>
  </si>
  <si>
    <t>148058</t>
  </si>
  <si>
    <t>726</t>
  </si>
  <si>
    <t>64665</t>
  </si>
  <si>
    <t>127662</t>
  </si>
  <si>
    <t>801</t>
  </si>
  <si>
    <t>174289</t>
  </si>
  <si>
    <t>334891</t>
  </si>
  <si>
    <t>1309</t>
  </si>
  <si>
    <t>117004</t>
  </si>
  <si>
    <t>261327</t>
  </si>
  <si>
    <t>541</t>
  </si>
  <si>
    <t>132458</t>
  </si>
  <si>
    <t>393555</t>
  </si>
  <si>
    <t>1430</t>
  </si>
  <si>
    <t>441</t>
  </si>
  <si>
    <t>430370</t>
  </si>
  <si>
    <t>1555089</t>
  </si>
  <si>
    <t>792</t>
  </si>
  <si>
    <t>203415</t>
  </si>
  <si>
    <t>684681</t>
  </si>
  <si>
    <t>825</t>
  </si>
  <si>
    <t>431195</t>
  </si>
  <si>
    <t>1559739</t>
  </si>
  <si>
    <t>S33</t>
  </si>
  <si>
    <t>942</t>
  </si>
  <si>
    <t>98676</t>
  </si>
  <si>
    <t>149544</t>
  </si>
  <si>
    <t>1222</t>
  </si>
  <si>
    <t>65892</t>
  </si>
  <si>
    <t>130330</t>
  </si>
  <si>
    <t>794</t>
  </si>
  <si>
    <t>117812</t>
  </si>
  <si>
    <t>262668</t>
  </si>
  <si>
    <t>944</t>
  </si>
  <si>
    <t>133402</t>
  </si>
  <si>
    <t>396329</t>
  </si>
  <si>
    <t>432359</t>
  </si>
  <si>
    <t>1566104</t>
  </si>
  <si>
    <t>155</t>
  </si>
  <si>
    <t>203570</t>
  </si>
  <si>
    <t>685170</t>
  </si>
  <si>
    <t>99774</t>
  </si>
  <si>
    <t>151290</t>
  </si>
  <si>
    <t>Escavação</t>
  </si>
  <si>
    <t>1600</t>
  </si>
  <si>
    <t>67492</t>
  </si>
  <si>
    <t>134202</t>
  </si>
  <si>
    <t>702</t>
  </si>
  <si>
    <t>174991</t>
  </si>
  <si>
    <t>336394</t>
  </si>
  <si>
    <t>838</t>
  </si>
  <si>
    <t>118709</t>
  </si>
  <si>
    <t>264250</t>
  </si>
  <si>
    <t>662</t>
  </si>
  <si>
    <t>134064</t>
  </si>
  <si>
    <t>398166</t>
  </si>
  <si>
    <t>433160</t>
  </si>
  <si>
    <t>1570564</t>
  </si>
  <si>
    <t>25</t>
  </si>
  <si>
    <t>203595</t>
  </si>
  <si>
    <t>685229</t>
  </si>
  <si>
    <t>886</t>
  </si>
  <si>
    <t>100660</t>
  </si>
  <si>
    <t>152582</t>
  </si>
  <si>
    <t>2134</t>
  </si>
  <si>
    <t>69626</t>
  </si>
  <si>
    <t>139130</t>
  </si>
  <si>
    <t>514</t>
  </si>
  <si>
    <t>175505</t>
  </si>
  <si>
    <t>337244</t>
  </si>
  <si>
    <t>336</t>
  </si>
  <si>
    <t>679</t>
  </si>
  <si>
    <t>119561</t>
  </si>
  <si>
    <t>265499</t>
  </si>
  <si>
    <t>741</t>
  </si>
  <si>
    <t>134805</t>
  </si>
  <si>
    <t>400219</t>
  </si>
  <si>
    <t>434187</t>
  </si>
  <si>
    <t>1575090</t>
  </si>
  <si>
    <t>204678</t>
  </si>
  <si>
    <t>687820</t>
  </si>
  <si>
    <t>101604</t>
  </si>
  <si>
    <t>153865</t>
  </si>
  <si>
    <t>1784</t>
  </si>
  <si>
    <t>71410</t>
  </si>
  <si>
    <t>143178</t>
  </si>
  <si>
    <t>71</t>
  </si>
  <si>
    <t>703</t>
  </si>
  <si>
    <t>176208</t>
  </si>
  <si>
    <t>338803</t>
  </si>
  <si>
    <t>1118</t>
  </si>
  <si>
    <t>120679</t>
  </si>
  <si>
    <t>267427</t>
  </si>
  <si>
    <t>433</t>
  </si>
  <si>
    <t>135238</t>
  </si>
  <si>
    <t>401624</t>
  </si>
  <si>
    <t>1091</t>
  </si>
  <si>
    <t>435278</t>
  </si>
  <si>
    <t>1580128</t>
  </si>
  <si>
    <t>915</t>
  </si>
  <si>
    <t>205593</t>
  </si>
  <si>
    <t>691263</t>
  </si>
  <si>
    <t>102407</t>
  </si>
  <si>
    <t>155035</t>
  </si>
  <si>
    <t>1489</t>
  </si>
  <si>
    <t>72899</t>
  </si>
  <si>
    <t>146058</t>
  </si>
  <si>
    <t>148</t>
  </si>
  <si>
    <t>176356</t>
  </si>
  <si>
    <t>338953</t>
  </si>
  <si>
    <t>1039</t>
  </si>
  <si>
    <t>121718</t>
  </si>
  <si>
    <t>269368</t>
  </si>
  <si>
    <t>763</t>
  </si>
  <si>
    <t>136001</t>
  </si>
  <si>
    <t>404067</t>
  </si>
  <si>
    <t>436431</t>
  </si>
  <si>
    <t>1585119</t>
  </si>
  <si>
    <t>291</t>
  </si>
  <si>
    <t>206505</t>
  </si>
  <si>
    <t>694798</t>
  </si>
  <si>
    <t>102409</t>
  </si>
  <si>
    <t>633</t>
  </si>
  <si>
    <t>73532</t>
  </si>
  <si>
    <t>147456</t>
  </si>
  <si>
    <t>8</t>
  </si>
  <si>
    <t>1038</t>
  </si>
  <si>
    <t>177394</t>
  </si>
  <si>
    <t>340875</t>
  </si>
  <si>
    <t>301</t>
  </si>
  <si>
    <t>122019</t>
  </si>
  <si>
    <t>269907</t>
  </si>
  <si>
    <t>1293</t>
  </si>
  <si>
    <t>137294</t>
  </si>
  <si>
    <t>408182</t>
  </si>
  <si>
    <t>598</t>
  </si>
  <si>
    <t>437029</t>
  </si>
  <si>
    <t>1588095</t>
  </si>
  <si>
    <t>516</t>
  </si>
  <si>
    <t>207021</t>
  </si>
  <si>
    <t>696842</t>
  </si>
  <si>
    <t>177396</t>
  </si>
  <si>
    <t>340879</t>
  </si>
  <si>
    <t>S34</t>
  </si>
  <si>
    <t>798</t>
  </si>
  <si>
    <t>9348</t>
  </si>
  <si>
    <t>103207</t>
  </si>
  <si>
    <t>156001</t>
  </si>
  <si>
    <t>266</t>
  </si>
  <si>
    <t>1205</t>
  </si>
  <si>
    <t>74947</t>
  </si>
  <si>
    <t>150610</t>
  </si>
  <si>
    <t>178789</t>
  </si>
  <si>
    <t>343950</t>
  </si>
  <si>
    <t>1724</t>
  </si>
  <si>
    <t>123743</t>
  </si>
  <si>
    <t>273052</t>
  </si>
  <si>
    <t>138587</t>
  </si>
  <si>
    <t>411878</t>
  </si>
  <si>
    <t>438057</t>
  </si>
  <si>
    <t>1592724</t>
  </si>
  <si>
    <t>725</t>
  </si>
  <si>
    <t>207746</t>
  </si>
  <si>
    <t>699047</t>
  </si>
  <si>
    <t>104232</t>
  </si>
  <si>
    <t>157476</t>
  </si>
  <si>
    <t>7</t>
  </si>
  <si>
    <t>1010</t>
  </si>
  <si>
    <t>76237</t>
  </si>
  <si>
    <t>152785</t>
  </si>
  <si>
    <t>73</t>
  </si>
  <si>
    <t>1017</t>
  </si>
  <si>
    <t>179806</t>
  </si>
  <si>
    <t>346184</t>
  </si>
  <si>
    <t>1438</t>
  </si>
  <si>
    <t>125235</t>
  </si>
  <si>
    <t>276268</t>
  </si>
  <si>
    <t>1244</t>
  </si>
  <si>
    <t>139831</t>
  </si>
  <si>
    <t>415615</t>
  </si>
  <si>
    <t>2374</t>
  </si>
  <si>
    <t>438650</t>
  </si>
  <si>
    <t>1595098</t>
  </si>
  <si>
    <t>538</t>
  </si>
  <si>
    <t>104770</t>
  </si>
  <si>
    <t>158270</t>
  </si>
  <si>
    <t>755</t>
  </si>
  <si>
    <t>76992</t>
  </si>
  <si>
    <t>154069</t>
  </si>
  <si>
    <t>181011</t>
  </si>
  <si>
    <t>348775</t>
  </si>
  <si>
    <t>1475</t>
  </si>
  <si>
    <t>126710</t>
  </si>
  <si>
    <t>279150</t>
  </si>
  <si>
    <t>125</t>
  </si>
  <si>
    <t>987</t>
  </si>
  <si>
    <t>140818</t>
  </si>
  <si>
    <t>418772</t>
  </si>
  <si>
    <t>439405</t>
  </si>
  <si>
    <t>1598434</t>
  </si>
  <si>
    <t>958</t>
  </si>
  <si>
    <t>209306</t>
  </si>
  <si>
    <t>704570</t>
  </si>
  <si>
    <t>105071</t>
  </si>
  <si>
    <t>158758</t>
  </si>
  <si>
    <t>618</t>
  </si>
  <si>
    <t>77610</t>
  </si>
  <si>
    <t>154839</t>
  </si>
  <si>
    <t>895</t>
  </si>
  <si>
    <t>2617</t>
  </si>
  <si>
    <t>181906</t>
  </si>
  <si>
    <t>350391</t>
  </si>
  <si>
    <t>997</t>
  </si>
  <si>
    <t>127707</t>
  </si>
  <si>
    <t>281139</t>
  </si>
  <si>
    <t>903</t>
  </si>
  <si>
    <t>141721</t>
  </si>
  <si>
    <t>421060</t>
  </si>
  <si>
    <t>698</t>
  </si>
  <si>
    <t>210004</t>
  </si>
  <si>
    <t>706855</t>
  </si>
  <si>
    <t>807</t>
  </si>
  <si>
    <t>105878</t>
  </si>
  <si>
    <t>160069</t>
  </si>
  <si>
    <t>970</t>
  </si>
  <si>
    <t>78676</t>
  </si>
  <si>
    <t>156535</t>
  </si>
  <si>
    <t>1299</t>
  </si>
  <si>
    <t>183205</t>
  </si>
  <si>
    <t>353004</t>
  </si>
  <si>
    <t>565</t>
  </si>
  <si>
    <t>128272</t>
  </si>
  <si>
    <t>282320</t>
  </si>
  <si>
    <t>1515</t>
  </si>
  <si>
    <t>143236</t>
  </si>
  <si>
    <t>426465</t>
  </si>
  <si>
    <t>259</t>
  </si>
  <si>
    <t>185</t>
  </si>
  <si>
    <t>439590</t>
  </si>
  <si>
    <t>1599191</t>
  </si>
  <si>
    <t>210483</t>
  </si>
  <si>
    <t>708602</t>
  </si>
  <si>
    <t>106823</t>
  </si>
  <si>
    <t>161692</t>
  </si>
  <si>
    <t>293</t>
  </si>
  <si>
    <t>79288</t>
  </si>
  <si>
    <t>157501</t>
  </si>
  <si>
    <t>826</t>
  </si>
  <si>
    <t>184031</t>
  </si>
  <si>
    <t>354824</t>
  </si>
  <si>
    <t>615</t>
  </si>
  <si>
    <t>129060</t>
  </si>
  <si>
    <t>283696</t>
  </si>
  <si>
    <t>1328</t>
  </si>
  <si>
    <t>144564</t>
  </si>
  <si>
    <t>431591</t>
  </si>
  <si>
    <t>123</t>
  </si>
  <si>
    <t>29</t>
  </si>
  <si>
    <t>439713</t>
  </si>
  <si>
    <t>1599578</t>
  </si>
  <si>
    <t>211098</t>
  </si>
  <si>
    <t>710536</t>
  </si>
  <si>
    <t>S35</t>
  </si>
  <si>
    <t>217</t>
  </si>
  <si>
    <t>107040</t>
  </si>
  <si>
    <t>162029</t>
  </si>
  <si>
    <t>559</t>
  </si>
  <si>
    <t>79900</t>
  </si>
  <si>
    <t>158471</t>
  </si>
  <si>
    <t>752</t>
  </si>
  <si>
    <t>184783</t>
  </si>
  <si>
    <t>356218</t>
  </si>
  <si>
    <t>341</t>
  </si>
  <si>
    <t>1408</t>
  </si>
  <si>
    <t>130468</t>
  </si>
  <si>
    <t>286816</t>
  </si>
  <si>
    <t>22</t>
  </si>
  <si>
    <t>145634</t>
  </si>
  <si>
    <t>435390</t>
  </si>
  <si>
    <t>440454</t>
  </si>
  <si>
    <t>1602863</t>
  </si>
  <si>
    <t>580</t>
  </si>
  <si>
    <t>211680</t>
  </si>
  <si>
    <t>712726</t>
  </si>
  <si>
    <t>925</t>
  </si>
  <si>
    <t>80825</t>
  </si>
  <si>
    <t>160104</t>
  </si>
  <si>
    <t>1018</t>
  </si>
  <si>
    <t>185801</t>
  </si>
  <si>
    <t>358698</t>
  </si>
  <si>
    <t>428</t>
  </si>
  <si>
    <t>130896</t>
  </si>
  <si>
    <t>287853</t>
  </si>
  <si>
    <t>1452</t>
  </si>
  <si>
    <t>147086</t>
  </si>
  <si>
    <t>440936</t>
  </si>
  <si>
    <t>873</t>
  </si>
  <si>
    <t>441327</t>
  </si>
  <si>
    <t>1606153</t>
  </si>
  <si>
    <t>523</t>
  </si>
  <si>
    <t>212203</t>
  </si>
  <si>
    <t>714662</t>
  </si>
  <si>
    <t>453</t>
  </si>
  <si>
    <t>107493</t>
  </si>
  <si>
    <t>162592</t>
  </si>
  <si>
    <t>1194</t>
  </si>
  <si>
    <t>82293</t>
  </si>
  <si>
    <t>162738</t>
  </si>
  <si>
    <t>1224</t>
  </si>
  <si>
    <t>187025</t>
  </si>
  <si>
    <t>361537</t>
  </si>
  <si>
    <t>357</t>
  </si>
  <si>
    <t>131293</t>
  </si>
  <si>
    <t>288652</t>
  </si>
  <si>
    <t>1468</t>
  </si>
  <si>
    <t>148554</t>
  </si>
  <si>
    <t>446228</t>
  </si>
  <si>
    <t>1253</t>
  </si>
  <si>
    <t>442580</t>
  </si>
  <si>
    <t>1611557</t>
  </si>
  <si>
    <t>561</t>
  </si>
  <si>
    <t>212764</t>
  </si>
  <si>
    <t>716374</t>
  </si>
  <si>
    <t>1069</t>
  </si>
  <si>
    <t>108562</t>
  </si>
  <si>
    <t>164010</t>
  </si>
  <si>
    <t>732</t>
  </si>
  <si>
    <t>83025</t>
  </si>
  <si>
    <t>164321</t>
  </si>
  <si>
    <t>83</t>
  </si>
  <si>
    <t>1184</t>
  </si>
  <si>
    <t>188209</t>
  </si>
  <si>
    <t>364050</t>
  </si>
  <si>
    <t>548</t>
  </si>
  <si>
    <t>131894</t>
  </si>
  <si>
    <t>289953</t>
  </si>
  <si>
    <t>1519</t>
  </si>
  <si>
    <t>150073</t>
  </si>
  <si>
    <t>450948</t>
  </si>
  <si>
    <t>907</t>
  </si>
  <si>
    <t>443487</t>
  </si>
  <si>
    <t>1615397</t>
  </si>
  <si>
    <t>373</t>
  </si>
  <si>
    <t>213137</t>
  </si>
  <si>
    <t>717623</t>
  </si>
  <si>
    <t>1245</t>
  </si>
  <si>
    <t>109807</t>
  </si>
  <si>
    <t>165823</t>
  </si>
  <si>
    <t>83920</t>
  </si>
  <si>
    <t>166048</t>
  </si>
  <si>
    <t>340</t>
  </si>
  <si>
    <t>188549</t>
  </si>
  <si>
    <t>364684</t>
  </si>
  <si>
    <t>1521</t>
  </si>
  <si>
    <t>133575</t>
  </si>
  <si>
    <t>293581</t>
  </si>
  <si>
    <t>631</t>
  </si>
  <si>
    <t>150704</t>
  </si>
  <si>
    <t>453110</t>
  </si>
  <si>
    <t>444786</t>
  </si>
  <si>
    <t>1621348</t>
  </si>
  <si>
    <t>535</t>
  </si>
  <si>
    <t>213677</t>
  </si>
  <si>
    <t>719340</t>
  </si>
  <si>
    <t>774</t>
  </si>
  <si>
    <t>110581</t>
  </si>
  <si>
    <t>167147</t>
  </si>
  <si>
    <t>713</t>
  </si>
  <si>
    <t>84633</t>
  </si>
  <si>
    <t>167559</t>
  </si>
  <si>
    <t>1004</t>
  </si>
  <si>
    <t>189553</t>
  </si>
  <si>
    <t>366912</t>
  </si>
  <si>
    <t>1540</t>
  </si>
  <si>
    <t>135115</t>
  </si>
  <si>
    <t>297074</t>
  </si>
  <si>
    <t>150955</t>
  </si>
  <si>
    <t>454008</t>
  </si>
  <si>
    <t>829</t>
  </si>
  <si>
    <t>445615</t>
  </si>
  <si>
    <t>1625439</t>
  </si>
  <si>
    <t>386</t>
  </si>
  <si>
    <t>214064</t>
  </si>
  <si>
    <t>720405</t>
  </si>
  <si>
    <t>446017</t>
  </si>
  <si>
    <t>1627215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</si>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</sst>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2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5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35" formatCode="_-* #,##0.00_-;\-* #,##0.00_-;_-* &quot;-&quot;??_-;_-@_-"/>
    </dxf>
  </dxfs>
  <tableStyles count="0" defaultTableStyle="TableStyleMedium2" defaultPivotStyle="PivotStyleLight16"/>
  <colors>
    <mruColors>
      <color rgb="FF1F4E78"/>
      <color rgb="FFDD941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</c:pivotFmt>
      <c:pivotFmt>
        <c:idx val="4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8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</c:pivotFmt>
      <c:pivotFmt>
        <c:idx val="6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3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4522821576763482E-2"/>
              <c:y val="-6.6666666666666693E-2"/>
            </c:manualLayout>
          </c:layout>
          <c:numFmt formatCode="_(* #,##0_);_(* \(#,##0\);_(* &quot;-&quot;_);_(@_)" sourceLinked="0"/>
          <c:spPr>
            <a:solidFill>
              <a:srgbClr val="1F4E78"/>
            </a:solidFill>
            <a:ln>
              <a:solidFill>
                <a:srgbClr val="1F4E78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6.6721991701244807E-2"/>
                  <c:h val="3.9176573516545722E-2"/>
                </c:manualLayout>
              </c15:layout>
            </c:ext>
          </c:extLst>
        </c:dLbl>
      </c:pivotFmt>
      <c:pivotFmt>
        <c:idx val="7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D-EE97-4EF7-B161-BD3AFA75EFCB}"/>
              </c:ext>
            </c:extLst>
          </c:dPt>
          <c:dLbls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E97-4EF7-B161-BD3AFA75EFC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TabDin!$A$4:$A$181</c:f>
              <c:multiLvlStrCache>
                <c:ptCount val="143"/>
                <c:lvl>
                  <c:pt idx="0">
                    <c:v>23/08/2026</c:v>
                  </c:pt>
                  <c:pt idx="1">
                    <c:v>16/08/2026</c:v>
                  </c:pt>
                  <c:pt idx="2">
                    <c:v>15/08/2026</c:v>
                  </c:pt>
                  <c:pt idx="3">
                    <c:v>09/08/2026</c:v>
                  </c:pt>
                  <c:pt idx="4">
                    <c:v>04/08/2026</c:v>
                  </c:pt>
                  <c:pt idx="5">
                    <c:v>02/08/2026</c:v>
                  </c:pt>
                  <c:pt idx="6">
                    <c:v>31/07/2026</c:v>
                  </c:pt>
                  <c:pt idx="7">
                    <c:v>30/07/2026</c:v>
                  </c:pt>
                  <c:pt idx="8">
                    <c:v>29/07/2026</c:v>
                  </c:pt>
                  <c:pt idx="9">
                    <c:v>28/07/2026</c:v>
                  </c:pt>
                  <c:pt idx="10">
                    <c:v>27/07/2026</c:v>
                  </c:pt>
                  <c:pt idx="11">
                    <c:v>26/07/2026</c:v>
                  </c:pt>
                  <c:pt idx="12">
                    <c:v>23/07/2026</c:v>
                  </c:pt>
                  <c:pt idx="13">
                    <c:v>22/07/2026</c:v>
                  </c:pt>
                  <c:pt idx="14">
                    <c:v>21/07/2026</c:v>
                  </c:pt>
                  <c:pt idx="15">
                    <c:v>19/07/2026</c:v>
                  </c:pt>
                  <c:pt idx="16">
                    <c:v>15/07/2026</c:v>
                  </c:pt>
                  <c:pt idx="17">
                    <c:v>13/07/2026</c:v>
                  </c:pt>
                  <c:pt idx="18">
                    <c:v>12/07/2026</c:v>
                  </c:pt>
                  <c:pt idx="19">
                    <c:v>07/07/2026</c:v>
                  </c:pt>
                  <c:pt idx="20">
                    <c:v>06/07/2026</c:v>
                  </c:pt>
                  <c:pt idx="21">
                    <c:v>05/07/2026</c:v>
                  </c:pt>
                  <c:pt idx="22">
                    <c:v>01/07/2026</c:v>
                  </c:pt>
                  <c:pt idx="23">
                    <c:v>30/06/2026</c:v>
                  </c:pt>
                  <c:pt idx="24">
                    <c:v>29/06/2026</c:v>
                  </c:pt>
                  <c:pt idx="25">
                    <c:v>28/06/2026</c:v>
                  </c:pt>
                  <c:pt idx="26">
                    <c:v>27/06/2026</c:v>
                  </c:pt>
                  <c:pt idx="27">
                    <c:v>26/06/2026</c:v>
                  </c:pt>
                  <c:pt idx="28">
                    <c:v>25/06/2026</c:v>
                  </c:pt>
                  <c:pt idx="29">
                    <c:v>24/06/2026</c:v>
                  </c:pt>
                  <c:pt idx="30">
                    <c:v>23/06/2026</c:v>
                  </c:pt>
                  <c:pt idx="31">
                    <c:v>22/06/2026</c:v>
                  </c:pt>
                  <c:pt idx="32">
                    <c:v>21/06/2026</c:v>
                  </c:pt>
                  <c:pt idx="33">
                    <c:v>20/06/2026</c:v>
                  </c:pt>
                  <c:pt idx="34">
                    <c:v>18/06/2026</c:v>
                  </c:pt>
                  <c:pt idx="35">
                    <c:v>17/06/2026</c:v>
                  </c:pt>
                  <c:pt idx="36">
                    <c:v>15/06/2026</c:v>
                  </c:pt>
                  <c:pt idx="37">
                    <c:v>14/06/2026</c:v>
                  </c:pt>
                  <c:pt idx="38">
                    <c:v>12/06/2026</c:v>
                  </c:pt>
                  <c:pt idx="39">
                    <c:v>10/06/2026</c:v>
                  </c:pt>
                  <c:pt idx="40">
                    <c:v>08/06/2026</c:v>
                  </c:pt>
                  <c:pt idx="41">
                    <c:v>07/06/2026</c:v>
                  </c:pt>
                  <c:pt idx="42">
                    <c:v>06/06/2026</c:v>
                  </c:pt>
                  <c:pt idx="43">
                    <c:v>31/05/2026</c:v>
                  </c:pt>
                  <c:pt idx="44">
                    <c:v>24/05/2026</c:v>
                  </c:pt>
                  <c:pt idx="45">
                    <c:v>21/05/2026</c:v>
                  </c:pt>
                  <c:pt idx="46">
                    <c:v>17/05/2026</c:v>
                  </c:pt>
                  <c:pt idx="47">
                    <c:v>13/05/2026</c:v>
                  </c:pt>
                  <c:pt idx="48">
                    <c:v>10/05/2026</c:v>
                  </c:pt>
                  <c:pt idx="49">
                    <c:v>09/05/2026</c:v>
                  </c:pt>
                  <c:pt idx="50">
                    <c:v>08/05/2026</c:v>
                  </c:pt>
                  <c:pt idx="51">
                    <c:v>07/05/2026</c:v>
                  </c:pt>
                  <c:pt idx="52">
                    <c:v>06/05/2026</c:v>
                  </c:pt>
                  <c:pt idx="53">
                    <c:v>05/05/2026</c:v>
                  </c:pt>
                  <c:pt idx="54">
                    <c:v>04/05/2026</c:v>
                  </c:pt>
                  <c:pt idx="55">
                    <c:v>16/05/2026</c:v>
                  </c:pt>
                  <c:pt idx="56">
                    <c:v>15/05/2026</c:v>
                  </c:pt>
                  <c:pt idx="57">
                    <c:v>14/05/2026</c:v>
                  </c:pt>
                  <c:pt idx="58">
                    <c:v>12/05/2026</c:v>
                  </c:pt>
                  <c:pt idx="59">
                    <c:v>11/05/2026</c:v>
                  </c:pt>
                  <c:pt idx="60">
                    <c:v>23/05/2026</c:v>
                  </c:pt>
                  <c:pt idx="61">
                    <c:v>22/05/2026</c:v>
                  </c:pt>
                  <c:pt idx="62">
                    <c:v>21/05/2026</c:v>
                  </c:pt>
                  <c:pt idx="63">
                    <c:v>20/05/2026</c:v>
                  </c:pt>
                  <c:pt idx="64">
                    <c:v>19/05/2026</c:v>
                  </c:pt>
                  <c:pt idx="65">
                    <c:v>18/05/2026</c:v>
                  </c:pt>
                  <c:pt idx="66">
                    <c:v>30/05/2026</c:v>
                  </c:pt>
                  <c:pt idx="67">
                    <c:v>29/05/2026</c:v>
                  </c:pt>
                  <c:pt idx="68">
                    <c:v>28/05/2026</c:v>
                  </c:pt>
                  <c:pt idx="69">
                    <c:v>27/05/2026</c:v>
                  </c:pt>
                  <c:pt idx="70">
                    <c:v>26/05/2026</c:v>
                  </c:pt>
                  <c:pt idx="71">
                    <c:v>25/05/2026</c:v>
                  </c:pt>
                  <c:pt idx="72">
                    <c:v>06/06/2026</c:v>
                  </c:pt>
                  <c:pt idx="73">
                    <c:v>05/06/2026</c:v>
                  </c:pt>
                  <c:pt idx="74">
                    <c:v>04/06/2026</c:v>
                  </c:pt>
                  <c:pt idx="75">
                    <c:v>03/06/2026</c:v>
                  </c:pt>
                  <c:pt idx="76">
                    <c:v>02/06/2026</c:v>
                  </c:pt>
                  <c:pt idx="77">
                    <c:v>01/06/2026</c:v>
                  </c:pt>
                  <c:pt idx="78">
                    <c:v>13/06/2026</c:v>
                  </c:pt>
                  <c:pt idx="79">
                    <c:v>12/06/2026</c:v>
                  </c:pt>
                  <c:pt idx="80">
                    <c:v>11/06/2026</c:v>
                  </c:pt>
                  <c:pt idx="81">
                    <c:v>10/06/2026</c:v>
                  </c:pt>
                  <c:pt idx="82">
                    <c:v>09/06/2026</c:v>
                  </c:pt>
                  <c:pt idx="83">
                    <c:v>08/06/2026</c:v>
                  </c:pt>
                  <c:pt idx="84">
                    <c:v>20/06/2026</c:v>
                  </c:pt>
                  <c:pt idx="85">
                    <c:v>19/06/2026</c:v>
                  </c:pt>
                  <c:pt idx="86">
                    <c:v>18/06/2026</c:v>
                  </c:pt>
                  <c:pt idx="87">
                    <c:v>17/06/2026</c:v>
                  </c:pt>
                  <c:pt idx="88">
                    <c:v>16/06/2026</c:v>
                  </c:pt>
                  <c:pt idx="89">
                    <c:v>15/06/2026</c:v>
                  </c:pt>
                  <c:pt idx="90">
                    <c:v>27/06/2026</c:v>
                  </c:pt>
                  <c:pt idx="91">
                    <c:v>26/06/2026</c:v>
                  </c:pt>
                  <c:pt idx="92">
                    <c:v>25/06/2026</c:v>
                  </c:pt>
                  <c:pt idx="93">
                    <c:v>24/06/2026</c:v>
                  </c:pt>
                  <c:pt idx="94">
                    <c:v>23/06/2026</c:v>
                  </c:pt>
                  <c:pt idx="95">
                    <c:v>22/06/2026</c:v>
                  </c:pt>
                  <c:pt idx="96">
                    <c:v>04/07/2026</c:v>
                  </c:pt>
                  <c:pt idx="97">
                    <c:v>03/07/2026</c:v>
                  </c:pt>
                  <c:pt idx="98">
                    <c:v>02/07/2026</c:v>
                  </c:pt>
                  <c:pt idx="99">
                    <c:v>01/07/2026</c:v>
                  </c:pt>
                  <c:pt idx="100">
                    <c:v>30/06/2026</c:v>
                  </c:pt>
                  <c:pt idx="101">
                    <c:v>11/07/2026</c:v>
                  </c:pt>
                  <c:pt idx="102">
                    <c:v>10/07/2026</c:v>
                  </c:pt>
                  <c:pt idx="103">
                    <c:v>09/07/2026</c:v>
                  </c:pt>
                  <c:pt idx="104">
                    <c:v>08/07/2026</c:v>
                  </c:pt>
                  <c:pt idx="105">
                    <c:v>07/07/2026</c:v>
                  </c:pt>
                  <c:pt idx="106">
                    <c:v>06/07/2026</c:v>
                  </c:pt>
                  <c:pt idx="107">
                    <c:v>18/07/2026</c:v>
                  </c:pt>
                  <c:pt idx="108">
                    <c:v>17/07/2026</c:v>
                  </c:pt>
                  <c:pt idx="109">
                    <c:v>16/07/2026</c:v>
                  </c:pt>
                  <c:pt idx="110">
                    <c:v>15/07/2026</c:v>
                  </c:pt>
                  <c:pt idx="111">
                    <c:v>14/07/2026</c:v>
                  </c:pt>
                  <c:pt idx="112">
                    <c:v>13/07/2026</c:v>
                  </c:pt>
                  <c:pt idx="113">
                    <c:v>25/07/2026</c:v>
                  </c:pt>
                  <c:pt idx="114">
                    <c:v>24/07/2026</c:v>
                  </c:pt>
                  <c:pt idx="115">
                    <c:v>23/07/2026</c:v>
                  </c:pt>
                  <c:pt idx="116">
                    <c:v>22/07/2026</c:v>
                  </c:pt>
                  <c:pt idx="117">
                    <c:v>21/07/2026</c:v>
                  </c:pt>
                  <c:pt idx="118">
                    <c:v>20/07/2026</c:v>
                  </c:pt>
                  <c:pt idx="119">
                    <c:v>01/08/2026</c:v>
                  </c:pt>
                  <c:pt idx="120">
                    <c:v>31/07/2026</c:v>
                  </c:pt>
                  <c:pt idx="121">
                    <c:v>30/07/2026</c:v>
                  </c:pt>
                  <c:pt idx="122">
                    <c:v>29/07/2026</c:v>
                  </c:pt>
                  <c:pt idx="123">
                    <c:v>28/07/2026</c:v>
                  </c:pt>
                  <c:pt idx="124">
                    <c:v>27/07/2026</c:v>
                  </c:pt>
                  <c:pt idx="125">
                    <c:v>08/08/2026</c:v>
                  </c:pt>
                  <c:pt idx="126">
                    <c:v>07/08/2026</c:v>
                  </c:pt>
                  <c:pt idx="127">
                    <c:v>06/08/2026</c:v>
                  </c:pt>
                  <c:pt idx="128">
                    <c:v>05/08/2026</c:v>
                  </c:pt>
                  <c:pt idx="129">
                    <c:v>04/08/2026</c:v>
                  </c:pt>
                  <c:pt idx="130">
                    <c:v>03/08/2026</c:v>
                  </c:pt>
                  <c:pt idx="131">
                    <c:v>15/08/2026</c:v>
                  </c:pt>
                  <c:pt idx="132">
                    <c:v>14/08/2026</c:v>
                  </c:pt>
                  <c:pt idx="133">
                    <c:v>13/08/2026</c:v>
                  </c:pt>
                  <c:pt idx="134">
                    <c:v>12/08/2026</c:v>
                  </c:pt>
                  <c:pt idx="135">
                    <c:v>11/08/2026</c:v>
                  </c:pt>
                  <c:pt idx="136">
                    <c:v>10/08/2026</c:v>
                  </c:pt>
                  <c:pt idx="137">
                    <c:v>22/08/2026</c:v>
                  </c:pt>
                  <c:pt idx="138">
                    <c:v>21/08/2026</c:v>
                  </c:pt>
                  <c:pt idx="139">
                    <c:v>20/08/2026</c:v>
                  </c:pt>
                  <c:pt idx="140">
                    <c:v>19/08/2026</c:v>
                  </c:pt>
                  <c:pt idx="141">
                    <c:v>18/08/2026</c:v>
                  </c:pt>
                  <c:pt idx="142">
                    <c:v>17/08/2026</c:v>
                  </c:pt>
                </c:lvl>
                <c:lvl>
                  <c:pt idx="0">
                    <c:v>Produção</c:v>
                  </c:pt>
                  <c:pt idx="49">
                    <c:v>Produção</c:v>
                  </c:pt>
                  <c:pt idx="55">
                    <c:v>Produção</c:v>
                  </c:pt>
                  <c:pt idx="60">
                    <c:v>Produção</c:v>
                  </c:pt>
                  <c:pt idx="66">
                    <c:v>Produção</c:v>
                  </c:pt>
                  <c:pt idx="72">
                    <c:v>Produção</c:v>
                  </c:pt>
                  <c:pt idx="78">
                    <c:v>Produção</c:v>
                  </c:pt>
                  <c:pt idx="84">
                    <c:v>Produção</c:v>
                  </c:pt>
                  <c:pt idx="90">
                    <c:v>Produção</c:v>
                  </c:pt>
                  <c:pt idx="96">
                    <c:v>Produção</c:v>
                  </c:pt>
                  <c:pt idx="101">
                    <c:v>Produção</c:v>
                  </c:pt>
                  <c:pt idx="107">
                    <c:v>Produção</c:v>
                  </c:pt>
                  <c:pt idx="113">
                    <c:v>Produção</c:v>
                  </c:pt>
                  <c:pt idx="119">
                    <c:v>Produção</c:v>
                  </c:pt>
                  <c:pt idx="125">
                    <c:v>Produção</c:v>
                  </c:pt>
                  <c:pt idx="131">
                    <c:v>Produção</c:v>
                  </c:pt>
                  <c:pt idx="137">
                    <c:v>Produção</c:v>
                  </c:pt>
                </c:lvl>
                <c:lvl>
                  <c:pt idx="0">
                    <c:v>Dia Não Operacional</c:v>
                  </c:pt>
                  <c:pt idx="49">
                    <c:v>S19</c:v>
                  </c:pt>
                  <c:pt idx="55">
                    <c:v>S20</c:v>
                  </c:pt>
                  <c:pt idx="60">
                    <c:v>S21</c:v>
                  </c:pt>
                  <c:pt idx="66">
                    <c:v>S22</c:v>
                  </c:pt>
                  <c:pt idx="72">
                    <c:v>S23</c:v>
                  </c:pt>
                  <c:pt idx="78">
                    <c:v>S24</c:v>
                  </c:pt>
                  <c:pt idx="84">
                    <c:v>S25</c:v>
                  </c:pt>
                  <c:pt idx="90">
                    <c:v>S26</c:v>
                  </c:pt>
                  <c:pt idx="96">
                    <c:v>S27</c:v>
                  </c:pt>
                  <c:pt idx="101">
                    <c:v>S28</c:v>
                  </c:pt>
                  <c:pt idx="107">
                    <c:v>S29</c:v>
                  </c:pt>
                  <c:pt idx="113">
                    <c:v>S30</c:v>
                  </c:pt>
                  <c:pt idx="119">
                    <c:v>S31</c:v>
                  </c:pt>
                  <c:pt idx="125">
                    <c:v>S32</c:v>
                  </c:pt>
                  <c:pt idx="131">
                    <c:v>S33</c:v>
                  </c:pt>
                  <c:pt idx="137">
                    <c:v>S34</c:v>
                  </c:pt>
                </c:lvl>
              </c:multiLvlStrCache>
            </c:multiLvlStrRef>
          </c:cat>
          <c:val>
            <c:numRef>
              <c:f>TabDin!$C$4:$C$181</c:f>
              <c:numCache>
                <c:formatCode>_(* #,##0.00_);_(* \(#,##0.00\);_(* "-"??_);_(@_)</c:formatCode>
                <c:ptCount val="1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1296</c:v>
                </c:pt>
                <c:pt idx="29">
                  <c:v>0</c:v>
                </c:pt>
                <c:pt idx="30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2100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3853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3730</c:v>
                </c:pt>
                <c:pt idx="50">
                  <c:v>5774</c:v>
                </c:pt>
                <c:pt idx="51">
                  <c:v>4670</c:v>
                </c:pt>
                <c:pt idx="52">
                  <c:v>3942</c:v>
                </c:pt>
                <c:pt idx="53">
                  <c:v>5905</c:v>
                </c:pt>
                <c:pt idx="54">
                  <c:v>6571</c:v>
                </c:pt>
                <c:pt idx="55">
                  <c:v>2378</c:v>
                </c:pt>
                <c:pt idx="56">
                  <c:v>5481</c:v>
                </c:pt>
                <c:pt idx="57">
                  <c:v>6222</c:v>
                </c:pt>
                <c:pt idx="58">
                  <c:v>5949</c:v>
                </c:pt>
                <c:pt idx="59">
                  <c:v>3615</c:v>
                </c:pt>
                <c:pt idx="60">
                  <c:v>7593</c:v>
                </c:pt>
                <c:pt idx="61">
                  <c:v>6487</c:v>
                </c:pt>
                <c:pt idx="62">
                  <c:v>0</c:v>
                </c:pt>
                <c:pt idx="63">
                  <c:v>3587</c:v>
                </c:pt>
                <c:pt idx="64">
                  <c:v>4601</c:v>
                </c:pt>
                <c:pt idx="65">
                  <c:v>4602</c:v>
                </c:pt>
                <c:pt idx="66">
                  <c:v>7390</c:v>
                </c:pt>
                <c:pt idx="67">
                  <c:v>8886</c:v>
                </c:pt>
                <c:pt idx="68">
                  <c:v>8857</c:v>
                </c:pt>
                <c:pt idx="69">
                  <c:v>7325</c:v>
                </c:pt>
                <c:pt idx="70">
                  <c:v>9500</c:v>
                </c:pt>
                <c:pt idx="71">
                  <c:v>11690</c:v>
                </c:pt>
                <c:pt idx="72">
                  <c:v>8900</c:v>
                </c:pt>
                <c:pt idx="73">
                  <c:v>9823</c:v>
                </c:pt>
                <c:pt idx="74">
                  <c:v>8886</c:v>
                </c:pt>
                <c:pt idx="75">
                  <c:v>6811</c:v>
                </c:pt>
                <c:pt idx="76">
                  <c:v>9739</c:v>
                </c:pt>
                <c:pt idx="77">
                  <c:v>8964</c:v>
                </c:pt>
                <c:pt idx="78">
                  <c:v>7958</c:v>
                </c:pt>
                <c:pt idx="79">
                  <c:v>9583</c:v>
                </c:pt>
                <c:pt idx="80">
                  <c:v>15571</c:v>
                </c:pt>
                <c:pt idx="81">
                  <c:v>9611</c:v>
                </c:pt>
                <c:pt idx="82">
                  <c:v>7279</c:v>
                </c:pt>
                <c:pt idx="83">
                  <c:v>7132</c:v>
                </c:pt>
                <c:pt idx="84">
                  <c:v>2051</c:v>
                </c:pt>
                <c:pt idx="85">
                  <c:v>13426</c:v>
                </c:pt>
                <c:pt idx="86">
                  <c:v>10750</c:v>
                </c:pt>
                <c:pt idx="87">
                  <c:v>12225</c:v>
                </c:pt>
                <c:pt idx="88">
                  <c:v>12487</c:v>
                </c:pt>
                <c:pt idx="89">
                  <c:v>7356</c:v>
                </c:pt>
                <c:pt idx="90">
                  <c:v>10231</c:v>
                </c:pt>
                <c:pt idx="91">
                  <c:v>14997</c:v>
                </c:pt>
                <c:pt idx="92">
                  <c:v>12178</c:v>
                </c:pt>
                <c:pt idx="93">
                  <c:v>10528</c:v>
                </c:pt>
                <c:pt idx="94">
                  <c:v>6738</c:v>
                </c:pt>
                <c:pt idx="95">
                  <c:v>10670</c:v>
                </c:pt>
                <c:pt idx="96">
                  <c:v>6902</c:v>
                </c:pt>
                <c:pt idx="97">
                  <c:v>8255</c:v>
                </c:pt>
                <c:pt idx="98">
                  <c:v>11103</c:v>
                </c:pt>
                <c:pt idx="99">
                  <c:v>8159</c:v>
                </c:pt>
                <c:pt idx="100">
                  <c:v>9222</c:v>
                </c:pt>
                <c:pt idx="101">
                  <c:v>8255</c:v>
                </c:pt>
                <c:pt idx="102">
                  <c:v>15211</c:v>
                </c:pt>
                <c:pt idx="103">
                  <c:v>14019</c:v>
                </c:pt>
                <c:pt idx="104">
                  <c:v>16463</c:v>
                </c:pt>
                <c:pt idx="105">
                  <c:v>15949</c:v>
                </c:pt>
                <c:pt idx="106">
                  <c:v>17980</c:v>
                </c:pt>
                <c:pt idx="107">
                  <c:v>10654</c:v>
                </c:pt>
                <c:pt idx="108">
                  <c:v>21400</c:v>
                </c:pt>
                <c:pt idx="109">
                  <c:v>20676</c:v>
                </c:pt>
                <c:pt idx="110">
                  <c:v>16424</c:v>
                </c:pt>
                <c:pt idx="111">
                  <c:v>11845</c:v>
                </c:pt>
                <c:pt idx="112">
                  <c:v>10510</c:v>
                </c:pt>
                <c:pt idx="113">
                  <c:v>11074</c:v>
                </c:pt>
                <c:pt idx="114">
                  <c:v>16640</c:v>
                </c:pt>
                <c:pt idx="115">
                  <c:v>14376</c:v>
                </c:pt>
                <c:pt idx="116">
                  <c:v>17851</c:v>
                </c:pt>
                <c:pt idx="117">
                  <c:v>14762</c:v>
                </c:pt>
                <c:pt idx="118">
                  <c:v>13656</c:v>
                </c:pt>
                <c:pt idx="119">
                  <c:v>10880</c:v>
                </c:pt>
                <c:pt idx="120">
                  <c:v>13206</c:v>
                </c:pt>
                <c:pt idx="121">
                  <c:v>13528</c:v>
                </c:pt>
                <c:pt idx="122">
                  <c:v>13669</c:v>
                </c:pt>
                <c:pt idx="123">
                  <c:v>8290</c:v>
                </c:pt>
                <c:pt idx="124">
                  <c:v>13823</c:v>
                </c:pt>
                <c:pt idx="125">
                  <c:v>9967</c:v>
                </c:pt>
                <c:pt idx="126">
                  <c:v>13601</c:v>
                </c:pt>
                <c:pt idx="127">
                  <c:v>12983</c:v>
                </c:pt>
                <c:pt idx="128">
                  <c:v>13036</c:v>
                </c:pt>
                <c:pt idx="129">
                  <c:v>10698</c:v>
                </c:pt>
                <c:pt idx="130">
                  <c:v>15401</c:v>
                </c:pt>
                <c:pt idx="131">
                  <c:v>10018</c:v>
                </c:pt>
                <c:pt idx="132">
                  <c:v>12349</c:v>
                </c:pt>
                <c:pt idx="133">
                  <c:v>12708</c:v>
                </c:pt>
                <c:pt idx="134">
                  <c:v>12153</c:v>
                </c:pt>
                <c:pt idx="135">
                  <c:v>5587</c:v>
                </c:pt>
                <c:pt idx="136">
                  <c:v>8861</c:v>
                </c:pt>
                <c:pt idx="137">
                  <c:v>11997</c:v>
                </c:pt>
                <c:pt idx="138">
                  <c:v>13011</c:v>
                </c:pt>
                <c:pt idx="139">
                  <c:v>9223</c:v>
                </c:pt>
                <c:pt idx="140">
                  <c:v>13317</c:v>
                </c:pt>
                <c:pt idx="141">
                  <c:v>14465</c:v>
                </c:pt>
                <c:pt idx="142">
                  <c:v>16130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TabDin!$A$4:$A$181</c:f>
              <c:multiLvlStrCache>
                <c:ptCount val="143"/>
                <c:lvl>
                  <c:pt idx="0">
                    <c:v>23/08/2026</c:v>
                  </c:pt>
                  <c:pt idx="1">
                    <c:v>16/08/2026</c:v>
                  </c:pt>
                  <c:pt idx="2">
                    <c:v>15/08/2026</c:v>
                  </c:pt>
                  <c:pt idx="3">
                    <c:v>09/08/2026</c:v>
                  </c:pt>
                  <c:pt idx="4">
                    <c:v>04/08/2026</c:v>
                  </c:pt>
                  <c:pt idx="5">
                    <c:v>02/08/2026</c:v>
                  </c:pt>
                  <c:pt idx="6">
                    <c:v>31/07/2026</c:v>
                  </c:pt>
                  <c:pt idx="7">
                    <c:v>30/07/2026</c:v>
                  </c:pt>
                  <c:pt idx="8">
                    <c:v>29/07/2026</c:v>
                  </c:pt>
                  <c:pt idx="9">
                    <c:v>28/07/2026</c:v>
                  </c:pt>
                  <c:pt idx="10">
                    <c:v>27/07/2026</c:v>
                  </c:pt>
                  <c:pt idx="11">
                    <c:v>26/07/2026</c:v>
                  </c:pt>
                  <c:pt idx="12">
                    <c:v>23/07/2026</c:v>
                  </c:pt>
                  <c:pt idx="13">
                    <c:v>22/07/2026</c:v>
                  </c:pt>
                  <c:pt idx="14">
                    <c:v>21/07/2026</c:v>
                  </c:pt>
                  <c:pt idx="15">
                    <c:v>19/07/2026</c:v>
                  </c:pt>
                  <c:pt idx="16">
                    <c:v>15/07/2026</c:v>
                  </c:pt>
                  <c:pt idx="17">
                    <c:v>13/07/2026</c:v>
                  </c:pt>
                  <c:pt idx="18">
                    <c:v>12/07/2026</c:v>
                  </c:pt>
                  <c:pt idx="19">
                    <c:v>07/07/2026</c:v>
                  </c:pt>
                  <c:pt idx="20">
                    <c:v>06/07/2026</c:v>
                  </c:pt>
                  <c:pt idx="21">
                    <c:v>05/07/2026</c:v>
                  </c:pt>
                  <c:pt idx="22">
                    <c:v>01/07/2026</c:v>
                  </c:pt>
                  <c:pt idx="23">
                    <c:v>30/06/2026</c:v>
                  </c:pt>
                  <c:pt idx="24">
                    <c:v>29/06/2026</c:v>
                  </c:pt>
                  <c:pt idx="25">
                    <c:v>28/06/2026</c:v>
                  </c:pt>
                  <c:pt idx="26">
                    <c:v>27/06/2026</c:v>
                  </c:pt>
                  <c:pt idx="27">
                    <c:v>26/06/2026</c:v>
                  </c:pt>
                  <c:pt idx="28">
                    <c:v>25/06/2026</c:v>
                  </c:pt>
                  <c:pt idx="29">
                    <c:v>24/06/2026</c:v>
                  </c:pt>
                  <c:pt idx="30">
                    <c:v>23/06/2026</c:v>
                  </c:pt>
                  <c:pt idx="31">
                    <c:v>22/06/2026</c:v>
                  </c:pt>
                  <c:pt idx="32">
                    <c:v>21/06/2026</c:v>
                  </c:pt>
                  <c:pt idx="33">
                    <c:v>20/06/2026</c:v>
                  </c:pt>
                  <c:pt idx="34">
                    <c:v>18/06/2026</c:v>
                  </c:pt>
                  <c:pt idx="35">
                    <c:v>17/06/2026</c:v>
                  </c:pt>
                  <c:pt idx="36">
                    <c:v>15/06/2026</c:v>
                  </c:pt>
                  <c:pt idx="37">
                    <c:v>14/06/2026</c:v>
                  </c:pt>
                  <c:pt idx="38">
                    <c:v>12/06/2026</c:v>
                  </c:pt>
                  <c:pt idx="39">
                    <c:v>10/06/2026</c:v>
                  </c:pt>
                  <c:pt idx="40">
                    <c:v>08/06/2026</c:v>
                  </c:pt>
                  <c:pt idx="41">
                    <c:v>07/06/2026</c:v>
                  </c:pt>
                  <c:pt idx="42">
                    <c:v>06/06/2026</c:v>
                  </c:pt>
                  <c:pt idx="43">
                    <c:v>31/05/2026</c:v>
                  </c:pt>
                  <c:pt idx="44">
                    <c:v>24/05/2026</c:v>
                  </c:pt>
                  <c:pt idx="45">
                    <c:v>21/05/2026</c:v>
                  </c:pt>
                  <c:pt idx="46">
                    <c:v>17/05/2026</c:v>
                  </c:pt>
                  <c:pt idx="47">
                    <c:v>13/05/2026</c:v>
                  </c:pt>
                  <c:pt idx="48">
                    <c:v>10/05/2026</c:v>
                  </c:pt>
                  <c:pt idx="49">
                    <c:v>09/05/2026</c:v>
                  </c:pt>
                  <c:pt idx="50">
                    <c:v>08/05/2026</c:v>
                  </c:pt>
                  <c:pt idx="51">
                    <c:v>07/05/2026</c:v>
                  </c:pt>
                  <c:pt idx="52">
                    <c:v>06/05/2026</c:v>
                  </c:pt>
                  <c:pt idx="53">
                    <c:v>05/05/2026</c:v>
                  </c:pt>
                  <c:pt idx="54">
                    <c:v>04/05/2026</c:v>
                  </c:pt>
                  <c:pt idx="55">
                    <c:v>16/05/2026</c:v>
                  </c:pt>
                  <c:pt idx="56">
                    <c:v>15/05/2026</c:v>
                  </c:pt>
                  <c:pt idx="57">
                    <c:v>14/05/2026</c:v>
                  </c:pt>
                  <c:pt idx="58">
                    <c:v>12/05/2026</c:v>
                  </c:pt>
                  <c:pt idx="59">
                    <c:v>11/05/2026</c:v>
                  </c:pt>
                  <c:pt idx="60">
                    <c:v>23/05/2026</c:v>
                  </c:pt>
                  <c:pt idx="61">
                    <c:v>22/05/2026</c:v>
                  </c:pt>
                  <c:pt idx="62">
                    <c:v>21/05/2026</c:v>
                  </c:pt>
                  <c:pt idx="63">
                    <c:v>20/05/2026</c:v>
                  </c:pt>
                  <c:pt idx="64">
                    <c:v>19/05/2026</c:v>
                  </c:pt>
                  <c:pt idx="65">
                    <c:v>18/05/2026</c:v>
                  </c:pt>
                  <c:pt idx="66">
                    <c:v>30/05/2026</c:v>
                  </c:pt>
                  <c:pt idx="67">
                    <c:v>29/05/2026</c:v>
                  </c:pt>
                  <c:pt idx="68">
                    <c:v>28/05/2026</c:v>
                  </c:pt>
                  <c:pt idx="69">
                    <c:v>27/05/2026</c:v>
                  </c:pt>
                  <c:pt idx="70">
                    <c:v>26/05/2026</c:v>
                  </c:pt>
                  <c:pt idx="71">
                    <c:v>25/05/2026</c:v>
                  </c:pt>
                  <c:pt idx="72">
                    <c:v>06/06/2026</c:v>
                  </c:pt>
                  <c:pt idx="73">
                    <c:v>05/06/2026</c:v>
                  </c:pt>
                  <c:pt idx="74">
                    <c:v>04/06/2026</c:v>
                  </c:pt>
                  <c:pt idx="75">
                    <c:v>03/06/2026</c:v>
                  </c:pt>
                  <c:pt idx="76">
                    <c:v>02/06/2026</c:v>
                  </c:pt>
                  <c:pt idx="77">
                    <c:v>01/06/2026</c:v>
                  </c:pt>
                  <c:pt idx="78">
                    <c:v>13/06/2026</c:v>
                  </c:pt>
                  <c:pt idx="79">
                    <c:v>12/06/2026</c:v>
                  </c:pt>
                  <c:pt idx="80">
                    <c:v>11/06/2026</c:v>
                  </c:pt>
                  <c:pt idx="81">
                    <c:v>10/06/2026</c:v>
                  </c:pt>
                  <c:pt idx="82">
                    <c:v>09/06/2026</c:v>
                  </c:pt>
                  <c:pt idx="83">
                    <c:v>08/06/2026</c:v>
                  </c:pt>
                  <c:pt idx="84">
                    <c:v>20/06/2026</c:v>
                  </c:pt>
                  <c:pt idx="85">
                    <c:v>19/06/2026</c:v>
                  </c:pt>
                  <c:pt idx="86">
                    <c:v>18/06/2026</c:v>
                  </c:pt>
                  <c:pt idx="87">
                    <c:v>17/06/2026</c:v>
                  </c:pt>
                  <c:pt idx="88">
                    <c:v>16/06/2026</c:v>
                  </c:pt>
                  <c:pt idx="89">
                    <c:v>15/06/2026</c:v>
                  </c:pt>
                  <c:pt idx="90">
                    <c:v>27/06/2026</c:v>
                  </c:pt>
                  <c:pt idx="91">
                    <c:v>26/06/2026</c:v>
                  </c:pt>
                  <c:pt idx="92">
                    <c:v>25/06/2026</c:v>
                  </c:pt>
                  <c:pt idx="93">
                    <c:v>24/06/2026</c:v>
                  </c:pt>
                  <c:pt idx="94">
                    <c:v>23/06/2026</c:v>
                  </c:pt>
                  <c:pt idx="95">
                    <c:v>22/06/2026</c:v>
                  </c:pt>
                  <c:pt idx="96">
                    <c:v>04/07/2026</c:v>
                  </c:pt>
                  <c:pt idx="97">
                    <c:v>03/07/2026</c:v>
                  </c:pt>
                  <c:pt idx="98">
                    <c:v>02/07/2026</c:v>
                  </c:pt>
                  <c:pt idx="99">
                    <c:v>01/07/2026</c:v>
                  </c:pt>
                  <c:pt idx="100">
                    <c:v>30/06/2026</c:v>
                  </c:pt>
                  <c:pt idx="101">
                    <c:v>11/07/2026</c:v>
                  </c:pt>
                  <c:pt idx="102">
                    <c:v>10/07/2026</c:v>
                  </c:pt>
                  <c:pt idx="103">
                    <c:v>09/07/2026</c:v>
                  </c:pt>
                  <c:pt idx="104">
                    <c:v>08/07/2026</c:v>
                  </c:pt>
                  <c:pt idx="105">
                    <c:v>07/07/2026</c:v>
                  </c:pt>
                  <c:pt idx="106">
                    <c:v>06/07/2026</c:v>
                  </c:pt>
                  <c:pt idx="107">
                    <c:v>18/07/2026</c:v>
                  </c:pt>
                  <c:pt idx="108">
                    <c:v>17/07/2026</c:v>
                  </c:pt>
                  <c:pt idx="109">
                    <c:v>16/07/2026</c:v>
                  </c:pt>
                  <c:pt idx="110">
                    <c:v>15/07/2026</c:v>
                  </c:pt>
                  <c:pt idx="111">
                    <c:v>14/07/2026</c:v>
                  </c:pt>
                  <c:pt idx="112">
                    <c:v>13/07/2026</c:v>
                  </c:pt>
                  <c:pt idx="113">
                    <c:v>25/07/2026</c:v>
                  </c:pt>
                  <c:pt idx="114">
                    <c:v>24/07/2026</c:v>
                  </c:pt>
                  <c:pt idx="115">
                    <c:v>23/07/2026</c:v>
                  </c:pt>
                  <c:pt idx="116">
                    <c:v>22/07/2026</c:v>
                  </c:pt>
                  <c:pt idx="117">
                    <c:v>21/07/2026</c:v>
                  </c:pt>
                  <c:pt idx="118">
                    <c:v>20/07/2026</c:v>
                  </c:pt>
                  <c:pt idx="119">
                    <c:v>01/08/2026</c:v>
                  </c:pt>
                  <c:pt idx="120">
                    <c:v>31/07/2026</c:v>
                  </c:pt>
                  <c:pt idx="121">
                    <c:v>30/07/2026</c:v>
                  </c:pt>
                  <c:pt idx="122">
                    <c:v>29/07/2026</c:v>
                  </c:pt>
                  <c:pt idx="123">
                    <c:v>28/07/2026</c:v>
                  </c:pt>
                  <c:pt idx="124">
                    <c:v>27/07/2026</c:v>
                  </c:pt>
                  <c:pt idx="125">
                    <c:v>08/08/2026</c:v>
                  </c:pt>
                  <c:pt idx="126">
                    <c:v>07/08/2026</c:v>
                  </c:pt>
                  <c:pt idx="127">
                    <c:v>06/08/2026</c:v>
                  </c:pt>
                  <c:pt idx="128">
                    <c:v>05/08/2026</c:v>
                  </c:pt>
                  <c:pt idx="129">
                    <c:v>04/08/2026</c:v>
                  </c:pt>
                  <c:pt idx="130">
                    <c:v>03/08/2026</c:v>
                  </c:pt>
                  <c:pt idx="131">
                    <c:v>15/08/2026</c:v>
                  </c:pt>
                  <c:pt idx="132">
                    <c:v>14/08/2026</c:v>
                  </c:pt>
                  <c:pt idx="133">
                    <c:v>13/08/2026</c:v>
                  </c:pt>
                  <c:pt idx="134">
                    <c:v>12/08/2026</c:v>
                  </c:pt>
                  <c:pt idx="135">
                    <c:v>11/08/2026</c:v>
                  </c:pt>
                  <c:pt idx="136">
                    <c:v>10/08/2026</c:v>
                  </c:pt>
                  <c:pt idx="137">
                    <c:v>22/08/2026</c:v>
                  </c:pt>
                  <c:pt idx="138">
                    <c:v>21/08/2026</c:v>
                  </c:pt>
                  <c:pt idx="139">
                    <c:v>20/08/2026</c:v>
                  </c:pt>
                  <c:pt idx="140">
                    <c:v>19/08/2026</c:v>
                  </c:pt>
                  <c:pt idx="141">
                    <c:v>18/08/2026</c:v>
                  </c:pt>
                  <c:pt idx="142">
                    <c:v>17/08/2026</c:v>
                  </c:pt>
                </c:lvl>
                <c:lvl>
                  <c:pt idx="0">
                    <c:v>Produção</c:v>
                  </c:pt>
                  <c:pt idx="49">
                    <c:v>Produção</c:v>
                  </c:pt>
                  <c:pt idx="55">
                    <c:v>Produção</c:v>
                  </c:pt>
                  <c:pt idx="60">
                    <c:v>Produção</c:v>
                  </c:pt>
                  <c:pt idx="66">
                    <c:v>Produção</c:v>
                  </c:pt>
                  <c:pt idx="72">
                    <c:v>Produção</c:v>
                  </c:pt>
                  <c:pt idx="78">
                    <c:v>Produção</c:v>
                  </c:pt>
                  <c:pt idx="84">
                    <c:v>Produção</c:v>
                  </c:pt>
                  <c:pt idx="90">
                    <c:v>Produção</c:v>
                  </c:pt>
                  <c:pt idx="96">
                    <c:v>Produção</c:v>
                  </c:pt>
                  <c:pt idx="101">
                    <c:v>Produção</c:v>
                  </c:pt>
                  <c:pt idx="107">
                    <c:v>Produção</c:v>
                  </c:pt>
                  <c:pt idx="113">
                    <c:v>Produção</c:v>
                  </c:pt>
                  <c:pt idx="119">
                    <c:v>Produção</c:v>
                  </c:pt>
                  <c:pt idx="125">
                    <c:v>Produção</c:v>
                  </c:pt>
                  <c:pt idx="131">
                    <c:v>Produção</c:v>
                  </c:pt>
                  <c:pt idx="137">
                    <c:v>Produção</c:v>
                  </c:pt>
                </c:lvl>
                <c:lvl>
                  <c:pt idx="0">
                    <c:v>Dia Não Operacional</c:v>
                  </c:pt>
                  <c:pt idx="49">
                    <c:v>S19</c:v>
                  </c:pt>
                  <c:pt idx="55">
                    <c:v>S20</c:v>
                  </c:pt>
                  <c:pt idx="60">
                    <c:v>S21</c:v>
                  </c:pt>
                  <c:pt idx="66">
                    <c:v>S22</c:v>
                  </c:pt>
                  <c:pt idx="72">
                    <c:v>S23</c:v>
                  </c:pt>
                  <c:pt idx="78">
                    <c:v>S24</c:v>
                  </c:pt>
                  <c:pt idx="84">
                    <c:v>S25</c:v>
                  </c:pt>
                  <c:pt idx="90">
                    <c:v>S26</c:v>
                  </c:pt>
                  <c:pt idx="96">
                    <c:v>S27</c:v>
                  </c:pt>
                  <c:pt idx="101">
                    <c:v>S28</c:v>
                  </c:pt>
                  <c:pt idx="107">
                    <c:v>S29</c:v>
                  </c:pt>
                  <c:pt idx="113">
                    <c:v>S30</c:v>
                  </c:pt>
                  <c:pt idx="119">
                    <c:v>S31</c:v>
                  </c:pt>
                  <c:pt idx="125">
                    <c:v>S32</c:v>
                  </c:pt>
                  <c:pt idx="131">
                    <c:v>S33</c:v>
                  </c:pt>
                  <c:pt idx="137">
                    <c:v>S34</c:v>
                  </c:pt>
                </c:lvl>
              </c:multiLvlStrCache>
            </c:multiLvlStrRef>
          </c:cat>
          <c:val>
            <c:numRef>
              <c:f>TabDin!$D$4:$D$181</c:f>
              <c:numCache>
                <c:formatCode>General</c:formatCode>
                <c:ptCount val="143"/>
                <c:pt idx="0">
                  <c:v>7</c:v>
                </c:pt>
                <c:pt idx="1">
                  <c:v>7</c:v>
                </c:pt>
                <c:pt idx="2">
                  <c:v>1</c:v>
                </c:pt>
                <c:pt idx="3">
                  <c:v>7</c:v>
                </c:pt>
                <c:pt idx="4">
                  <c:v>1</c:v>
                </c:pt>
                <c:pt idx="5">
                  <c:v>7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7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7</c:v>
                </c:pt>
                <c:pt idx="16">
                  <c:v>1</c:v>
                </c:pt>
                <c:pt idx="17">
                  <c:v>1</c:v>
                </c:pt>
                <c:pt idx="18">
                  <c:v>7</c:v>
                </c:pt>
                <c:pt idx="19">
                  <c:v>1</c:v>
                </c:pt>
                <c:pt idx="20">
                  <c:v>1</c:v>
                </c:pt>
                <c:pt idx="21">
                  <c:v>5</c:v>
                </c:pt>
                <c:pt idx="22">
                  <c:v>1</c:v>
                </c:pt>
                <c:pt idx="23">
                  <c:v>1</c:v>
                </c:pt>
                <c:pt idx="24">
                  <c:v>5</c:v>
                </c:pt>
                <c:pt idx="25">
                  <c:v>6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2</c:v>
                </c:pt>
                <c:pt idx="30">
                  <c:v>3</c:v>
                </c:pt>
                <c:pt idx="31">
                  <c:v>1</c:v>
                </c:pt>
                <c:pt idx="32">
                  <c:v>5</c:v>
                </c:pt>
                <c:pt idx="33">
                  <c:v>2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6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5</c:v>
                </c:pt>
                <c:pt idx="42">
                  <c:v>1</c:v>
                </c:pt>
                <c:pt idx="43">
                  <c:v>9</c:v>
                </c:pt>
                <c:pt idx="44">
                  <c:v>5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1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3</c:v>
                </c:pt>
                <c:pt idx="55">
                  <c:v>2</c:v>
                </c:pt>
                <c:pt idx="56">
                  <c:v>2</c:v>
                </c:pt>
                <c:pt idx="57">
                  <c:v>3</c:v>
                </c:pt>
                <c:pt idx="58">
                  <c:v>3</c:v>
                </c:pt>
                <c:pt idx="59">
                  <c:v>2</c:v>
                </c:pt>
                <c:pt idx="60">
                  <c:v>5</c:v>
                </c:pt>
                <c:pt idx="61">
                  <c:v>5</c:v>
                </c:pt>
                <c:pt idx="62">
                  <c:v>1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5</c:v>
                </c:pt>
                <c:pt idx="67">
                  <c:v>5</c:v>
                </c:pt>
                <c:pt idx="68">
                  <c:v>4</c:v>
                </c:pt>
                <c:pt idx="69">
                  <c:v>4</c:v>
                </c:pt>
                <c:pt idx="70">
                  <c:v>5</c:v>
                </c:pt>
                <c:pt idx="71">
                  <c:v>5</c:v>
                </c:pt>
                <c:pt idx="72">
                  <c:v>4</c:v>
                </c:pt>
                <c:pt idx="73">
                  <c:v>3</c:v>
                </c:pt>
                <c:pt idx="74">
                  <c:v>3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5</c:v>
                </c:pt>
                <c:pt idx="79">
                  <c:v>4</c:v>
                </c:pt>
                <c:pt idx="80">
                  <c:v>5</c:v>
                </c:pt>
                <c:pt idx="81">
                  <c:v>4</c:v>
                </c:pt>
                <c:pt idx="82">
                  <c:v>5</c:v>
                </c:pt>
                <c:pt idx="83">
                  <c:v>4</c:v>
                </c:pt>
                <c:pt idx="84">
                  <c:v>3</c:v>
                </c:pt>
                <c:pt idx="85">
                  <c:v>5</c:v>
                </c:pt>
                <c:pt idx="86">
                  <c:v>4</c:v>
                </c:pt>
                <c:pt idx="87">
                  <c:v>4</c:v>
                </c:pt>
                <c:pt idx="88">
                  <c:v>5</c:v>
                </c:pt>
                <c:pt idx="89">
                  <c:v>4</c:v>
                </c:pt>
                <c:pt idx="90">
                  <c:v>5</c:v>
                </c:pt>
                <c:pt idx="91">
                  <c:v>6</c:v>
                </c:pt>
                <c:pt idx="92">
                  <c:v>6</c:v>
                </c:pt>
                <c:pt idx="93">
                  <c:v>5</c:v>
                </c:pt>
                <c:pt idx="94">
                  <c:v>4</c:v>
                </c:pt>
                <c:pt idx="95">
                  <c:v>6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4</c:v>
                </c:pt>
                <c:pt idx="100">
                  <c:v>4</c:v>
                </c:pt>
                <c:pt idx="101">
                  <c:v>7</c:v>
                </c:pt>
                <c:pt idx="102">
                  <c:v>7</c:v>
                </c:pt>
                <c:pt idx="103">
                  <c:v>7</c:v>
                </c:pt>
                <c:pt idx="104">
                  <c:v>7</c:v>
                </c:pt>
                <c:pt idx="105">
                  <c:v>6</c:v>
                </c:pt>
                <c:pt idx="106">
                  <c:v>6</c:v>
                </c:pt>
                <c:pt idx="107">
                  <c:v>6</c:v>
                </c:pt>
                <c:pt idx="108">
                  <c:v>7</c:v>
                </c:pt>
                <c:pt idx="109">
                  <c:v>7</c:v>
                </c:pt>
                <c:pt idx="110">
                  <c:v>6</c:v>
                </c:pt>
                <c:pt idx="111">
                  <c:v>6</c:v>
                </c:pt>
                <c:pt idx="112">
                  <c:v>6</c:v>
                </c:pt>
                <c:pt idx="113">
                  <c:v>7</c:v>
                </c:pt>
                <c:pt idx="114">
                  <c:v>7</c:v>
                </c:pt>
                <c:pt idx="115">
                  <c:v>6</c:v>
                </c:pt>
                <c:pt idx="116">
                  <c:v>6</c:v>
                </c:pt>
                <c:pt idx="117">
                  <c:v>5</c:v>
                </c:pt>
                <c:pt idx="118">
                  <c:v>6</c:v>
                </c:pt>
                <c:pt idx="119">
                  <c:v>7</c:v>
                </c:pt>
                <c:pt idx="120">
                  <c:v>6</c:v>
                </c:pt>
                <c:pt idx="121">
                  <c:v>5</c:v>
                </c:pt>
                <c:pt idx="122">
                  <c:v>5</c:v>
                </c:pt>
                <c:pt idx="123">
                  <c:v>5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7</c:v>
                </c:pt>
                <c:pt idx="128">
                  <c:v>7</c:v>
                </c:pt>
                <c:pt idx="129">
                  <c:v>5</c:v>
                </c:pt>
                <c:pt idx="130">
                  <c:v>7</c:v>
                </c:pt>
                <c:pt idx="131">
                  <c:v>5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5</c:v>
                </c:pt>
                <c:pt idx="136">
                  <c:v>7</c:v>
                </c:pt>
                <c:pt idx="137">
                  <c:v>5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2304-451C-8119-5BD1CA49CA4F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2304-451C-8119-5BD1CA49CA4F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2"/>
              <c:layout>
                <c:manualLayout>
                  <c:x val="1.4522821576763482E-2"/>
                  <c:y val="-6.6666666666666693E-2"/>
                </c:manualLayout>
              </c:layout>
              <c:numFmt formatCode="_(* #,##0_);_(* \(#,##0\);_(* &quot;-&quot;_);_(@_)" sourceLinked="0"/>
              <c:spPr>
                <a:solidFill>
                  <a:srgbClr val="1F4E78"/>
                </a:solidFill>
                <a:ln>
                  <a:solidFill>
                    <a:srgbClr val="1F4E78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6.6721991701244807E-2"/>
                      <c:h val="3.917657351654572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TabDin!$A$4:$A$181</c:f>
              <c:multiLvlStrCache>
                <c:ptCount val="143"/>
                <c:lvl>
                  <c:pt idx="0">
                    <c:v>23/08/2026</c:v>
                  </c:pt>
                  <c:pt idx="1">
                    <c:v>16/08/2026</c:v>
                  </c:pt>
                  <c:pt idx="2">
                    <c:v>15/08/2026</c:v>
                  </c:pt>
                  <c:pt idx="3">
                    <c:v>09/08/2026</c:v>
                  </c:pt>
                  <c:pt idx="4">
                    <c:v>04/08/2026</c:v>
                  </c:pt>
                  <c:pt idx="5">
                    <c:v>02/08/2026</c:v>
                  </c:pt>
                  <c:pt idx="6">
                    <c:v>31/07/2026</c:v>
                  </c:pt>
                  <c:pt idx="7">
                    <c:v>30/07/2026</c:v>
                  </c:pt>
                  <c:pt idx="8">
                    <c:v>29/07/2026</c:v>
                  </c:pt>
                  <c:pt idx="9">
                    <c:v>28/07/2026</c:v>
                  </c:pt>
                  <c:pt idx="10">
                    <c:v>27/07/2026</c:v>
                  </c:pt>
                  <c:pt idx="11">
                    <c:v>26/07/2026</c:v>
                  </c:pt>
                  <c:pt idx="12">
                    <c:v>23/07/2026</c:v>
                  </c:pt>
                  <c:pt idx="13">
                    <c:v>22/07/2026</c:v>
                  </c:pt>
                  <c:pt idx="14">
                    <c:v>21/07/2026</c:v>
                  </c:pt>
                  <c:pt idx="15">
                    <c:v>19/07/2026</c:v>
                  </c:pt>
                  <c:pt idx="16">
                    <c:v>15/07/2026</c:v>
                  </c:pt>
                  <c:pt idx="17">
                    <c:v>13/07/2026</c:v>
                  </c:pt>
                  <c:pt idx="18">
                    <c:v>12/07/2026</c:v>
                  </c:pt>
                  <c:pt idx="19">
                    <c:v>07/07/2026</c:v>
                  </c:pt>
                  <c:pt idx="20">
                    <c:v>06/07/2026</c:v>
                  </c:pt>
                  <c:pt idx="21">
                    <c:v>05/07/2026</c:v>
                  </c:pt>
                  <c:pt idx="22">
                    <c:v>01/07/2026</c:v>
                  </c:pt>
                  <c:pt idx="23">
                    <c:v>30/06/2026</c:v>
                  </c:pt>
                  <c:pt idx="24">
                    <c:v>29/06/2026</c:v>
                  </c:pt>
                  <c:pt idx="25">
                    <c:v>28/06/2026</c:v>
                  </c:pt>
                  <c:pt idx="26">
                    <c:v>27/06/2026</c:v>
                  </c:pt>
                  <c:pt idx="27">
                    <c:v>26/06/2026</c:v>
                  </c:pt>
                  <c:pt idx="28">
                    <c:v>25/06/2026</c:v>
                  </c:pt>
                  <c:pt idx="29">
                    <c:v>24/06/2026</c:v>
                  </c:pt>
                  <c:pt idx="30">
                    <c:v>23/06/2026</c:v>
                  </c:pt>
                  <c:pt idx="31">
                    <c:v>22/06/2026</c:v>
                  </c:pt>
                  <c:pt idx="32">
                    <c:v>21/06/2026</c:v>
                  </c:pt>
                  <c:pt idx="33">
                    <c:v>20/06/2026</c:v>
                  </c:pt>
                  <c:pt idx="34">
                    <c:v>18/06/2026</c:v>
                  </c:pt>
                  <c:pt idx="35">
                    <c:v>17/06/2026</c:v>
                  </c:pt>
                  <c:pt idx="36">
                    <c:v>15/06/2026</c:v>
                  </c:pt>
                  <c:pt idx="37">
                    <c:v>14/06/2026</c:v>
                  </c:pt>
                  <c:pt idx="38">
                    <c:v>12/06/2026</c:v>
                  </c:pt>
                  <c:pt idx="39">
                    <c:v>10/06/2026</c:v>
                  </c:pt>
                  <c:pt idx="40">
                    <c:v>08/06/2026</c:v>
                  </c:pt>
                  <c:pt idx="41">
                    <c:v>07/06/2026</c:v>
                  </c:pt>
                  <c:pt idx="42">
                    <c:v>06/06/2026</c:v>
                  </c:pt>
                  <c:pt idx="43">
                    <c:v>31/05/2026</c:v>
                  </c:pt>
                  <c:pt idx="44">
                    <c:v>24/05/2026</c:v>
                  </c:pt>
                  <c:pt idx="45">
                    <c:v>21/05/2026</c:v>
                  </c:pt>
                  <c:pt idx="46">
                    <c:v>17/05/2026</c:v>
                  </c:pt>
                  <c:pt idx="47">
                    <c:v>13/05/2026</c:v>
                  </c:pt>
                  <c:pt idx="48">
                    <c:v>10/05/2026</c:v>
                  </c:pt>
                  <c:pt idx="49">
                    <c:v>09/05/2026</c:v>
                  </c:pt>
                  <c:pt idx="50">
                    <c:v>08/05/2026</c:v>
                  </c:pt>
                  <c:pt idx="51">
                    <c:v>07/05/2026</c:v>
                  </c:pt>
                  <c:pt idx="52">
                    <c:v>06/05/2026</c:v>
                  </c:pt>
                  <c:pt idx="53">
                    <c:v>05/05/2026</c:v>
                  </c:pt>
                  <c:pt idx="54">
                    <c:v>04/05/2026</c:v>
                  </c:pt>
                  <c:pt idx="55">
                    <c:v>16/05/2026</c:v>
                  </c:pt>
                  <c:pt idx="56">
                    <c:v>15/05/2026</c:v>
                  </c:pt>
                  <c:pt idx="57">
                    <c:v>14/05/2026</c:v>
                  </c:pt>
                  <c:pt idx="58">
                    <c:v>12/05/2026</c:v>
                  </c:pt>
                  <c:pt idx="59">
                    <c:v>11/05/2026</c:v>
                  </c:pt>
                  <c:pt idx="60">
                    <c:v>23/05/2026</c:v>
                  </c:pt>
                  <c:pt idx="61">
                    <c:v>22/05/2026</c:v>
                  </c:pt>
                  <c:pt idx="62">
                    <c:v>21/05/2026</c:v>
                  </c:pt>
                  <c:pt idx="63">
                    <c:v>20/05/2026</c:v>
                  </c:pt>
                  <c:pt idx="64">
                    <c:v>19/05/2026</c:v>
                  </c:pt>
                  <c:pt idx="65">
                    <c:v>18/05/2026</c:v>
                  </c:pt>
                  <c:pt idx="66">
                    <c:v>30/05/2026</c:v>
                  </c:pt>
                  <c:pt idx="67">
                    <c:v>29/05/2026</c:v>
                  </c:pt>
                  <c:pt idx="68">
                    <c:v>28/05/2026</c:v>
                  </c:pt>
                  <c:pt idx="69">
                    <c:v>27/05/2026</c:v>
                  </c:pt>
                  <c:pt idx="70">
                    <c:v>26/05/2026</c:v>
                  </c:pt>
                  <c:pt idx="71">
                    <c:v>25/05/2026</c:v>
                  </c:pt>
                  <c:pt idx="72">
                    <c:v>06/06/2026</c:v>
                  </c:pt>
                  <c:pt idx="73">
                    <c:v>05/06/2026</c:v>
                  </c:pt>
                  <c:pt idx="74">
                    <c:v>04/06/2026</c:v>
                  </c:pt>
                  <c:pt idx="75">
                    <c:v>03/06/2026</c:v>
                  </c:pt>
                  <c:pt idx="76">
                    <c:v>02/06/2026</c:v>
                  </c:pt>
                  <c:pt idx="77">
                    <c:v>01/06/2026</c:v>
                  </c:pt>
                  <c:pt idx="78">
                    <c:v>13/06/2026</c:v>
                  </c:pt>
                  <c:pt idx="79">
                    <c:v>12/06/2026</c:v>
                  </c:pt>
                  <c:pt idx="80">
                    <c:v>11/06/2026</c:v>
                  </c:pt>
                  <c:pt idx="81">
                    <c:v>10/06/2026</c:v>
                  </c:pt>
                  <c:pt idx="82">
                    <c:v>09/06/2026</c:v>
                  </c:pt>
                  <c:pt idx="83">
                    <c:v>08/06/2026</c:v>
                  </c:pt>
                  <c:pt idx="84">
                    <c:v>20/06/2026</c:v>
                  </c:pt>
                  <c:pt idx="85">
                    <c:v>19/06/2026</c:v>
                  </c:pt>
                  <c:pt idx="86">
                    <c:v>18/06/2026</c:v>
                  </c:pt>
                  <c:pt idx="87">
                    <c:v>17/06/2026</c:v>
                  </c:pt>
                  <c:pt idx="88">
                    <c:v>16/06/2026</c:v>
                  </c:pt>
                  <c:pt idx="89">
                    <c:v>15/06/2026</c:v>
                  </c:pt>
                  <c:pt idx="90">
                    <c:v>27/06/2026</c:v>
                  </c:pt>
                  <c:pt idx="91">
                    <c:v>26/06/2026</c:v>
                  </c:pt>
                  <c:pt idx="92">
                    <c:v>25/06/2026</c:v>
                  </c:pt>
                  <c:pt idx="93">
                    <c:v>24/06/2026</c:v>
                  </c:pt>
                  <c:pt idx="94">
                    <c:v>23/06/2026</c:v>
                  </c:pt>
                  <c:pt idx="95">
                    <c:v>22/06/2026</c:v>
                  </c:pt>
                  <c:pt idx="96">
                    <c:v>04/07/2026</c:v>
                  </c:pt>
                  <c:pt idx="97">
                    <c:v>03/07/2026</c:v>
                  </c:pt>
                  <c:pt idx="98">
                    <c:v>02/07/2026</c:v>
                  </c:pt>
                  <c:pt idx="99">
                    <c:v>01/07/2026</c:v>
                  </c:pt>
                  <c:pt idx="100">
                    <c:v>30/06/2026</c:v>
                  </c:pt>
                  <c:pt idx="101">
                    <c:v>11/07/2026</c:v>
                  </c:pt>
                  <c:pt idx="102">
                    <c:v>10/07/2026</c:v>
                  </c:pt>
                  <c:pt idx="103">
                    <c:v>09/07/2026</c:v>
                  </c:pt>
                  <c:pt idx="104">
                    <c:v>08/07/2026</c:v>
                  </c:pt>
                  <c:pt idx="105">
                    <c:v>07/07/2026</c:v>
                  </c:pt>
                  <c:pt idx="106">
                    <c:v>06/07/2026</c:v>
                  </c:pt>
                  <c:pt idx="107">
                    <c:v>18/07/2026</c:v>
                  </c:pt>
                  <c:pt idx="108">
                    <c:v>17/07/2026</c:v>
                  </c:pt>
                  <c:pt idx="109">
                    <c:v>16/07/2026</c:v>
                  </c:pt>
                  <c:pt idx="110">
                    <c:v>15/07/2026</c:v>
                  </c:pt>
                  <c:pt idx="111">
                    <c:v>14/07/2026</c:v>
                  </c:pt>
                  <c:pt idx="112">
                    <c:v>13/07/2026</c:v>
                  </c:pt>
                  <c:pt idx="113">
                    <c:v>25/07/2026</c:v>
                  </c:pt>
                  <c:pt idx="114">
                    <c:v>24/07/2026</c:v>
                  </c:pt>
                  <c:pt idx="115">
                    <c:v>23/07/2026</c:v>
                  </c:pt>
                  <c:pt idx="116">
                    <c:v>22/07/2026</c:v>
                  </c:pt>
                  <c:pt idx="117">
                    <c:v>21/07/2026</c:v>
                  </c:pt>
                  <c:pt idx="118">
                    <c:v>20/07/2026</c:v>
                  </c:pt>
                  <c:pt idx="119">
                    <c:v>01/08/2026</c:v>
                  </c:pt>
                  <c:pt idx="120">
                    <c:v>31/07/2026</c:v>
                  </c:pt>
                  <c:pt idx="121">
                    <c:v>30/07/2026</c:v>
                  </c:pt>
                  <c:pt idx="122">
                    <c:v>29/07/2026</c:v>
                  </c:pt>
                  <c:pt idx="123">
                    <c:v>28/07/2026</c:v>
                  </c:pt>
                  <c:pt idx="124">
                    <c:v>27/07/2026</c:v>
                  </c:pt>
                  <c:pt idx="125">
                    <c:v>08/08/2026</c:v>
                  </c:pt>
                  <c:pt idx="126">
                    <c:v>07/08/2026</c:v>
                  </c:pt>
                  <c:pt idx="127">
                    <c:v>06/08/2026</c:v>
                  </c:pt>
                  <c:pt idx="128">
                    <c:v>05/08/2026</c:v>
                  </c:pt>
                  <c:pt idx="129">
                    <c:v>04/08/2026</c:v>
                  </c:pt>
                  <c:pt idx="130">
                    <c:v>03/08/2026</c:v>
                  </c:pt>
                  <c:pt idx="131">
                    <c:v>15/08/2026</c:v>
                  </c:pt>
                  <c:pt idx="132">
                    <c:v>14/08/2026</c:v>
                  </c:pt>
                  <c:pt idx="133">
                    <c:v>13/08/2026</c:v>
                  </c:pt>
                  <c:pt idx="134">
                    <c:v>12/08/2026</c:v>
                  </c:pt>
                  <c:pt idx="135">
                    <c:v>11/08/2026</c:v>
                  </c:pt>
                  <c:pt idx="136">
                    <c:v>10/08/2026</c:v>
                  </c:pt>
                  <c:pt idx="137">
                    <c:v>22/08/2026</c:v>
                  </c:pt>
                  <c:pt idx="138">
                    <c:v>21/08/2026</c:v>
                  </c:pt>
                  <c:pt idx="139">
                    <c:v>20/08/2026</c:v>
                  </c:pt>
                  <c:pt idx="140">
                    <c:v>19/08/2026</c:v>
                  </c:pt>
                  <c:pt idx="141">
                    <c:v>18/08/2026</c:v>
                  </c:pt>
                  <c:pt idx="142">
                    <c:v>17/08/2026</c:v>
                  </c:pt>
                </c:lvl>
                <c:lvl>
                  <c:pt idx="0">
                    <c:v>Produção</c:v>
                  </c:pt>
                  <c:pt idx="49">
                    <c:v>Produção</c:v>
                  </c:pt>
                  <c:pt idx="55">
                    <c:v>Produção</c:v>
                  </c:pt>
                  <c:pt idx="60">
                    <c:v>Produção</c:v>
                  </c:pt>
                  <c:pt idx="66">
                    <c:v>Produção</c:v>
                  </c:pt>
                  <c:pt idx="72">
                    <c:v>Produção</c:v>
                  </c:pt>
                  <c:pt idx="78">
                    <c:v>Produção</c:v>
                  </c:pt>
                  <c:pt idx="84">
                    <c:v>Produção</c:v>
                  </c:pt>
                  <c:pt idx="90">
                    <c:v>Produção</c:v>
                  </c:pt>
                  <c:pt idx="96">
                    <c:v>Produção</c:v>
                  </c:pt>
                  <c:pt idx="101">
                    <c:v>Produção</c:v>
                  </c:pt>
                  <c:pt idx="107">
                    <c:v>Produção</c:v>
                  </c:pt>
                  <c:pt idx="113">
                    <c:v>Produção</c:v>
                  </c:pt>
                  <c:pt idx="119">
                    <c:v>Produção</c:v>
                  </c:pt>
                  <c:pt idx="125">
                    <c:v>Produção</c:v>
                  </c:pt>
                  <c:pt idx="131">
                    <c:v>Produção</c:v>
                  </c:pt>
                  <c:pt idx="137">
                    <c:v>Produção</c:v>
                  </c:pt>
                </c:lvl>
                <c:lvl>
                  <c:pt idx="0">
                    <c:v>Dia Não Operacional</c:v>
                  </c:pt>
                  <c:pt idx="49">
                    <c:v>S19</c:v>
                  </c:pt>
                  <c:pt idx="55">
                    <c:v>S20</c:v>
                  </c:pt>
                  <c:pt idx="60">
                    <c:v>S21</c:v>
                  </c:pt>
                  <c:pt idx="66">
                    <c:v>S22</c:v>
                  </c:pt>
                  <c:pt idx="72">
                    <c:v>S23</c:v>
                  </c:pt>
                  <c:pt idx="78">
                    <c:v>S24</c:v>
                  </c:pt>
                  <c:pt idx="84">
                    <c:v>S25</c:v>
                  </c:pt>
                  <c:pt idx="90">
                    <c:v>S26</c:v>
                  </c:pt>
                  <c:pt idx="96">
                    <c:v>S27</c:v>
                  </c:pt>
                  <c:pt idx="101">
                    <c:v>S28</c:v>
                  </c:pt>
                  <c:pt idx="107">
                    <c:v>S29</c:v>
                  </c:pt>
                  <c:pt idx="113">
                    <c:v>S30</c:v>
                  </c:pt>
                  <c:pt idx="119">
                    <c:v>S31</c:v>
                  </c:pt>
                  <c:pt idx="125">
                    <c:v>S32</c:v>
                  </c:pt>
                  <c:pt idx="131">
                    <c:v>S33</c:v>
                  </c:pt>
                  <c:pt idx="137">
                    <c:v>S34</c:v>
                  </c:pt>
                </c:lvl>
              </c:multiLvlStrCache>
            </c:multiLvlStrRef>
          </c:cat>
          <c:val>
            <c:numRef>
              <c:f>TabDin!$B$4:$B$181</c:f>
              <c:numCache>
                <c:formatCode>_(* #,##0.00_);_(* \(#,##0.00\);_(* "-"??_);_(@_)</c:formatCode>
                <c:ptCount val="143"/>
                <c:pt idx="18">
                  <c:v>0</c:v>
                </c:pt>
                <c:pt idx="33">
                  <c:v>3000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9000</c:v>
                </c:pt>
                <c:pt idx="47">
                  <c:v>9000</c:v>
                </c:pt>
                <c:pt idx="49">
                  <c:v>18000</c:v>
                </c:pt>
                <c:pt idx="50">
                  <c:v>18000</c:v>
                </c:pt>
                <c:pt idx="51">
                  <c:v>18000</c:v>
                </c:pt>
                <c:pt idx="52">
                  <c:v>18000</c:v>
                </c:pt>
                <c:pt idx="53">
                  <c:v>18000</c:v>
                </c:pt>
                <c:pt idx="54">
                  <c:v>18000</c:v>
                </c:pt>
                <c:pt idx="55">
                  <c:v>15000</c:v>
                </c:pt>
                <c:pt idx="56">
                  <c:v>15000</c:v>
                </c:pt>
                <c:pt idx="57">
                  <c:v>15000</c:v>
                </c:pt>
                <c:pt idx="58">
                  <c:v>15000</c:v>
                </c:pt>
                <c:pt idx="59">
                  <c:v>15000</c:v>
                </c:pt>
                <c:pt idx="60">
                  <c:v>15000</c:v>
                </c:pt>
                <c:pt idx="61">
                  <c:v>15000</c:v>
                </c:pt>
                <c:pt idx="62">
                  <c:v>15000</c:v>
                </c:pt>
                <c:pt idx="63">
                  <c:v>15000</c:v>
                </c:pt>
                <c:pt idx="64">
                  <c:v>15000</c:v>
                </c:pt>
                <c:pt idx="65">
                  <c:v>15000</c:v>
                </c:pt>
                <c:pt idx="66">
                  <c:v>15000</c:v>
                </c:pt>
                <c:pt idx="67">
                  <c:v>15000</c:v>
                </c:pt>
                <c:pt idx="68">
                  <c:v>15000</c:v>
                </c:pt>
                <c:pt idx="69">
                  <c:v>15000</c:v>
                </c:pt>
                <c:pt idx="70">
                  <c:v>15000</c:v>
                </c:pt>
                <c:pt idx="71">
                  <c:v>15000</c:v>
                </c:pt>
                <c:pt idx="72">
                  <c:v>15000</c:v>
                </c:pt>
                <c:pt idx="73">
                  <c:v>15000</c:v>
                </c:pt>
                <c:pt idx="74">
                  <c:v>15000</c:v>
                </c:pt>
                <c:pt idx="75">
                  <c:v>15000</c:v>
                </c:pt>
                <c:pt idx="76">
                  <c:v>15000</c:v>
                </c:pt>
                <c:pt idx="77">
                  <c:v>15000</c:v>
                </c:pt>
                <c:pt idx="78">
                  <c:v>15000</c:v>
                </c:pt>
                <c:pt idx="79">
                  <c:v>18000</c:v>
                </c:pt>
                <c:pt idx="80">
                  <c:v>15000</c:v>
                </c:pt>
                <c:pt idx="81">
                  <c:v>15000</c:v>
                </c:pt>
                <c:pt idx="82">
                  <c:v>15000</c:v>
                </c:pt>
                <c:pt idx="83">
                  <c:v>12000</c:v>
                </c:pt>
                <c:pt idx="84">
                  <c:v>15000</c:v>
                </c:pt>
                <c:pt idx="85">
                  <c:v>15000</c:v>
                </c:pt>
                <c:pt idx="86">
                  <c:v>15000</c:v>
                </c:pt>
                <c:pt idx="87">
                  <c:v>15000</c:v>
                </c:pt>
                <c:pt idx="88">
                  <c:v>15000</c:v>
                </c:pt>
                <c:pt idx="89">
                  <c:v>15000</c:v>
                </c:pt>
                <c:pt idx="90">
                  <c:v>15000</c:v>
                </c:pt>
                <c:pt idx="91">
                  <c:v>15000</c:v>
                </c:pt>
                <c:pt idx="92">
                  <c:v>15000</c:v>
                </c:pt>
                <c:pt idx="93">
                  <c:v>15000</c:v>
                </c:pt>
                <c:pt idx="94">
                  <c:v>15000</c:v>
                </c:pt>
                <c:pt idx="95">
                  <c:v>15000</c:v>
                </c:pt>
                <c:pt idx="96">
                  <c:v>15000</c:v>
                </c:pt>
                <c:pt idx="97">
                  <c:v>15000</c:v>
                </c:pt>
                <c:pt idx="98">
                  <c:v>15000</c:v>
                </c:pt>
                <c:pt idx="99">
                  <c:v>15000</c:v>
                </c:pt>
                <c:pt idx="100">
                  <c:v>15000</c:v>
                </c:pt>
                <c:pt idx="101">
                  <c:v>15000</c:v>
                </c:pt>
                <c:pt idx="102">
                  <c:v>15000</c:v>
                </c:pt>
                <c:pt idx="103">
                  <c:v>15000</c:v>
                </c:pt>
                <c:pt idx="104">
                  <c:v>15000</c:v>
                </c:pt>
                <c:pt idx="105">
                  <c:v>15000</c:v>
                </c:pt>
                <c:pt idx="106">
                  <c:v>15000</c:v>
                </c:pt>
                <c:pt idx="107">
                  <c:v>15000</c:v>
                </c:pt>
                <c:pt idx="108">
                  <c:v>15000</c:v>
                </c:pt>
                <c:pt idx="109">
                  <c:v>15000</c:v>
                </c:pt>
                <c:pt idx="110">
                  <c:v>15000</c:v>
                </c:pt>
                <c:pt idx="111">
                  <c:v>15000</c:v>
                </c:pt>
                <c:pt idx="112">
                  <c:v>15000</c:v>
                </c:pt>
                <c:pt idx="113">
                  <c:v>15000</c:v>
                </c:pt>
                <c:pt idx="114">
                  <c:v>15000</c:v>
                </c:pt>
                <c:pt idx="115">
                  <c:v>15000</c:v>
                </c:pt>
                <c:pt idx="116">
                  <c:v>15000</c:v>
                </c:pt>
                <c:pt idx="117">
                  <c:v>15000</c:v>
                </c:pt>
                <c:pt idx="118">
                  <c:v>15000</c:v>
                </c:pt>
                <c:pt idx="119">
                  <c:v>15000</c:v>
                </c:pt>
                <c:pt idx="120">
                  <c:v>15000</c:v>
                </c:pt>
                <c:pt idx="121">
                  <c:v>15000</c:v>
                </c:pt>
                <c:pt idx="122">
                  <c:v>15000</c:v>
                </c:pt>
                <c:pt idx="123">
                  <c:v>15000</c:v>
                </c:pt>
                <c:pt idx="124">
                  <c:v>15000</c:v>
                </c:pt>
                <c:pt idx="125">
                  <c:v>15000</c:v>
                </c:pt>
                <c:pt idx="126">
                  <c:v>15000</c:v>
                </c:pt>
                <c:pt idx="127">
                  <c:v>15000</c:v>
                </c:pt>
                <c:pt idx="128">
                  <c:v>15000</c:v>
                </c:pt>
                <c:pt idx="129">
                  <c:v>15000</c:v>
                </c:pt>
                <c:pt idx="130">
                  <c:v>15000</c:v>
                </c:pt>
                <c:pt idx="131">
                  <c:v>15000</c:v>
                </c:pt>
                <c:pt idx="132">
                  <c:v>15000</c:v>
                </c:pt>
                <c:pt idx="133">
                  <c:v>15000</c:v>
                </c:pt>
                <c:pt idx="134">
                  <c:v>15000</c:v>
                </c:pt>
                <c:pt idx="135">
                  <c:v>15000</c:v>
                </c:pt>
                <c:pt idx="136">
                  <c:v>15000</c:v>
                </c:pt>
                <c:pt idx="137">
                  <c:v>15000</c:v>
                </c:pt>
                <c:pt idx="138">
                  <c:v>15000</c:v>
                </c:pt>
                <c:pt idx="139">
                  <c:v>15000</c:v>
                </c:pt>
                <c:pt idx="140">
                  <c:v>15000</c:v>
                </c:pt>
                <c:pt idx="141">
                  <c:v>15000</c:v>
                </c:pt>
                <c:pt idx="142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8.2546344875830818E-2"/>
              <c:y val="-0.13418986438258387"/>
            </c:manualLayout>
          </c:layout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4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6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4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5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6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6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6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TabDin!$Q$2:$Q$42</c:f>
              <c:multiLvlStrCache>
                <c:ptCount val="36"/>
                <c:lvl>
                  <c:pt idx="12">
                    <c:v>27/07/2026</c:v>
                  </c:pt>
                  <c:pt idx="13">
                    <c:v>28/07/2026</c:v>
                  </c:pt>
                  <c:pt idx="14">
                    <c:v>29/07/2026</c:v>
                  </c:pt>
                  <c:pt idx="15">
                    <c:v>30/07/2026</c:v>
                  </c:pt>
                  <c:pt idx="16">
                    <c:v>31/07/2026</c:v>
                  </c:pt>
                  <c:pt idx="17">
                    <c:v>01/08/2026</c:v>
                  </c:pt>
                  <c:pt idx="18">
                    <c:v>02/08/2026</c:v>
                  </c:pt>
                  <c:pt idx="19">
                    <c:v>03/08/2026</c:v>
                  </c:pt>
                  <c:pt idx="20">
                    <c:v>04/08/2026</c:v>
                  </c:pt>
                  <c:pt idx="21">
                    <c:v>05/08/2026</c:v>
                  </c:pt>
                  <c:pt idx="22">
                    <c:v>06/08/2026</c:v>
                  </c:pt>
                  <c:pt idx="23">
                    <c:v>07/08/2026</c:v>
                  </c:pt>
                  <c:pt idx="24">
                    <c:v>08/08/2026</c:v>
                  </c:pt>
                  <c:pt idx="25">
                    <c:v>09/08/2026</c:v>
                  </c:pt>
                  <c:pt idx="26">
                    <c:v>10/08/2026</c:v>
                  </c:pt>
                  <c:pt idx="27">
                    <c:v>11/08/2026</c:v>
                  </c:pt>
                  <c:pt idx="28">
                    <c:v>12/08/2026</c:v>
                  </c:pt>
                  <c:pt idx="29">
                    <c:v>13/08/2026</c:v>
                  </c:pt>
                  <c:pt idx="30">
                    <c:v>14/08/2026</c:v>
                  </c:pt>
                  <c:pt idx="31">
                    <c:v>15/08/2026</c:v>
                  </c:pt>
                  <c:pt idx="32">
                    <c:v>17/08/2026</c:v>
                  </c:pt>
                  <c:pt idx="33">
                    <c:v>18/08/2026</c:v>
                  </c:pt>
                  <c:pt idx="34">
                    <c:v>19/08/2026</c:v>
                  </c:pt>
                  <c:pt idx="35">
                    <c:v>20/08/2026</c:v>
                  </c:pt>
                </c:lvl>
                <c:lvl>
                  <c:pt idx="0">
                    <c:v>S19</c:v>
                  </c:pt>
                  <c:pt idx="1">
                    <c:v>S20</c:v>
                  </c:pt>
                  <c:pt idx="2">
                    <c:v>S21</c:v>
                  </c:pt>
                  <c:pt idx="3">
                    <c:v>S22</c:v>
                  </c:pt>
                  <c:pt idx="4">
                    <c:v>S23</c:v>
                  </c:pt>
                  <c:pt idx="5">
                    <c:v>S24</c:v>
                  </c:pt>
                  <c:pt idx="6">
                    <c:v>S25</c:v>
                  </c:pt>
                  <c:pt idx="7">
                    <c:v>S26</c:v>
                  </c:pt>
                  <c:pt idx="8">
                    <c:v>S27</c:v>
                  </c:pt>
                  <c:pt idx="9">
                    <c:v>S28</c:v>
                  </c:pt>
                  <c:pt idx="10">
                    <c:v>S29</c:v>
                  </c:pt>
                  <c:pt idx="11">
                    <c:v>S30</c:v>
                  </c:pt>
                  <c:pt idx="12">
                    <c:v>S31</c:v>
                  </c:pt>
                  <c:pt idx="19">
                    <c:v>S32</c:v>
                  </c:pt>
                  <c:pt idx="26">
                    <c:v>S33</c:v>
                  </c:pt>
                  <c:pt idx="32">
                    <c:v>S34</c:v>
                  </c:pt>
                </c:lvl>
              </c:multiLvlStrCache>
            </c:multiLvlStrRef>
          </c:cat>
          <c:val>
            <c:numRef>
              <c:f>TabDin!$R$2:$R$42</c:f>
              <c:numCache>
                <c:formatCode>_-* #,##0_-;\-* #,##0_-;_-* "-"??_-;_-@_-</c:formatCode>
                <c:ptCount val="36"/>
                <c:pt idx="0">
                  <c:v>21501</c:v>
                </c:pt>
                <c:pt idx="1">
                  <c:v>24929</c:v>
                </c:pt>
                <c:pt idx="2">
                  <c:v>21506</c:v>
                </c:pt>
                <c:pt idx="3">
                  <c:v>29193</c:v>
                </c:pt>
                <c:pt idx="4">
                  <c:v>22686</c:v>
                </c:pt>
                <c:pt idx="5">
                  <c:v>18765</c:v>
                </c:pt>
                <c:pt idx="6">
                  <c:v>12604</c:v>
                </c:pt>
                <c:pt idx="7">
                  <c:v>17296</c:v>
                </c:pt>
                <c:pt idx="8">
                  <c:v>12502</c:v>
                </c:pt>
                <c:pt idx="9">
                  <c:v>12634</c:v>
                </c:pt>
                <c:pt idx="10">
                  <c:v>8451</c:v>
                </c:pt>
                <c:pt idx="11">
                  <c:v>21413</c:v>
                </c:pt>
                <c:pt idx="12">
                  <c:v>2502</c:v>
                </c:pt>
                <c:pt idx="13">
                  <c:v>2060</c:v>
                </c:pt>
                <c:pt idx="14">
                  <c:v>1911</c:v>
                </c:pt>
                <c:pt idx="15">
                  <c:v>3807</c:v>
                </c:pt>
                <c:pt idx="16">
                  <c:v>3589</c:v>
                </c:pt>
                <c:pt idx="17">
                  <c:v>5475</c:v>
                </c:pt>
                <c:pt idx="18">
                  <c:v>3988</c:v>
                </c:pt>
                <c:pt idx="19">
                  <c:v>5855</c:v>
                </c:pt>
                <c:pt idx="20">
                  <c:v>8634</c:v>
                </c:pt>
                <c:pt idx="21">
                  <c:v>4987</c:v>
                </c:pt>
                <c:pt idx="22">
                  <c:v>3942</c:v>
                </c:pt>
                <c:pt idx="23">
                  <c:v>4017</c:v>
                </c:pt>
                <c:pt idx="24">
                  <c:v>5749</c:v>
                </c:pt>
                <c:pt idx="25">
                  <c:v>4650</c:v>
                </c:pt>
                <c:pt idx="26">
                  <c:v>6365</c:v>
                </c:pt>
                <c:pt idx="27">
                  <c:v>4460</c:v>
                </c:pt>
                <c:pt idx="28">
                  <c:v>4526</c:v>
                </c:pt>
                <c:pt idx="29">
                  <c:v>5038</c:v>
                </c:pt>
                <c:pt idx="30">
                  <c:v>4991</c:v>
                </c:pt>
                <c:pt idx="31">
                  <c:v>2976</c:v>
                </c:pt>
                <c:pt idx="32">
                  <c:v>4629</c:v>
                </c:pt>
                <c:pt idx="33">
                  <c:v>0</c:v>
                </c:pt>
                <c:pt idx="34">
                  <c:v>3336</c:v>
                </c:pt>
                <c:pt idx="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TabDin!$Q$2:$Q$42</c:f>
              <c:multiLvlStrCache>
                <c:ptCount val="36"/>
                <c:lvl>
                  <c:pt idx="12">
                    <c:v>27/07/2026</c:v>
                  </c:pt>
                  <c:pt idx="13">
                    <c:v>28/07/2026</c:v>
                  </c:pt>
                  <c:pt idx="14">
                    <c:v>29/07/2026</c:v>
                  </c:pt>
                  <c:pt idx="15">
                    <c:v>30/07/2026</c:v>
                  </c:pt>
                  <c:pt idx="16">
                    <c:v>31/07/2026</c:v>
                  </c:pt>
                  <c:pt idx="17">
                    <c:v>01/08/2026</c:v>
                  </c:pt>
                  <c:pt idx="18">
                    <c:v>02/08/2026</c:v>
                  </c:pt>
                  <c:pt idx="19">
                    <c:v>03/08/2026</c:v>
                  </c:pt>
                  <c:pt idx="20">
                    <c:v>04/08/2026</c:v>
                  </c:pt>
                  <c:pt idx="21">
                    <c:v>05/08/2026</c:v>
                  </c:pt>
                  <c:pt idx="22">
                    <c:v>06/08/2026</c:v>
                  </c:pt>
                  <c:pt idx="23">
                    <c:v>07/08/2026</c:v>
                  </c:pt>
                  <c:pt idx="24">
                    <c:v>08/08/2026</c:v>
                  </c:pt>
                  <c:pt idx="25">
                    <c:v>09/08/2026</c:v>
                  </c:pt>
                  <c:pt idx="26">
                    <c:v>10/08/2026</c:v>
                  </c:pt>
                  <c:pt idx="27">
                    <c:v>11/08/2026</c:v>
                  </c:pt>
                  <c:pt idx="28">
                    <c:v>12/08/2026</c:v>
                  </c:pt>
                  <c:pt idx="29">
                    <c:v>13/08/2026</c:v>
                  </c:pt>
                  <c:pt idx="30">
                    <c:v>14/08/2026</c:v>
                  </c:pt>
                  <c:pt idx="31">
                    <c:v>15/08/2026</c:v>
                  </c:pt>
                  <c:pt idx="32">
                    <c:v>17/08/2026</c:v>
                  </c:pt>
                  <c:pt idx="33">
                    <c:v>18/08/2026</c:v>
                  </c:pt>
                  <c:pt idx="34">
                    <c:v>19/08/2026</c:v>
                  </c:pt>
                  <c:pt idx="35">
                    <c:v>20/08/2026</c:v>
                  </c:pt>
                </c:lvl>
                <c:lvl>
                  <c:pt idx="0">
                    <c:v>S19</c:v>
                  </c:pt>
                  <c:pt idx="1">
                    <c:v>S20</c:v>
                  </c:pt>
                  <c:pt idx="2">
                    <c:v>S21</c:v>
                  </c:pt>
                  <c:pt idx="3">
                    <c:v>S22</c:v>
                  </c:pt>
                  <c:pt idx="4">
                    <c:v>S23</c:v>
                  </c:pt>
                  <c:pt idx="5">
                    <c:v>S24</c:v>
                  </c:pt>
                  <c:pt idx="6">
                    <c:v>S25</c:v>
                  </c:pt>
                  <c:pt idx="7">
                    <c:v>S26</c:v>
                  </c:pt>
                  <c:pt idx="8">
                    <c:v>S27</c:v>
                  </c:pt>
                  <c:pt idx="9">
                    <c:v>S28</c:v>
                  </c:pt>
                  <c:pt idx="10">
                    <c:v>S29</c:v>
                  </c:pt>
                  <c:pt idx="11">
                    <c:v>S30</c:v>
                  </c:pt>
                  <c:pt idx="12">
                    <c:v>S31</c:v>
                  </c:pt>
                  <c:pt idx="19">
                    <c:v>S32</c:v>
                  </c:pt>
                  <c:pt idx="26">
                    <c:v>S33</c:v>
                  </c:pt>
                  <c:pt idx="32">
                    <c:v>S34</c:v>
                  </c:pt>
                </c:lvl>
              </c:multiLvlStrCache>
            </c:multiLvlStrRef>
          </c:cat>
          <c:val>
            <c:numRef>
              <c:f>TabDin!$T$2:$T$42</c:f>
              <c:numCache>
                <c:formatCode>_-* #,##0_-;\-* #,##0_-;_-* "-"??_-;_-@_-</c:formatCode>
                <c:ptCount val="36"/>
                <c:pt idx="0">
                  <c:v>20064.010000000002</c:v>
                </c:pt>
                <c:pt idx="1">
                  <c:v>20107.3</c:v>
                </c:pt>
                <c:pt idx="2">
                  <c:v>16060.82</c:v>
                </c:pt>
                <c:pt idx="3">
                  <c:v>24914</c:v>
                </c:pt>
                <c:pt idx="4">
                  <c:v>16976</c:v>
                </c:pt>
                <c:pt idx="5">
                  <c:v>12141</c:v>
                </c:pt>
                <c:pt idx="6">
                  <c:v>8992</c:v>
                </c:pt>
                <c:pt idx="7">
                  <c:v>14207</c:v>
                </c:pt>
                <c:pt idx="8">
                  <c:v>8482.7999999999993</c:v>
                </c:pt>
                <c:pt idx="9">
                  <c:v>8479</c:v>
                </c:pt>
                <c:pt idx="10">
                  <c:v>6570</c:v>
                </c:pt>
                <c:pt idx="11">
                  <c:v>17022</c:v>
                </c:pt>
                <c:pt idx="12">
                  <c:v>2126</c:v>
                </c:pt>
                <c:pt idx="13">
                  <c:v>1876</c:v>
                </c:pt>
                <c:pt idx="14">
                  <c:v>1454</c:v>
                </c:pt>
                <c:pt idx="15">
                  <c:v>3801</c:v>
                </c:pt>
                <c:pt idx="16">
                  <c:v>2305</c:v>
                </c:pt>
                <c:pt idx="17">
                  <c:v>3375</c:v>
                </c:pt>
                <c:pt idx="18">
                  <c:v>2705</c:v>
                </c:pt>
                <c:pt idx="19">
                  <c:v>3090</c:v>
                </c:pt>
                <c:pt idx="20">
                  <c:v>5197</c:v>
                </c:pt>
                <c:pt idx="21">
                  <c:v>4987</c:v>
                </c:pt>
                <c:pt idx="22">
                  <c:v>2838</c:v>
                </c:pt>
                <c:pt idx="23">
                  <c:v>3038</c:v>
                </c:pt>
                <c:pt idx="24">
                  <c:v>5749</c:v>
                </c:pt>
                <c:pt idx="25">
                  <c:v>4650</c:v>
                </c:pt>
                <c:pt idx="26">
                  <c:v>6365</c:v>
                </c:pt>
                <c:pt idx="27">
                  <c:v>4460</c:v>
                </c:pt>
                <c:pt idx="28">
                  <c:v>3706</c:v>
                </c:pt>
                <c:pt idx="29">
                  <c:v>4252</c:v>
                </c:pt>
                <c:pt idx="30">
                  <c:v>2904</c:v>
                </c:pt>
                <c:pt idx="31">
                  <c:v>2575</c:v>
                </c:pt>
                <c:pt idx="32">
                  <c:v>3194</c:v>
                </c:pt>
                <c:pt idx="33">
                  <c:v>1408</c:v>
                </c:pt>
                <c:pt idx="34">
                  <c:v>2485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3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184C-48DD-9D15-1F84058F6836}"/>
              </c:ext>
            </c:extLst>
          </c:dPt>
          <c:dPt>
            <c:idx val="4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E7D7-44D3-9672-839832657EC7}"/>
              </c:ext>
            </c:extLst>
          </c:dPt>
          <c:dPt>
            <c:idx val="5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Pt>
            <c:idx val="6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A-E7D7-44D3-9672-839832657EC7}"/>
              </c:ext>
            </c:extLst>
          </c:dPt>
          <c:dPt>
            <c:idx val="7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C-E7D7-44D3-9672-839832657EC7}"/>
              </c:ext>
            </c:extLst>
          </c:dPt>
          <c:dPt>
            <c:idx val="8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E-E7D7-44D3-9672-839832657EC7}"/>
              </c:ext>
            </c:extLst>
          </c:dPt>
          <c:dPt>
            <c:idx val="9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0-E7D7-44D3-9672-839832657EC7}"/>
              </c:ext>
            </c:extLst>
          </c:dPt>
          <c:dPt>
            <c:idx val="1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2-E7D7-44D3-9672-839832657EC7}"/>
              </c:ext>
            </c:extLst>
          </c:dPt>
          <c:dPt>
            <c:idx val="1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4-E7D7-44D3-9672-839832657EC7}"/>
              </c:ext>
            </c:extLst>
          </c:dPt>
          <c:dLbls>
            <c:dLbl>
              <c:idx val="5"/>
              <c:layout>
                <c:manualLayout>
                  <c:x val="1.1192724728926096E-2"/>
                  <c:y val="-8.5653104925053528E-2"/>
                </c:manualLayout>
              </c:layout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7E2-41C0-A5AE-E39A77C1C707}"/>
                </c:ext>
              </c:extLst>
            </c:dLbl>
            <c:dLbl>
              <c:idx val="8"/>
              <c:layout>
                <c:manualLayout>
                  <c:x val="1.6789087093389193E-2"/>
                  <c:y val="-7.4232690935046391E-2"/>
                </c:manualLayout>
              </c:layout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7D7-44D3-9672-839832657EC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E7D7-44D3-9672-839832657EC7}"/>
                </c:ext>
              </c:extLst>
            </c:dLbl>
            <c:dLbl>
              <c:idx val="10"/>
              <c:layout>
                <c:manualLayout>
                  <c:x val="8.3945435466946487E-3"/>
                  <c:y val="-7.7087794432548179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rgbClr val="FFC00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E7D7-44D3-9672-839832657EC7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E7D7-44D3-9672-839832657EC7}"/>
                </c:ext>
              </c:extLst>
            </c:dLbl>
            <c:spPr>
              <a:solidFill>
                <a:srgbClr val="DD9411"/>
              </a:solidFill>
              <a:ln>
                <a:solidFill>
                  <a:schemeClr val="accent6">
                    <a:lumMod val="75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TabDin!$Q$2:$Q$42</c:f>
              <c:multiLvlStrCache>
                <c:ptCount val="36"/>
                <c:lvl>
                  <c:pt idx="12">
                    <c:v>27/07/2026</c:v>
                  </c:pt>
                  <c:pt idx="13">
                    <c:v>28/07/2026</c:v>
                  </c:pt>
                  <c:pt idx="14">
                    <c:v>29/07/2026</c:v>
                  </c:pt>
                  <c:pt idx="15">
                    <c:v>30/07/2026</c:v>
                  </c:pt>
                  <c:pt idx="16">
                    <c:v>31/07/2026</c:v>
                  </c:pt>
                  <c:pt idx="17">
                    <c:v>01/08/2026</c:v>
                  </c:pt>
                  <c:pt idx="18">
                    <c:v>02/08/2026</c:v>
                  </c:pt>
                  <c:pt idx="19">
                    <c:v>03/08/2026</c:v>
                  </c:pt>
                  <c:pt idx="20">
                    <c:v>04/08/2026</c:v>
                  </c:pt>
                  <c:pt idx="21">
                    <c:v>05/08/2026</c:v>
                  </c:pt>
                  <c:pt idx="22">
                    <c:v>06/08/2026</c:v>
                  </c:pt>
                  <c:pt idx="23">
                    <c:v>07/08/2026</c:v>
                  </c:pt>
                  <c:pt idx="24">
                    <c:v>08/08/2026</c:v>
                  </c:pt>
                  <c:pt idx="25">
                    <c:v>09/08/2026</c:v>
                  </c:pt>
                  <c:pt idx="26">
                    <c:v>10/08/2026</c:v>
                  </c:pt>
                  <c:pt idx="27">
                    <c:v>11/08/2026</c:v>
                  </c:pt>
                  <c:pt idx="28">
                    <c:v>12/08/2026</c:v>
                  </c:pt>
                  <c:pt idx="29">
                    <c:v>13/08/2026</c:v>
                  </c:pt>
                  <c:pt idx="30">
                    <c:v>14/08/2026</c:v>
                  </c:pt>
                  <c:pt idx="31">
                    <c:v>15/08/2026</c:v>
                  </c:pt>
                  <c:pt idx="32">
                    <c:v>17/08/2026</c:v>
                  </c:pt>
                  <c:pt idx="33">
                    <c:v>18/08/2026</c:v>
                  </c:pt>
                  <c:pt idx="34">
                    <c:v>19/08/2026</c:v>
                  </c:pt>
                  <c:pt idx="35">
                    <c:v>20/08/2026</c:v>
                  </c:pt>
                </c:lvl>
                <c:lvl>
                  <c:pt idx="0">
                    <c:v>S19</c:v>
                  </c:pt>
                  <c:pt idx="1">
                    <c:v>S20</c:v>
                  </c:pt>
                  <c:pt idx="2">
                    <c:v>S21</c:v>
                  </c:pt>
                  <c:pt idx="3">
                    <c:v>S22</c:v>
                  </c:pt>
                  <c:pt idx="4">
                    <c:v>S23</c:v>
                  </c:pt>
                  <c:pt idx="5">
                    <c:v>S24</c:v>
                  </c:pt>
                  <c:pt idx="6">
                    <c:v>S25</c:v>
                  </c:pt>
                  <c:pt idx="7">
                    <c:v>S26</c:v>
                  </c:pt>
                  <c:pt idx="8">
                    <c:v>S27</c:v>
                  </c:pt>
                  <c:pt idx="9">
                    <c:v>S28</c:v>
                  </c:pt>
                  <c:pt idx="10">
                    <c:v>S29</c:v>
                  </c:pt>
                  <c:pt idx="11">
                    <c:v>S30</c:v>
                  </c:pt>
                  <c:pt idx="12">
                    <c:v>S31</c:v>
                  </c:pt>
                  <c:pt idx="19">
                    <c:v>S32</c:v>
                  </c:pt>
                  <c:pt idx="26">
                    <c:v>S33</c:v>
                  </c:pt>
                  <c:pt idx="32">
                    <c:v>S34</c:v>
                  </c:pt>
                </c:lvl>
              </c:multiLvlStrCache>
            </c:multiLvlStrRef>
          </c:cat>
          <c:val>
            <c:numRef>
              <c:f>TabDin!$S$2:$S$42</c:f>
              <c:numCache>
                <c:formatCode>_-* #,##0_-;\-* #,##0_-;_-* "-"??_-;_-@_-</c:formatCode>
                <c:ptCount val="36"/>
                <c:pt idx="0">
                  <c:v>24000</c:v>
                </c:pt>
                <c:pt idx="1">
                  <c:v>23999.999999999996</c:v>
                </c:pt>
                <c:pt idx="2">
                  <c:v>24000</c:v>
                </c:pt>
                <c:pt idx="3">
                  <c:v>23999.999999999996</c:v>
                </c:pt>
                <c:pt idx="4">
                  <c:v>23999.999999999996</c:v>
                </c:pt>
                <c:pt idx="5">
                  <c:v>24000</c:v>
                </c:pt>
                <c:pt idx="6">
                  <c:v>24000</c:v>
                </c:pt>
                <c:pt idx="7">
                  <c:v>24000</c:v>
                </c:pt>
                <c:pt idx="8">
                  <c:v>24000</c:v>
                </c:pt>
                <c:pt idx="9">
                  <c:v>24000</c:v>
                </c:pt>
                <c:pt idx="10">
                  <c:v>24000</c:v>
                </c:pt>
                <c:pt idx="11">
                  <c:v>24000</c:v>
                </c:pt>
                <c:pt idx="12">
                  <c:v>3428.5714285714284</c:v>
                </c:pt>
                <c:pt idx="13">
                  <c:v>3428.5714285714284</c:v>
                </c:pt>
                <c:pt idx="14">
                  <c:v>3428.5714285714284</c:v>
                </c:pt>
                <c:pt idx="15">
                  <c:v>3428.5714285714284</c:v>
                </c:pt>
                <c:pt idx="16">
                  <c:v>3428.5714285714284</c:v>
                </c:pt>
                <c:pt idx="17">
                  <c:v>3428.5714285714284</c:v>
                </c:pt>
                <c:pt idx="18">
                  <c:v>3428.5714285714284</c:v>
                </c:pt>
                <c:pt idx="19">
                  <c:v>3428.5714285714284</c:v>
                </c:pt>
                <c:pt idx="20">
                  <c:v>3428.5714285714284</c:v>
                </c:pt>
                <c:pt idx="21">
                  <c:v>3428.5714285714284</c:v>
                </c:pt>
                <c:pt idx="22">
                  <c:v>3428.5714285714284</c:v>
                </c:pt>
                <c:pt idx="23">
                  <c:v>3428.5714285714284</c:v>
                </c:pt>
                <c:pt idx="24">
                  <c:v>3428.5714285714284</c:v>
                </c:pt>
                <c:pt idx="25">
                  <c:v>3428.5714285714284</c:v>
                </c:pt>
                <c:pt idx="26">
                  <c:v>4000</c:v>
                </c:pt>
                <c:pt idx="27">
                  <c:v>4000</c:v>
                </c:pt>
                <c:pt idx="28">
                  <c:v>4000</c:v>
                </c:pt>
                <c:pt idx="29">
                  <c:v>4000</c:v>
                </c:pt>
                <c:pt idx="30">
                  <c:v>4000</c:v>
                </c:pt>
                <c:pt idx="31">
                  <c:v>4000</c:v>
                </c:pt>
                <c:pt idx="32">
                  <c:v>8000</c:v>
                </c:pt>
                <c:pt idx="33">
                  <c:v>8000</c:v>
                </c:pt>
                <c:pt idx="34">
                  <c:v>8000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182881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1388889" createdVersion="8" refreshedVersion="8" minRefreshableVersion="3" recordCount="1829" xr:uid="{8D9D6DB7-C64F-4C80-9A78-61C3071D7139}">
  <cacheSource type="worksheet">
    <worksheetSource ref="A4:AB2550" sheet="BD"/>
  </cacheSource>
  <cacheFields count="28">
    <cacheField name="Data" numFmtId="0">
      <sharedItems containsNonDate="0" containsDate="1" containsString="0" containsBlank="1" minDate="2026-05-04T00:00:00" maxDate="2026-08-24T00:00:00" count="113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m/>
      </sharedItems>
    </cacheField>
    <cacheField name="Semana" numFmtId="0">
      <sharedItems containsBlank="1" count="19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s v="S34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381.56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9.6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2083335" createdVersion="8" refreshedVersion="8" minRefreshableVersion="3" recordCount="1829" xr:uid="{9D45AC4C-13ED-4258-A051-E1A0E0BEF410}">
  <cacheSource type="worksheet">
    <worksheetSource ref="A4:AB7116" sheet="BD"/>
  </cacheSource>
  <cacheFields count="28">
    <cacheField name="Data" numFmtId="0">
      <sharedItems containsNonDate="0" containsDate="1" containsString="0" containsBlank="1" minDate="2026-05-04T00:00:00" maxDate="2026-08-24T00:00:00" count="113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m/>
      </sharedItems>
    </cacheField>
    <cacheField name="Semana" numFmtId="0">
      <sharedItems containsBlank="1" count="18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s v="S34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381.56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9.6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2199074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2314813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2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s v="Em operação"/>
    <s v="ES 0096"/>
    <x v="2"/>
    <m/>
    <m/>
    <n v="2500"/>
    <n v="323.36578581363"/>
    <n v="8.2899999999999991"/>
    <n v="7.19"/>
    <n v="1.1000000000000001"/>
    <n v="13.27"/>
    <s v="798"/>
    <n v="2325"/>
    <n v="1.21"/>
    <n v="6.99"/>
    <n v="138.16999999999999"/>
    <n v="4.26"/>
    <n v="3.87"/>
    <n v="133.91"/>
    <n v="18.63"/>
    <s v="9348"/>
    <s v="103207"/>
    <s v="156001"/>
    <n v="0.4"/>
    <s v="0"/>
    <n v="292.8"/>
  </r>
  <r>
    <x v="105"/>
    <x v="16"/>
    <s v="Em operação"/>
    <s v="ES 0097"/>
    <x v="7"/>
    <m/>
    <m/>
    <m/>
    <n v="0"/>
    <n v="2.1800000000000002"/>
    <n v="1.48"/>
    <n v="0.7"/>
    <n v="32.18"/>
    <s v=""/>
    <s v=""/>
    <s v=""/>
    <s v=""/>
    <n v="29.34"/>
    <n v="3.31"/>
    <n v="4.7300000000000004"/>
    <n v="26.02"/>
    <n v="17.64"/>
    <n v="8938.68"/>
    <s v=""/>
    <s v=""/>
    <n v="0.2"/>
    <s v=""/>
    <s v="266"/>
  </r>
  <r>
    <x v="105"/>
    <x v="16"/>
    <s v="Em operação"/>
    <s v="ES 0135"/>
    <x v="2"/>
    <m/>
    <m/>
    <n v="2500"/>
    <n v="343.53826850690086"/>
    <n v="8.9700000000000006"/>
    <n v="7.97"/>
    <s v="1"/>
    <n v="11.15"/>
    <s v="1205"/>
    <n v="2738"/>
    <n v="2.27"/>
    <n v="19.420000000000002"/>
    <n v="141.01"/>
    <n v="3.31"/>
    <n v="3.31"/>
    <n v="137.69"/>
    <n v="17.28"/>
    <n v="764.96"/>
    <s v="74947"/>
    <s v="150610"/>
    <s v="0"/>
    <s v="0"/>
    <n v="72.3"/>
  </r>
  <r>
    <x v="105"/>
    <x v="16"/>
    <s v="Em operação"/>
    <s v="ES 0110"/>
    <x v="2"/>
    <m/>
    <m/>
    <n v="2500"/>
    <n v="365.1605231866825"/>
    <n v="9.16"/>
    <n v="8.41"/>
    <n v="0.75"/>
    <n v="8.19"/>
    <s v="1393"/>
    <n v="3071"/>
    <n v="2.2000000000000002"/>
    <n v="17.45"/>
    <n v="176.02"/>
    <n v="2.84"/>
    <n v="3.79"/>
    <n v="173.18"/>
    <n v="20.59"/>
    <n v="2593.85"/>
    <s v="178789"/>
    <s v="343950"/>
    <n v="0.1"/>
    <s v="0"/>
    <n v="337.5"/>
  </r>
  <r>
    <x v="105"/>
    <x v="16"/>
    <s v="Em operação"/>
    <s v="ES 0126"/>
    <x v="2"/>
    <m/>
    <m/>
    <n v="2500"/>
    <n v="276.1194029850746"/>
    <n v="12.44"/>
    <n v="11.39"/>
    <n v="1.05"/>
    <n v="8.44"/>
    <s v="1724"/>
    <n v="3145"/>
    <n v="1.82"/>
    <n v="12.88"/>
    <n v="244.16"/>
    <n v="3.79"/>
    <n v="3.61"/>
    <n v="240.37"/>
    <n v="21.1"/>
    <n v="1192.47"/>
    <s v="123743"/>
    <s v="273052"/>
    <n v="0.1"/>
    <s v="0"/>
    <n v="121.5"/>
  </r>
  <r>
    <x v="105"/>
    <x v="16"/>
    <s v="Em operação"/>
    <s v="ES 0099"/>
    <x v="2"/>
    <m/>
    <m/>
    <n v="2500"/>
    <n v="344.45479962721339"/>
    <n v="12.88"/>
    <n v="10.73"/>
    <n v="2.15"/>
    <n v="16.7"/>
    <s v="1293"/>
    <n v="3696"/>
    <n v="2.86"/>
    <n v="11.45"/>
    <n v="322.70999999999998"/>
    <n v="12.3"/>
    <n v="5.72"/>
    <n v="310.39999999999998"/>
    <n v="28.94"/>
    <n v="8170.94"/>
    <s v="138587"/>
    <s v="411878"/>
    <s v="0"/>
    <s v="0"/>
    <n v="256.39999999999998"/>
  </r>
  <r>
    <x v="105"/>
    <x v="16"/>
    <s v="Em operação"/>
    <s v="ES 0101"/>
    <x v="0"/>
    <n v="3194"/>
    <m/>
    <n v="8000"/>
    <n v="567.97546012269936"/>
    <n v="9.1999999999999993"/>
    <n v="8.15"/>
    <n v="1.05"/>
    <n v="11.42"/>
    <s v="1028"/>
    <n v="4629"/>
    <n v="4.5"/>
    <n v="14.67"/>
    <n v="315.61"/>
    <n v="6.15"/>
    <n v="5.86"/>
    <n v="309.45999999999998"/>
    <n v="37.979999999999997"/>
    <n v="6782.66"/>
    <s v="438057"/>
    <s v="1592724"/>
    <n v="0.1"/>
    <s v="0"/>
    <n v="49.7"/>
  </r>
  <r>
    <x v="105"/>
    <x v="16"/>
    <s v="Em operação"/>
    <s v="ES 0116"/>
    <x v="2"/>
    <m/>
    <m/>
    <n v="2500"/>
    <n v="178.79256965944273"/>
    <n v="8.61"/>
    <n v="6.46"/>
    <n v="2.15"/>
    <n v="24.98"/>
    <s v="725"/>
    <n v="1155"/>
    <n v="3.04"/>
    <n v="8.86"/>
    <n v="248.89"/>
    <n v="9.4600000000000009"/>
    <n v="4.4000000000000004"/>
    <n v="239.43"/>
    <n v="37.07"/>
    <n v="2112.6999999999998"/>
    <s v="207746"/>
    <s v="699047"/>
    <s v="0"/>
    <s v="0"/>
    <n v="5.7"/>
  </r>
  <r>
    <x v="105"/>
    <x v="16"/>
    <s v="Em operação"/>
    <s v="ES 0116"/>
    <x v="6"/>
    <m/>
    <m/>
    <m/>
    <n v="0"/>
    <m/>
    <m/>
    <m/>
    <m/>
    <m/>
    <n v="1050"/>
    <m/>
    <m/>
    <m/>
    <m/>
    <m/>
    <m/>
    <m/>
    <m/>
    <m/>
    <m/>
    <m/>
    <m/>
    <m/>
  </r>
  <r>
    <x v="106"/>
    <x v="16"/>
    <s v="Em operação"/>
    <s v="ES 0096"/>
    <x v="2"/>
    <m/>
    <m/>
    <n v="2500"/>
    <n v="297.37206085753803"/>
    <n v="8.3800000000000008"/>
    <n v="7.23"/>
    <n v="1.1499999999999999"/>
    <n v="13.72"/>
    <s v="1025"/>
    <n v="2150"/>
    <n v="1.44"/>
    <n v="10.220000000000001"/>
    <n v="144.32"/>
    <n v="4.7300000000000004"/>
    <n v="4.1100000000000003"/>
    <n v="139.59"/>
    <n v="19.29"/>
    <n v="9356.3799999999992"/>
    <s v="104232"/>
    <s v="157476"/>
    <s v="0"/>
    <s v="0"/>
    <n v="292.8"/>
  </r>
  <r>
    <x v="106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6"/>
    <x v="16"/>
    <s v="Em operação"/>
    <s v="ES 0135"/>
    <x v="2"/>
    <m/>
    <m/>
    <n v="2500"/>
    <n v="200.42857142857142"/>
    <n v="9.15"/>
    <s v="7"/>
    <n v="2.15"/>
    <n v="23.5"/>
    <s v="1010"/>
    <n v="1403"/>
    <n v="1.56"/>
    <n v="10.69"/>
    <n v="147.63"/>
    <n v="7.1"/>
    <n v="3.3"/>
    <n v="140.53"/>
    <n v="20.079999999999998"/>
    <n v="774.11"/>
    <s v="76237"/>
    <s v="152785"/>
    <n v="0.7"/>
    <s v="0"/>
    <s v="73"/>
  </r>
  <r>
    <x v="106"/>
    <x v="16"/>
    <s v="Em operação"/>
    <s v="ES 0135"/>
    <x v="6"/>
    <m/>
    <m/>
    <m/>
    <n v="0"/>
    <m/>
    <m/>
    <m/>
    <m/>
    <m/>
    <n v="175"/>
    <m/>
    <m/>
    <m/>
    <m/>
    <m/>
    <m/>
    <m/>
    <m/>
    <m/>
    <m/>
    <m/>
    <m/>
    <m/>
  </r>
  <r>
    <x v="106"/>
    <x v="16"/>
    <s v="Em operação"/>
    <s v="ES 0110"/>
    <x v="2"/>
    <m/>
    <m/>
    <n v="2500"/>
    <n v="328.80523731587562"/>
    <n v="8.11"/>
    <n v="6.11"/>
    <s v="2"/>
    <n v="24.67"/>
    <s v="1017"/>
    <n v="2009"/>
    <n v="2.2000000000000002"/>
    <n v="16.739999999999998"/>
    <n v="133.44"/>
    <n v="7.1"/>
    <n v="3.55"/>
    <n v="126.34"/>
    <n v="20.69"/>
    <n v="2601.9499999999998"/>
    <s v="179806"/>
    <s v="346184"/>
    <n v="0.6"/>
    <s v="0"/>
    <n v="338.1"/>
  </r>
  <r>
    <x v="106"/>
    <x v="16"/>
    <s v="Em operação"/>
    <s v="ES 0110"/>
    <x v="6"/>
    <m/>
    <m/>
    <m/>
    <n v="0"/>
    <m/>
    <m/>
    <m/>
    <m/>
    <m/>
    <n v="225"/>
    <m/>
    <m/>
    <m/>
    <m/>
    <m/>
    <m/>
    <m/>
    <m/>
    <m/>
    <m/>
    <m/>
    <m/>
    <m/>
  </r>
  <r>
    <x v="106"/>
    <x v="16"/>
    <s v="Em operação"/>
    <s v="ES 0126"/>
    <x v="2"/>
    <m/>
    <m/>
    <n v="2500"/>
    <n v="296.30331753554498"/>
    <n v="11.65"/>
    <n v="10.55"/>
    <n v="1.1000000000000001"/>
    <n v="9.4499999999999993"/>
    <s v="1438"/>
    <n v="3126"/>
    <n v="2.17"/>
    <n v="13.71"/>
    <n v="228.07"/>
    <n v="3.79"/>
    <n v="3.44"/>
    <n v="224.29"/>
    <n v="21.27"/>
    <n v="1204.46"/>
    <s v="125235"/>
    <s v="276268"/>
    <n v="0.1"/>
    <s v="0"/>
    <n v="121.6"/>
  </r>
  <r>
    <x v="106"/>
    <x v="16"/>
    <s v="Em operação"/>
    <s v="ES 0099"/>
    <x v="2"/>
    <m/>
    <m/>
    <n v="2500"/>
    <n v="284.61538461538458"/>
    <n v="15.43"/>
    <n v="13.13"/>
    <n v="2.2999999999999998"/>
    <n v="14.91"/>
    <s v="1244"/>
    <n v="3737"/>
    <s v="3"/>
    <n v="9.0500000000000007"/>
    <n v="413.08"/>
    <n v="13.25"/>
    <n v="5.76"/>
    <n v="399.83"/>
    <n v="30.46"/>
    <n v="8186.37"/>
    <s v="139831"/>
    <s v="415615"/>
    <n v="0.9"/>
    <s v="0"/>
    <n v="257.3"/>
  </r>
  <r>
    <x v="106"/>
    <x v="16"/>
    <s v="Em operação"/>
    <s v="ES 0101"/>
    <x v="0"/>
    <n v="1408"/>
    <m/>
    <n v="8000"/>
    <n v="335.31073446327684"/>
    <n v="7.63"/>
    <n v="7.08"/>
    <n v="0.55000000000000004"/>
    <n v="7.21"/>
    <s v="593"/>
    <s v="2374"/>
    <s v="4"/>
    <n v="8.8000000000000007"/>
    <n v="269.70999999999998"/>
    <n v="3.31"/>
    <n v="6.02"/>
    <n v="266.39999999999998"/>
    <n v="37.65"/>
    <n v="6790.29"/>
    <s v="438650"/>
    <s v="1595098"/>
    <s v="0"/>
    <s v="0"/>
    <n v="49.7"/>
  </r>
  <r>
    <x v="106"/>
    <x v="16"/>
    <s v="Em operação"/>
    <s v="ES 0116"/>
    <x v="2"/>
    <m/>
    <m/>
    <n v="2500"/>
    <n v="426.77824267782427"/>
    <n v="7.08"/>
    <n v="4.78"/>
    <n v="2.2999999999999998"/>
    <n v="32.47"/>
    <n v="602"/>
    <n v="2040"/>
    <n v="3.39"/>
    <n v="10.1"/>
    <n v="202.05"/>
    <n v="9.94"/>
    <n v="4.32"/>
    <n v="192.11"/>
    <n v="40.17"/>
    <n v="2119.79"/>
    <n v="208348"/>
    <n v="701087"/>
    <n v="0"/>
    <n v="0"/>
    <n v="5.7"/>
  </r>
  <r>
    <x v="107"/>
    <x v="16"/>
    <s v="Em operação"/>
    <s v="ES 0096"/>
    <x v="2"/>
    <m/>
    <m/>
    <n v="2500"/>
    <n v="164.60905349794237"/>
    <n v="6.36"/>
    <n v="4.8600000000000003"/>
    <n v="1.5"/>
    <n v="23.57"/>
    <s v="538"/>
    <n v="800"/>
    <n v="1.48"/>
    <n v="8.56"/>
    <n v="92.74"/>
    <n v="6.15"/>
    <n v="4.0999999999999996"/>
    <n v="86.59"/>
    <n v="17.8"/>
    <n v="9362.75"/>
    <s v="104770"/>
    <s v="158270"/>
    <n v="0.1"/>
    <s v="0"/>
    <n v="292.89999999999998"/>
  </r>
  <r>
    <x v="107"/>
    <x v="1"/>
    <s v="Não operacional"/>
    <s v="ES 0097"/>
    <x v="7"/>
    <m/>
    <s v="Na oficina"/>
    <m/>
    <n v="0"/>
    <n v="7.0000000000000007E-2"/>
    <n v="0.02"/>
    <n v="0.05"/>
    <n v="68.400000000000006"/>
    <s v=""/>
    <s v=""/>
    <s v=""/>
    <s v=""/>
    <n v="0.47"/>
    <s v="0"/>
    <s v="0"/>
    <n v="0.47"/>
    <n v="20.48"/>
    <n v="8939.2199999999993"/>
    <s v=""/>
    <s v=""/>
    <s v="0"/>
    <s v=""/>
    <s v="266"/>
  </r>
  <r>
    <x v="107"/>
    <x v="16"/>
    <s v="Em operação"/>
    <s v="ES 0135"/>
    <x v="2"/>
    <m/>
    <m/>
    <n v="2500"/>
    <n v="70.260869565217391"/>
    <n v="8.25"/>
    <n v="5.75"/>
    <n v="2.5"/>
    <n v="30.29"/>
    <s v="755"/>
    <n v="404"/>
    <n v="1.7"/>
    <n v="10.64"/>
    <n v="120.66"/>
    <n v="8.52"/>
    <n v="3.41"/>
    <n v="112.14"/>
    <n v="19.489999999999998"/>
    <n v="782.36"/>
    <s v="76992"/>
    <s v="154069"/>
    <n v="1.5"/>
    <s v="0"/>
    <n v="74.5"/>
  </r>
  <r>
    <x v="107"/>
    <x v="16"/>
    <s v="Em operação"/>
    <s v="ES 0135"/>
    <x v="6"/>
    <m/>
    <m/>
    <m/>
    <n v="0"/>
    <m/>
    <m/>
    <m/>
    <m/>
    <m/>
    <n v="880"/>
    <m/>
    <m/>
    <m/>
    <m/>
    <m/>
    <m/>
    <m/>
    <m/>
    <m/>
    <m/>
    <m/>
    <m/>
    <m/>
  </r>
  <r>
    <x v="107"/>
    <x v="16"/>
    <s v="Em operação"/>
    <s v="ES 0110"/>
    <x v="2"/>
    <m/>
    <m/>
    <n v="2500"/>
    <n v="411.92368839427661"/>
    <n v="7.14"/>
    <n v="6.29"/>
    <n v="0.85"/>
    <n v="11.91"/>
    <s v="1205"/>
    <n v="2591"/>
    <n v="2.15"/>
    <n v="18.88"/>
    <n v="137.22"/>
    <n v="3.31"/>
    <n v="3.9"/>
    <n v="133.91"/>
    <n v="21.31"/>
    <n v="2609.09"/>
    <s v="181011"/>
    <s v="348775"/>
    <n v="0.1"/>
    <s v="0"/>
    <n v="338.2"/>
  </r>
  <r>
    <x v="107"/>
    <x v="16"/>
    <s v="Em operação"/>
    <s v="ES 0126"/>
    <x v="2"/>
    <m/>
    <m/>
    <n v="2500"/>
    <n v="240.96989966555182"/>
    <n v="13.56"/>
    <n v="11.96"/>
    <n v="1.6"/>
    <n v="11.8"/>
    <s v="1475"/>
    <n v="2882"/>
    <n v="1.95"/>
    <n v="11.47"/>
    <n v="251.26"/>
    <n v="6.15"/>
    <n v="3.84"/>
    <n v="245.11"/>
    <n v="20.49"/>
    <n v="1218.02"/>
    <s v="126710"/>
    <s v="279150"/>
    <n v="3.4"/>
    <s v="0"/>
    <s v="125"/>
  </r>
  <r>
    <x v="107"/>
    <x v="16"/>
    <s v="Em operação"/>
    <s v="ES 0099"/>
    <x v="2"/>
    <m/>
    <m/>
    <n v="2500"/>
    <n v="347.3047304730473"/>
    <n v="10.44"/>
    <n v="9.09"/>
    <n v="1.35"/>
    <n v="12.93"/>
    <s v="987"/>
    <n v="3157"/>
    <n v="3.2"/>
    <n v="11.1"/>
    <n v="284.38"/>
    <n v="7.57"/>
    <n v="5.61"/>
    <n v="276.81"/>
    <n v="30.44"/>
    <n v="8196.81"/>
    <s v="140818"/>
    <s v="418772"/>
    <n v="0.5"/>
    <s v="0"/>
    <n v="257.8"/>
  </r>
  <r>
    <x v="107"/>
    <x v="16"/>
    <s v="Em operação"/>
    <s v="ES 0101"/>
    <x v="0"/>
    <n v="2485"/>
    <m/>
    <n v="8000"/>
    <n v="462.04986149584488"/>
    <n v="7.86"/>
    <n v="7.22"/>
    <n v="0.65"/>
    <n v="8.26"/>
    <s v="755"/>
    <n v="3336"/>
    <n v="4.42"/>
    <n v="11.99"/>
    <n v="278.23"/>
    <n v="4.7300000000000004"/>
    <n v="7.28"/>
    <n v="273.5"/>
    <n v="37.909999999999997"/>
    <n v="6798.15"/>
    <s v="439405"/>
    <s v="1598434"/>
    <s v="0"/>
    <s v="0"/>
    <n v="49.7"/>
  </r>
  <r>
    <x v="107"/>
    <x v="16"/>
    <s v="Em operação"/>
    <s v="ES 0116"/>
    <x v="2"/>
    <m/>
    <m/>
    <n v="2500"/>
    <n v="559.96784565916403"/>
    <n v="7.82"/>
    <n v="6.22"/>
    <n v="1.6"/>
    <n v="20.47"/>
    <s v="958"/>
    <n v="3483"/>
    <n v="3.64"/>
    <n v="13.22"/>
    <n v="263.56"/>
    <n v="8.0399999999999991"/>
    <n v="5.03"/>
    <n v="255.52"/>
    <n v="41.1"/>
    <n v="2127.6"/>
    <s v="209306"/>
    <s v="704570"/>
    <s v="0"/>
    <s v="0"/>
    <n v="5.7"/>
  </r>
  <r>
    <x v="108"/>
    <x v="16"/>
    <s v="Em operação"/>
    <s v="ES 0096"/>
    <x v="2"/>
    <m/>
    <m/>
    <n v="2500"/>
    <n v="264.22764227642278"/>
    <n v="3.11"/>
    <n v="2.46"/>
    <n v="0.65"/>
    <n v="20.91"/>
    <s v="301"/>
    <n v="650"/>
    <n v="1.62"/>
    <n v="10.31"/>
    <n v="47.32"/>
    <n v="2.37"/>
    <n v="3.64"/>
    <n v="44.95"/>
    <n v="18.28"/>
    <n v="9365.85"/>
    <s v="105071"/>
    <s v="158758"/>
    <s v="0"/>
    <s v="0"/>
    <n v="292.89999999999998"/>
  </r>
  <r>
    <x v="108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8"/>
    <x v="16"/>
    <s v="Em operação"/>
    <s v="ES 0135"/>
    <x v="2"/>
    <m/>
    <m/>
    <n v="2500"/>
    <n v="69.664902998236329"/>
    <n v="7.72"/>
    <n v="5.67"/>
    <n v="2.0499999999999998"/>
    <n v="26.57"/>
    <s v="618"/>
    <n v="395"/>
    <n v="1.25"/>
    <n v="8.06"/>
    <n v="95.58"/>
    <n v="7.1"/>
    <n v="3.46"/>
    <n v="88.48"/>
    <n v="15.62"/>
    <n v="790.08"/>
    <s v="77610"/>
    <s v="154839"/>
    <s v="2"/>
    <s v="0"/>
    <n v="76.5"/>
  </r>
  <r>
    <x v="108"/>
    <x v="16"/>
    <s v="Em operação"/>
    <s v="ES 0135"/>
    <x v="6"/>
    <m/>
    <m/>
    <m/>
    <n v="0"/>
    <m/>
    <m/>
    <m/>
    <m/>
    <m/>
    <n v="375"/>
    <m/>
    <m/>
    <m/>
    <m/>
    <m/>
    <m/>
    <m/>
    <m/>
    <m/>
    <m/>
    <m/>
    <m/>
    <m/>
  </r>
  <r>
    <x v="108"/>
    <x v="16"/>
    <s v="Em operação"/>
    <s v="ES 0110"/>
    <x v="2"/>
    <m/>
    <m/>
    <n v="2500"/>
    <n v="250.1547987616099"/>
    <n v="7.91"/>
    <n v="6.46"/>
    <n v="1.45"/>
    <n v="18.34"/>
    <s v="895"/>
    <n v="1616"/>
    <n v="1.81"/>
    <n v="11.27"/>
    <n v="143.37"/>
    <n v="6.15"/>
    <n v="4.24"/>
    <n v="137.22"/>
    <n v="21.25"/>
    <s v="2617"/>
    <s v="181906"/>
    <s v="350391"/>
    <n v="0.9"/>
    <s v="0"/>
    <n v="339.1"/>
  </r>
  <r>
    <x v="108"/>
    <x v="16"/>
    <s v="Em operação"/>
    <s v="ES 0126"/>
    <x v="2"/>
    <m/>
    <m/>
    <n v="2500"/>
    <n v="275.103734439834"/>
    <n v="9.0299999999999994"/>
    <n v="7.23"/>
    <n v="1.8"/>
    <n v="19.93"/>
    <s v="997"/>
    <n v="1989"/>
    <n v="1.99"/>
    <n v="12.51"/>
    <n v="158.99"/>
    <n v="6.62"/>
    <n v="3.68"/>
    <n v="152.36000000000001"/>
    <n v="21.07"/>
    <n v="1227.05"/>
    <s v="127707"/>
    <s v="281139"/>
    <s v="0"/>
    <s v="0"/>
    <s v="125"/>
  </r>
  <r>
    <x v="108"/>
    <x v="16"/>
    <s v="Em operação"/>
    <s v="ES 0099"/>
    <x v="2"/>
    <m/>
    <m/>
    <n v="2500"/>
    <n v="239.33054393305437"/>
    <n v="11.86"/>
    <n v="9.56"/>
    <n v="2.2999999999999998"/>
    <n v="19.399999999999999"/>
    <s v="903"/>
    <n v="2288"/>
    <n v="2.5299999999999998"/>
    <n v="7.84"/>
    <n v="291.95"/>
    <n v="12.78"/>
    <n v="5.55"/>
    <n v="279.17"/>
    <n v="29.21"/>
    <n v="8208.67"/>
    <s v="141721"/>
    <s v="421060"/>
    <n v="1.1000000000000001"/>
    <s v="0"/>
    <n v="258.89999999999998"/>
  </r>
  <r>
    <x v="108"/>
    <x v="16"/>
    <s v="Em operação"/>
    <s v="ES 0101"/>
    <x v="0"/>
    <m/>
    <s v="Na oficina"/>
    <m/>
    <n v="0"/>
    <n v="0.94"/>
    <n v="0.28999999999999998"/>
    <n v="0.65"/>
    <n v="69.459999999999994"/>
    <s v="0"/>
    <n v="0"/>
    <s v=""/>
    <s v="0"/>
    <n v="10.88"/>
    <n v="3.31"/>
    <n v="5.0999999999999996"/>
    <n v="7.57"/>
    <n v="26.49"/>
    <n v="6799.09"/>
    <s v="439405"/>
    <s v="1598434"/>
    <s v="0"/>
    <s v=""/>
    <n v="49.7"/>
  </r>
  <r>
    <x v="108"/>
    <x v="16"/>
    <s v="Em operação"/>
    <s v="ES 0116"/>
    <x v="2"/>
    <m/>
    <m/>
    <n v="2500"/>
    <n v="477.03549060542798"/>
    <n v="6.79"/>
    <n v="4.79"/>
    <s v="2"/>
    <n v="29.44"/>
    <s v="698"/>
    <n v="2285"/>
    <n v="3.27"/>
    <n v="11.15"/>
    <n v="204.89"/>
    <n v="8.99"/>
    <n v="4.5"/>
    <n v="195.89"/>
    <n v="40.869999999999997"/>
    <n v="2134.4"/>
    <s v="210004"/>
    <s v="706855"/>
    <s v="0"/>
    <s v="0"/>
    <n v="5.7"/>
  </r>
  <r>
    <x v="109"/>
    <x v="16"/>
    <s v="Em operação"/>
    <s v="ES 0096"/>
    <x v="2"/>
    <m/>
    <m/>
    <n v="2500"/>
    <n v="241.4364640883978"/>
    <n v="7.68"/>
    <n v="5.43"/>
    <n v="2.25"/>
    <n v="29.3"/>
    <s v="807"/>
    <n v="1311"/>
    <n v="1.62"/>
    <n v="12.42"/>
    <n v="105.52"/>
    <n v="8.99"/>
    <s v="4"/>
    <n v="96.53"/>
    <n v="17.78"/>
    <n v="9373.5300000000007"/>
    <s v="105878"/>
    <s v="160069"/>
    <s v="0"/>
    <s v="0"/>
    <n v="292.89999999999998"/>
  </r>
  <r>
    <x v="109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9"/>
    <x v="16"/>
    <s v="Em operação"/>
    <s v="ES 0135"/>
    <x v="2"/>
    <m/>
    <m/>
    <n v="2500"/>
    <n v="111.86943620178042"/>
    <n v="7.54"/>
    <n v="6.74"/>
    <n v="0.8"/>
    <n v="10.6"/>
    <s v="970"/>
    <n v="754"/>
    <n v="1.55"/>
    <n v="10.32"/>
    <n v="145.74"/>
    <n v="2.84"/>
    <n v="3.55"/>
    <n v="142.9"/>
    <n v="21.19"/>
    <n v="797.62"/>
    <s v="78676"/>
    <s v="156535"/>
    <n v="1.4"/>
    <s v="0"/>
    <n v="78.2"/>
  </r>
  <r>
    <x v="109"/>
    <x v="16"/>
    <s v="Em operação"/>
    <s v="ES 0135"/>
    <x v="6"/>
    <m/>
    <m/>
    <m/>
    <m/>
    <m/>
    <m/>
    <m/>
    <m/>
    <m/>
    <n v="750"/>
    <m/>
    <m/>
    <m/>
    <m/>
    <m/>
    <m/>
    <m/>
    <m/>
    <m/>
    <m/>
    <m/>
    <m/>
    <m/>
  </r>
  <r>
    <x v="109"/>
    <x v="16"/>
    <s v="Em operação"/>
    <s v="ES 0110"/>
    <x v="2"/>
    <m/>
    <m/>
    <n v="2500"/>
    <n v="361.41078838174269"/>
    <n v="8.58"/>
    <n v="7.23"/>
    <n v="1.35"/>
    <n v="15.74"/>
    <s v="1299"/>
    <n v="2613"/>
    <n v="2.0099999999999998"/>
    <n v="16.989999999999998"/>
    <n v="153.78"/>
    <n v="4.26"/>
    <n v="3.15"/>
    <n v="149.52000000000001"/>
    <n v="20.68"/>
    <n v="2625.58"/>
    <s v="183205"/>
    <s v="353004"/>
    <n v="0.5"/>
    <s v="0"/>
    <n v="339.6"/>
  </r>
  <r>
    <x v="109"/>
    <x v="16"/>
    <s v="Em operação"/>
    <s v="ES 0126"/>
    <x v="2"/>
    <m/>
    <m/>
    <n v="2500"/>
    <n v="171.15942028985506"/>
    <n v="8.3000000000000007"/>
    <n v="6.9"/>
    <n v="1.4"/>
    <n v="16.87"/>
    <s v="565"/>
    <n v="1181"/>
    <n v="2.09"/>
    <n v="9.8699999999999992"/>
    <n v="119.71"/>
    <n v="5.2"/>
    <n v="3.72"/>
    <n v="114.51"/>
    <n v="16.600000000000001"/>
    <n v="1235.3499999999999"/>
    <s v="128272"/>
    <s v="282320"/>
    <n v="0.2"/>
    <s v="0"/>
    <n v="125.2"/>
  </r>
  <r>
    <x v="109"/>
    <x v="16"/>
    <s v="Em operação"/>
    <s v="ES 0099"/>
    <x v="2"/>
    <m/>
    <m/>
    <n v="2500"/>
    <n v="442.66994266994266"/>
    <n v="15.01"/>
    <n v="12.21"/>
    <n v="2.8"/>
    <n v="18.66"/>
    <s v="1515"/>
    <n v="5405"/>
    <n v="3.57"/>
    <n v="13.88"/>
    <n v="389.42"/>
    <n v="16.09"/>
    <n v="5.75"/>
    <n v="373.34"/>
    <n v="30.58"/>
    <n v="8223.67"/>
    <s v="143236"/>
    <s v="426465"/>
    <n v="0.1"/>
    <s v="0"/>
    <s v="259"/>
  </r>
  <r>
    <x v="109"/>
    <x v="16"/>
    <s v="Em operação"/>
    <s v="ES 0101"/>
    <x v="7"/>
    <m/>
    <m/>
    <m/>
    <n v="209.11602209944752"/>
    <n v="5.37"/>
    <n v="3.62"/>
    <n v="1.75"/>
    <n v="32.6"/>
    <s v="185"/>
    <n v="757"/>
    <n v="4.09"/>
    <n v="6.2"/>
    <n v="122.08"/>
    <n v="8.99"/>
    <n v="5.14"/>
    <n v="113.09"/>
    <n v="31.26"/>
    <n v="6804.46"/>
    <s v="439590"/>
    <s v="1599191"/>
    <s v="0"/>
    <s v="0"/>
    <n v="49.7"/>
  </r>
  <r>
    <x v="109"/>
    <x v="16"/>
    <s v="Em operação"/>
    <s v="ES 0116"/>
    <x v="2"/>
    <m/>
    <m/>
    <n v="2500"/>
    <n v="523.05389221556891"/>
    <n v="5.24"/>
    <n v="3.34"/>
    <n v="1.9"/>
    <n v="36.22"/>
    <s v="479"/>
    <n v="1747"/>
    <n v="3.65"/>
    <n v="12.11"/>
    <n v="144.32"/>
    <n v="8.99"/>
    <n v="4.7300000000000004"/>
    <n v="135.33000000000001"/>
    <n v="40.46"/>
    <n v="2139.64"/>
    <s v="210483"/>
    <s v="708602"/>
    <s v="0"/>
    <s v="0"/>
    <n v="5.7"/>
  </r>
  <r>
    <x v="110"/>
    <x v="16"/>
    <s v="Em operação"/>
    <s v="ES 0096"/>
    <x v="2"/>
    <m/>
    <m/>
    <n v="3000"/>
    <n v="326.59409020217731"/>
    <n v="8.0299999999999994"/>
    <n v="6.43"/>
    <n v="1.6"/>
    <n v="19.93"/>
    <s v="945"/>
    <n v="2100"/>
    <n v="1.72"/>
    <n v="13.5"/>
    <n v="120.19"/>
    <n v="6.62"/>
    <n v="4.1399999999999997"/>
    <n v="113.56"/>
    <n v="17.670000000000002"/>
    <n v="9381.56"/>
    <s v="106823"/>
    <s v="161692"/>
    <n v="0.1"/>
    <s v="0"/>
    <s v="293"/>
  </r>
  <r>
    <x v="110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0"/>
    <x v="16"/>
    <s v="Em operação"/>
    <s v="ES 0135"/>
    <x v="6"/>
    <m/>
    <m/>
    <m/>
    <n v="139.19308357348703"/>
    <n v="8.39"/>
    <n v="6.94"/>
    <n v="1.45"/>
    <n v="17.28"/>
    <s v="612"/>
    <n v="966"/>
    <n v="1.58"/>
    <n v="8.5399999999999991"/>
    <n v="113.09"/>
    <n v="5.2"/>
    <n v="3.59"/>
    <n v="107.88"/>
    <n v="15.54"/>
    <n v="806.01"/>
    <s v="79288"/>
    <s v="157501"/>
    <n v="1.3"/>
    <s v="0"/>
    <n v="79.5"/>
  </r>
  <r>
    <x v="110"/>
    <x v="16"/>
    <s v="Em operação"/>
    <s v="ES 0110"/>
    <x v="2"/>
    <m/>
    <m/>
    <n v="3000"/>
    <n v="381.55136268343819"/>
    <n v="6.47"/>
    <n v="4.7699999999999996"/>
    <n v="1.7"/>
    <n v="26.29"/>
    <s v="826"/>
    <n v="1820"/>
    <n v="2.2000000000000002"/>
    <n v="17.97"/>
    <n v="101.26"/>
    <n v="6.15"/>
    <n v="3.62"/>
    <n v="95.11"/>
    <n v="19.95"/>
    <n v="2632.04"/>
    <s v="184031"/>
    <s v="354824"/>
    <s v="0"/>
    <s v="0"/>
    <n v="339.6"/>
  </r>
  <r>
    <x v="110"/>
    <x v="16"/>
    <s v="Em operação"/>
    <s v="ES 0126"/>
    <x v="2"/>
    <m/>
    <m/>
    <n v="3000"/>
    <n v="156.46153846153845"/>
    <n v="7.5"/>
    <n v="6.5"/>
    <s v="1"/>
    <n v="13.34"/>
    <s v="615"/>
    <n v="1017"/>
    <n v="1.65"/>
    <n v="7.12"/>
    <n v="142.9"/>
    <n v="3.79"/>
    <n v="3.79"/>
    <n v="139.11000000000001"/>
    <n v="21.41"/>
    <n v="1242.8499999999999"/>
    <s v="129060"/>
    <s v="283696"/>
    <n v="0.4"/>
    <s v="0"/>
    <n v="125.6"/>
  </r>
  <r>
    <x v="110"/>
    <x v="16"/>
    <s v="Em operação"/>
    <s v="ES 0099"/>
    <x v="2"/>
    <m/>
    <m/>
    <n v="3000"/>
    <n v="437.74551665243376"/>
    <n v="13.86"/>
    <n v="11.71"/>
    <n v="2.15"/>
    <n v="15.51"/>
    <s v="1328"/>
    <n v="5126"/>
    <n v="3.86"/>
    <n v="14.2"/>
    <n v="361.03"/>
    <n v="12.78"/>
    <n v="5.94"/>
    <n v="348.26"/>
    <n v="29.74"/>
    <n v="8237.5400000000009"/>
    <s v="144564"/>
    <s v="431591"/>
    <n v="0.1"/>
    <s v="0"/>
    <n v="259.10000000000002"/>
  </r>
  <r>
    <x v="110"/>
    <x v="16"/>
    <s v="Em operação"/>
    <s v="ES 0101"/>
    <x v="7"/>
    <m/>
    <m/>
    <m/>
    <n v="127.30263157894737"/>
    <n v="5.34"/>
    <n v="3.04"/>
    <n v="2.2999999999999998"/>
    <n v="43.11"/>
    <s v="123"/>
    <n v="387"/>
    <n v="3.15"/>
    <n v="3.82"/>
    <n v="101.26"/>
    <n v="13.25"/>
    <n v="5.76"/>
    <n v="88.01"/>
    <s v="29"/>
    <n v="6809.79"/>
    <s v="439713"/>
    <s v="1599578"/>
    <n v="0.1"/>
    <s v="0"/>
    <n v="49.8"/>
  </r>
  <r>
    <x v="110"/>
    <x v="16"/>
    <s v="Em operação"/>
    <s v="ES 0116"/>
    <x v="2"/>
    <m/>
    <m/>
    <n v="3000"/>
    <n v="477.53086419753089"/>
    <n v="5.65"/>
    <n v="4.05"/>
    <n v="1.6"/>
    <n v="28.33"/>
    <s v="615"/>
    <n v="1934"/>
    <n v="3.14"/>
    <n v="11.2"/>
    <n v="172.71"/>
    <n v="7.1"/>
    <n v="4.4400000000000004"/>
    <n v="165.61"/>
    <n v="40.92"/>
    <n v="2145.29"/>
    <s v="211098"/>
    <s v="710536"/>
    <s v="0"/>
    <s v="0"/>
    <n v="5.7"/>
  </r>
  <r>
    <x v="111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m/>
    <m/>
    <m/>
    <m/>
    <m/>
    <m/>
  </r>
  <r>
    <x v="111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110"/>
    <x v="2"/>
    <m/>
    <m/>
    <m/>
    <n v="0"/>
    <s v="0"/>
    <s v="0"/>
    <s v="0"/>
    <s v=""/>
    <s v=""/>
    <s v=""/>
    <s v=""/>
    <s v=""/>
    <s v="0"/>
    <s v="0"/>
    <s v=""/>
    <s v="0"/>
    <s v=""/>
    <m/>
    <s v=""/>
    <s v=""/>
    <s v="0"/>
    <s v=""/>
    <m/>
  </r>
  <r>
    <x v="11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01"/>
    <x v="7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2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s v="Em operação"/>
    <s v="ES 0096"/>
    <x v="2"/>
    <m/>
    <m/>
    <n v="2500"/>
    <n v="323.36578581363"/>
    <n v="8.2899999999999991"/>
    <n v="7.19"/>
    <n v="1.1000000000000001"/>
    <n v="13.27"/>
    <s v="798"/>
    <n v="2325"/>
    <n v="1.21"/>
    <n v="6.99"/>
    <n v="138.16999999999999"/>
    <n v="4.26"/>
    <n v="3.87"/>
    <n v="133.91"/>
    <n v="18.63"/>
    <s v="9348"/>
    <s v="103207"/>
    <s v="156001"/>
    <n v="0.4"/>
    <s v="0"/>
    <n v="292.8"/>
  </r>
  <r>
    <x v="105"/>
    <x v="16"/>
    <s v="Em operação"/>
    <s v="ES 0097"/>
    <x v="7"/>
    <m/>
    <m/>
    <m/>
    <n v="0"/>
    <n v="2.1800000000000002"/>
    <n v="1.48"/>
    <n v="0.7"/>
    <n v="32.18"/>
    <s v=""/>
    <s v=""/>
    <s v=""/>
    <s v=""/>
    <n v="29.34"/>
    <n v="3.31"/>
    <n v="4.7300000000000004"/>
    <n v="26.02"/>
    <n v="17.64"/>
    <n v="8938.68"/>
    <s v=""/>
    <s v=""/>
    <n v="0.2"/>
    <s v=""/>
    <s v="266"/>
  </r>
  <r>
    <x v="105"/>
    <x v="16"/>
    <s v="Em operação"/>
    <s v="ES 0135"/>
    <x v="2"/>
    <m/>
    <m/>
    <n v="2500"/>
    <n v="343.53826850690086"/>
    <n v="8.9700000000000006"/>
    <n v="7.97"/>
    <s v="1"/>
    <n v="11.15"/>
    <s v="1205"/>
    <n v="2738"/>
    <n v="2.27"/>
    <n v="19.420000000000002"/>
    <n v="141.01"/>
    <n v="3.31"/>
    <n v="3.31"/>
    <n v="137.69"/>
    <n v="17.28"/>
    <n v="764.96"/>
    <s v="74947"/>
    <s v="150610"/>
    <s v="0"/>
    <s v="0"/>
    <n v="72.3"/>
  </r>
  <r>
    <x v="105"/>
    <x v="16"/>
    <s v="Em operação"/>
    <s v="ES 0110"/>
    <x v="2"/>
    <m/>
    <m/>
    <n v="2500"/>
    <n v="365.1605231866825"/>
    <n v="9.16"/>
    <n v="8.41"/>
    <n v="0.75"/>
    <n v="8.19"/>
    <s v="1393"/>
    <n v="3071"/>
    <n v="2.2000000000000002"/>
    <n v="17.45"/>
    <n v="176.02"/>
    <n v="2.84"/>
    <n v="3.79"/>
    <n v="173.18"/>
    <n v="20.59"/>
    <n v="2593.85"/>
    <s v="178789"/>
    <s v="343950"/>
    <n v="0.1"/>
    <s v="0"/>
    <n v="337.5"/>
  </r>
  <r>
    <x v="105"/>
    <x v="16"/>
    <s v="Em operação"/>
    <s v="ES 0126"/>
    <x v="2"/>
    <m/>
    <m/>
    <n v="2500"/>
    <n v="276.1194029850746"/>
    <n v="12.44"/>
    <n v="11.39"/>
    <n v="1.05"/>
    <n v="8.44"/>
    <s v="1724"/>
    <n v="3145"/>
    <n v="1.82"/>
    <n v="12.88"/>
    <n v="244.16"/>
    <n v="3.79"/>
    <n v="3.61"/>
    <n v="240.37"/>
    <n v="21.1"/>
    <n v="1192.47"/>
    <s v="123743"/>
    <s v="273052"/>
    <n v="0.1"/>
    <s v="0"/>
    <n v="121.5"/>
  </r>
  <r>
    <x v="105"/>
    <x v="16"/>
    <s v="Em operação"/>
    <s v="ES 0099"/>
    <x v="2"/>
    <m/>
    <m/>
    <n v="2500"/>
    <n v="344.45479962721339"/>
    <n v="12.88"/>
    <n v="10.73"/>
    <n v="2.15"/>
    <n v="16.7"/>
    <s v="1293"/>
    <n v="3696"/>
    <n v="2.86"/>
    <n v="11.45"/>
    <n v="322.70999999999998"/>
    <n v="12.3"/>
    <n v="5.72"/>
    <n v="310.39999999999998"/>
    <n v="28.94"/>
    <n v="8170.94"/>
    <s v="138587"/>
    <s v="411878"/>
    <s v="0"/>
    <s v="0"/>
    <n v="256.39999999999998"/>
  </r>
  <r>
    <x v="105"/>
    <x v="16"/>
    <s v="Em operação"/>
    <s v="ES 0101"/>
    <x v="0"/>
    <n v="3194"/>
    <m/>
    <n v="8000"/>
    <n v="567.97546012269936"/>
    <n v="9.1999999999999993"/>
    <n v="8.15"/>
    <n v="1.05"/>
    <n v="11.42"/>
    <s v="1028"/>
    <n v="4629"/>
    <n v="4.5"/>
    <n v="14.67"/>
    <n v="315.61"/>
    <n v="6.15"/>
    <n v="5.86"/>
    <n v="309.45999999999998"/>
    <n v="37.979999999999997"/>
    <n v="6782.66"/>
    <s v="438057"/>
    <s v="1592724"/>
    <n v="0.1"/>
    <s v="0"/>
    <n v="49.7"/>
  </r>
  <r>
    <x v="105"/>
    <x v="16"/>
    <s v="Em operação"/>
    <s v="ES 0116"/>
    <x v="2"/>
    <m/>
    <m/>
    <n v="2500"/>
    <n v="178.79256965944273"/>
    <n v="8.61"/>
    <n v="6.46"/>
    <n v="2.15"/>
    <n v="24.98"/>
    <s v="725"/>
    <n v="1155"/>
    <n v="3.04"/>
    <n v="8.86"/>
    <n v="248.89"/>
    <n v="9.4600000000000009"/>
    <n v="4.4000000000000004"/>
    <n v="239.43"/>
    <n v="37.07"/>
    <n v="2112.6999999999998"/>
    <s v="207746"/>
    <s v="699047"/>
    <s v="0"/>
    <s v="0"/>
    <n v="5.7"/>
  </r>
  <r>
    <x v="105"/>
    <x v="16"/>
    <s v="Em operação"/>
    <s v="ES 0116"/>
    <x v="6"/>
    <m/>
    <m/>
    <m/>
    <n v="0"/>
    <m/>
    <m/>
    <m/>
    <m/>
    <m/>
    <n v="1050"/>
    <m/>
    <m/>
    <m/>
    <m/>
    <m/>
    <m/>
    <m/>
    <m/>
    <m/>
    <m/>
    <m/>
    <m/>
    <m/>
  </r>
  <r>
    <x v="106"/>
    <x v="16"/>
    <s v="Em operação"/>
    <s v="ES 0096"/>
    <x v="2"/>
    <m/>
    <m/>
    <n v="2500"/>
    <n v="297.37206085753803"/>
    <n v="8.3800000000000008"/>
    <n v="7.23"/>
    <n v="1.1499999999999999"/>
    <n v="13.72"/>
    <s v="1025"/>
    <n v="2150"/>
    <n v="1.44"/>
    <n v="10.220000000000001"/>
    <n v="144.32"/>
    <n v="4.7300000000000004"/>
    <n v="4.1100000000000003"/>
    <n v="139.59"/>
    <n v="19.29"/>
    <n v="9356.3799999999992"/>
    <s v="104232"/>
    <s v="157476"/>
    <s v="0"/>
    <s v="0"/>
    <n v="292.8"/>
  </r>
  <r>
    <x v="106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6"/>
    <x v="16"/>
    <s v="Em operação"/>
    <s v="ES 0135"/>
    <x v="2"/>
    <m/>
    <m/>
    <n v="2500"/>
    <n v="200.42857142857142"/>
    <n v="9.15"/>
    <s v="7"/>
    <n v="2.15"/>
    <n v="23.5"/>
    <s v="1010"/>
    <n v="1403"/>
    <n v="1.56"/>
    <n v="10.69"/>
    <n v="147.63"/>
    <n v="7.1"/>
    <n v="3.3"/>
    <n v="140.53"/>
    <n v="20.079999999999998"/>
    <n v="774.11"/>
    <s v="76237"/>
    <s v="152785"/>
    <n v="0.7"/>
    <s v="0"/>
    <s v="73"/>
  </r>
  <r>
    <x v="106"/>
    <x v="16"/>
    <s v="Em operação"/>
    <s v="ES 0135"/>
    <x v="6"/>
    <m/>
    <m/>
    <m/>
    <n v="0"/>
    <m/>
    <m/>
    <m/>
    <m/>
    <m/>
    <n v="175"/>
    <m/>
    <m/>
    <m/>
    <m/>
    <m/>
    <m/>
    <m/>
    <m/>
    <m/>
    <m/>
    <m/>
    <m/>
    <m/>
  </r>
  <r>
    <x v="106"/>
    <x v="16"/>
    <s v="Em operação"/>
    <s v="ES 0110"/>
    <x v="2"/>
    <m/>
    <m/>
    <n v="2500"/>
    <n v="328.80523731587562"/>
    <n v="8.11"/>
    <n v="6.11"/>
    <s v="2"/>
    <n v="24.67"/>
    <s v="1017"/>
    <n v="2009"/>
    <n v="2.2000000000000002"/>
    <n v="16.739999999999998"/>
    <n v="133.44"/>
    <n v="7.1"/>
    <n v="3.55"/>
    <n v="126.34"/>
    <n v="20.69"/>
    <n v="2601.9499999999998"/>
    <s v="179806"/>
    <s v="346184"/>
    <n v="0.6"/>
    <s v="0"/>
    <n v="338.1"/>
  </r>
  <r>
    <x v="106"/>
    <x v="16"/>
    <s v="Em operação"/>
    <s v="ES 0110"/>
    <x v="6"/>
    <m/>
    <m/>
    <m/>
    <n v="0"/>
    <m/>
    <m/>
    <m/>
    <m/>
    <m/>
    <n v="225"/>
    <m/>
    <m/>
    <m/>
    <m/>
    <m/>
    <m/>
    <m/>
    <m/>
    <m/>
    <m/>
    <m/>
    <m/>
    <m/>
  </r>
  <r>
    <x v="106"/>
    <x v="16"/>
    <s v="Em operação"/>
    <s v="ES 0126"/>
    <x v="2"/>
    <m/>
    <m/>
    <n v="2500"/>
    <n v="296.30331753554498"/>
    <n v="11.65"/>
    <n v="10.55"/>
    <n v="1.1000000000000001"/>
    <n v="9.4499999999999993"/>
    <s v="1438"/>
    <n v="3126"/>
    <n v="2.17"/>
    <n v="13.71"/>
    <n v="228.07"/>
    <n v="3.79"/>
    <n v="3.44"/>
    <n v="224.29"/>
    <n v="21.27"/>
    <n v="1204.46"/>
    <s v="125235"/>
    <s v="276268"/>
    <n v="0.1"/>
    <s v="0"/>
    <n v="121.6"/>
  </r>
  <r>
    <x v="106"/>
    <x v="16"/>
    <s v="Em operação"/>
    <s v="ES 0099"/>
    <x v="2"/>
    <m/>
    <m/>
    <n v="2500"/>
    <n v="284.61538461538458"/>
    <n v="15.43"/>
    <n v="13.13"/>
    <n v="2.2999999999999998"/>
    <n v="14.91"/>
    <s v="1244"/>
    <n v="3737"/>
    <s v="3"/>
    <n v="9.0500000000000007"/>
    <n v="413.08"/>
    <n v="13.25"/>
    <n v="5.76"/>
    <n v="399.83"/>
    <n v="30.46"/>
    <n v="8186.37"/>
    <s v="139831"/>
    <s v="415615"/>
    <n v="0.9"/>
    <s v="0"/>
    <n v="257.3"/>
  </r>
  <r>
    <x v="106"/>
    <x v="16"/>
    <s v="Em operação"/>
    <s v="ES 0101"/>
    <x v="0"/>
    <n v="1408"/>
    <m/>
    <n v="8000"/>
    <n v="335.31073446327684"/>
    <n v="7.63"/>
    <n v="7.08"/>
    <n v="0.55000000000000004"/>
    <n v="7.21"/>
    <s v="593"/>
    <s v="2374"/>
    <s v="4"/>
    <n v="8.8000000000000007"/>
    <n v="269.70999999999998"/>
    <n v="3.31"/>
    <n v="6.02"/>
    <n v="266.39999999999998"/>
    <n v="37.65"/>
    <n v="6790.29"/>
    <s v="438650"/>
    <s v="1595098"/>
    <s v="0"/>
    <s v="0"/>
    <n v="49.7"/>
  </r>
  <r>
    <x v="106"/>
    <x v="16"/>
    <s v="Em operação"/>
    <s v="ES 0116"/>
    <x v="2"/>
    <m/>
    <m/>
    <n v="2500"/>
    <n v="426.77824267782427"/>
    <n v="7.08"/>
    <n v="4.78"/>
    <n v="2.2999999999999998"/>
    <n v="32.47"/>
    <n v="602"/>
    <n v="2040"/>
    <n v="3.39"/>
    <n v="10.1"/>
    <n v="202.05"/>
    <n v="9.94"/>
    <n v="4.32"/>
    <n v="192.11"/>
    <n v="40.17"/>
    <n v="2119.79"/>
    <n v="208348"/>
    <n v="701087"/>
    <n v="0"/>
    <n v="0"/>
    <n v="5.7"/>
  </r>
  <r>
    <x v="107"/>
    <x v="16"/>
    <s v="Em operação"/>
    <s v="ES 0096"/>
    <x v="2"/>
    <m/>
    <m/>
    <n v="2500"/>
    <n v="164.60905349794237"/>
    <n v="6.36"/>
    <n v="4.8600000000000003"/>
    <n v="1.5"/>
    <n v="23.57"/>
    <s v="538"/>
    <n v="800"/>
    <n v="1.48"/>
    <n v="8.56"/>
    <n v="92.74"/>
    <n v="6.15"/>
    <n v="4.0999999999999996"/>
    <n v="86.59"/>
    <n v="17.8"/>
    <n v="9362.75"/>
    <s v="104770"/>
    <s v="158270"/>
    <n v="0.1"/>
    <s v="0"/>
    <n v="292.89999999999998"/>
  </r>
  <r>
    <x v="107"/>
    <x v="1"/>
    <s v="Não operacional"/>
    <s v="ES 0097"/>
    <x v="7"/>
    <m/>
    <s v="Na oficina"/>
    <m/>
    <n v="0"/>
    <n v="7.0000000000000007E-2"/>
    <n v="0.02"/>
    <n v="0.05"/>
    <n v="68.400000000000006"/>
    <s v=""/>
    <s v=""/>
    <s v=""/>
    <s v=""/>
    <n v="0.47"/>
    <s v="0"/>
    <s v="0"/>
    <n v="0.47"/>
    <n v="20.48"/>
    <n v="8939.2199999999993"/>
    <s v=""/>
    <s v=""/>
    <s v="0"/>
    <s v=""/>
    <s v="266"/>
  </r>
  <r>
    <x v="107"/>
    <x v="16"/>
    <s v="Em operação"/>
    <s v="ES 0135"/>
    <x v="2"/>
    <m/>
    <m/>
    <n v="2500"/>
    <n v="70.260869565217391"/>
    <n v="8.25"/>
    <n v="5.75"/>
    <n v="2.5"/>
    <n v="30.29"/>
    <s v="755"/>
    <n v="404"/>
    <n v="1.7"/>
    <n v="10.64"/>
    <n v="120.66"/>
    <n v="8.52"/>
    <n v="3.41"/>
    <n v="112.14"/>
    <n v="19.489999999999998"/>
    <n v="782.36"/>
    <s v="76992"/>
    <s v="154069"/>
    <n v="1.5"/>
    <s v="0"/>
    <n v="74.5"/>
  </r>
  <r>
    <x v="107"/>
    <x v="16"/>
    <s v="Em operação"/>
    <s v="ES 0135"/>
    <x v="6"/>
    <m/>
    <m/>
    <m/>
    <n v="0"/>
    <m/>
    <m/>
    <m/>
    <m/>
    <m/>
    <n v="880"/>
    <m/>
    <m/>
    <m/>
    <m/>
    <m/>
    <m/>
    <m/>
    <m/>
    <m/>
    <m/>
    <m/>
    <m/>
    <m/>
  </r>
  <r>
    <x v="107"/>
    <x v="16"/>
    <s v="Em operação"/>
    <s v="ES 0110"/>
    <x v="2"/>
    <m/>
    <m/>
    <n v="2500"/>
    <n v="411.92368839427661"/>
    <n v="7.14"/>
    <n v="6.29"/>
    <n v="0.85"/>
    <n v="11.91"/>
    <s v="1205"/>
    <n v="2591"/>
    <n v="2.15"/>
    <n v="18.88"/>
    <n v="137.22"/>
    <n v="3.31"/>
    <n v="3.9"/>
    <n v="133.91"/>
    <n v="21.31"/>
    <n v="2609.09"/>
    <s v="181011"/>
    <s v="348775"/>
    <n v="0.1"/>
    <s v="0"/>
    <n v="338.2"/>
  </r>
  <r>
    <x v="107"/>
    <x v="16"/>
    <s v="Em operação"/>
    <s v="ES 0126"/>
    <x v="2"/>
    <m/>
    <m/>
    <n v="2500"/>
    <n v="240.96989966555182"/>
    <n v="13.56"/>
    <n v="11.96"/>
    <n v="1.6"/>
    <n v="11.8"/>
    <s v="1475"/>
    <n v="2882"/>
    <n v="1.95"/>
    <n v="11.47"/>
    <n v="251.26"/>
    <n v="6.15"/>
    <n v="3.84"/>
    <n v="245.11"/>
    <n v="20.49"/>
    <n v="1218.02"/>
    <s v="126710"/>
    <s v="279150"/>
    <n v="3.4"/>
    <s v="0"/>
    <s v="125"/>
  </r>
  <r>
    <x v="107"/>
    <x v="16"/>
    <s v="Em operação"/>
    <s v="ES 0099"/>
    <x v="2"/>
    <m/>
    <m/>
    <n v="2500"/>
    <n v="347.3047304730473"/>
    <n v="10.44"/>
    <n v="9.09"/>
    <n v="1.35"/>
    <n v="12.93"/>
    <s v="987"/>
    <n v="3157"/>
    <n v="3.2"/>
    <n v="11.1"/>
    <n v="284.38"/>
    <n v="7.57"/>
    <n v="5.61"/>
    <n v="276.81"/>
    <n v="30.44"/>
    <n v="8196.81"/>
    <s v="140818"/>
    <s v="418772"/>
    <n v="0.5"/>
    <s v="0"/>
    <n v="257.8"/>
  </r>
  <r>
    <x v="107"/>
    <x v="16"/>
    <s v="Em operação"/>
    <s v="ES 0101"/>
    <x v="0"/>
    <n v="2485"/>
    <m/>
    <n v="8000"/>
    <n v="462.04986149584488"/>
    <n v="7.86"/>
    <n v="7.22"/>
    <n v="0.65"/>
    <n v="8.26"/>
    <s v="755"/>
    <n v="3336"/>
    <n v="4.42"/>
    <n v="11.99"/>
    <n v="278.23"/>
    <n v="4.7300000000000004"/>
    <n v="7.28"/>
    <n v="273.5"/>
    <n v="37.909999999999997"/>
    <n v="6798.15"/>
    <s v="439405"/>
    <s v="1598434"/>
    <s v="0"/>
    <s v="0"/>
    <n v="49.7"/>
  </r>
  <r>
    <x v="107"/>
    <x v="16"/>
    <s v="Em operação"/>
    <s v="ES 0116"/>
    <x v="2"/>
    <m/>
    <m/>
    <n v="2500"/>
    <n v="559.96784565916403"/>
    <n v="7.82"/>
    <n v="6.22"/>
    <n v="1.6"/>
    <n v="20.47"/>
    <s v="958"/>
    <n v="3483"/>
    <n v="3.64"/>
    <n v="13.22"/>
    <n v="263.56"/>
    <n v="8.0399999999999991"/>
    <n v="5.03"/>
    <n v="255.52"/>
    <n v="41.1"/>
    <n v="2127.6"/>
    <s v="209306"/>
    <s v="704570"/>
    <s v="0"/>
    <s v="0"/>
    <n v="5.7"/>
  </r>
  <r>
    <x v="108"/>
    <x v="16"/>
    <s v="Em operação"/>
    <s v="ES 0096"/>
    <x v="2"/>
    <m/>
    <m/>
    <n v="2500"/>
    <n v="264.22764227642278"/>
    <n v="3.11"/>
    <n v="2.46"/>
    <n v="0.65"/>
    <n v="20.91"/>
    <s v="301"/>
    <n v="650"/>
    <n v="1.62"/>
    <n v="10.31"/>
    <n v="47.32"/>
    <n v="2.37"/>
    <n v="3.64"/>
    <n v="44.95"/>
    <n v="18.28"/>
    <n v="9365.85"/>
    <s v="105071"/>
    <s v="158758"/>
    <s v="0"/>
    <s v="0"/>
    <n v="292.89999999999998"/>
  </r>
  <r>
    <x v="108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8"/>
    <x v="16"/>
    <s v="Em operação"/>
    <s v="ES 0135"/>
    <x v="2"/>
    <m/>
    <m/>
    <n v="2500"/>
    <n v="69.664902998236329"/>
    <n v="7.72"/>
    <n v="5.67"/>
    <n v="2.0499999999999998"/>
    <n v="26.57"/>
    <s v="618"/>
    <n v="395"/>
    <n v="1.25"/>
    <n v="8.06"/>
    <n v="95.58"/>
    <n v="7.1"/>
    <n v="3.46"/>
    <n v="88.48"/>
    <n v="15.62"/>
    <n v="790.08"/>
    <s v="77610"/>
    <s v="154839"/>
    <s v="2"/>
    <s v="0"/>
    <n v="76.5"/>
  </r>
  <r>
    <x v="108"/>
    <x v="16"/>
    <s v="Em operação"/>
    <s v="ES 0135"/>
    <x v="6"/>
    <m/>
    <m/>
    <m/>
    <n v="0"/>
    <m/>
    <m/>
    <m/>
    <m/>
    <m/>
    <n v="375"/>
    <m/>
    <m/>
    <m/>
    <m/>
    <m/>
    <m/>
    <m/>
    <m/>
    <m/>
    <m/>
    <m/>
    <m/>
    <m/>
  </r>
  <r>
    <x v="108"/>
    <x v="16"/>
    <s v="Em operação"/>
    <s v="ES 0110"/>
    <x v="2"/>
    <m/>
    <m/>
    <n v="2500"/>
    <n v="250.1547987616099"/>
    <n v="7.91"/>
    <n v="6.46"/>
    <n v="1.45"/>
    <n v="18.34"/>
    <s v="895"/>
    <n v="1616"/>
    <n v="1.81"/>
    <n v="11.27"/>
    <n v="143.37"/>
    <n v="6.15"/>
    <n v="4.24"/>
    <n v="137.22"/>
    <n v="21.25"/>
    <s v="2617"/>
    <s v="181906"/>
    <s v="350391"/>
    <n v="0.9"/>
    <s v="0"/>
    <n v="339.1"/>
  </r>
  <r>
    <x v="108"/>
    <x v="16"/>
    <s v="Em operação"/>
    <s v="ES 0126"/>
    <x v="2"/>
    <m/>
    <m/>
    <n v="2500"/>
    <n v="275.103734439834"/>
    <n v="9.0299999999999994"/>
    <n v="7.23"/>
    <n v="1.8"/>
    <n v="19.93"/>
    <s v="997"/>
    <n v="1989"/>
    <n v="1.99"/>
    <n v="12.51"/>
    <n v="158.99"/>
    <n v="6.62"/>
    <n v="3.68"/>
    <n v="152.36000000000001"/>
    <n v="21.07"/>
    <n v="1227.05"/>
    <s v="127707"/>
    <s v="281139"/>
    <s v="0"/>
    <s v="0"/>
    <s v="125"/>
  </r>
  <r>
    <x v="108"/>
    <x v="16"/>
    <s v="Em operação"/>
    <s v="ES 0099"/>
    <x v="2"/>
    <m/>
    <m/>
    <n v="2500"/>
    <n v="239.33054393305437"/>
    <n v="11.86"/>
    <n v="9.56"/>
    <n v="2.2999999999999998"/>
    <n v="19.399999999999999"/>
    <s v="903"/>
    <n v="2288"/>
    <n v="2.5299999999999998"/>
    <n v="7.84"/>
    <n v="291.95"/>
    <n v="12.78"/>
    <n v="5.55"/>
    <n v="279.17"/>
    <n v="29.21"/>
    <n v="8208.67"/>
    <s v="141721"/>
    <s v="421060"/>
    <n v="1.1000000000000001"/>
    <s v="0"/>
    <n v="258.89999999999998"/>
  </r>
  <r>
    <x v="108"/>
    <x v="16"/>
    <s v="Em operação"/>
    <s v="ES 0101"/>
    <x v="0"/>
    <m/>
    <s v="Na oficina"/>
    <m/>
    <n v="0"/>
    <n v="0.94"/>
    <n v="0.28999999999999998"/>
    <n v="0.65"/>
    <n v="69.459999999999994"/>
    <s v="0"/>
    <n v="0"/>
    <s v=""/>
    <s v="0"/>
    <n v="10.88"/>
    <n v="3.31"/>
    <n v="5.0999999999999996"/>
    <n v="7.57"/>
    <n v="26.49"/>
    <n v="6799.09"/>
    <s v="439405"/>
    <s v="1598434"/>
    <s v="0"/>
    <s v=""/>
    <n v="49.7"/>
  </r>
  <r>
    <x v="108"/>
    <x v="16"/>
    <s v="Em operação"/>
    <s v="ES 0116"/>
    <x v="2"/>
    <m/>
    <m/>
    <n v="2500"/>
    <n v="477.03549060542798"/>
    <n v="6.79"/>
    <n v="4.79"/>
    <s v="2"/>
    <n v="29.44"/>
    <s v="698"/>
    <n v="2285"/>
    <n v="3.27"/>
    <n v="11.15"/>
    <n v="204.89"/>
    <n v="8.99"/>
    <n v="4.5"/>
    <n v="195.89"/>
    <n v="40.869999999999997"/>
    <n v="2134.4"/>
    <s v="210004"/>
    <s v="706855"/>
    <s v="0"/>
    <s v="0"/>
    <n v="5.7"/>
  </r>
  <r>
    <x v="109"/>
    <x v="16"/>
    <s v="Em operação"/>
    <s v="ES 0096"/>
    <x v="2"/>
    <m/>
    <m/>
    <n v="2500"/>
    <n v="241.4364640883978"/>
    <n v="7.68"/>
    <n v="5.43"/>
    <n v="2.25"/>
    <n v="29.3"/>
    <s v="807"/>
    <n v="1311"/>
    <n v="1.62"/>
    <n v="12.42"/>
    <n v="105.52"/>
    <n v="8.99"/>
    <s v="4"/>
    <n v="96.53"/>
    <n v="17.78"/>
    <n v="9373.5300000000007"/>
    <s v="105878"/>
    <s v="160069"/>
    <s v="0"/>
    <s v="0"/>
    <n v="292.89999999999998"/>
  </r>
  <r>
    <x v="109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9"/>
    <x v="16"/>
    <s v="Em operação"/>
    <s v="ES 0135"/>
    <x v="2"/>
    <m/>
    <m/>
    <n v="2500"/>
    <n v="111.86943620178042"/>
    <n v="7.54"/>
    <n v="6.74"/>
    <n v="0.8"/>
    <n v="10.6"/>
    <s v="970"/>
    <n v="754"/>
    <n v="1.55"/>
    <n v="10.32"/>
    <n v="145.74"/>
    <n v="2.84"/>
    <n v="3.55"/>
    <n v="142.9"/>
    <n v="21.19"/>
    <n v="797.62"/>
    <s v="78676"/>
    <s v="156535"/>
    <n v="1.4"/>
    <s v="0"/>
    <n v="78.2"/>
  </r>
  <r>
    <x v="109"/>
    <x v="16"/>
    <s v="Em operação"/>
    <s v="ES 0135"/>
    <x v="6"/>
    <m/>
    <m/>
    <m/>
    <m/>
    <m/>
    <m/>
    <m/>
    <m/>
    <m/>
    <n v="750"/>
    <m/>
    <m/>
    <m/>
    <m/>
    <m/>
    <m/>
    <m/>
    <m/>
    <m/>
    <m/>
    <m/>
    <m/>
    <m/>
  </r>
  <r>
    <x v="109"/>
    <x v="16"/>
    <s v="Em operação"/>
    <s v="ES 0110"/>
    <x v="2"/>
    <m/>
    <m/>
    <n v="2500"/>
    <n v="361.41078838174269"/>
    <n v="8.58"/>
    <n v="7.23"/>
    <n v="1.35"/>
    <n v="15.74"/>
    <s v="1299"/>
    <n v="2613"/>
    <n v="2.0099999999999998"/>
    <n v="16.989999999999998"/>
    <n v="153.78"/>
    <n v="4.26"/>
    <n v="3.15"/>
    <n v="149.52000000000001"/>
    <n v="20.68"/>
    <n v="2625.58"/>
    <s v="183205"/>
    <s v="353004"/>
    <n v="0.5"/>
    <s v="0"/>
    <n v="339.6"/>
  </r>
  <r>
    <x v="109"/>
    <x v="16"/>
    <s v="Em operação"/>
    <s v="ES 0126"/>
    <x v="2"/>
    <m/>
    <m/>
    <n v="2500"/>
    <n v="171.15942028985506"/>
    <n v="8.3000000000000007"/>
    <n v="6.9"/>
    <n v="1.4"/>
    <n v="16.87"/>
    <s v="565"/>
    <n v="1181"/>
    <n v="2.09"/>
    <n v="9.8699999999999992"/>
    <n v="119.71"/>
    <n v="5.2"/>
    <n v="3.72"/>
    <n v="114.51"/>
    <n v="16.600000000000001"/>
    <n v="1235.3499999999999"/>
    <s v="128272"/>
    <s v="282320"/>
    <n v="0.2"/>
    <s v="0"/>
    <n v="125.2"/>
  </r>
  <r>
    <x v="109"/>
    <x v="16"/>
    <s v="Em operação"/>
    <s v="ES 0099"/>
    <x v="2"/>
    <m/>
    <m/>
    <n v="2500"/>
    <n v="442.66994266994266"/>
    <n v="15.01"/>
    <n v="12.21"/>
    <n v="2.8"/>
    <n v="18.66"/>
    <s v="1515"/>
    <n v="5405"/>
    <n v="3.57"/>
    <n v="13.88"/>
    <n v="389.42"/>
    <n v="16.09"/>
    <n v="5.75"/>
    <n v="373.34"/>
    <n v="30.58"/>
    <n v="8223.67"/>
    <s v="143236"/>
    <s v="426465"/>
    <n v="0.1"/>
    <s v="0"/>
    <s v="259"/>
  </r>
  <r>
    <x v="109"/>
    <x v="16"/>
    <s v="Em operação"/>
    <s v="ES 0101"/>
    <x v="7"/>
    <m/>
    <m/>
    <m/>
    <n v="209.11602209944752"/>
    <n v="5.37"/>
    <n v="3.62"/>
    <n v="1.75"/>
    <n v="32.6"/>
    <s v="185"/>
    <n v="757"/>
    <n v="4.09"/>
    <n v="6.2"/>
    <n v="122.08"/>
    <n v="8.99"/>
    <n v="5.14"/>
    <n v="113.09"/>
    <n v="31.26"/>
    <n v="6804.46"/>
    <s v="439590"/>
    <s v="1599191"/>
    <s v="0"/>
    <s v="0"/>
    <n v="49.7"/>
  </r>
  <r>
    <x v="109"/>
    <x v="16"/>
    <s v="Em operação"/>
    <s v="ES 0116"/>
    <x v="2"/>
    <m/>
    <m/>
    <n v="2500"/>
    <n v="523.05389221556891"/>
    <n v="5.24"/>
    <n v="3.34"/>
    <n v="1.9"/>
    <n v="36.22"/>
    <s v="479"/>
    <n v="1747"/>
    <n v="3.65"/>
    <n v="12.11"/>
    <n v="144.32"/>
    <n v="8.99"/>
    <n v="4.7300000000000004"/>
    <n v="135.33000000000001"/>
    <n v="40.46"/>
    <n v="2139.64"/>
    <s v="210483"/>
    <s v="708602"/>
    <s v="0"/>
    <s v="0"/>
    <n v="5.7"/>
  </r>
  <r>
    <x v="110"/>
    <x v="16"/>
    <s v="Em operação"/>
    <s v="ES 0096"/>
    <x v="2"/>
    <m/>
    <m/>
    <n v="3000"/>
    <n v="326.59409020217731"/>
    <n v="8.0299999999999994"/>
    <n v="6.43"/>
    <n v="1.6"/>
    <n v="19.93"/>
    <s v="945"/>
    <n v="2100"/>
    <n v="1.72"/>
    <n v="13.5"/>
    <n v="120.19"/>
    <n v="6.62"/>
    <n v="4.1399999999999997"/>
    <n v="113.56"/>
    <n v="17.670000000000002"/>
    <n v="9381.56"/>
    <s v="106823"/>
    <s v="161692"/>
    <n v="0.1"/>
    <s v="0"/>
    <s v="293"/>
  </r>
  <r>
    <x v="110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0"/>
    <x v="16"/>
    <s v="Em operação"/>
    <s v="ES 0135"/>
    <x v="6"/>
    <m/>
    <m/>
    <m/>
    <n v="139.19308357348703"/>
    <n v="8.39"/>
    <n v="6.94"/>
    <n v="1.45"/>
    <n v="17.28"/>
    <s v="612"/>
    <n v="966"/>
    <n v="1.58"/>
    <n v="8.5399999999999991"/>
    <n v="113.09"/>
    <n v="5.2"/>
    <n v="3.59"/>
    <n v="107.88"/>
    <n v="15.54"/>
    <n v="806.01"/>
    <s v="79288"/>
    <s v="157501"/>
    <n v="1.3"/>
    <s v="0"/>
    <n v="79.5"/>
  </r>
  <r>
    <x v="110"/>
    <x v="16"/>
    <s v="Em operação"/>
    <s v="ES 0110"/>
    <x v="2"/>
    <m/>
    <m/>
    <n v="3000"/>
    <n v="381.55136268343819"/>
    <n v="6.47"/>
    <n v="4.7699999999999996"/>
    <n v="1.7"/>
    <n v="26.29"/>
    <s v="826"/>
    <n v="1820"/>
    <n v="2.2000000000000002"/>
    <n v="17.97"/>
    <n v="101.26"/>
    <n v="6.15"/>
    <n v="3.62"/>
    <n v="95.11"/>
    <n v="19.95"/>
    <n v="2632.04"/>
    <s v="184031"/>
    <s v="354824"/>
    <s v="0"/>
    <s v="0"/>
    <n v="339.6"/>
  </r>
  <r>
    <x v="110"/>
    <x v="16"/>
    <s v="Em operação"/>
    <s v="ES 0126"/>
    <x v="2"/>
    <m/>
    <m/>
    <n v="3000"/>
    <n v="156.46153846153845"/>
    <n v="7.5"/>
    <n v="6.5"/>
    <s v="1"/>
    <n v="13.34"/>
    <s v="615"/>
    <n v="1017"/>
    <n v="1.65"/>
    <n v="7.12"/>
    <n v="142.9"/>
    <n v="3.79"/>
    <n v="3.79"/>
    <n v="139.11000000000001"/>
    <n v="21.41"/>
    <n v="1242.8499999999999"/>
    <s v="129060"/>
    <s v="283696"/>
    <n v="0.4"/>
    <s v="0"/>
    <n v="125.6"/>
  </r>
  <r>
    <x v="110"/>
    <x v="16"/>
    <s v="Em operação"/>
    <s v="ES 0099"/>
    <x v="2"/>
    <m/>
    <m/>
    <n v="3000"/>
    <n v="437.74551665243376"/>
    <n v="13.86"/>
    <n v="11.71"/>
    <n v="2.15"/>
    <n v="15.51"/>
    <s v="1328"/>
    <n v="5126"/>
    <n v="3.86"/>
    <n v="14.2"/>
    <n v="361.03"/>
    <n v="12.78"/>
    <n v="5.94"/>
    <n v="348.26"/>
    <n v="29.74"/>
    <n v="8237.5400000000009"/>
    <s v="144564"/>
    <s v="431591"/>
    <n v="0.1"/>
    <s v="0"/>
    <n v="259.10000000000002"/>
  </r>
  <r>
    <x v="110"/>
    <x v="16"/>
    <s v="Em operação"/>
    <s v="ES 0101"/>
    <x v="7"/>
    <m/>
    <m/>
    <m/>
    <n v="127.30263157894737"/>
    <n v="5.34"/>
    <n v="3.04"/>
    <n v="2.2999999999999998"/>
    <n v="43.11"/>
    <s v="123"/>
    <n v="387"/>
    <n v="3.15"/>
    <n v="3.82"/>
    <n v="101.26"/>
    <n v="13.25"/>
    <n v="5.76"/>
    <n v="88.01"/>
    <s v="29"/>
    <n v="6809.79"/>
    <s v="439713"/>
    <s v="1599578"/>
    <n v="0.1"/>
    <s v="0"/>
    <n v="49.8"/>
  </r>
  <r>
    <x v="110"/>
    <x v="16"/>
    <s v="Em operação"/>
    <s v="ES 0116"/>
    <x v="2"/>
    <m/>
    <m/>
    <n v="3000"/>
    <n v="477.53086419753089"/>
    <n v="5.65"/>
    <n v="4.05"/>
    <n v="1.6"/>
    <n v="28.33"/>
    <s v="615"/>
    <n v="1934"/>
    <n v="3.14"/>
    <n v="11.2"/>
    <n v="172.71"/>
    <n v="7.1"/>
    <n v="4.4400000000000004"/>
    <n v="165.61"/>
    <n v="40.92"/>
    <n v="2145.29"/>
    <s v="211098"/>
    <s v="710536"/>
    <s v="0"/>
    <s v="0"/>
    <n v="5.7"/>
  </r>
  <r>
    <x v="111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m/>
    <m/>
    <m/>
    <m/>
    <m/>
    <m/>
  </r>
  <r>
    <x v="111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110"/>
    <x v="2"/>
    <m/>
    <m/>
    <m/>
    <n v="0"/>
    <s v="0"/>
    <s v="0"/>
    <s v="0"/>
    <s v=""/>
    <s v=""/>
    <s v=""/>
    <s v=""/>
    <s v=""/>
    <s v="0"/>
    <s v="0"/>
    <s v=""/>
    <s v="0"/>
    <s v=""/>
    <m/>
    <s v=""/>
    <s v=""/>
    <s v="0"/>
    <s v=""/>
    <m/>
  </r>
  <r>
    <x v="11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01"/>
    <x v="7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42" firstHeaderRow="0" firstDataRow="1" firstDataCol="1"/>
  <pivotFields count="28">
    <pivotField axis="axisRow" showAll="0" sortType="ascending">
      <items count="1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axis="axisRow" showAll="0" sortType="ascending">
      <items count="19">
        <item h="1" x="1"/>
        <item sd="0" x="0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x="13"/>
        <item x="14"/>
        <item x="15"/>
        <item x="16"/>
        <item x="17"/>
        <item t="default"/>
      </items>
    </pivotField>
    <pivotField showAll="0"/>
    <pivotField showAll="0"/>
    <pivotField showAll="0">
      <items count="9">
        <item h="1" x="4"/>
        <item h="1" x="1"/>
        <item h="1" x="7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4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>
      <x v="14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>
      <x v="15"/>
    </i>
    <i r="1">
      <x v="98"/>
    </i>
    <i r="1">
      <x v="99"/>
    </i>
    <i r="1">
      <x v="100"/>
    </i>
    <i r="1">
      <x v="101"/>
    </i>
    <i r="1">
      <x v="102"/>
    </i>
    <i r="1">
      <x v="103"/>
    </i>
    <i>
      <x v="16"/>
    </i>
    <i r="1">
      <x v="105"/>
    </i>
    <i r="1">
      <x v="106"/>
    </i>
    <i r="1">
      <x v="107"/>
    </i>
    <i r="1">
      <x v="10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5">
      <pivotArea outline="0" collapsedLevelsAreSubtotals="1" fieldPosition="0"/>
    </format>
    <format dxfId="4">
      <pivotArea dataOnly="0" labelOnly="1" fieldPosition="0">
        <references count="1">
          <reference field="1" count="0"/>
        </references>
      </pivotArea>
    </format>
    <format dxfId="3">
      <pivotArea dataOnly="0" labelOnly="1" grandRow="1" outline="0" fieldPosition="0"/>
    </format>
    <format dxfId="2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1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0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73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  <chartFormat chart="25" format="32">
      <pivotArea type="data" outline="0" fieldPosition="0">
        <references count="2">
          <reference field="4294967294" count="1" selected="0">
            <x v="1"/>
          </reference>
          <reference field="1" count="1" selected="0">
            <x v="14"/>
          </reference>
        </references>
      </pivotArea>
    </chartFormat>
    <chartFormat chart="25" format="33">
      <pivotArea type="data" outline="0" fieldPosition="0">
        <references count="2">
          <reference field="4294967294" count="1" selected="0">
            <x v="1"/>
          </reference>
          <reference field="1" count="1" selected="0">
            <x v="15"/>
          </reference>
        </references>
      </pivotArea>
    </chartFormat>
    <chartFormat chart="25" format="34">
      <pivotArea type="data" outline="0" fieldPosition="0">
        <references count="2">
          <reference field="4294967294" count="1" selected="0">
            <x v="1"/>
          </reference>
          <reference field="1" count="1" selected="0">
            <x v="16"/>
          </reference>
        </references>
      </pivotArea>
    </chartFormat>
    <chartFormat chart="25" format="35">
      <pivotArea type="data" outline="0" fieldPosition="0">
        <references count="2">
          <reference field="4294967294" count="1" selected="0">
            <x v="1"/>
          </reference>
          <reference field="1" count="1" selected="0">
            <x v="1"/>
          </reference>
        </references>
      </pivotArea>
    </chartFormat>
    <chartFormat chart="25" format="36">
      <pivotArea type="data" outline="0" fieldPosition="0">
        <references count="2">
          <reference field="4294967294" count="1" selected="0">
            <x v="1"/>
          </reference>
          <reference field="1" count="1" selected="0">
            <x v="2"/>
          </reference>
        </references>
      </pivotArea>
    </chartFormat>
    <chartFormat chart="25" format="37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5" format="38">
      <pivotArea type="data" outline="0" fieldPosition="0">
        <references count="3">
          <reference field="4294967294" count="1" selected="0">
            <x v="1"/>
          </reference>
          <reference field="0" count="1" selected="0">
            <x v="84"/>
          </reference>
          <reference field="1" count="1" selected="0">
            <x v="13"/>
          </reference>
        </references>
      </pivotArea>
    </chartFormat>
    <chartFormat chart="25" format="39">
      <pivotArea type="data" outline="0" fieldPosition="0">
        <references count="3">
          <reference field="4294967294" count="1" selected="0">
            <x v="1"/>
          </reference>
          <reference field="0" count="1" selected="0">
            <x v="85"/>
          </reference>
          <reference field="1" count="1" selected="0">
            <x v="13"/>
          </reference>
        </references>
      </pivotArea>
    </chartFormat>
    <chartFormat chart="25" format="40">
      <pivotArea type="data" outline="0" fieldPosition="0">
        <references count="3">
          <reference field="4294967294" count="1" selected="0">
            <x v="1"/>
          </reference>
          <reference field="0" count="1" selected="0">
            <x v="86"/>
          </reference>
          <reference field="1" count="1" selected="0">
            <x v="13"/>
          </reference>
        </references>
      </pivotArea>
    </chartFormat>
    <chartFormat chart="25" format="41">
      <pivotArea type="data" outline="0" fieldPosition="0">
        <references count="3">
          <reference field="4294967294" count="1" selected="0">
            <x v="1"/>
          </reference>
          <reference field="0" count="1" selected="0">
            <x v="87"/>
          </reference>
          <reference field="1" count="1" selected="0">
            <x v="13"/>
          </reference>
        </references>
      </pivotArea>
    </chartFormat>
    <chartFormat chart="25" format="42">
      <pivotArea type="data" outline="0" fieldPosition="0">
        <references count="3">
          <reference field="4294967294" count="1" selected="0">
            <x v="1"/>
          </reference>
          <reference field="0" count="1" selected="0">
            <x v="88"/>
          </reference>
          <reference field="1" count="1" selected="0">
            <x v="13"/>
          </reference>
        </references>
      </pivotArea>
    </chartFormat>
    <chartFormat chart="25" format="43">
      <pivotArea type="data" outline="0" fieldPosition="0">
        <references count="3">
          <reference field="4294967294" count="1" selected="0">
            <x v="1"/>
          </reference>
          <reference field="0" count="1" selected="0">
            <x v="89"/>
          </reference>
          <reference field="1" count="1" selected="0">
            <x v="13"/>
          </reference>
        </references>
      </pivotArea>
    </chartFormat>
    <chartFormat chart="25" format="44">
      <pivotArea type="data" outline="0" fieldPosition="0">
        <references count="3">
          <reference field="4294967294" count="1" selected="0">
            <x v="1"/>
          </reference>
          <reference field="0" count="1" selected="0">
            <x v="90"/>
          </reference>
          <reference field="1" count="1" selected="0">
            <x v="13"/>
          </reference>
        </references>
      </pivotArea>
    </chartFormat>
    <chartFormat chart="25" format="45">
      <pivotArea type="data" outline="0" fieldPosition="0">
        <references count="3">
          <reference field="4294967294" count="1" selected="0">
            <x v="1"/>
          </reference>
          <reference field="0" count="1" selected="0">
            <x v="91"/>
          </reference>
          <reference field="1" count="1" selected="0">
            <x v="14"/>
          </reference>
        </references>
      </pivotArea>
    </chartFormat>
    <chartFormat chart="25" format="46">
      <pivotArea type="data" outline="0" fieldPosition="0">
        <references count="3">
          <reference field="4294967294" count="1" selected="0">
            <x v="1"/>
          </reference>
          <reference field="0" count="1" selected="0">
            <x v="92"/>
          </reference>
          <reference field="1" count="1" selected="0">
            <x v="14"/>
          </reference>
        </references>
      </pivotArea>
    </chartFormat>
    <chartFormat chart="25" format="47">
      <pivotArea type="data" outline="0" fieldPosition="0">
        <references count="3">
          <reference field="4294967294" count="1" selected="0">
            <x v="1"/>
          </reference>
          <reference field="0" count="1" selected="0">
            <x v="93"/>
          </reference>
          <reference field="1" count="1" selected="0">
            <x v="14"/>
          </reference>
        </references>
      </pivotArea>
    </chartFormat>
    <chartFormat chart="25" format="48">
      <pivotArea type="data" outline="0" fieldPosition="0">
        <references count="3">
          <reference field="4294967294" count="1" selected="0">
            <x v="1"/>
          </reference>
          <reference field="0" count="1" selected="0">
            <x v="94"/>
          </reference>
          <reference field="1" count="1" selected="0">
            <x v="14"/>
          </reference>
        </references>
      </pivotArea>
    </chartFormat>
    <chartFormat chart="25" format="49">
      <pivotArea type="data" outline="0" fieldPosition="0">
        <references count="3">
          <reference field="4294967294" count="1" selected="0">
            <x v="1"/>
          </reference>
          <reference field="0" count="1" selected="0">
            <x v="95"/>
          </reference>
          <reference field="1" count="1" selected="0">
            <x v="14"/>
          </reference>
        </references>
      </pivotArea>
    </chartFormat>
    <chartFormat chart="25" format="50">
      <pivotArea type="data" outline="0" fieldPosition="0">
        <references count="3">
          <reference field="4294967294" count="1" selected="0">
            <x v="1"/>
          </reference>
          <reference field="0" count="1" selected="0">
            <x v="96"/>
          </reference>
          <reference field="1" count="1" selected="0">
            <x v="14"/>
          </reference>
        </references>
      </pivotArea>
    </chartFormat>
    <chartFormat chart="25" format="51">
      <pivotArea type="data" outline="0" fieldPosition="0">
        <references count="3">
          <reference field="4294967294" count="1" selected="0">
            <x v="1"/>
          </reference>
          <reference field="0" count="1" selected="0">
            <x v="97"/>
          </reference>
          <reference field="1" count="1" selected="0">
            <x v="14"/>
          </reference>
        </references>
      </pivotArea>
    </chartFormat>
    <chartFormat chart="25" format="52">
      <pivotArea type="data" outline="0" fieldPosition="0">
        <references count="3">
          <reference field="4294967294" count="1" selected="0">
            <x v="1"/>
          </reference>
          <reference field="0" count="1" selected="0">
            <x v="98"/>
          </reference>
          <reference field="1" count="1" selected="0">
            <x v="15"/>
          </reference>
        </references>
      </pivotArea>
    </chartFormat>
    <chartFormat chart="25" format="53">
      <pivotArea type="data" outline="0" fieldPosition="0">
        <references count="3">
          <reference field="4294967294" count="1" selected="0">
            <x v="1"/>
          </reference>
          <reference field="0" count="1" selected="0">
            <x v="99"/>
          </reference>
          <reference field="1" count="1" selected="0">
            <x v="15"/>
          </reference>
        </references>
      </pivotArea>
    </chartFormat>
    <chartFormat chart="25" format="54">
      <pivotArea type="data" outline="0" fieldPosition="0">
        <references count="3">
          <reference field="4294967294" count="1" selected="0">
            <x v="1"/>
          </reference>
          <reference field="0" count="1" selected="0">
            <x v="100"/>
          </reference>
          <reference field="1" count="1" selected="0">
            <x v="15"/>
          </reference>
        </references>
      </pivotArea>
    </chartFormat>
    <chartFormat chart="25" format="55">
      <pivotArea type="data" outline="0" fieldPosition="0">
        <references count="3">
          <reference field="4294967294" count="1" selected="0">
            <x v="1"/>
          </reference>
          <reference field="0" count="1" selected="0">
            <x v="101"/>
          </reference>
          <reference field="1" count="1" selected="0">
            <x v="15"/>
          </reference>
        </references>
      </pivotArea>
    </chartFormat>
    <chartFormat chart="25" format="56">
      <pivotArea type="data" outline="0" fieldPosition="0">
        <references count="3">
          <reference field="4294967294" count="1" selected="0">
            <x v="1"/>
          </reference>
          <reference field="0" count="1" selected="0">
            <x v="102"/>
          </reference>
          <reference field="1" count="1" selected="0">
            <x v="15"/>
          </reference>
        </references>
      </pivotArea>
    </chartFormat>
    <chartFormat chart="25" format="57">
      <pivotArea type="data" outline="0" fieldPosition="0">
        <references count="3">
          <reference field="4294967294" count="1" selected="0">
            <x v="1"/>
          </reference>
          <reference field="0" count="1" selected="0">
            <x v="103"/>
          </reference>
          <reference field="1" count="1" selected="0">
            <x v="15"/>
          </reference>
        </references>
      </pivotArea>
    </chartFormat>
    <chartFormat chart="25" format="58">
      <pivotArea type="data" outline="0" fieldPosition="0">
        <references count="3">
          <reference field="4294967294" count="1" selected="0">
            <x v="1"/>
          </reference>
          <reference field="0" count="1" selected="0">
            <x v="105"/>
          </reference>
          <reference field="1" count="1" selected="0">
            <x v="16"/>
          </reference>
        </references>
      </pivotArea>
    </chartFormat>
    <chartFormat chart="25" format="59">
      <pivotArea type="data" outline="0" fieldPosition="0">
        <references count="3">
          <reference field="4294967294" count="1" selected="0">
            <x v="1"/>
          </reference>
          <reference field="0" count="1" selected="0">
            <x v="106"/>
          </reference>
          <reference field="1" count="1" selected="0">
            <x v="16"/>
          </reference>
        </references>
      </pivotArea>
    </chartFormat>
    <chartFormat chart="25" format="60">
      <pivotArea type="data" outline="0" fieldPosition="0">
        <references count="3">
          <reference field="4294967294" count="1" selected="0">
            <x v="1"/>
          </reference>
          <reference field="0" count="1" selected="0">
            <x v="107"/>
          </reference>
          <reference field="1" count="1" selected="0">
            <x v="16"/>
          </reference>
        </references>
      </pivotArea>
    </chartFormat>
    <chartFormat chart="25" format="61">
      <pivotArea type="data" outline="0" fieldPosition="0">
        <references count="3">
          <reference field="4294967294" count="1" selected="0">
            <x v="1"/>
          </reference>
          <reference field="0" count="1" selected="0">
            <x v="108"/>
          </reference>
          <reference field="1" count="1" selected="0">
            <x v="1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5">
  <location ref="A3:D181" firstHeaderRow="0" firstDataRow="1" firstDataCol="1"/>
  <pivotFields count="28">
    <pivotField axis="axisRow" showAll="0" sortType="descending">
      <items count="114"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20">
        <item x="1"/>
        <item m="1" x="18"/>
        <item x="0"/>
        <item x="17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showAll="0"/>
    <pivotField dataField="1" showAll="0"/>
    <pivotField axis="axisRow" showAll="0">
      <items count="9">
        <item h="1" x="4"/>
        <item h="1" x="1"/>
        <item h="1" x="0"/>
        <item x="2"/>
        <item h="1" x="5"/>
        <item h="1" x="3"/>
        <item h="1" x="6"/>
        <item h="1"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178">
    <i>
      <x/>
    </i>
    <i r="1">
      <x v="3"/>
    </i>
    <i r="2">
      <x v="1"/>
    </i>
    <i r="2">
      <x v="8"/>
    </i>
    <i r="2">
      <x v="9"/>
    </i>
    <i r="2">
      <x v="15"/>
    </i>
    <i r="2">
      <x v="20"/>
    </i>
    <i r="2">
      <x v="22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2"/>
    </i>
    <i r="2">
      <x v="33"/>
    </i>
    <i r="2">
      <x v="34"/>
    </i>
    <i r="2">
      <x v="36"/>
    </i>
    <i r="2">
      <x v="40"/>
    </i>
    <i r="2">
      <x v="42"/>
    </i>
    <i r="2">
      <x v="43"/>
    </i>
    <i r="2">
      <x v="48"/>
    </i>
    <i r="2">
      <x v="49"/>
    </i>
    <i r="2">
      <x v="50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2">
      <x v="62"/>
    </i>
    <i r="2">
      <x v="63"/>
    </i>
    <i r="2">
      <x v="64"/>
    </i>
    <i r="2">
      <x v="65"/>
    </i>
    <i r="2">
      <x v="67"/>
    </i>
    <i r="2">
      <x v="68"/>
    </i>
    <i r="2">
      <x v="70"/>
    </i>
    <i r="2">
      <x v="71"/>
    </i>
    <i r="2">
      <x v="73"/>
    </i>
    <i r="2">
      <x v="75"/>
    </i>
    <i r="2">
      <x v="77"/>
    </i>
    <i r="2">
      <x v="78"/>
    </i>
    <i r="2">
      <x v="79"/>
    </i>
    <i r="2">
      <x v="85"/>
    </i>
    <i r="2">
      <x v="92"/>
    </i>
    <i r="2">
      <x v="95"/>
    </i>
    <i r="2">
      <x v="99"/>
    </i>
    <i r="2">
      <x v="103"/>
    </i>
    <i r="2">
      <x v="106"/>
    </i>
    <i>
      <x v="2"/>
    </i>
    <i r="1">
      <x v="3"/>
    </i>
    <i r="2">
      <x v="107"/>
    </i>
    <i r="2">
      <x v="108"/>
    </i>
    <i r="2">
      <x v="109"/>
    </i>
    <i r="2">
      <x v="110"/>
    </i>
    <i r="2">
      <x v="111"/>
    </i>
    <i r="2">
      <x v="112"/>
    </i>
    <i>
      <x v="4"/>
    </i>
    <i r="1">
      <x v="3"/>
    </i>
    <i r="2">
      <x v="100"/>
    </i>
    <i r="2">
      <x v="101"/>
    </i>
    <i r="2">
      <x v="102"/>
    </i>
    <i r="2">
      <x v="104"/>
    </i>
    <i r="2">
      <x v="105"/>
    </i>
    <i>
      <x v="5"/>
    </i>
    <i r="1">
      <x v="3"/>
    </i>
    <i r="2">
      <x v="93"/>
    </i>
    <i r="2">
      <x v="94"/>
    </i>
    <i r="2">
      <x v="95"/>
    </i>
    <i r="2">
      <x v="96"/>
    </i>
    <i r="2">
      <x v="97"/>
    </i>
    <i r="2">
      <x v="98"/>
    </i>
    <i>
      <x v="6"/>
    </i>
    <i r="1">
      <x v="3"/>
    </i>
    <i r="2">
      <x v="86"/>
    </i>
    <i r="2">
      <x v="87"/>
    </i>
    <i r="2">
      <x v="88"/>
    </i>
    <i r="2">
      <x v="89"/>
    </i>
    <i r="2">
      <x v="90"/>
    </i>
    <i r="2">
      <x v="91"/>
    </i>
    <i>
      <x v="7"/>
    </i>
    <i r="1">
      <x v="3"/>
    </i>
    <i r="2">
      <x v="79"/>
    </i>
    <i r="2">
      <x v="80"/>
    </i>
    <i r="2">
      <x v="81"/>
    </i>
    <i r="2">
      <x v="82"/>
    </i>
    <i r="2">
      <x v="83"/>
    </i>
    <i r="2">
      <x v="84"/>
    </i>
    <i>
      <x v="8"/>
    </i>
    <i r="1">
      <x v="3"/>
    </i>
    <i r="2">
      <x v="72"/>
    </i>
    <i r="2">
      <x v="73"/>
    </i>
    <i r="2">
      <x v="74"/>
    </i>
    <i r="2">
      <x v="75"/>
    </i>
    <i r="2">
      <x v="76"/>
    </i>
    <i r="2">
      <x v="77"/>
    </i>
    <i>
      <x v="9"/>
    </i>
    <i r="1">
      <x v="3"/>
    </i>
    <i r="2">
      <x v="65"/>
    </i>
    <i r="2">
      <x v="66"/>
    </i>
    <i r="2">
      <x v="67"/>
    </i>
    <i r="2">
      <x v="68"/>
    </i>
    <i r="2">
      <x v="69"/>
    </i>
    <i r="2">
      <x v="70"/>
    </i>
    <i>
      <x v="10"/>
    </i>
    <i r="1">
      <x v="3"/>
    </i>
    <i r="2">
      <x v="58"/>
    </i>
    <i r="2">
      <x v="59"/>
    </i>
    <i r="2">
      <x v="60"/>
    </i>
    <i r="2">
      <x v="61"/>
    </i>
    <i r="2">
      <x v="62"/>
    </i>
    <i r="2">
      <x v="63"/>
    </i>
    <i>
      <x v="11"/>
    </i>
    <i r="1">
      <x v="3"/>
    </i>
    <i r="2">
      <x v="51"/>
    </i>
    <i r="2">
      <x v="52"/>
    </i>
    <i r="2">
      <x v="53"/>
    </i>
    <i r="2">
      <x v="54"/>
    </i>
    <i r="2">
      <x v="55"/>
    </i>
    <i>
      <x v="12"/>
    </i>
    <i r="1">
      <x v="3"/>
    </i>
    <i r="2">
      <x v="44"/>
    </i>
    <i r="2">
      <x v="45"/>
    </i>
    <i r="2">
      <x v="46"/>
    </i>
    <i r="2">
      <x v="47"/>
    </i>
    <i r="2">
      <x v="48"/>
    </i>
    <i r="2">
      <x v="49"/>
    </i>
    <i>
      <x v="13"/>
    </i>
    <i r="1">
      <x v="3"/>
    </i>
    <i r="2">
      <x v="37"/>
    </i>
    <i r="2">
      <x v="38"/>
    </i>
    <i r="2">
      <x v="39"/>
    </i>
    <i r="2">
      <x v="40"/>
    </i>
    <i r="2">
      <x v="41"/>
    </i>
    <i r="2">
      <x v="42"/>
    </i>
    <i>
      <x v="14"/>
    </i>
    <i r="1">
      <x v="3"/>
    </i>
    <i r="2">
      <x v="30"/>
    </i>
    <i r="2">
      <x v="31"/>
    </i>
    <i r="2">
      <x v="32"/>
    </i>
    <i r="2">
      <x v="33"/>
    </i>
    <i r="2">
      <x v="34"/>
    </i>
    <i r="2">
      <x v="35"/>
    </i>
    <i>
      <x v="15"/>
    </i>
    <i r="1">
      <x v="3"/>
    </i>
    <i r="2">
      <x v="23"/>
    </i>
    <i r="2">
      <x v="24"/>
    </i>
    <i r="2">
      <x v="25"/>
    </i>
    <i r="2">
      <x v="26"/>
    </i>
    <i r="2">
      <x v="27"/>
    </i>
    <i r="2">
      <x v="28"/>
    </i>
    <i>
      <x v="16"/>
    </i>
    <i r="1">
      <x v="3"/>
    </i>
    <i r="2">
      <x v="16"/>
    </i>
    <i r="2">
      <x v="17"/>
    </i>
    <i r="2">
      <x v="18"/>
    </i>
    <i r="2">
      <x v="19"/>
    </i>
    <i r="2">
      <x v="20"/>
    </i>
    <i r="2">
      <x v="21"/>
    </i>
    <i>
      <x v="17"/>
    </i>
    <i r="1">
      <x v="3"/>
    </i>
    <i r="2">
      <x v="9"/>
    </i>
    <i r="2">
      <x v="10"/>
    </i>
    <i r="2">
      <x v="11"/>
    </i>
    <i r="2">
      <x v="12"/>
    </i>
    <i r="2">
      <x v="13"/>
    </i>
    <i r="2">
      <x v="14"/>
    </i>
    <i>
      <x v="18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6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8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107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94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107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93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108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87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67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61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62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47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48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49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46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41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42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32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35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32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25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24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23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4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5">
      <pivotArea type="data" outline="0" fieldPosition="0">
        <references count="4">
          <reference field="4294967294" count="1" selected="0">
            <x v="0"/>
          </reference>
          <reference field="0" count="1" selected="0">
            <x v="17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6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7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8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9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60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1">
      <pivotArea type="data" outline="0" fieldPosition="0">
        <references count="4">
          <reference field="4294967294" count="1" selected="0">
            <x v="0"/>
          </reference>
          <reference field="0" count="1" selected="0">
            <x v="10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2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3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4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5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6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7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8">
      <pivotArea type="data" outline="0" fieldPosition="0">
        <references count="4">
          <reference field="4294967294" count="1" selected="0">
            <x v="1"/>
          </reference>
          <reference field="0" count="1" selected="0">
            <x v="6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9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0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1">
      <pivotArea type="data" outline="0" fieldPosition="0">
        <references count="4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2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3">
      <pivotArea type="data" outline="0" fieldPosition="0">
        <references count="4">
          <reference field="4294967294" count="1" selected="0">
            <x v="1"/>
          </reference>
          <reference field="0" count="1" selected="0">
            <x v="20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4">
      <pivotArea type="data" outline="0" fieldPosition="0">
        <references count="4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5">
      <pivotArea type="data" outline="0" fieldPosition="0">
        <references count="4">
          <reference field="4294967294" count="1" selected="0">
            <x v="0"/>
          </reference>
          <reference field="0" count="1" selected="0">
            <x v="8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6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7">
      <pivotArea type="data" outline="0" fieldPosition="0">
        <references count="4">
          <reference field="4294967294" count="1" selected="0">
            <x v="0"/>
          </reference>
          <reference field="0" count="1" selected="0">
            <x v="15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8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9">
      <pivotArea type="data" outline="0" fieldPosition="0">
        <references count="4">
          <reference field="4294967294" count="1" selected="0">
            <x v="0"/>
          </reference>
          <reference field="0" count="1" selected="0">
            <x v="22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0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1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2">
      <pivotArea type="data" outline="0" fieldPosition="0">
        <references count="4">
          <reference field="4294967294" count="1" selected="0">
            <x v="0"/>
          </reference>
          <reference field="0" count="1" selected="0">
            <x v="29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3">
      <pivotArea type="data" outline="0" fieldPosition="0">
        <references count="4">
          <reference field="4294967294" count="1" selected="0">
            <x v="0"/>
          </reference>
          <reference field="0" count="1" selected="0">
            <x v="32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4">
      <pivotArea type="data" outline="0" fieldPosition="0">
        <references count="4">
          <reference field="4294967294" count="1" selected="0">
            <x v="0"/>
          </reference>
          <reference field="0" count="1" selected="0">
            <x v="36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5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9">
        <i x="1" s="1"/>
        <i x="0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13" s="1"/>
        <i x="14" s="1"/>
        <i x="15" s="1"/>
        <i x="16" s="1"/>
        <i x="18" s="1" nd="1"/>
        <i x="17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8">
        <i x="4"/>
        <i x="1"/>
        <i x="7"/>
        <i x="0"/>
        <i x="6"/>
        <i x="2" s="1"/>
        <i x="3"/>
        <i x="5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8">
        <i x="1"/>
        <i x="0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13" s="1"/>
        <i x="14" s="1"/>
        <i x="15" s="1"/>
        <i x="16" s="1"/>
        <i x="17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8">
        <i x="4"/>
        <i x="1"/>
        <i x="7"/>
        <i x="0" s="1"/>
        <i x="6"/>
        <i x="2"/>
        <i x="3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11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10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T5" sqref="T5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46251</v>
      </c>
      <c r="D2" s="81"/>
      <c r="E2" s="62" t="s">
        <v>1</v>
      </c>
      <c r="F2" s="81">
        <v>46257</v>
      </c>
      <c r="G2" s="81"/>
      <c r="H2" s="61"/>
      <c r="I2" s="82" t="s">
        <v>2</v>
      </c>
      <c r="J2" s="82"/>
      <c r="K2" s="61">
        <f>_xlfn.ISOWEEKNUM(C2)</f>
        <v>34</v>
      </c>
      <c r="L2" s="61" t="s">
        <v>1</v>
      </c>
      <c r="M2" s="61">
        <f>_xlfn.ISOWEEKNUM(F2)</f>
        <v>34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workbookViewId="0">
      <selection activeCell="S6" sqref="S6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46230</v>
      </c>
      <c r="D2" s="81"/>
      <c r="E2" s="62" t="s">
        <v>1</v>
      </c>
      <c r="F2" s="81">
        <v>46257</v>
      </c>
      <c r="G2" s="81"/>
      <c r="H2" s="61"/>
      <c r="I2" s="82" t="s">
        <v>2</v>
      </c>
      <c r="J2" s="82"/>
      <c r="K2" s="61">
        <f>_xlfn.ISOWEEKNUM(C2)</f>
        <v>31</v>
      </c>
      <c r="L2" s="61" t="s">
        <v>1</v>
      </c>
      <c r="M2" s="61">
        <f>_xlfn.ISOWEEKNUM(F2)</f>
        <v>34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834"/>
  <sheetViews>
    <sheetView tabSelected="1" zoomScaleNormal="100" workbookViewId="0">
      <pane ySplit="4" topLeftCell="A935" activePane="bottomLeft" state="frozen"/>
      <selection pane="bottomLeft" activeCell="H975" sqref="H975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5"/>
    </row>
    <row r="2" spans="1:28" x14ac:dyDescent="0.25">
      <c r="A2" s="53" t="s">
        <v>5</v>
      </c>
      <c r="H2" s="1">
        <f>15000/7</f>
        <v>2142.8571428571427</v>
      </c>
      <c r="O2" s="75"/>
    </row>
    <row r="3" spans="1:28" x14ac:dyDescent="0.25">
      <c r="A3" s="53" t="s">
        <v>6</v>
      </c>
      <c r="O3" s="75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 t="shared" si="34"/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 t="shared" si="35"/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 t="shared" si="36"/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 t="shared" si="36"/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 t="shared" si="36"/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 t="shared" si="37"/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 t="shared" ref="I476:I539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 t="shared" si="38"/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 t="shared" si="38"/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 t="shared" si="38"/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 t="shared" si="38"/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8"/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8"/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 t="shared" si="38"/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 t="shared" si="38"/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 t="shared" si="38"/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8"/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8"/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8"/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8"/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8"/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 t="shared" si="38"/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 t="shared" ref="H520:H526" si="39">15000/7</f>
        <v>2142.8571428571427</v>
      </c>
      <c r="I520" s="6">
        <f t="shared" si="38"/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 t="shared" si="39"/>
        <v>2142.8571428571427</v>
      </c>
      <c r="I521" s="6">
        <f t="shared" si="38"/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39"/>
        <v>2142.8571428571427</v>
      </c>
      <c r="I522" s="6">
        <f t="shared" si="38"/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39"/>
        <v>2142.8571428571427</v>
      </c>
      <c r="I523" s="6">
        <f t="shared" si="38"/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39"/>
        <v>2142.8571428571427</v>
      </c>
      <c r="I524" s="6">
        <f t="shared" si="38"/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39"/>
        <v>2142.8571428571427</v>
      </c>
      <c r="I525" s="6">
        <f t="shared" si="38"/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39"/>
        <v>2142.8571428571427</v>
      </c>
      <c r="I526" s="6">
        <f t="shared" si="38"/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 t="shared" si="38"/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 t="shared" ref="H528:H534" si="40">15000/7</f>
        <v>2142.8571428571427</v>
      </c>
      <c r="I528" s="6">
        <f t="shared" si="38"/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 t="shared" si="40"/>
        <v>2142.8571428571427</v>
      </c>
      <c r="I529" s="6">
        <f t="shared" si="38"/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0"/>
        <v>2142.8571428571427</v>
      </c>
      <c r="I530" s="6">
        <f t="shared" si="38"/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0"/>
        <v>2142.8571428571427</v>
      </c>
      <c r="I531" s="6">
        <f t="shared" si="38"/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0"/>
        <v>2142.8571428571427</v>
      </c>
      <c r="I532" s="6">
        <f t="shared" si="38"/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0"/>
        <v>2142.8571428571427</v>
      </c>
      <c r="I533" s="6">
        <f t="shared" si="38"/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0"/>
        <v>2142.8571428571427</v>
      </c>
      <c r="I534" s="6">
        <f t="shared" si="38"/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 t="shared" si="38"/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 t="shared" ref="H536:H542" si="41">15000/7</f>
        <v>2142.8571428571427</v>
      </c>
      <c r="I536" s="6">
        <f t="shared" si="38"/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 t="shared" si="41"/>
        <v>2142.8571428571427</v>
      </c>
      <c r="I537" s="6">
        <f t="shared" si="38"/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1"/>
        <v>2142.8571428571427</v>
      </c>
      <c r="I538" s="6">
        <f t="shared" si="38"/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1"/>
        <v>2142.8571428571427</v>
      </c>
      <c r="I539" s="6">
        <f t="shared" si="38"/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1"/>
        <v>2142.8571428571427</v>
      </c>
      <c r="I540" s="6">
        <f t="shared" ref="I540:I603" si="42"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1"/>
        <v>2142.8571428571427</v>
      </c>
      <c r="I541" s="6">
        <f t="shared" si="42"/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1"/>
        <v>2142.8571428571427</v>
      </c>
      <c r="I542" s="6">
        <f t="shared" si="42"/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 t="shared" si="42"/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2"/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 t="shared" si="42"/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3">15000/7</f>
        <v>2142.8571428571427</v>
      </c>
      <c r="I546" s="6">
        <f t="shared" si="42"/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3"/>
        <v>2142.8571428571427</v>
      </c>
      <c r="I547" s="6">
        <f t="shared" si="42"/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3"/>
        <v>2142.8571428571427</v>
      </c>
      <c r="I548" s="6">
        <f t="shared" si="42"/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3"/>
        <v>2142.8571428571427</v>
      </c>
      <c r="I549" s="6">
        <f t="shared" si="42"/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3"/>
        <v>2142.8571428571427</v>
      </c>
      <c r="I550" s="6">
        <f t="shared" si="42"/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3"/>
        <v>2142.8571428571427</v>
      </c>
      <c r="I551" s="6">
        <f t="shared" si="42"/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2"/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2"/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2"/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2"/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2"/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2"/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2"/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2"/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4">15000/6</f>
        <v>2500</v>
      </c>
      <c r="I560" s="6">
        <f t="shared" si="42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4"/>
        <v>2500</v>
      </c>
      <c r="I561" s="6">
        <f t="shared" si="42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4"/>
        <v>2500</v>
      </c>
      <c r="I562" s="6">
        <f t="shared" si="42"/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4"/>
        <v>2500</v>
      </c>
      <c r="I563" s="6">
        <f t="shared" si="42"/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4"/>
        <v>2500</v>
      </c>
      <c r="I564" s="6">
        <f t="shared" si="42"/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4"/>
        <v>2500</v>
      </c>
      <c r="I565" s="6">
        <f t="shared" si="42"/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 t="shared" si="42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2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5">15000/6</f>
        <v>2500</v>
      </c>
      <c r="I568" s="6">
        <f t="shared" si="42"/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5"/>
        <v>2500</v>
      </c>
      <c r="I569" s="6">
        <f t="shared" si="42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5"/>
        <v>2500</v>
      </c>
      <c r="I570" s="6">
        <f t="shared" si="42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5"/>
        <v>2500</v>
      </c>
      <c r="I571" s="6">
        <f t="shared" si="42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5"/>
        <v>2500</v>
      </c>
      <c r="I572" s="6">
        <f t="shared" si="42"/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5"/>
        <v>2500</v>
      </c>
      <c r="I573" s="6">
        <f t="shared" si="42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 t="shared" si="42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2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2"/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2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2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2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2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2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 t="shared" si="42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2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6">15000/7</f>
        <v>2142.8571428571427</v>
      </c>
      <c r="I584" s="6">
        <f t="shared" si="42"/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6"/>
        <v>2142.8571428571427</v>
      </c>
      <c r="I585" s="6">
        <f t="shared" si="42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6"/>
        <v>2142.8571428571427</v>
      </c>
      <c r="I586" s="6">
        <f t="shared" si="42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6"/>
        <v>2142.8571428571427</v>
      </c>
      <c r="I587" s="6">
        <f t="shared" si="42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6"/>
        <v>2142.8571428571427</v>
      </c>
      <c r="I588" s="6">
        <f t="shared" si="42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6"/>
        <v>2142.8571428571427</v>
      </c>
      <c r="I589" s="6">
        <f t="shared" si="42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 t="shared" si="42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7">15000/7</f>
        <v>2142.8571428571427</v>
      </c>
      <c r="I591" s="6">
        <f t="shared" si="42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7"/>
        <v>2142.8571428571427</v>
      </c>
      <c r="I592" s="6">
        <f t="shared" si="42"/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7"/>
        <v>2142.8571428571427</v>
      </c>
      <c r="I593" s="6">
        <f t="shared" si="42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7"/>
        <v>2142.8571428571427</v>
      </c>
      <c r="I594" s="6">
        <f t="shared" si="42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7"/>
        <v>2142.8571428571427</v>
      </c>
      <c r="I595" s="6">
        <f t="shared" si="42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7"/>
        <v>2142.8571428571427</v>
      </c>
      <c r="I596" s="6">
        <f t="shared" si="42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7"/>
        <v>2142.8571428571427</v>
      </c>
      <c r="I597" s="6">
        <f t="shared" si="42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 t="shared" si="42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2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48">15000/6</f>
        <v>2500</v>
      </c>
      <c r="I600" s="6">
        <f t="shared" si="42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48"/>
        <v>2500</v>
      </c>
      <c r="I601" s="6">
        <f t="shared" si="42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48"/>
        <v>2500</v>
      </c>
      <c r="I602" s="6">
        <f t="shared" si="42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48"/>
        <v>2500</v>
      </c>
      <c r="I603" s="6">
        <f t="shared" si="42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48"/>
        <v>2500</v>
      </c>
      <c r="I604" s="6">
        <f t="shared" ref="I604:I667" si="49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48"/>
        <v>2500</v>
      </c>
      <c r="I605" s="6">
        <f t="shared" si="49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 t="shared" si="49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49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49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49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49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49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49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49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49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 t="shared" si="49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 t="shared" ref="H616:H621" si="50">15000/6</f>
        <v>2500</v>
      </c>
      <c r="I616" s="6">
        <f t="shared" si="49"/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 t="shared" si="50"/>
        <v>2500</v>
      </c>
      <c r="I617" s="6">
        <f t="shared" si="49"/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 t="shared" si="50"/>
        <v>2500</v>
      </c>
      <c r="I618" s="6">
        <f t="shared" si="49"/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 t="shared" si="50"/>
        <v>2500</v>
      </c>
      <c r="I619" s="6">
        <f t="shared" si="49"/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 t="shared" si="50"/>
        <v>2500</v>
      </c>
      <c r="I620" s="6">
        <f t="shared" si="49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 t="shared" si="50"/>
        <v>2500</v>
      </c>
      <c r="I621" s="6">
        <f t="shared" si="49"/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 t="shared" si="49"/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 t="shared" si="49"/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 t="shared" si="49"/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49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 t="shared" si="49"/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 t="shared" si="49"/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 t="shared" si="49"/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 t="shared" si="49"/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 t="shared" si="49"/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 t="shared" si="49"/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49"/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49"/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 t="shared" si="49"/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 t="shared" si="49"/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 t="shared" si="49"/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 t="shared" si="49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 t="shared" si="49"/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 t="shared" si="49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 t="shared" si="49"/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49"/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 t="shared" si="49"/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 t="shared" si="49"/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 t="shared" si="49"/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 t="shared" si="49"/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 t="shared" si="49"/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 t="shared" si="49"/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 t="shared" ref="H648:H653" si="51">15000/7</f>
        <v>2142.8571428571427</v>
      </c>
      <c r="I648" s="6">
        <f t="shared" si="49"/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 t="shared" si="51"/>
        <v>2142.8571428571427</v>
      </c>
      <c r="I649" s="6">
        <f t="shared" si="49"/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 t="shared" si="51"/>
        <v>2142.8571428571427</v>
      </c>
      <c r="I650" s="6">
        <f t="shared" si="49"/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 t="shared" si="51"/>
        <v>2142.8571428571427</v>
      </c>
      <c r="I651" s="6">
        <f t="shared" si="49"/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 t="shared" si="51"/>
        <v>2142.8571428571427</v>
      </c>
      <c r="I652" s="6">
        <f t="shared" si="49"/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 t="shared" si="51"/>
        <v>2142.8571428571427</v>
      </c>
      <c r="I653" s="6">
        <f t="shared" si="49"/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 t="shared" si="49"/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 t="shared" ref="H655:H661" si="52">15000/7</f>
        <v>2142.8571428571427</v>
      </c>
      <c r="I655" s="6">
        <f t="shared" si="49"/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 t="shared" si="52"/>
        <v>2142.8571428571427</v>
      </c>
      <c r="I656" s="6">
        <f t="shared" si="49"/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 t="shared" si="52"/>
        <v>2142.8571428571427</v>
      </c>
      <c r="I657" s="6">
        <f t="shared" si="49"/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 t="shared" si="52"/>
        <v>2142.8571428571427</v>
      </c>
      <c r="I658" s="6">
        <f t="shared" si="49"/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 t="shared" si="52"/>
        <v>2142.8571428571427</v>
      </c>
      <c r="I659" s="6">
        <f t="shared" si="49"/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 t="shared" si="52"/>
        <v>2142.8571428571427</v>
      </c>
      <c r="I660" s="6">
        <f t="shared" si="49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 t="shared" si="52"/>
        <v>2142.8571428571427</v>
      </c>
      <c r="I661" s="6">
        <f t="shared" si="49"/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 t="shared" si="49"/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 t="shared" si="49"/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 t="shared" si="49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 t="shared" si="49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 t="shared" si="49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 t="shared" si="49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 t="shared" ref="I668:I731" si="53"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 t="shared" si="53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 t="shared" si="53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 t="shared" si="53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15000/6</f>
        <v>2500</v>
      </c>
      <c r="I672" s="6">
        <f t="shared" si="53"/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 t="shared" si="53"/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>15000/6</f>
        <v>2500</v>
      </c>
      <c r="I674" s="6">
        <f t="shared" si="53"/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x14ac:dyDescent="0.25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>15000/6</f>
        <v>2500</v>
      </c>
      <c r="I675" s="6">
        <f t="shared" si="53"/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x14ac:dyDescent="0.25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>15000/6</f>
        <v>2500</v>
      </c>
      <c r="I676" s="6">
        <f t="shared" si="53"/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>15000/6</f>
        <v>2500</v>
      </c>
      <c r="I677" s="6">
        <f t="shared" si="53"/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 t="shared" si="53"/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x14ac:dyDescent="0.25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>15000/6</f>
        <v>2500</v>
      </c>
      <c r="I679" s="6">
        <f t="shared" si="53"/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 t="shared" si="53"/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 t="shared" si="53"/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 t="shared" si="53"/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x14ac:dyDescent="0.25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 t="shared" si="53"/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x14ac:dyDescent="0.25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 t="shared" si="53"/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x14ac:dyDescent="0.25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 t="shared" si="53"/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 t="shared" si="53"/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x14ac:dyDescent="0.25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 t="shared" si="53"/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x14ac:dyDescent="0.25">
      <c r="A688" s="4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 t="shared" si="53"/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 x14ac:dyDescent="0.25">
      <c r="A689" s="4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 t="shared" si="53"/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4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 t="shared" si="53"/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 x14ac:dyDescent="0.25">
      <c r="A691" s="4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 t="shared" si="53"/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 x14ac:dyDescent="0.25">
      <c r="A692" s="4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 t="shared" si="53"/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 x14ac:dyDescent="0.25">
      <c r="A693" s="4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 t="shared" si="53"/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4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 t="shared" si="53"/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 x14ac:dyDescent="0.25">
      <c r="A695" s="4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 t="shared" si="53"/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 x14ac:dyDescent="0.25">
      <c r="A696" s="4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 t="shared" si="53"/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 x14ac:dyDescent="0.25">
      <c r="A697" s="4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 t="shared" si="53"/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25">
      <c r="A698" s="4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 t="shared" si="53"/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 x14ac:dyDescent="0.25">
      <c r="A699" s="4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 t="shared" si="53"/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 x14ac:dyDescent="0.25">
      <c r="A700" s="4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 t="shared" si="53"/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 x14ac:dyDescent="0.25">
      <c r="A701" s="4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 t="shared" si="53"/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4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 t="shared" si="53"/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 x14ac:dyDescent="0.25">
      <c r="A703" s="4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 t="shared" si="53"/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 x14ac:dyDescent="0.25">
      <c r="A704" s="4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 t="shared" si="53"/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 x14ac:dyDescent="0.25">
      <c r="A705" s="4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 t="shared" si="53"/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4">
        <v>46234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15000/6</f>
        <v>2500</v>
      </c>
      <c r="I706" s="6">
        <f t="shared" si="53"/>
        <v>262.9733520336606</v>
      </c>
      <c r="J706" s="2" t="s">
        <v>2529</v>
      </c>
      <c r="K706" s="2">
        <v>7.13</v>
      </c>
      <c r="L706" s="2" t="s">
        <v>955</v>
      </c>
      <c r="M706" s="2" t="s">
        <v>2530</v>
      </c>
      <c r="N706" s="2" t="s">
        <v>2035</v>
      </c>
      <c r="O706" s="56">
        <v>1875</v>
      </c>
      <c r="P706" s="2" t="s">
        <v>2531</v>
      </c>
      <c r="Q706" s="2" t="s">
        <v>2319</v>
      </c>
      <c r="R706" s="2" t="s">
        <v>1544</v>
      </c>
      <c r="S706" s="2" t="s">
        <v>839</v>
      </c>
      <c r="T706" s="2" t="s">
        <v>685</v>
      </c>
      <c r="U706" s="2" t="s">
        <v>1349</v>
      </c>
      <c r="V706" s="2" t="s">
        <v>2532</v>
      </c>
      <c r="W706" s="2" t="s">
        <v>2533</v>
      </c>
      <c r="X706" s="2" t="s">
        <v>2534</v>
      </c>
      <c r="Y706" s="2" t="s">
        <v>2535</v>
      </c>
      <c r="Z706" s="2" t="s">
        <v>800</v>
      </c>
      <c r="AA706" s="2" t="s">
        <v>548</v>
      </c>
      <c r="AB706" s="2" t="s">
        <v>2536</v>
      </c>
    </row>
    <row r="707" spans="1:28" x14ac:dyDescent="0.25">
      <c r="A707" s="4">
        <v>46234</v>
      </c>
      <c r="B707" s="8" t="s">
        <v>2254</v>
      </c>
      <c r="C707" s="8" t="s">
        <v>36</v>
      </c>
      <c r="D707" s="8" t="s">
        <v>43</v>
      </c>
      <c r="E707" s="8" t="s">
        <v>61</v>
      </c>
      <c r="F707" s="13"/>
      <c r="G707" s="59"/>
      <c r="H707" s="6"/>
      <c r="I707" s="6">
        <f t="shared" si="53"/>
        <v>0</v>
      </c>
      <c r="J707" s="2"/>
      <c r="K707" s="2"/>
      <c r="L707" s="2"/>
      <c r="M707" s="2"/>
      <c r="N707" s="2"/>
      <c r="O707" s="56">
        <v>25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4">
        <v>46234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15000/6</f>
        <v>2500</v>
      </c>
      <c r="I708" s="6">
        <f t="shared" si="53"/>
        <v>11.261261261261261</v>
      </c>
      <c r="J708" s="2" t="s">
        <v>2537</v>
      </c>
      <c r="K708" s="2">
        <v>4.4400000000000004</v>
      </c>
      <c r="L708" s="2" t="s">
        <v>602</v>
      </c>
      <c r="M708" s="2" t="s">
        <v>2538</v>
      </c>
      <c r="N708" s="2" t="s">
        <v>45</v>
      </c>
      <c r="O708" s="56">
        <v>50</v>
      </c>
      <c r="P708" s="2" t="s">
        <v>45</v>
      </c>
      <c r="Q708" s="2" t="s">
        <v>45</v>
      </c>
      <c r="R708" s="2" t="s">
        <v>1174</v>
      </c>
      <c r="S708" s="2" t="s">
        <v>595</v>
      </c>
      <c r="T708" s="2" t="s">
        <v>839</v>
      </c>
      <c r="U708" s="2" t="s">
        <v>2539</v>
      </c>
      <c r="V708" s="2" t="s">
        <v>2540</v>
      </c>
      <c r="W708" s="2" t="s">
        <v>2541</v>
      </c>
      <c r="X708" s="2" t="s">
        <v>45</v>
      </c>
      <c r="Y708" s="2" t="s">
        <v>45</v>
      </c>
      <c r="Z708" s="2" t="s">
        <v>649</v>
      </c>
      <c r="AA708" s="2" t="s">
        <v>45</v>
      </c>
      <c r="AB708" s="2" t="s">
        <v>2542</v>
      </c>
    </row>
    <row r="709" spans="1:28" x14ac:dyDescent="0.25">
      <c r="A709" s="4">
        <v>46234</v>
      </c>
      <c r="B709" s="8" t="s">
        <v>55</v>
      </c>
      <c r="C709" s="8" t="s">
        <v>56</v>
      </c>
      <c r="D709" s="8" t="s">
        <v>67</v>
      </c>
      <c r="E709" s="8" t="s">
        <v>47</v>
      </c>
      <c r="F709" s="13"/>
      <c r="G709" s="8" t="s">
        <v>146</v>
      </c>
      <c r="H709" s="6"/>
      <c r="I709" s="6">
        <f t="shared" si="53"/>
        <v>0</v>
      </c>
      <c r="J709" s="2" t="s">
        <v>2543</v>
      </c>
      <c r="K709" s="2">
        <v>0.57999999999999996</v>
      </c>
      <c r="L709" s="2" t="s">
        <v>1092</v>
      </c>
      <c r="M709" s="2" t="s">
        <v>2544</v>
      </c>
      <c r="N709" s="2" t="s">
        <v>2545</v>
      </c>
      <c r="O709" s="56" t="s">
        <v>42</v>
      </c>
      <c r="P709" s="2" t="s">
        <v>800</v>
      </c>
      <c r="Q709" s="2" t="s">
        <v>580</v>
      </c>
      <c r="R709" s="2" t="s">
        <v>747</v>
      </c>
      <c r="S709" s="2" t="s">
        <v>749</v>
      </c>
      <c r="T709" s="2" t="s">
        <v>1447</v>
      </c>
      <c r="U709" s="2" t="s">
        <v>712</v>
      </c>
      <c r="V709" s="2" t="s">
        <v>2546</v>
      </c>
      <c r="W709" s="2" t="s">
        <v>2547</v>
      </c>
      <c r="X709" s="2" t="s">
        <v>2548</v>
      </c>
      <c r="Y709" s="2" t="s">
        <v>2549</v>
      </c>
      <c r="Z709" s="2" t="s">
        <v>548</v>
      </c>
      <c r="AA709" s="2" t="s">
        <v>548</v>
      </c>
      <c r="AB709" s="2" t="s">
        <v>2481</v>
      </c>
    </row>
    <row r="710" spans="1:28" x14ac:dyDescent="0.25">
      <c r="A710" s="4">
        <v>46234</v>
      </c>
      <c r="B710" s="8" t="s">
        <v>2254</v>
      </c>
      <c r="C710" s="8" t="s">
        <v>36</v>
      </c>
      <c r="D710" s="8" t="s">
        <v>50</v>
      </c>
      <c r="E710" s="8" t="s">
        <v>47</v>
      </c>
      <c r="F710" s="13"/>
      <c r="G710" s="59"/>
      <c r="H710" s="6">
        <f>15000/6</f>
        <v>2500</v>
      </c>
      <c r="I710" s="6">
        <f t="shared" si="53"/>
        <v>238.97810218978103</v>
      </c>
      <c r="J710" s="2" t="s">
        <v>2550</v>
      </c>
      <c r="K710" s="2">
        <v>6.85</v>
      </c>
      <c r="L710" s="2" t="s">
        <v>621</v>
      </c>
      <c r="M710" s="2" t="s">
        <v>2551</v>
      </c>
      <c r="N710" s="2" t="s">
        <v>1854</v>
      </c>
      <c r="O710" s="56">
        <v>1637</v>
      </c>
      <c r="P710" s="2" t="s">
        <v>1189</v>
      </c>
      <c r="Q710" s="2" t="s">
        <v>2552</v>
      </c>
      <c r="R710" s="2" t="s">
        <v>2553</v>
      </c>
      <c r="S710" s="2" t="s">
        <v>582</v>
      </c>
      <c r="T710" s="2" t="s">
        <v>839</v>
      </c>
      <c r="U710" s="2" t="s">
        <v>911</v>
      </c>
      <c r="V710" s="2" t="s">
        <v>2554</v>
      </c>
      <c r="W710" s="2" t="s">
        <v>2555</v>
      </c>
      <c r="X710" s="2" t="s">
        <v>2556</v>
      </c>
      <c r="Y710" s="2" t="s">
        <v>2557</v>
      </c>
      <c r="Z710" s="2" t="s">
        <v>690</v>
      </c>
      <c r="AA710" s="2" t="s">
        <v>548</v>
      </c>
      <c r="AB710" s="2" t="s">
        <v>2558</v>
      </c>
    </row>
    <row r="711" spans="1:28" x14ac:dyDescent="0.25">
      <c r="A711" s="4">
        <v>46234</v>
      </c>
      <c r="B711" s="8" t="s">
        <v>2254</v>
      </c>
      <c r="C711" s="8" t="s">
        <v>36</v>
      </c>
      <c r="D711" s="8" t="s">
        <v>52</v>
      </c>
      <c r="E711" s="8" t="s">
        <v>47</v>
      </c>
      <c r="F711" s="13"/>
      <c r="G711" s="59"/>
      <c r="H711" s="6">
        <f>15000/6</f>
        <v>2500</v>
      </c>
      <c r="I711" s="6">
        <f t="shared" si="53"/>
        <v>268.53932584269666</v>
      </c>
      <c r="J711" s="2" t="s">
        <v>2559</v>
      </c>
      <c r="K711" s="2">
        <v>8.01</v>
      </c>
      <c r="L711" s="2" t="s">
        <v>1321</v>
      </c>
      <c r="M711" s="2" t="s">
        <v>2560</v>
      </c>
      <c r="N711" s="2" t="s">
        <v>1739</v>
      </c>
      <c r="O711" s="56">
        <v>2151</v>
      </c>
      <c r="P711" s="2" t="s">
        <v>2410</v>
      </c>
      <c r="Q711" s="2" t="s">
        <v>1832</v>
      </c>
      <c r="R711" s="2" t="s">
        <v>2009</v>
      </c>
      <c r="S711" s="2" t="s">
        <v>961</v>
      </c>
      <c r="T711" s="2" t="s">
        <v>2149</v>
      </c>
      <c r="U711" s="2" t="s">
        <v>770</v>
      </c>
      <c r="V711" s="2" t="s">
        <v>2561</v>
      </c>
      <c r="W711" s="2" t="s">
        <v>2562</v>
      </c>
      <c r="X711" s="2" t="s">
        <v>2563</v>
      </c>
      <c r="Y711" s="2" t="s">
        <v>2564</v>
      </c>
      <c r="Z711" s="2" t="s">
        <v>702</v>
      </c>
      <c r="AA711" s="2" t="s">
        <v>548</v>
      </c>
      <c r="AB711" s="2" t="s">
        <v>2565</v>
      </c>
    </row>
    <row r="712" spans="1:28" x14ac:dyDescent="0.25">
      <c r="A712" s="4">
        <v>46234</v>
      </c>
      <c r="B712" s="8" t="s">
        <v>2254</v>
      </c>
      <c r="C712" s="8" t="s">
        <v>36</v>
      </c>
      <c r="D712" s="7" t="s">
        <v>46</v>
      </c>
      <c r="E712" s="8" t="s">
        <v>47</v>
      </c>
      <c r="F712" s="13"/>
      <c r="G712" s="59"/>
      <c r="H712" s="6">
        <f>15000/6</f>
        <v>2500</v>
      </c>
      <c r="I712" s="6">
        <f t="shared" si="53"/>
        <v>330</v>
      </c>
      <c r="J712" s="2" t="s">
        <v>2566</v>
      </c>
      <c r="K712" s="2">
        <v>11.7</v>
      </c>
      <c r="L712" s="2" t="s">
        <v>2567</v>
      </c>
      <c r="M712" s="2" t="s">
        <v>2568</v>
      </c>
      <c r="N712" s="2" t="s">
        <v>2569</v>
      </c>
      <c r="O712" s="56">
        <v>3861</v>
      </c>
      <c r="P712" s="2" t="s">
        <v>2570</v>
      </c>
      <c r="Q712" s="2" t="s">
        <v>1758</v>
      </c>
      <c r="R712" s="2" t="s">
        <v>2571</v>
      </c>
      <c r="S712" s="2" t="s">
        <v>2572</v>
      </c>
      <c r="T712" s="2" t="s">
        <v>2573</v>
      </c>
      <c r="U712" s="2" t="s">
        <v>2574</v>
      </c>
      <c r="V712" s="2" t="s">
        <v>2575</v>
      </c>
      <c r="W712" s="2" t="s">
        <v>2576</v>
      </c>
      <c r="X712" s="2" t="s">
        <v>2577</v>
      </c>
      <c r="Y712" s="2" t="s">
        <v>2578</v>
      </c>
      <c r="Z712" s="2" t="s">
        <v>800</v>
      </c>
      <c r="AA712" s="2" t="s">
        <v>548</v>
      </c>
      <c r="AB712" s="2" t="s">
        <v>2579</v>
      </c>
    </row>
    <row r="713" spans="1:28" x14ac:dyDescent="0.25">
      <c r="A713" s="4">
        <v>46234</v>
      </c>
      <c r="B713" s="8" t="s">
        <v>2254</v>
      </c>
      <c r="C713" s="8" t="s">
        <v>36</v>
      </c>
      <c r="D713" s="8" t="s">
        <v>48</v>
      </c>
      <c r="E713" s="7" t="s">
        <v>38</v>
      </c>
      <c r="F713" s="13">
        <v>2305</v>
      </c>
      <c r="G713" s="59"/>
      <c r="H713" s="6">
        <f>24000/7</f>
        <v>3428.5714285714284</v>
      </c>
      <c r="I713" s="6">
        <f t="shared" si="53"/>
        <v>495.0344827586207</v>
      </c>
      <c r="J713" s="2" t="s">
        <v>2004</v>
      </c>
      <c r="K713" s="2">
        <v>7.25</v>
      </c>
      <c r="L713" s="2" t="s">
        <v>777</v>
      </c>
      <c r="M713" s="2" t="s">
        <v>2580</v>
      </c>
      <c r="N713" s="2" t="s">
        <v>2581</v>
      </c>
      <c r="O713" s="56">
        <v>3589</v>
      </c>
      <c r="P713" s="2" t="s">
        <v>1097</v>
      </c>
      <c r="Q713" s="2" t="s">
        <v>2582</v>
      </c>
      <c r="R713" s="2" t="s">
        <v>2583</v>
      </c>
      <c r="S713" s="2" t="s">
        <v>902</v>
      </c>
      <c r="T713" s="2" t="s">
        <v>1338</v>
      </c>
      <c r="U713" s="2" t="s">
        <v>1087</v>
      </c>
      <c r="V713" s="2" t="s">
        <v>2107</v>
      </c>
      <c r="W713" s="2" t="s">
        <v>2584</v>
      </c>
      <c r="X713" s="2" t="s">
        <v>2585</v>
      </c>
      <c r="Y713" s="2" t="s">
        <v>2586</v>
      </c>
      <c r="Z713" s="2" t="s">
        <v>649</v>
      </c>
      <c r="AA713" s="2" t="s">
        <v>548</v>
      </c>
      <c r="AB713" s="2" t="s">
        <v>2587</v>
      </c>
    </row>
    <row r="714" spans="1:28" x14ac:dyDescent="0.25">
      <c r="A714" s="4">
        <v>46234</v>
      </c>
      <c r="B714" s="8" t="s">
        <v>2254</v>
      </c>
      <c r="C714" s="8" t="s">
        <v>36</v>
      </c>
      <c r="D714" s="8" t="s">
        <v>49</v>
      </c>
      <c r="E714" s="8" t="s">
        <v>47</v>
      </c>
      <c r="F714" s="13"/>
      <c r="G714" s="59"/>
      <c r="H714" s="6">
        <f>15000/6</f>
        <v>2500</v>
      </c>
      <c r="I714" s="6">
        <f t="shared" si="53"/>
        <v>474.15143603133157</v>
      </c>
      <c r="J714" s="2" t="s">
        <v>2588</v>
      </c>
      <c r="K714" s="2">
        <v>7.66</v>
      </c>
      <c r="L714" s="2" t="s">
        <v>817</v>
      </c>
      <c r="M714" s="2" t="s">
        <v>2589</v>
      </c>
      <c r="N714" s="2" t="s">
        <v>2590</v>
      </c>
      <c r="O714" s="56">
        <v>3632</v>
      </c>
      <c r="P714" s="2" t="s">
        <v>1191</v>
      </c>
      <c r="Q714" s="2" t="s">
        <v>2546</v>
      </c>
      <c r="R714" s="2" t="s">
        <v>2591</v>
      </c>
      <c r="S714" s="2" t="s">
        <v>642</v>
      </c>
      <c r="T714" s="2" t="s">
        <v>2592</v>
      </c>
      <c r="U714" s="2" t="s">
        <v>1638</v>
      </c>
      <c r="V714" s="2" t="s">
        <v>2593</v>
      </c>
      <c r="W714" s="2" t="s">
        <v>2594</v>
      </c>
      <c r="X714" s="2" t="s">
        <v>2595</v>
      </c>
      <c r="Y714" s="2" t="s">
        <v>2596</v>
      </c>
      <c r="Z714" s="2" t="s">
        <v>649</v>
      </c>
      <c r="AA714" s="2" t="s">
        <v>548</v>
      </c>
      <c r="AB714" s="2" t="s">
        <v>1231</v>
      </c>
    </row>
    <row r="715" spans="1:28" x14ac:dyDescent="0.25">
      <c r="A715" s="4">
        <v>46235</v>
      </c>
      <c r="B715" s="8" t="s">
        <v>2254</v>
      </c>
      <c r="C715" s="8" t="s">
        <v>36</v>
      </c>
      <c r="D715" s="8" t="s">
        <v>39</v>
      </c>
      <c r="E715" s="8" t="s">
        <v>47</v>
      </c>
      <c r="F715" s="13"/>
      <c r="G715" s="59"/>
      <c r="H715" s="6">
        <f>15000/7</f>
        <v>2142.8571428571427</v>
      </c>
      <c r="I715" s="6">
        <f t="shared" si="53"/>
        <v>168.91891891891893</v>
      </c>
      <c r="J715" s="2" t="s">
        <v>2597</v>
      </c>
      <c r="K715" s="2">
        <v>5.92</v>
      </c>
      <c r="L715" s="2" t="s">
        <v>585</v>
      </c>
      <c r="M715" s="2" t="s">
        <v>593</v>
      </c>
      <c r="N715" s="2" t="s">
        <v>2598</v>
      </c>
      <c r="O715" s="56">
        <v>1000</v>
      </c>
      <c r="P715" s="2" t="s">
        <v>652</v>
      </c>
      <c r="Q715" s="2" t="s">
        <v>2599</v>
      </c>
      <c r="R715" s="2" t="s">
        <v>1358</v>
      </c>
      <c r="S715" s="2" t="s">
        <v>685</v>
      </c>
      <c r="T715" s="2" t="s">
        <v>1015</v>
      </c>
      <c r="U715" s="2" t="s">
        <v>2600</v>
      </c>
      <c r="V715" s="2" t="s">
        <v>2601</v>
      </c>
      <c r="W715" s="2" t="s">
        <v>2602</v>
      </c>
      <c r="X715" s="2" t="s">
        <v>2603</v>
      </c>
      <c r="Y715" s="2" t="s">
        <v>2604</v>
      </c>
      <c r="Z715" s="2" t="s">
        <v>800</v>
      </c>
      <c r="AA715" s="2" t="s">
        <v>548</v>
      </c>
      <c r="AB715" s="2" t="s">
        <v>2605</v>
      </c>
    </row>
    <row r="716" spans="1:28" x14ac:dyDescent="0.25">
      <c r="A716" s="4">
        <v>46235</v>
      </c>
      <c r="B716" s="8" t="s">
        <v>2254</v>
      </c>
      <c r="C716" s="8" t="s">
        <v>36</v>
      </c>
      <c r="D716" s="8" t="s">
        <v>43</v>
      </c>
      <c r="E716" s="8" t="s">
        <v>47</v>
      </c>
      <c r="F716" s="13"/>
      <c r="G716" s="59"/>
      <c r="H716" s="6">
        <f>15000/7</f>
        <v>2142.8571428571427</v>
      </c>
      <c r="I716" s="6">
        <f t="shared" si="53"/>
        <v>0</v>
      </c>
      <c r="J716" s="2"/>
      <c r="K716" s="2"/>
      <c r="L716" s="2"/>
      <c r="M716" s="2"/>
      <c r="N716" s="2"/>
      <c r="O716" s="56">
        <v>50</v>
      </c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4">
        <v>46235</v>
      </c>
      <c r="B717" s="8" t="s">
        <v>2254</v>
      </c>
      <c r="C717" s="8" t="s">
        <v>36</v>
      </c>
      <c r="D717" s="8" t="s">
        <v>43</v>
      </c>
      <c r="E717" s="8" t="s">
        <v>61</v>
      </c>
      <c r="F717" s="13"/>
      <c r="G717" s="59"/>
      <c r="H717" s="6"/>
      <c r="I717" s="6">
        <f t="shared" si="53"/>
        <v>223.68421052631581</v>
      </c>
      <c r="J717" s="2" t="s">
        <v>1231</v>
      </c>
      <c r="K717" s="2">
        <v>3.8</v>
      </c>
      <c r="L717" s="2" t="s">
        <v>690</v>
      </c>
      <c r="M717" s="2" t="s">
        <v>1723</v>
      </c>
      <c r="N717" s="2" t="s">
        <v>45</v>
      </c>
      <c r="O717" s="56">
        <v>850</v>
      </c>
      <c r="P717" s="2" t="s">
        <v>45</v>
      </c>
      <c r="Q717" s="2" t="s">
        <v>45</v>
      </c>
      <c r="R717" s="2" t="s">
        <v>2606</v>
      </c>
      <c r="S717" s="2" t="s">
        <v>712</v>
      </c>
      <c r="T717" s="2" t="s">
        <v>771</v>
      </c>
      <c r="U717" s="2" t="s">
        <v>2607</v>
      </c>
      <c r="V717" s="2" t="s">
        <v>2608</v>
      </c>
      <c r="W717" s="2" t="s">
        <v>2609</v>
      </c>
      <c r="X717" s="2" t="s">
        <v>45</v>
      </c>
      <c r="Y717" s="2" t="s">
        <v>45</v>
      </c>
      <c r="Z717" s="2" t="s">
        <v>548</v>
      </c>
      <c r="AA717" s="2" t="s">
        <v>45</v>
      </c>
      <c r="AB717" s="2" t="s">
        <v>2542</v>
      </c>
    </row>
    <row r="718" spans="1:28" x14ac:dyDescent="0.25">
      <c r="A718" s="4">
        <v>46235</v>
      </c>
      <c r="B718" s="8" t="s">
        <v>2254</v>
      </c>
      <c r="C718" s="8" t="s">
        <v>36</v>
      </c>
      <c r="D718" s="8" t="s">
        <v>67</v>
      </c>
      <c r="E718" s="8" t="s">
        <v>47</v>
      </c>
      <c r="F718" s="13"/>
      <c r="G718" s="59"/>
      <c r="H718" s="6">
        <f>15000/7</f>
        <v>2142.8571428571427</v>
      </c>
      <c r="I718" s="6">
        <f t="shared" si="53"/>
        <v>207.2639225181598</v>
      </c>
      <c r="J718" s="2" t="s">
        <v>2610</v>
      </c>
      <c r="K718" s="2">
        <v>4.13</v>
      </c>
      <c r="L718" s="2" t="s">
        <v>1502</v>
      </c>
      <c r="M718" s="2" t="s">
        <v>2611</v>
      </c>
      <c r="N718" s="2" t="s">
        <v>2612</v>
      </c>
      <c r="O718" s="56">
        <v>856</v>
      </c>
      <c r="P718" s="2" t="s">
        <v>2613</v>
      </c>
      <c r="Q718" s="2" t="s">
        <v>2614</v>
      </c>
      <c r="R718" s="2" t="s">
        <v>1842</v>
      </c>
      <c r="S718" s="2" t="s">
        <v>595</v>
      </c>
      <c r="T718" s="2" t="s">
        <v>2615</v>
      </c>
      <c r="U718" s="2" t="s">
        <v>2616</v>
      </c>
      <c r="V718" s="2" t="s">
        <v>2617</v>
      </c>
      <c r="W718" s="2" t="s">
        <v>2618</v>
      </c>
      <c r="X718" s="2" t="s">
        <v>2619</v>
      </c>
      <c r="Y718" s="2" t="s">
        <v>2620</v>
      </c>
      <c r="Z718" s="2" t="s">
        <v>719</v>
      </c>
      <c r="AA718" s="2" t="s">
        <v>548</v>
      </c>
      <c r="AB718" s="2" t="s">
        <v>2621</v>
      </c>
    </row>
    <row r="719" spans="1:28" x14ac:dyDescent="0.25">
      <c r="A719" s="4">
        <v>46235</v>
      </c>
      <c r="B719" s="8" t="s">
        <v>2254</v>
      </c>
      <c r="C719" s="8" t="s">
        <v>36</v>
      </c>
      <c r="D719" s="8" t="s">
        <v>50</v>
      </c>
      <c r="E719" s="8" t="s">
        <v>47</v>
      </c>
      <c r="F719" s="13"/>
      <c r="G719" s="59"/>
      <c r="H719" s="6">
        <f>15000/7</f>
        <v>2142.8571428571427</v>
      </c>
      <c r="I719" s="6">
        <f t="shared" si="53"/>
        <v>233.93501805054152</v>
      </c>
      <c r="J719" s="2" t="s">
        <v>2622</v>
      </c>
      <c r="K719" s="2">
        <v>5.54</v>
      </c>
      <c r="L719" s="2" t="s">
        <v>756</v>
      </c>
      <c r="M719" s="2" t="s">
        <v>2623</v>
      </c>
      <c r="N719" s="2" t="s">
        <v>2624</v>
      </c>
      <c r="O719" s="56">
        <v>1296</v>
      </c>
      <c r="P719" s="2" t="s">
        <v>784</v>
      </c>
      <c r="Q719" s="2" t="s">
        <v>1934</v>
      </c>
      <c r="R719" s="2" t="s">
        <v>1357</v>
      </c>
      <c r="S719" s="2" t="s">
        <v>595</v>
      </c>
      <c r="T719" s="2" t="s">
        <v>726</v>
      </c>
      <c r="U719" s="2" t="s">
        <v>2625</v>
      </c>
      <c r="V719" s="2" t="s">
        <v>2266</v>
      </c>
      <c r="W719" s="2" t="s">
        <v>2626</v>
      </c>
      <c r="X719" s="2" t="s">
        <v>2627</v>
      </c>
      <c r="Y719" s="2" t="s">
        <v>2628</v>
      </c>
      <c r="Z719" s="2" t="s">
        <v>678</v>
      </c>
      <c r="AA719" s="2" t="s">
        <v>548</v>
      </c>
      <c r="AB719" s="2" t="s">
        <v>2629</v>
      </c>
    </row>
    <row r="720" spans="1:28" x14ac:dyDescent="0.25">
      <c r="A720" s="4">
        <v>46235</v>
      </c>
      <c r="B720" s="8" t="s">
        <v>2254</v>
      </c>
      <c r="C720" s="8" t="s">
        <v>36</v>
      </c>
      <c r="D720" s="8" t="s">
        <v>52</v>
      </c>
      <c r="E720" s="8" t="s">
        <v>47</v>
      </c>
      <c r="F720" s="13"/>
      <c r="G720" s="59"/>
      <c r="H720" s="6">
        <f>15000/7</f>
        <v>2142.8571428571427</v>
      </c>
      <c r="I720" s="6">
        <f t="shared" si="53"/>
        <v>279.42073170731709</v>
      </c>
      <c r="J720" s="2" t="s">
        <v>2630</v>
      </c>
      <c r="K720" s="2">
        <v>6.56</v>
      </c>
      <c r="L720" s="2" t="s">
        <v>998</v>
      </c>
      <c r="M720" s="2" t="s">
        <v>2631</v>
      </c>
      <c r="N720" s="2" t="s">
        <v>2632</v>
      </c>
      <c r="O720" s="56">
        <v>1833</v>
      </c>
      <c r="P720" s="2" t="s">
        <v>971</v>
      </c>
      <c r="Q720" s="2" t="s">
        <v>2633</v>
      </c>
      <c r="R720" s="2" t="s">
        <v>610</v>
      </c>
      <c r="S720" s="2" t="s">
        <v>685</v>
      </c>
      <c r="T720" s="2" t="s">
        <v>809</v>
      </c>
      <c r="U720" s="2" t="s">
        <v>1190</v>
      </c>
      <c r="V720" s="2" t="s">
        <v>2634</v>
      </c>
      <c r="W720" s="2" t="s">
        <v>2635</v>
      </c>
      <c r="X720" s="2" t="s">
        <v>2636</v>
      </c>
      <c r="Y720" s="2" t="s">
        <v>2637</v>
      </c>
      <c r="Z720" s="2" t="s">
        <v>649</v>
      </c>
      <c r="AA720" s="2" t="s">
        <v>548</v>
      </c>
      <c r="AB720" s="2" t="s">
        <v>2638</v>
      </c>
    </row>
    <row r="721" spans="1:28" x14ac:dyDescent="0.25">
      <c r="A721" s="4">
        <v>46235</v>
      </c>
      <c r="B721" s="8" t="s">
        <v>2254</v>
      </c>
      <c r="C721" s="8" t="s">
        <v>36</v>
      </c>
      <c r="D721" s="7" t="s">
        <v>46</v>
      </c>
      <c r="E721" s="8" t="s">
        <v>47</v>
      </c>
      <c r="F721" s="13"/>
      <c r="G721" s="59"/>
      <c r="H721" s="6">
        <f>15000/7</f>
        <v>2142.8571428571427</v>
      </c>
      <c r="I721" s="6">
        <f t="shared" si="53"/>
        <v>394.19847328244276</v>
      </c>
      <c r="J721" s="2" t="s">
        <v>1526</v>
      </c>
      <c r="K721" s="2">
        <v>6.55</v>
      </c>
      <c r="L721" s="2" t="s">
        <v>693</v>
      </c>
      <c r="M721" s="2" t="s">
        <v>2639</v>
      </c>
      <c r="N721" s="2" t="s">
        <v>2640</v>
      </c>
      <c r="O721" s="56">
        <v>2582</v>
      </c>
      <c r="P721" s="2" t="s">
        <v>2199</v>
      </c>
      <c r="Q721" s="2" t="s">
        <v>2641</v>
      </c>
      <c r="R721" s="2" t="s">
        <v>2642</v>
      </c>
      <c r="S721" s="2" t="s">
        <v>949</v>
      </c>
      <c r="T721" s="2" t="s">
        <v>1106</v>
      </c>
      <c r="U721" s="2" t="s">
        <v>2643</v>
      </c>
      <c r="V721" s="2" t="s">
        <v>2644</v>
      </c>
      <c r="W721" s="2" t="s">
        <v>2645</v>
      </c>
      <c r="X721" s="2" t="s">
        <v>2646</v>
      </c>
      <c r="Y721" s="2" t="s">
        <v>2647</v>
      </c>
      <c r="Z721" s="2" t="s">
        <v>548</v>
      </c>
      <c r="AA721" s="2" t="s">
        <v>548</v>
      </c>
      <c r="AB721" s="2" t="s">
        <v>2579</v>
      </c>
    </row>
    <row r="722" spans="1:28" x14ac:dyDescent="0.25">
      <c r="A722" s="4">
        <v>46235</v>
      </c>
      <c r="B722" s="8" t="s">
        <v>2254</v>
      </c>
      <c r="C722" s="8" t="s">
        <v>36</v>
      </c>
      <c r="D722" s="8" t="s">
        <v>48</v>
      </c>
      <c r="E722" s="7" t="s">
        <v>38</v>
      </c>
      <c r="F722" s="13">
        <v>3375</v>
      </c>
      <c r="G722" s="59"/>
      <c r="H722" s="6">
        <f>24000/7</f>
        <v>3428.5714285714284</v>
      </c>
      <c r="I722" s="6">
        <f t="shared" si="53"/>
        <v>650.23752969121142</v>
      </c>
      <c r="J722" s="2" t="s">
        <v>2648</v>
      </c>
      <c r="K722" s="2">
        <v>8.42</v>
      </c>
      <c r="L722" s="2" t="s">
        <v>706</v>
      </c>
      <c r="M722" s="2" t="s">
        <v>2649</v>
      </c>
      <c r="N722" s="2" t="s">
        <v>2650</v>
      </c>
      <c r="O722" s="56">
        <v>5475</v>
      </c>
      <c r="P722" s="2" t="s">
        <v>1084</v>
      </c>
      <c r="Q722" s="2" t="s">
        <v>2649</v>
      </c>
      <c r="R722" s="2" t="s">
        <v>2651</v>
      </c>
      <c r="S722" s="2" t="s">
        <v>611</v>
      </c>
      <c r="T722" s="2" t="s">
        <v>2652</v>
      </c>
      <c r="U722" s="2" t="s">
        <v>2653</v>
      </c>
      <c r="V722" s="2" t="s">
        <v>1660</v>
      </c>
      <c r="W722" s="2" t="s">
        <v>2654</v>
      </c>
      <c r="X722" s="2" t="s">
        <v>2655</v>
      </c>
      <c r="Y722" s="2" t="s">
        <v>2656</v>
      </c>
      <c r="Z722" s="2" t="s">
        <v>649</v>
      </c>
      <c r="AA722" s="2" t="s">
        <v>548</v>
      </c>
      <c r="AB722" s="2" t="s">
        <v>2657</v>
      </c>
    </row>
    <row r="723" spans="1:28" x14ac:dyDescent="0.25">
      <c r="A723" s="4">
        <v>46235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15000/7</f>
        <v>2142.8571428571427</v>
      </c>
      <c r="I723" s="6">
        <f t="shared" si="53"/>
        <v>395.5151515151515</v>
      </c>
      <c r="J723" s="2" t="s">
        <v>1203</v>
      </c>
      <c r="K723" s="2">
        <v>8.25</v>
      </c>
      <c r="L723" s="2" t="s">
        <v>1553</v>
      </c>
      <c r="M723" s="2" t="s">
        <v>2658</v>
      </c>
      <c r="N723" s="2" t="s">
        <v>2659</v>
      </c>
      <c r="O723" s="56">
        <v>3263</v>
      </c>
      <c r="P723" s="2" t="s">
        <v>2660</v>
      </c>
      <c r="Q723" s="2" t="s">
        <v>2661</v>
      </c>
      <c r="R723" s="2" t="s">
        <v>2662</v>
      </c>
      <c r="S723" s="2" t="s">
        <v>820</v>
      </c>
      <c r="T723" s="2" t="s">
        <v>762</v>
      </c>
      <c r="U723" s="2" t="s">
        <v>2663</v>
      </c>
      <c r="V723" s="2" t="s">
        <v>2664</v>
      </c>
      <c r="W723" s="2" t="s">
        <v>2665</v>
      </c>
      <c r="X723" s="2" t="s">
        <v>2666</v>
      </c>
      <c r="Y723" s="2" t="s">
        <v>2667</v>
      </c>
      <c r="Z723" s="2" t="s">
        <v>548</v>
      </c>
      <c r="AA723" s="2" t="s">
        <v>548</v>
      </c>
      <c r="AB723" s="2" t="s">
        <v>1231</v>
      </c>
    </row>
    <row r="724" spans="1:28" x14ac:dyDescent="0.25">
      <c r="A724" s="4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 t="shared" si="53"/>
        <v>0</v>
      </c>
      <c r="J724" s="2" t="s">
        <v>2668</v>
      </c>
      <c r="K724" s="2" t="s">
        <v>2669</v>
      </c>
      <c r="L724" s="2" t="s">
        <v>602</v>
      </c>
      <c r="M724" s="2" t="s">
        <v>2670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2671</v>
      </c>
      <c r="X724" s="2" t="s">
        <v>2603</v>
      </c>
      <c r="Y724" s="2" t="s">
        <v>2604</v>
      </c>
      <c r="Z724" s="2" t="s">
        <v>649</v>
      </c>
      <c r="AA724" s="2" t="s">
        <v>45</v>
      </c>
      <c r="AB724" s="2" t="s">
        <v>2672</v>
      </c>
    </row>
    <row r="725" spans="1:28" x14ac:dyDescent="0.25">
      <c r="A725" s="4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 t="shared" si="53"/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2609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2542</v>
      </c>
    </row>
    <row r="726" spans="1:28" x14ac:dyDescent="0.25">
      <c r="A726" s="4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 t="shared" si="53"/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 x14ac:dyDescent="0.25">
      <c r="A727" s="4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 t="shared" si="53"/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2626</v>
      </c>
      <c r="X727" s="2" t="s">
        <v>2627</v>
      </c>
      <c r="Y727" s="2" t="s">
        <v>2628</v>
      </c>
      <c r="Z727" s="2" t="s">
        <v>548</v>
      </c>
      <c r="AA727" s="2" t="s">
        <v>45</v>
      </c>
      <c r="AB727" s="2" t="s">
        <v>2629</v>
      </c>
    </row>
    <row r="728" spans="1:28" x14ac:dyDescent="0.25">
      <c r="A728" s="4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 t="shared" si="53"/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 x14ac:dyDescent="0.25">
      <c r="A729" s="4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 t="shared" si="53"/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2645</v>
      </c>
      <c r="X729" s="2" t="s">
        <v>2646</v>
      </c>
      <c r="Y729" s="2" t="s">
        <v>2647</v>
      </c>
      <c r="Z729" s="2" t="s">
        <v>548</v>
      </c>
      <c r="AA729" s="2" t="s">
        <v>45</v>
      </c>
      <c r="AB729" s="2" t="s">
        <v>2579</v>
      </c>
    </row>
    <row r="730" spans="1:28" x14ac:dyDescent="0.25">
      <c r="A730" s="4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 t="shared" si="53"/>
        <v>768.40077071290943</v>
      </c>
      <c r="J730" s="2" t="s">
        <v>1785</v>
      </c>
      <c r="K730" s="2">
        <v>5.19</v>
      </c>
      <c r="L730" s="2" t="s">
        <v>1696</v>
      </c>
      <c r="M730" s="2" t="s">
        <v>2673</v>
      </c>
      <c r="N730" s="2" t="s">
        <v>2674</v>
      </c>
      <c r="O730" s="56">
        <v>3988</v>
      </c>
      <c r="P730" s="2" t="s">
        <v>2503</v>
      </c>
      <c r="Q730" s="2" t="s">
        <v>2675</v>
      </c>
      <c r="R730" s="2" t="s">
        <v>1821</v>
      </c>
      <c r="S730" s="2" t="s">
        <v>961</v>
      </c>
      <c r="T730" s="2" t="s">
        <v>961</v>
      </c>
      <c r="U730" s="2" t="s">
        <v>2676</v>
      </c>
      <c r="V730" s="2" t="s">
        <v>2677</v>
      </c>
      <c r="W730" s="2" t="s">
        <v>2678</v>
      </c>
      <c r="X730" s="2" t="s">
        <v>2679</v>
      </c>
      <c r="Y730" s="2" t="s">
        <v>2680</v>
      </c>
      <c r="Z730" s="2" t="s">
        <v>548</v>
      </c>
      <c r="AA730" s="2" t="s">
        <v>548</v>
      </c>
      <c r="AB730" s="2" t="s">
        <v>2657</v>
      </c>
    </row>
    <row r="731" spans="1:28" x14ac:dyDescent="0.25">
      <c r="A731" s="4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 t="shared" si="53"/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 x14ac:dyDescent="0.25">
      <c r="A732" s="4">
        <v>46237</v>
      </c>
      <c r="B732" s="8" t="s">
        <v>2681</v>
      </c>
      <c r="C732" s="8" t="s">
        <v>36</v>
      </c>
      <c r="D732" s="8" t="s">
        <v>39</v>
      </c>
      <c r="E732" s="8" t="s">
        <v>47</v>
      </c>
      <c r="F732" s="13"/>
      <c r="G732" s="59"/>
      <c r="H732" s="6">
        <f>15000/7</f>
        <v>2142.8571428571427</v>
      </c>
      <c r="I732" s="6">
        <f t="shared" ref="I732:I795" si="54">IFERROR(O732/K732,)</f>
        <v>199.65277777777777</v>
      </c>
      <c r="J732" s="2" t="s">
        <v>2377</v>
      </c>
      <c r="K732" s="2">
        <v>5.76</v>
      </c>
      <c r="L732" s="2" t="s">
        <v>955</v>
      </c>
      <c r="M732" s="2" t="s">
        <v>2682</v>
      </c>
      <c r="N732" s="2" t="s">
        <v>2683</v>
      </c>
      <c r="O732" s="56">
        <v>1150</v>
      </c>
      <c r="P732" s="2" t="s">
        <v>2684</v>
      </c>
      <c r="Q732" s="2" t="s">
        <v>737</v>
      </c>
      <c r="R732" s="2" t="s">
        <v>838</v>
      </c>
      <c r="S732" s="2" t="s">
        <v>839</v>
      </c>
      <c r="T732" s="2" t="s">
        <v>685</v>
      </c>
      <c r="U732" s="2" t="s">
        <v>840</v>
      </c>
      <c r="V732" s="2" t="s">
        <v>2685</v>
      </c>
      <c r="W732" s="2" t="s">
        <v>2686</v>
      </c>
      <c r="X732" s="2" t="s">
        <v>2687</v>
      </c>
      <c r="Y732" s="2" t="s">
        <v>2688</v>
      </c>
      <c r="Z732" s="2" t="s">
        <v>548</v>
      </c>
      <c r="AA732" s="2" t="s">
        <v>548</v>
      </c>
      <c r="AB732" s="2" t="s">
        <v>2672</v>
      </c>
    </row>
    <row r="733" spans="1:28" x14ac:dyDescent="0.25">
      <c r="A733" s="4">
        <v>46237</v>
      </c>
      <c r="B733" s="8" t="s">
        <v>2681</v>
      </c>
      <c r="C733" s="8" t="s">
        <v>36</v>
      </c>
      <c r="D733" s="8" t="s">
        <v>43</v>
      </c>
      <c r="E733" s="8" t="s">
        <v>47</v>
      </c>
      <c r="F733" s="13"/>
      <c r="G733" s="59"/>
      <c r="H733" s="6">
        <f>15000/7</f>
        <v>2142.8571428571427</v>
      </c>
      <c r="I733" s="6">
        <f t="shared" si="54"/>
        <v>0</v>
      </c>
      <c r="J733" s="2"/>
      <c r="K733" s="2"/>
      <c r="L733" s="2"/>
      <c r="M733" s="2"/>
      <c r="N733" s="2"/>
      <c r="O733" s="56">
        <f>3*25</f>
        <v>75</v>
      </c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4">
        <v>46237</v>
      </c>
      <c r="B734" s="8" t="s">
        <v>2681</v>
      </c>
      <c r="C734" s="8" t="s">
        <v>36</v>
      </c>
      <c r="D734" s="8" t="s">
        <v>43</v>
      </c>
      <c r="E734" s="8" t="s">
        <v>61</v>
      </c>
      <c r="F734" s="13"/>
      <c r="G734" s="59"/>
      <c r="H734" s="6"/>
      <c r="I734" s="6">
        <f t="shared" si="54"/>
        <v>202.24719101123594</v>
      </c>
      <c r="J734" s="2" t="s">
        <v>2689</v>
      </c>
      <c r="K734" s="2">
        <v>4.45</v>
      </c>
      <c r="L734" s="2" t="s">
        <v>652</v>
      </c>
      <c r="M734" s="2" t="s">
        <v>2690</v>
      </c>
      <c r="N734" s="2" t="s">
        <v>45</v>
      </c>
      <c r="O734" s="56">
        <v>900</v>
      </c>
      <c r="P734" s="2" t="s">
        <v>45</v>
      </c>
      <c r="Q734" s="2" t="s">
        <v>45</v>
      </c>
      <c r="R734" s="2" t="s">
        <v>2691</v>
      </c>
      <c r="S734" s="2" t="s">
        <v>961</v>
      </c>
      <c r="T734" s="2" t="s">
        <v>869</v>
      </c>
      <c r="U734" s="2" t="s">
        <v>2692</v>
      </c>
      <c r="V734" s="2" t="s">
        <v>2693</v>
      </c>
      <c r="W734" s="2" t="s">
        <v>2694</v>
      </c>
      <c r="X734" s="2" t="s">
        <v>45</v>
      </c>
      <c r="Y734" s="2" t="s">
        <v>45</v>
      </c>
      <c r="Z734" s="2" t="s">
        <v>621</v>
      </c>
      <c r="AA734" s="2" t="s">
        <v>45</v>
      </c>
      <c r="AB734" s="2" t="s">
        <v>2695</v>
      </c>
    </row>
    <row r="735" spans="1:28" x14ac:dyDescent="0.25">
      <c r="A735" s="4">
        <v>46237</v>
      </c>
      <c r="B735" s="8" t="s">
        <v>2681</v>
      </c>
      <c r="C735" s="8" t="s">
        <v>36</v>
      </c>
      <c r="D735" s="8" t="s">
        <v>67</v>
      </c>
      <c r="E735" s="8" t="s">
        <v>47</v>
      </c>
      <c r="F735" s="13"/>
      <c r="G735" s="59"/>
      <c r="H735" s="6">
        <f>15000/7</f>
        <v>2142.8571428571427</v>
      </c>
      <c r="I735" s="6">
        <f t="shared" si="54"/>
        <v>486.09355246523387</v>
      </c>
      <c r="J735" s="2" t="s">
        <v>1120</v>
      </c>
      <c r="K735" s="2">
        <v>7.91</v>
      </c>
      <c r="L735" s="2" t="s">
        <v>1321</v>
      </c>
      <c r="M735" s="2" t="s">
        <v>2649</v>
      </c>
      <c r="N735" s="2" t="s">
        <v>2696</v>
      </c>
      <c r="O735" s="56">
        <v>3845</v>
      </c>
      <c r="P735" s="2" t="s">
        <v>1847</v>
      </c>
      <c r="Q735" s="2" t="s">
        <v>1017</v>
      </c>
      <c r="R735" s="2" t="s">
        <v>2697</v>
      </c>
      <c r="S735" s="2" t="s">
        <v>961</v>
      </c>
      <c r="T735" s="2" t="s">
        <v>2149</v>
      </c>
      <c r="U735" s="2" t="s">
        <v>2009</v>
      </c>
      <c r="V735" s="2" t="s">
        <v>2698</v>
      </c>
      <c r="W735" s="2" t="s">
        <v>2699</v>
      </c>
      <c r="X735" s="2" t="s">
        <v>2700</v>
      </c>
      <c r="Y735" s="2" t="s">
        <v>2701</v>
      </c>
      <c r="Z735" s="2" t="s">
        <v>579</v>
      </c>
      <c r="AA735" s="2" t="s">
        <v>548</v>
      </c>
      <c r="AB735" s="2" t="s">
        <v>2702</v>
      </c>
    </row>
    <row r="736" spans="1:28" x14ac:dyDescent="0.25">
      <c r="A736" s="4">
        <v>46237</v>
      </c>
      <c r="B736" s="8" t="s">
        <v>2681</v>
      </c>
      <c r="C736" s="8" t="s">
        <v>36</v>
      </c>
      <c r="D736" s="8" t="s">
        <v>50</v>
      </c>
      <c r="E736" s="8" t="s">
        <v>47</v>
      </c>
      <c r="F736" s="13"/>
      <c r="G736" s="59"/>
      <c r="H736" s="6">
        <f>15000/7</f>
        <v>2142.8571428571427</v>
      </c>
      <c r="I736" s="6">
        <f t="shared" si="54"/>
        <v>283.54430379746833</v>
      </c>
      <c r="J736" s="2" t="s">
        <v>2101</v>
      </c>
      <c r="K736" s="2">
        <v>7.11</v>
      </c>
      <c r="L736" s="2" t="s">
        <v>734</v>
      </c>
      <c r="M736" s="2" t="s">
        <v>2703</v>
      </c>
      <c r="N736" s="2" t="s">
        <v>2704</v>
      </c>
      <c r="O736" s="56">
        <v>2016</v>
      </c>
      <c r="P736" s="2" t="s">
        <v>993</v>
      </c>
      <c r="Q736" s="2" t="s">
        <v>2705</v>
      </c>
      <c r="R736" s="2" t="s">
        <v>1998</v>
      </c>
      <c r="S736" s="2" t="s">
        <v>595</v>
      </c>
      <c r="T736" s="2" t="s">
        <v>869</v>
      </c>
      <c r="U736" s="2" t="s">
        <v>626</v>
      </c>
      <c r="V736" s="2" t="s">
        <v>2706</v>
      </c>
      <c r="W736" s="2" t="s">
        <v>2707</v>
      </c>
      <c r="X736" s="2" t="s">
        <v>2708</v>
      </c>
      <c r="Y736" s="2" t="s">
        <v>2709</v>
      </c>
      <c r="Z736" s="2" t="s">
        <v>636</v>
      </c>
      <c r="AA736" s="2" t="s">
        <v>548</v>
      </c>
      <c r="AB736" s="2" t="s">
        <v>2710</v>
      </c>
    </row>
    <row r="737" spans="1:28" x14ac:dyDescent="0.25">
      <c r="A737" s="4">
        <v>46237</v>
      </c>
      <c r="B737" s="8" t="s">
        <v>2681</v>
      </c>
      <c r="C737" s="8" t="s">
        <v>36</v>
      </c>
      <c r="D737" s="8" t="s">
        <v>52</v>
      </c>
      <c r="E737" s="8" t="s">
        <v>47</v>
      </c>
      <c r="F737" s="13"/>
      <c r="G737" s="59"/>
      <c r="H737" s="6">
        <f>15000/7</f>
        <v>2142.8571428571427</v>
      </c>
      <c r="I737" s="6">
        <f t="shared" si="54"/>
        <v>253.33333333333331</v>
      </c>
      <c r="J737" s="2" t="s">
        <v>726</v>
      </c>
      <c r="K737" s="2">
        <v>2.85</v>
      </c>
      <c r="L737" s="2" t="s">
        <v>618</v>
      </c>
      <c r="M737" s="2" t="s">
        <v>2711</v>
      </c>
      <c r="N737" s="2" t="s">
        <v>2712</v>
      </c>
      <c r="O737" s="56">
        <v>722</v>
      </c>
      <c r="P737" s="2" t="s">
        <v>1333</v>
      </c>
      <c r="Q737" s="2" t="s">
        <v>2713</v>
      </c>
      <c r="R737" s="2" t="s">
        <v>2714</v>
      </c>
      <c r="S737" s="2" t="s">
        <v>749</v>
      </c>
      <c r="T737" s="2" t="s">
        <v>839</v>
      </c>
      <c r="U737" s="2" t="s">
        <v>1521</v>
      </c>
      <c r="V737" s="2" t="s">
        <v>1318</v>
      </c>
      <c r="W737" s="2" t="s">
        <v>2715</v>
      </c>
      <c r="X737" s="2" t="s">
        <v>2716</v>
      </c>
      <c r="Y737" s="2" t="s">
        <v>2717</v>
      </c>
      <c r="Z737" s="2" t="s">
        <v>548</v>
      </c>
      <c r="AA737" s="2" t="s">
        <v>548</v>
      </c>
      <c r="AB737" s="2" t="s">
        <v>2638</v>
      </c>
    </row>
    <row r="738" spans="1:28" x14ac:dyDescent="0.25">
      <c r="A738" s="4">
        <v>46237</v>
      </c>
      <c r="B738" s="8" t="s">
        <v>2681</v>
      </c>
      <c r="C738" s="8" t="s">
        <v>36</v>
      </c>
      <c r="D738" s="7" t="s">
        <v>46</v>
      </c>
      <c r="E738" s="7" t="s">
        <v>47</v>
      </c>
      <c r="F738" s="13"/>
      <c r="G738" s="59"/>
      <c r="H738" s="6">
        <f>15000/7</f>
        <v>2142.8571428571427</v>
      </c>
      <c r="I738" s="6">
        <f t="shared" si="54"/>
        <v>344.70774091627175</v>
      </c>
      <c r="J738" s="2" t="s">
        <v>2381</v>
      </c>
      <c r="K738" s="2">
        <v>6.33</v>
      </c>
      <c r="L738" s="2" t="s">
        <v>1321</v>
      </c>
      <c r="M738" s="2" t="s">
        <v>2718</v>
      </c>
      <c r="N738" s="2" t="s">
        <v>2719</v>
      </c>
      <c r="O738" s="56">
        <v>2182</v>
      </c>
      <c r="P738" s="2" t="s">
        <v>2720</v>
      </c>
      <c r="Q738" s="2" t="s">
        <v>2721</v>
      </c>
      <c r="R738" s="2" t="s">
        <v>1417</v>
      </c>
      <c r="S738" s="2" t="s">
        <v>611</v>
      </c>
      <c r="T738" s="2" t="s">
        <v>2722</v>
      </c>
      <c r="U738" s="2" t="s">
        <v>2723</v>
      </c>
      <c r="V738" s="2" t="s">
        <v>2724</v>
      </c>
      <c r="W738" s="2" t="s">
        <v>2725</v>
      </c>
      <c r="X738" s="2" t="s">
        <v>2726</v>
      </c>
      <c r="Y738" s="2" t="s">
        <v>2727</v>
      </c>
      <c r="Z738" s="2" t="s">
        <v>649</v>
      </c>
      <c r="AA738" s="2" t="s">
        <v>548</v>
      </c>
      <c r="AB738" s="2" t="s">
        <v>2728</v>
      </c>
    </row>
    <row r="739" spans="1:28" x14ac:dyDescent="0.25">
      <c r="A739" s="4">
        <v>46237</v>
      </c>
      <c r="B739" s="8" t="s">
        <v>2681</v>
      </c>
      <c r="C739" s="8" t="s">
        <v>36</v>
      </c>
      <c r="D739" s="8" t="s">
        <v>48</v>
      </c>
      <c r="E739" s="7" t="s">
        <v>38</v>
      </c>
      <c r="F739" s="13">
        <v>3090</v>
      </c>
      <c r="G739" s="59"/>
      <c r="H739" s="6">
        <f>24000/7</f>
        <v>3428.5714285714284</v>
      </c>
      <c r="I739" s="6">
        <f t="shared" si="54"/>
        <v>814.32545201668984</v>
      </c>
      <c r="J739" s="2" t="s">
        <v>2729</v>
      </c>
      <c r="K739" s="2">
        <v>7.19</v>
      </c>
      <c r="L739" s="2" t="s">
        <v>561</v>
      </c>
      <c r="M739" s="2" t="s">
        <v>656</v>
      </c>
      <c r="N739" s="2" t="s">
        <v>2730</v>
      </c>
      <c r="O739" s="56">
        <v>5855</v>
      </c>
      <c r="P739" s="2" t="s">
        <v>1968</v>
      </c>
      <c r="Q739" s="2" t="s">
        <v>1318</v>
      </c>
      <c r="R739" s="2" t="s">
        <v>2524</v>
      </c>
      <c r="S739" s="2" t="s">
        <v>567</v>
      </c>
      <c r="T739" s="2" t="s">
        <v>568</v>
      </c>
      <c r="U739" s="2" t="s">
        <v>1667</v>
      </c>
      <c r="V739" s="2" t="s">
        <v>2731</v>
      </c>
      <c r="W739" s="2" t="s">
        <v>2732</v>
      </c>
      <c r="X739" s="2" t="s">
        <v>2733</v>
      </c>
      <c r="Y739" s="2" t="s">
        <v>2734</v>
      </c>
      <c r="Z739" s="2" t="s">
        <v>548</v>
      </c>
      <c r="AA739" s="2" t="s">
        <v>548</v>
      </c>
      <c r="AB739" s="2" t="s">
        <v>2657</v>
      </c>
    </row>
    <row r="740" spans="1:28" x14ac:dyDescent="0.25">
      <c r="A740" s="4">
        <v>46237</v>
      </c>
      <c r="B740" s="8" t="s">
        <v>2681</v>
      </c>
      <c r="C740" s="8" t="s">
        <v>36</v>
      </c>
      <c r="D740" s="8" t="s">
        <v>49</v>
      </c>
      <c r="E740" s="8" t="s">
        <v>47</v>
      </c>
      <c r="F740" s="13"/>
      <c r="G740" s="59"/>
      <c r="H740" s="6">
        <f>15000/7</f>
        <v>2142.8571428571427</v>
      </c>
      <c r="I740" s="6">
        <f t="shared" si="54"/>
        <v>513.37760910815939</v>
      </c>
      <c r="J740" s="2" t="s">
        <v>1213</v>
      </c>
      <c r="K740" s="2">
        <v>10.54</v>
      </c>
      <c r="L740" s="2" t="s">
        <v>605</v>
      </c>
      <c r="M740" s="2" t="s">
        <v>2735</v>
      </c>
      <c r="N740" s="2" t="s">
        <v>2736</v>
      </c>
      <c r="O740" s="56">
        <v>5411</v>
      </c>
      <c r="P740" s="2" t="s">
        <v>2737</v>
      </c>
      <c r="Q740" s="2" t="s">
        <v>2738</v>
      </c>
      <c r="R740" s="2" t="s">
        <v>2739</v>
      </c>
      <c r="S740" s="2" t="s">
        <v>816</v>
      </c>
      <c r="T740" s="2" t="s">
        <v>2740</v>
      </c>
      <c r="U740" s="2" t="s">
        <v>2741</v>
      </c>
      <c r="V740" s="2" t="s">
        <v>2742</v>
      </c>
      <c r="W740" s="2" t="s">
        <v>2743</v>
      </c>
      <c r="X740" s="2" t="s">
        <v>2744</v>
      </c>
      <c r="Y740" s="2" t="s">
        <v>2745</v>
      </c>
      <c r="Z740" s="2" t="s">
        <v>548</v>
      </c>
      <c r="AA740" s="2" t="s">
        <v>548</v>
      </c>
      <c r="AB740" s="2" t="s">
        <v>1231</v>
      </c>
    </row>
    <row r="741" spans="1:28" x14ac:dyDescent="0.25">
      <c r="A741" s="4">
        <v>46238</v>
      </c>
      <c r="B741" s="8" t="s">
        <v>2681</v>
      </c>
      <c r="C741" s="8" t="s">
        <v>36</v>
      </c>
      <c r="D741" s="8" t="s">
        <v>39</v>
      </c>
      <c r="E741" s="8" t="s">
        <v>47</v>
      </c>
      <c r="F741" s="13"/>
      <c r="G741" s="59"/>
      <c r="H741" s="6">
        <f>15000/5</f>
        <v>3000</v>
      </c>
      <c r="I741" s="6">
        <f t="shared" si="54"/>
        <v>266.7140825035562</v>
      </c>
      <c r="J741" s="2" t="s">
        <v>2746</v>
      </c>
      <c r="K741" s="2">
        <v>7.03</v>
      </c>
      <c r="L741" s="2" t="s">
        <v>1187</v>
      </c>
      <c r="M741" s="2" t="s">
        <v>1643</v>
      </c>
      <c r="N741" s="2" t="s">
        <v>1898</v>
      </c>
      <c r="O741" s="56">
        <v>1875</v>
      </c>
      <c r="P741" s="2" t="s">
        <v>583</v>
      </c>
      <c r="Q741" s="2" t="s">
        <v>2747</v>
      </c>
      <c r="R741" s="2" t="s">
        <v>2748</v>
      </c>
      <c r="S741" s="2" t="s">
        <v>642</v>
      </c>
      <c r="T741" s="2" t="s">
        <v>2170</v>
      </c>
      <c r="U741" s="2" t="s">
        <v>2749</v>
      </c>
      <c r="V741" s="2" t="s">
        <v>2750</v>
      </c>
      <c r="W741" s="2" t="s">
        <v>2751</v>
      </c>
      <c r="X741" s="2" t="s">
        <v>2752</v>
      </c>
      <c r="Y741" s="2" t="s">
        <v>2753</v>
      </c>
      <c r="Z741" s="2" t="s">
        <v>649</v>
      </c>
      <c r="AA741" s="2" t="s">
        <v>548</v>
      </c>
      <c r="AB741" s="2" t="s">
        <v>2754</v>
      </c>
    </row>
    <row r="742" spans="1:28" x14ac:dyDescent="0.25">
      <c r="A742" s="4">
        <v>46238</v>
      </c>
      <c r="B742" s="8" t="s">
        <v>2681</v>
      </c>
      <c r="C742" s="8" t="s">
        <v>36</v>
      </c>
      <c r="D742" s="8" t="s">
        <v>43</v>
      </c>
      <c r="E742" s="8" t="s">
        <v>61</v>
      </c>
      <c r="F742" s="13"/>
      <c r="G742" s="59"/>
      <c r="H742" s="6"/>
      <c r="I742" s="6">
        <f t="shared" si="54"/>
        <v>29.550827423167846</v>
      </c>
      <c r="J742" s="2" t="s">
        <v>900</v>
      </c>
      <c r="K742" s="2">
        <v>8.4600000000000009</v>
      </c>
      <c r="L742" s="2" t="s">
        <v>884</v>
      </c>
      <c r="M742" s="2" t="s">
        <v>2755</v>
      </c>
      <c r="N742" s="2" t="s">
        <v>45</v>
      </c>
      <c r="O742" s="56">
        <v>250</v>
      </c>
      <c r="P742" s="2" t="s">
        <v>45</v>
      </c>
      <c r="Q742" s="2" t="s">
        <v>45</v>
      </c>
      <c r="R742" s="2" t="s">
        <v>1507</v>
      </c>
      <c r="S742" s="2" t="s">
        <v>1928</v>
      </c>
      <c r="T742" s="2" t="s">
        <v>1425</v>
      </c>
      <c r="U742" s="2" t="s">
        <v>2756</v>
      </c>
      <c r="V742" s="2" t="s">
        <v>2757</v>
      </c>
      <c r="W742" s="2" t="s">
        <v>2758</v>
      </c>
      <c r="X742" s="2" t="s">
        <v>45</v>
      </c>
      <c r="Y742" s="2" t="s">
        <v>45</v>
      </c>
      <c r="Z742" s="2" t="s">
        <v>1295</v>
      </c>
      <c r="AA742" s="2" t="s">
        <v>45</v>
      </c>
      <c r="AB742" s="2" t="s">
        <v>2759</v>
      </c>
    </row>
    <row r="743" spans="1:28" x14ac:dyDescent="0.25">
      <c r="A743" s="4">
        <v>46238</v>
      </c>
      <c r="B743" s="8" t="s">
        <v>2681</v>
      </c>
      <c r="C743" s="8" t="s">
        <v>36</v>
      </c>
      <c r="D743" s="8" t="s">
        <v>67</v>
      </c>
      <c r="E743" s="8" t="s">
        <v>47</v>
      </c>
      <c r="F743" s="13"/>
      <c r="G743" s="59"/>
      <c r="H743" s="6">
        <f>15000/5</f>
        <v>3000</v>
      </c>
      <c r="I743" s="6">
        <f t="shared" si="54"/>
        <v>129.42307692307691</v>
      </c>
      <c r="J743" s="2" t="s">
        <v>1354</v>
      </c>
      <c r="K743" s="2">
        <v>5.2</v>
      </c>
      <c r="L743" s="2" t="s">
        <v>602</v>
      </c>
      <c r="M743" s="2" t="s">
        <v>2760</v>
      </c>
      <c r="N743" s="2" t="s">
        <v>2761</v>
      </c>
      <c r="O743" s="56">
        <v>673</v>
      </c>
      <c r="P743" s="2" t="s">
        <v>2762</v>
      </c>
      <c r="Q743" s="2" t="s">
        <v>1416</v>
      </c>
      <c r="R743" s="2" t="s">
        <v>1610</v>
      </c>
      <c r="S743" s="2" t="s">
        <v>582</v>
      </c>
      <c r="T743" s="2" t="s">
        <v>1183</v>
      </c>
      <c r="U743" s="2" t="s">
        <v>1373</v>
      </c>
      <c r="V743" s="2" t="s">
        <v>1843</v>
      </c>
      <c r="W743" s="2" t="s">
        <v>2763</v>
      </c>
      <c r="X743" s="2" t="s">
        <v>2764</v>
      </c>
      <c r="Y743" s="2" t="s">
        <v>2765</v>
      </c>
      <c r="Z743" s="2" t="s">
        <v>602</v>
      </c>
      <c r="AA743" s="2" t="s">
        <v>548</v>
      </c>
      <c r="AB743" s="2" t="s">
        <v>2766</v>
      </c>
    </row>
    <row r="744" spans="1:28" x14ac:dyDescent="0.25">
      <c r="A744" s="4">
        <v>46238</v>
      </c>
      <c r="B744" s="8" t="s">
        <v>2681</v>
      </c>
      <c r="C744" s="8" t="s">
        <v>36</v>
      </c>
      <c r="D744" s="8" t="s">
        <v>50</v>
      </c>
      <c r="E744" s="8" t="s">
        <v>47</v>
      </c>
      <c r="F744" s="13"/>
      <c r="G744" s="59"/>
      <c r="H744" s="6">
        <f>15000/5</f>
        <v>3000</v>
      </c>
      <c r="I744" s="6">
        <f t="shared" si="54"/>
        <v>312.78735632183907</v>
      </c>
      <c r="J744" s="2" t="s">
        <v>2407</v>
      </c>
      <c r="K744" s="2">
        <v>6.96</v>
      </c>
      <c r="L744" s="2" t="s">
        <v>636</v>
      </c>
      <c r="M744" s="2" t="s">
        <v>2767</v>
      </c>
      <c r="N744" s="2" t="s">
        <v>2768</v>
      </c>
      <c r="O744" s="56">
        <v>2177</v>
      </c>
      <c r="P744" s="2" t="s">
        <v>1187</v>
      </c>
      <c r="Q744" s="2" t="s">
        <v>1049</v>
      </c>
      <c r="R744" s="2" t="s">
        <v>1442</v>
      </c>
      <c r="S744" s="2" t="s">
        <v>961</v>
      </c>
      <c r="T744" s="2" t="s">
        <v>685</v>
      </c>
      <c r="U744" s="2" t="s">
        <v>1908</v>
      </c>
      <c r="V744" s="2" t="s">
        <v>2334</v>
      </c>
      <c r="W744" s="2" t="s">
        <v>2769</v>
      </c>
      <c r="X744" s="2" t="s">
        <v>2770</v>
      </c>
      <c r="Y744" s="2" t="s">
        <v>2771</v>
      </c>
      <c r="Z744" s="2" t="s">
        <v>618</v>
      </c>
      <c r="AA744" s="2" t="s">
        <v>548</v>
      </c>
      <c r="AB744" s="2" t="s">
        <v>2772</v>
      </c>
    </row>
    <row r="745" spans="1:28" x14ac:dyDescent="0.25">
      <c r="A745" s="4">
        <v>46238</v>
      </c>
      <c r="B745" s="8" t="s">
        <v>55</v>
      </c>
      <c r="C745" s="8" t="s">
        <v>56</v>
      </c>
      <c r="D745" s="8" t="s">
        <v>52</v>
      </c>
      <c r="E745" s="8" t="s">
        <v>47</v>
      </c>
      <c r="F745" s="13"/>
      <c r="G745" s="8" t="s">
        <v>146</v>
      </c>
      <c r="H745" s="6"/>
      <c r="I745" s="6">
        <f t="shared" si="54"/>
        <v>0</v>
      </c>
      <c r="J745" s="2" t="s">
        <v>1433</v>
      </c>
      <c r="K745" s="2">
        <v>0.28000000000000003</v>
      </c>
      <c r="L745" s="2" t="s">
        <v>1654</v>
      </c>
      <c r="M745" s="2" t="s">
        <v>2773</v>
      </c>
      <c r="N745" s="2" t="s">
        <v>548</v>
      </c>
      <c r="O745" s="56">
        <v>0</v>
      </c>
      <c r="P745" s="2" t="s">
        <v>45</v>
      </c>
      <c r="Q745" s="2" t="s">
        <v>548</v>
      </c>
      <c r="R745" s="2" t="s">
        <v>749</v>
      </c>
      <c r="S745" s="2" t="s">
        <v>1312</v>
      </c>
      <c r="T745" s="2" t="s">
        <v>1183</v>
      </c>
      <c r="U745" s="2" t="s">
        <v>582</v>
      </c>
      <c r="V745" s="2" t="s">
        <v>2774</v>
      </c>
      <c r="W745" s="2" t="s">
        <v>2775</v>
      </c>
      <c r="X745" s="2" t="s">
        <v>2716</v>
      </c>
      <c r="Y745" s="2" t="s">
        <v>2717</v>
      </c>
      <c r="Z745" s="2" t="s">
        <v>548</v>
      </c>
      <c r="AA745" s="2" t="s">
        <v>45</v>
      </c>
      <c r="AB745" s="2" t="s">
        <v>2638</v>
      </c>
    </row>
    <row r="746" spans="1:28" x14ac:dyDescent="0.25">
      <c r="A746" s="4">
        <v>46238</v>
      </c>
      <c r="B746" s="8" t="s">
        <v>2681</v>
      </c>
      <c r="C746" s="8" t="s">
        <v>36</v>
      </c>
      <c r="D746" s="7" t="s">
        <v>46</v>
      </c>
      <c r="E746" s="7" t="s">
        <v>47</v>
      </c>
      <c r="F746" s="13"/>
      <c r="G746" s="59"/>
      <c r="H746" s="6">
        <f>15000/5</f>
        <v>3000</v>
      </c>
      <c r="I746" s="6">
        <f t="shared" si="54"/>
        <v>295.18413597733712</v>
      </c>
      <c r="J746" s="2" t="s">
        <v>850</v>
      </c>
      <c r="K746" s="2">
        <v>7.06</v>
      </c>
      <c r="L746" s="2" t="s">
        <v>694</v>
      </c>
      <c r="M746" s="2" t="s">
        <v>1101</v>
      </c>
      <c r="N746" s="2" t="s">
        <v>2776</v>
      </c>
      <c r="O746" s="56">
        <v>2084</v>
      </c>
      <c r="P746" s="2" t="s">
        <v>564</v>
      </c>
      <c r="Q746" s="2" t="s">
        <v>2777</v>
      </c>
      <c r="R746" s="2" t="s">
        <v>1866</v>
      </c>
      <c r="S746" s="2" t="s">
        <v>627</v>
      </c>
      <c r="T746" s="2" t="s">
        <v>2302</v>
      </c>
      <c r="U746" s="2" t="s">
        <v>2778</v>
      </c>
      <c r="V746" s="2" t="s">
        <v>1218</v>
      </c>
      <c r="W746" s="2" t="s">
        <v>2779</v>
      </c>
      <c r="X746" s="2" t="s">
        <v>2780</v>
      </c>
      <c r="Y746" s="2" t="s">
        <v>2781</v>
      </c>
      <c r="Z746" s="2" t="s">
        <v>800</v>
      </c>
      <c r="AA746" s="2" t="s">
        <v>548</v>
      </c>
      <c r="AB746" s="2" t="s">
        <v>2782</v>
      </c>
    </row>
    <row r="747" spans="1:28" x14ac:dyDescent="0.25">
      <c r="A747" s="4">
        <v>46238</v>
      </c>
      <c r="B747" s="8" t="s">
        <v>2681</v>
      </c>
      <c r="C747" s="8" t="s">
        <v>36</v>
      </c>
      <c r="D747" s="8" t="s">
        <v>48</v>
      </c>
      <c r="E747" s="7" t="s">
        <v>38</v>
      </c>
      <c r="F747" s="13">
        <v>5197</v>
      </c>
      <c r="G747" s="59"/>
      <c r="H747" s="6">
        <f>24000/7</f>
        <v>3428.5714285714284</v>
      </c>
      <c r="I747" s="6">
        <f t="shared" si="54"/>
        <v>823.85496183206101</v>
      </c>
      <c r="J747" s="2" t="s">
        <v>1011</v>
      </c>
      <c r="K747" s="2">
        <v>10.48</v>
      </c>
      <c r="L747" s="2" t="s">
        <v>561</v>
      </c>
      <c r="M747" s="2" t="s">
        <v>2783</v>
      </c>
      <c r="N747" s="2" t="s">
        <v>2784</v>
      </c>
      <c r="O747" s="56">
        <v>8634</v>
      </c>
      <c r="P747" s="2" t="s">
        <v>2785</v>
      </c>
      <c r="Q747" s="2" t="s">
        <v>1435</v>
      </c>
      <c r="R747" s="2" t="s">
        <v>2786</v>
      </c>
      <c r="S747" s="2" t="s">
        <v>839</v>
      </c>
      <c r="T747" s="2" t="s">
        <v>2787</v>
      </c>
      <c r="U747" s="2" t="s">
        <v>2788</v>
      </c>
      <c r="V747" s="2" t="s">
        <v>2789</v>
      </c>
      <c r="W747" s="2" t="s">
        <v>2790</v>
      </c>
      <c r="X747" s="2" t="s">
        <v>2791</v>
      </c>
      <c r="Y747" s="2" t="s">
        <v>2792</v>
      </c>
      <c r="Z747" s="2" t="s">
        <v>548</v>
      </c>
      <c r="AA747" s="2" t="s">
        <v>548</v>
      </c>
      <c r="AB747" s="2" t="s">
        <v>2657</v>
      </c>
    </row>
    <row r="748" spans="1:28" x14ac:dyDescent="0.25">
      <c r="A748" s="4">
        <v>46238</v>
      </c>
      <c r="B748" s="8" t="s">
        <v>2681</v>
      </c>
      <c r="C748" s="8" t="s">
        <v>36</v>
      </c>
      <c r="D748" s="8" t="s">
        <v>49</v>
      </c>
      <c r="E748" s="8" t="s">
        <v>47</v>
      </c>
      <c r="F748" s="13"/>
      <c r="G748" s="59"/>
      <c r="H748" s="6">
        <f>15000/5</f>
        <v>3000</v>
      </c>
      <c r="I748" s="6">
        <f t="shared" si="54"/>
        <v>457.52941176470586</v>
      </c>
      <c r="J748" s="2" t="s">
        <v>1575</v>
      </c>
      <c r="K748" s="2">
        <v>8.5</v>
      </c>
      <c r="L748" s="2" t="s">
        <v>636</v>
      </c>
      <c r="M748" s="2" t="s">
        <v>2545</v>
      </c>
      <c r="N748" s="2" t="s">
        <v>2793</v>
      </c>
      <c r="O748" s="56">
        <v>3889</v>
      </c>
      <c r="P748" s="2" t="s">
        <v>1389</v>
      </c>
      <c r="Q748" s="2" t="s">
        <v>2794</v>
      </c>
      <c r="R748" s="2" t="s">
        <v>2795</v>
      </c>
      <c r="S748" s="2" t="s">
        <v>712</v>
      </c>
      <c r="T748" s="2" t="s">
        <v>1447</v>
      </c>
      <c r="U748" s="2" t="s">
        <v>2434</v>
      </c>
      <c r="V748" s="2" t="s">
        <v>2796</v>
      </c>
      <c r="W748" s="2" t="s">
        <v>2797</v>
      </c>
      <c r="X748" s="2" t="s">
        <v>2798</v>
      </c>
      <c r="Y748" s="2" t="s">
        <v>2799</v>
      </c>
      <c r="Z748" s="2" t="s">
        <v>548</v>
      </c>
      <c r="AA748" s="2" t="s">
        <v>548</v>
      </c>
      <c r="AB748" s="2" t="s">
        <v>1231</v>
      </c>
    </row>
    <row r="749" spans="1:28" x14ac:dyDescent="0.25">
      <c r="A749" s="4">
        <v>46239</v>
      </c>
      <c r="B749" s="8" t="s">
        <v>2681</v>
      </c>
      <c r="C749" s="8" t="s">
        <v>36</v>
      </c>
      <c r="D749" s="8" t="s">
        <v>39</v>
      </c>
      <c r="E749" s="8" t="s">
        <v>47</v>
      </c>
      <c r="F749" s="13"/>
      <c r="G749" s="59"/>
      <c r="H749" s="6">
        <f t="shared" ref="H749:H754" si="55">15000/7</f>
        <v>2142.8571428571427</v>
      </c>
      <c r="I749" s="6">
        <f t="shared" si="54"/>
        <v>372.47474747474746</v>
      </c>
      <c r="J749" s="2" t="s">
        <v>2800</v>
      </c>
      <c r="K749" s="2">
        <v>7.92</v>
      </c>
      <c r="L749" s="2" t="s">
        <v>561</v>
      </c>
      <c r="M749" s="2" t="s">
        <v>2801</v>
      </c>
      <c r="N749" s="2" t="s">
        <v>2802</v>
      </c>
      <c r="O749" s="56">
        <v>2950</v>
      </c>
      <c r="P749" s="2" t="s">
        <v>2057</v>
      </c>
      <c r="Q749" s="2" t="s">
        <v>2803</v>
      </c>
      <c r="R749" s="2" t="s">
        <v>1266</v>
      </c>
      <c r="S749" s="2" t="s">
        <v>749</v>
      </c>
      <c r="T749" s="2" t="s">
        <v>1833</v>
      </c>
      <c r="U749" s="2" t="s">
        <v>870</v>
      </c>
      <c r="V749" s="2" t="s">
        <v>1279</v>
      </c>
      <c r="W749" s="2" t="s">
        <v>2804</v>
      </c>
      <c r="X749" s="2" t="s">
        <v>2805</v>
      </c>
      <c r="Y749" s="2" t="s">
        <v>2806</v>
      </c>
      <c r="Z749" s="2" t="s">
        <v>580</v>
      </c>
      <c r="AA749" s="2" t="s">
        <v>548</v>
      </c>
      <c r="AB749" s="2" t="s">
        <v>2807</v>
      </c>
    </row>
    <row r="750" spans="1:28" x14ac:dyDescent="0.25">
      <c r="A750" s="4">
        <v>46239</v>
      </c>
      <c r="B750" s="8" t="s">
        <v>2681</v>
      </c>
      <c r="C750" s="8" t="s">
        <v>36</v>
      </c>
      <c r="D750" s="8" t="s">
        <v>43</v>
      </c>
      <c r="E750" s="8" t="s">
        <v>47</v>
      </c>
      <c r="F750" s="13"/>
      <c r="G750" s="59"/>
      <c r="H750" s="6">
        <f t="shared" si="55"/>
        <v>2142.8571428571427</v>
      </c>
      <c r="I750" s="6">
        <f t="shared" si="54"/>
        <v>52.950075642965203</v>
      </c>
      <c r="J750" s="2" t="s">
        <v>2808</v>
      </c>
      <c r="K750" s="2">
        <v>13.22</v>
      </c>
      <c r="L750" s="2" t="s">
        <v>1380</v>
      </c>
      <c r="M750" s="2" t="s">
        <v>1741</v>
      </c>
      <c r="N750" s="2" t="s">
        <v>45</v>
      </c>
      <c r="O750" s="56">
        <v>700</v>
      </c>
      <c r="P750" s="2" t="s">
        <v>45</v>
      </c>
      <c r="Q750" s="2" t="s">
        <v>45</v>
      </c>
      <c r="R750" s="2" t="s">
        <v>2583</v>
      </c>
      <c r="S750" s="2" t="s">
        <v>1256</v>
      </c>
      <c r="T750" s="2" t="s">
        <v>685</v>
      </c>
      <c r="U750" s="2" t="s">
        <v>2809</v>
      </c>
      <c r="V750" s="2" t="s">
        <v>2810</v>
      </c>
      <c r="W750" s="2" t="s">
        <v>2811</v>
      </c>
      <c r="X750" s="2" t="s">
        <v>45</v>
      </c>
      <c r="Y750" s="2" t="s">
        <v>45</v>
      </c>
      <c r="Z750" s="2" t="s">
        <v>756</v>
      </c>
      <c r="AA750" s="2" t="s">
        <v>45</v>
      </c>
      <c r="AB750" s="2" t="s">
        <v>2812</v>
      </c>
    </row>
    <row r="751" spans="1:28" x14ac:dyDescent="0.25">
      <c r="A751" s="4">
        <v>46239</v>
      </c>
      <c r="B751" s="8" t="s">
        <v>2681</v>
      </c>
      <c r="C751" s="8" t="s">
        <v>36</v>
      </c>
      <c r="D751" s="8" t="s">
        <v>67</v>
      </c>
      <c r="E751" s="8" t="s">
        <v>47</v>
      </c>
      <c r="F751" s="13"/>
      <c r="G751" s="59"/>
      <c r="H751" s="6">
        <f t="shared" si="55"/>
        <v>2142.8571428571427</v>
      </c>
      <c r="I751" s="6">
        <f t="shared" si="54"/>
        <v>394.23347398030938</v>
      </c>
      <c r="J751" s="2" t="s">
        <v>2813</v>
      </c>
      <c r="K751" s="2">
        <v>7.11</v>
      </c>
      <c r="L751" s="2" t="s">
        <v>777</v>
      </c>
      <c r="M751" s="2" t="s">
        <v>2814</v>
      </c>
      <c r="N751" s="2" t="s">
        <v>2815</v>
      </c>
      <c r="O751" s="56">
        <v>2803</v>
      </c>
      <c r="P751" s="2" t="s">
        <v>1066</v>
      </c>
      <c r="Q751" s="2" t="s">
        <v>2816</v>
      </c>
      <c r="R751" s="2" t="s">
        <v>725</v>
      </c>
      <c r="S751" s="2" t="s">
        <v>567</v>
      </c>
      <c r="T751" s="2" t="s">
        <v>1131</v>
      </c>
      <c r="U751" s="2" t="s">
        <v>2817</v>
      </c>
      <c r="V751" s="2" t="s">
        <v>2818</v>
      </c>
      <c r="W751" s="2" t="s">
        <v>2819</v>
      </c>
      <c r="X751" s="2" t="s">
        <v>2820</v>
      </c>
      <c r="Y751" s="2" t="s">
        <v>2821</v>
      </c>
      <c r="Z751" s="2" t="s">
        <v>579</v>
      </c>
      <c r="AA751" s="2" t="s">
        <v>548</v>
      </c>
      <c r="AB751" s="2" t="s">
        <v>2822</v>
      </c>
    </row>
    <row r="752" spans="1:28" x14ac:dyDescent="0.25">
      <c r="A752" s="4">
        <v>46239</v>
      </c>
      <c r="B752" s="8" t="s">
        <v>2681</v>
      </c>
      <c r="C752" s="8" t="s">
        <v>36</v>
      </c>
      <c r="D752" s="8" t="s">
        <v>50</v>
      </c>
      <c r="E752" s="8" t="s">
        <v>47</v>
      </c>
      <c r="F752" s="13"/>
      <c r="G752" s="59"/>
      <c r="H752" s="6">
        <f t="shared" si="55"/>
        <v>2142.8571428571427</v>
      </c>
      <c r="I752" s="6">
        <f t="shared" si="54"/>
        <v>301.35542168674698</v>
      </c>
      <c r="J752" s="2" t="s">
        <v>2823</v>
      </c>
      <c r="K752" s="2">
        <v>6.64</v>
      </c>
      <c r="L752" s="2" t="s">
        <v>817</v>
      </c>
      <c r="M752" s="2" t="s">
        <v>1853</v>
      </c>
      <c r="N752" s="2" t="s">
        <v>2824</v>
      </c>
      <c r="O752" s="56">
        <v>2001</v>
      </c>
      <c r="P752" s="2" t="s">
        <v>2380</v>
      </c>
      <c r="Q752" s="2" t="s">
        <v>2825</v>
      </c>
      <c r="R752" s="2" t="s">
        <v>1130</v>
      </c>
      <c r="S752" s="2" t="s">
        <v>961</v>
      </c>
      <c r="T752" s="2" t="s">
        <v>726</v>
      </c>
      <c r="U752" s="2" t="s">
        <v>2826</v>
      </c>
      <c r="V752" s="2" t="s">
        <v>2827</v>
      </c>
      <c r="W752" s="2" t="s">
        <v>2828</v>
      </c>
      <c r="X752" s="2" t="s">
        <v>2829</v>
      </c>
      <c r="Y752" s="2" t="s">
        <v>2830</v>
      </c>
      <c r="Z752" s="2" t="s">
        <v>621</v>
      </c>
      <c r="AA752" s="2" t="s">
        <v>548</v>
      </c>
      <c r="AB752" s="2" t="s">
        <v>2249</v>
      </c>
    </row>
    <row r="753" spans="1:28" x14ac:dyDescent="0.25">
      <c r="A753" s="4">
        <v>46239</v>
      </c>
      <c r="B753" s="8" t="s">
        <v>2681</v>
      </c>
      <c r="C753" s="8" t="s">
        <v>36</v>
      </c>
      <c r="D753" s="8" t="s">
        <v>52</v>
      </c>
      <c r="E753" s="8" t="s">
        <v>47</v>
      </c>
      <c r="F753" s="13"/>
      <c r="G753" s="59"/>
      <c r="H753" s="6">
        <f t="shared" si="55"/>
        <v>2142.8571428571427</v>
      </c>
      <c r="I753" s="6">
        <f t="shared" si="54"/>
        <v>236.83304647160071</v>
      </c>
      <c r="J753" s="2" t="s">
        <v>2831</v>
      </c>
      <c r="K753" s="2">
        <v>5.81</v>
      </c>
      <c r="L753" s="2" t="s">
        <v>1696</v>
      </c>
      <c r="M753" s="2" t="s">
        <v>2832</v>
      </c>
      <c r="N753" s="2" t="s">
        <v>2833</v>
      </c>
      <c r="O753" s="56">
        <v>1376</v>
      </c>
      <c r="P753" s="2" t="s">
        <v>2410</v>
      </c>
      <c r="Q753" s="2" t="s">
        <v>2834</v>
      </c>
      <c r="R753" s="2" t="s">
        <v>920</v>
      </c>
      <c r="S753" s="2" t="s">
        <v>685</v>
      </c>
      <c r="T753" s="2" t="s">
        <v>685</v>
      </c>
      <c r="U753" s="2" t="s">
        <v>913</v>
      </c>
      <c r="V753" s="2" t="s">
        <v>2835</v>
      </c>
      <c r="W753" s="2" t="s">
        <v>2836</v>
      </c>
      <c r="X753" s="2" t="s">
        <v>2837</v>
      </c>
      <c r="Y753" s="2" t="s">
        <v>2838</v>
      </c>
      <c r="Z753" s="2" t="s">
        <v>652</v>
      </c>
      <c r="AA753" s="2" t="s">
        <v>548</v>
      </c>
      <c r="AB753" s="2" t="s">
        <v>2839</v>
      </c>
    </row>
    <row r="754" spans="1:28" x14ac:dyDescent="0.25">
      <c r="A754" s="4">
        <v>46239</v>
      </c>
      <c r="B754" s="8" t="s">
        <v>2681</v>
      </c>
      <c r="C754" s="8" t="s">
        <v>36</v>
      </c>
      <c r="D754" s="7" t="s">
        <v>46</v>
      </c>
      <c r="E754" s="7" t="s">
        <v>47</v>
      </c>
      <c r="F754" s="13"/>
      <c r="G754" s="59"/>
      <c r="H754" s="6">
        <f t="shared" si="55"/>
        <v>2142.8571428571427</v>
      </c>
      <c r="I754" s="6">
        <f t="shared" si="54"/>
        <v>187.24727838258167</v>
      </c>
      <c r="J754" s="2" t="s">
        <v>2840</v>
      </c>
      <c r="K754" s="2">
        <v>6.43</v>
      </c>
      <c r="L754" s="2" t="s">
        <v>756</v>
      </c>
      <c r="M754" s="2" t="s">
        <v>724</v>
      </c>
      <c r="N754" s="2" t="s">
        <v>2841</v>
      </c>
      <c r="O754" s="56">
        <v>1204</v>
      </c>
      <c r="P754" s="2" t="s">
        <v>592</v>
      </c>
      <c r="Q754" s="2" t="s">
        <v>2842</v>
      </c>
      <c r="R754" s="2" t="s">
        <v>2843</v>
      </c>
      <c r="S754" s="2" t="s">
        <v>712</v>
      </c>
      <c r="T754" s="2" t="s">
        <v>1043</v>
      </c>
      <c r="U754" s="2" t="s">
        <v>1417</v>
      </c>
      <c r="V754" s="2" t="s">
        <v>2844</v>
      </c>
      <c r="W754" s="2" t="s">
        <v>2845</v>
      </c>
      <c r="X754" s="2" t="s">
        <v>2846</v>
      </c>
      <c r="Y754" s="2" t="s">
        <v>2847</v>
      </c>
      <c r="Z754" s="2" t="s">
        <v>580</v>
      </c>
      <c r="AA754" s="2" t="s">
        <v>548</v>
      </c>
      <c r="AB754" s="2" t="s">
        <v>2848</v>
      </c>
    </row>
    <row r="755" spans="1:28" x14ac:dyDescent="0.25">
      <c r="A755" s="4">
        <v>46239</v>
      </c>
      <c r="B755" s="8" t="s">
        <v>2681</v>
      </c>
      <c r="C755" s="8" t="s">
        <v>36</v>
      </c>
      <c r="D755" s="8" t="s">
        <v>48</v>
      </c>
      <c r="E755" s="7" t="s">
        <v>38</v>
      </c>
      <c r="F755" s="13">
        <v>4987</v>
      </c>
      <c r="G755" s="59"/>
      <c r="H755" s="6">
        <f>24000/7</f>
        <v>3428.5714285714284</v>
      </c>
      <c r="I755" s="6">
        <f t="shared" si="54"/>
        <v>514.65428276573789</v>
      </c>
      <c r="J755" s="2" t="s">
        <v>2849</v>
      </c>
      <c r="K755" s="2">
        <v>9.69</v>
      </c>
      <c r="L755" s="2" t="s">
        <v>734</v>
      </c>
      <c r="M755" s="2" t="s">
        <v>2850</v>
      </c>
      <c r="N755" s="2" t="s">
        <v>2851</v>
      </c>
      <c r="O755" s="56">
        <v>4987</v>
      </c>
      <c r="P755" s="2" t="s">
        <v>2852</v>
      </c>
      <c r="Q755" s="2" t="s">
        <v>614</v>
      </c>
      <c r="R755" s="2" t="s">
        <v>2571</v>
      </c>
      <c r="S755" s="2" t="s">
        <v>712</v>
      </c>
      <c r="T755" s="2" t="s">
        <v>584</v>
      </c>
      <c r="U755" s="2" t="s">
        <v>1946</v>
      </c>
      <c r="V755" s="2" t="s">
        <v>2731</v>
      </c>
      <c r="W755" s="2" t="s">
        <v>2853</v>
      </c>
      <c r="X755" s="2" t="s">
        <v>2854</v>
      </c>
      <c r="Y755" s="2" t="s">
        <v>2855</v>
      </c>
      <c r="Z755" s="2" t="s">
        <v>649</v>
      </c>
      <c r="AA755" s="2" t="s">
        <v>548</v>
      </c>
      <c r="AB755" s="2" t="s">
        <v>2856</v>
      </c>
    </row>
    <row r="756" spans="1:28" x14ac:dyDescent="0.25">
      <c r="A756" s="4">
        <v>46239</v>
      </c>
      <c r="B756" s="8" t="s">
        <v>2681</v>
      </c>
      <c r="C756" s="8" t="s">
        <v>36</v>
      </c>
      <c r="D756" s="8" t="s">
        <v>49</v>
      </c>
      <c r="E756" s="8" t="s">
        <v>47</v>
      </c>
      <c r="F756" s="13"/>
      <c r="G756" s="59"/>
      <c r="H756" s="6">
        <f>15000/7</f>
        <v>2142.8571428571427</v>
      </c>
      <c r="I756" s="6">
        <f t="shared" si="54"/>
        <v>491.89189189189187</v>
      </c>
      <c r="J756" s="2" t="s">
        <v>1598</v>
      </c>
      <c r="K756" s="2">
        <v>4.07</v>
      </c>
      <c r="L756" s="2" t="s">
        <v>1064</v>
      </c>
      <c r="M756" s="2" t="s">
        <v>2857</v>
      </c>
      <c r="N756" s="2" t="s">
        <v>2858</v>
      </c>
      <c r="O756" s="56">
        <v>2002</v>
      </c>
      <c r="P756" s="2" t="s">
        <v>1778</v>
      </c>
      <c r="Q756" s="2" t="s">
        <v>2456</v>
      </c>
      <c r="R756" s="2" t="s">
        <v>1006</v>
      </c>
      <c r="S756" s="2" t="s">
        <v>595</v>
      </c>
      <c r="T756" s="2" t="s">
        <v>2859</v>
      </c>
      <c r="U756" s="2" t="s">
        <v>2059</v>
      </c>
      <c r="V756" s="2" t="s">
        <v>2860</v>
      </c>
      <c r="W756" s="2" t="s">
        <v>2861</v>
      </c>
      <c r="X756" s="2" t="s">
        <v>2862</v>
      </c>
      <c r="Y756" s="2" t="s">
        <v>2863</v>
      </c>
      <c r="Z756" s="2" t="s">
        <v>548</v>
      </c>
      <c r="AA756" s="2" t="s">
        <v>548</v>
      </c>
      <c r="AB756" s="2" t="s">
        <v>1231</v>
      </c>
    </row>
    <row r="757" spans="1:28" x14ac:dyDescent="0.25">
      <c r="A757" s="4">
        <v>46240</v>
      </c>
      <c r="B757" s="8" t="s">
        <v>2681</v>
      </c>
      <c r="C757" s="8" t="s">
        <v>36</v>
      </c>
      <c r="D757" s="8" t="s">
        <v>39</v>
      </c>
      <c r="E757" s="8" t="s">
        <v>47</v>
      </c>
      <c r="F757" s="13"/>
      <c r="G757" s="59"/>
      <c r="H757" s="6">
        <f>15000/7</f>
        <v>2142.8571428571427</v>
      </c>
      <c r="I757" s="6">
        <f t="shared" si="54"/>
        <v>529.64042759961137</v>
      </c>
      <c r="J757" s="2" t="s">
        <v>776</v>
      </c>
      <c r="K757" s="2">
        <v>10.29</v>
      </c>
      <c r="L757" s="2" t="s">
        <v>817</v>
      </c>
      <c r="M757" s="2" t="s">
        <v>2864</v>
      </c>
      <c r="N757" s="2" t="s">
        <v>2865</v>
      </c>
      <c r="O757" s="56">
        <v>5450</v>
      </c>
      <c r="P757" s="2" t="s">
        <v>2866</v>
      </c>
      <c r="Q757" s="2" t="s">
        <v>2867</v>
      </c>
      <c r="R757" s="2" t="s">
        <v>1278</v>
      </c>
      <c r="S757" s="2" t="s">
        <v>658</v>
      </c>
      <c r="T757" s="2" t="s">
        <v>1374</v>
      </c>
      <c r="U757" s="2" t="s">
        <v>2868</v>
      </c>
      <c r="V757" s="2" t="s">
        <v>2869</v>
      </c>
      <c r="W757" s="2" t="s">
        <v>2870</v>
      </c>
      <c r="X757" s="2" t="s">
        <v>2871</v>
      </c>
      <c r="Y757" s="2" t="s">
        <v>2872</v>
      </c>
      <c r="Z757" s="2" t="s">
        <v>649</v>
      </c>
      <c r="AA757" s="2" t="s">
        <v>548</v>
      </c>
      <c r="AB757" s="2" t="s">
        <v>2873</v>
      </c>
    </row>
    <row r="758" spans="1:28" x14ac:dyDescent="0.25">
      <c r="A758" s="4">
        <v>46240</v>
      </c>
      <c r="B758" s="8" t="s">
        <v>2681</v>
      </c>
      <c r="C758" s="8" t="s">
        <v>36</v>
      </c>
      <c r="D758" s="8" t="s">
        <v>43</v>
      </c>
      <c r="E758" s="8" t="s">
        <v>47</v>
      </c>
      <c r="F758" s="13"/>
      <c r="G758" s="59"/>
      <c r="H758" s="6">
        <f>15000/7</f>
        <v>2142.8571428571427</v>
      </c>
      <c r="I758" s="6">
        <f t="shared" si="54"/>
        <v>12.88659793814433</v>
      </c>
      <c r="J758" s="2" t="s">
        <v>2874</v>
      </c>
      <c r="K758" s="2">
        <v>7.76</v>
      </c>
      <c r="L758" s="2" t="s">
        <v>1595</v>
      </c>
      <c r="M758" s="2" t="s">
        <v>2875</v>
      </c>
      <c r="N758" s="2" t="s">
        <v>45</v>
      </c>
      <c r="O758" s="56">
        <v>100</v>
      </c>
      <c r="P758" s="2" t="s">
        <v>45</v>
      </c>
      <c r="Q758" s="2" t="s">
        <v>45</v>
      </c>
      <c r="R758" s="2" t="s">
        <v>1530</v>
      </c>
      <c r="S758" s="2" t="s">
        <v>1248</v>
      </c>
      <c r="T758" s="2" t="s">
        <v>1317</v>
      </c>
      <c r="U758" s="2" t="s">
        <v>2876</v>
      </c>
      <c r="V758" s="2" t="s">
        <v>2877</v>
      </c>
      <c r="W758" s="2" t="s">
        <v>2878</v>
      </c>
      <c r="X758" s="2" t="s">
        <v>45</v>
      </c>
      <c r="Y758" s="2" t="s">
        <v>45</v>
      </c>
      <c r="Z758" s="2" t="s">
        <v>1575</v>
      </c>
      <c r="AA758" s="2" t="s">
        <v>45</v>
      </c>
      <c r="AB758" s="2" t="s">
        <v>2879</v>
      </c>
    </row>
    <row r="759" spans="1:28" x14ac:dyDescent="0.25">
      <c r="A759" s="4">
        <v>46240</v>
      </c>
      <c r="B759" s="8" t="s">
        <v>2681</v>
      </c>
      <c r="C759" s="8" t="s">
        <v>36</v>
      </c>
      <c r="D759" s="8" t="s">
        <v>43</v>
      </c>
      <c r="E759" s="8" t="s">
        <v>61</v>
      </c>
      <c r="F759" s="13"/>
      <c r="G759" s="59"/>
      <c r="H759" s="6"/>
      <c r="I759" s="6">
        <f t="shared" si="54"/>
        <v>0</v>
      </c>
      <c r="J759" s="2"/>
      <c r="K759" s="2"/>
      <c r="L759" s="2"/>
      <c r="M759" s="2"/>
      <c r="N759" s="2"/>
      <c r="O759" s="56">
        <v>1100</v>
      </c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>
        <v>46240</v>
      </c>
      <c r="B760" s="8" t="s">
        <v>2681</v>
      </c>
      <c r="C760" s="8" t="s">
        <v>36</v>
      </c>
      <c r="D760" s="8" t="s">
        <v>67</v>
      </c>
      <c r="E760" s="8" t="s">
        <v>47</v>
      </c>
      <c r="F760" s="13"/>
      <c r="G760" s="59"/>
      <c r="H760" s="6">
        <f>15000/7</f>
        <v>2142.8571428571427</v>
      </c>
      <c r="I760" s="6">
        <f t="shared" si="54"/>
        <v>177.30061349693253</v>
      </c>
      <c r="J760" s="2" t="s">
        <v>1256</v>
      </c>
      <c r="K760" s="2">
        <v>6.52</v>
      </c>
      <c r="L760" s="2" t="s">
        <v>734</v>
      </c>
      <c r="M760" s="2" t="s">
        <v>1655</v>
      </c>
      <c r="N760" s="2" t="s">
        <v>2880</v>
      </c>
      <c r="O760" s="56">
        <v>1156</v>
      </c>
      <c r="P760" s="2" t="s">
        <v>2190</v>
      </c>
      <c r="Q760" s="2" t="s">
        <v>2881</v>
      </c>
      <c r="R760" s="2" t="s">
        <v>2882</v>
      </c>
      <c r="S760" s="2" t="s">
        <v>685</v>
      </c>
      <c r="T760" s="2" t="s">
        <v>2344</v>
      </c>
      <c r="U760" s="2" t="s">
        <v>1375</v>
      </c>
      <c r="V760" s="2" t="s">
        <v>2883</v>
      </c>
      <c r="W760" s="2" t="s">
        <v>2884</v>
      </c>
      <c r="X760" s="2" t="s">
        <v>2885</v>
      </c>
      <c r="Y760" s="2" t="s">
        <v>2886</v>
      </c>
      <c r="Z760" s="2" t="s">
        <v>636</v>
      </c>
      <c r="AA760" s="2" t="s">
        <v>548</v>
      </c>
      <c r="AB760" s="2" t="s">
        <v>2887</v>
      </c>
    </row>
    <row r="761" spans="1:28" x14ac:dyDescent="0.25">
      <c r="A761" s="4">
        <v>46240</v>
      </c>
      <c r="B761" s="8" t="s">
        <v>2681</v>
      </c>
      <c r="C761" s="8" t="s">
        <v>36</v>
      </c>
      <c r="D761" s="8" t="s">
        <v>50</v>
      </c>
      <c r="E761" s="8" t="s">
        <v>47</v>
      </c>
      <c r="F761" s="13"/>
      <c r="G761" s="59"/>
      <c r="H761" s="6">
        <f>15000/7</f>
        <v>2142.8571428571427</v>
      </c>
      <c r="I761" s="6">
        <f t="shared" si="54"/>
        <v>348.28125</v>
      </c>
      <c r="J761" s="2" t="s">
        <v>620</v>
      </c>
      <c r="K761" s="2">
        <v>6.4</v>
      </c>
      <c r="L761" s="2" t="s">
        <v>955</v>
      </c>
      <c r="M761" s="2" t="s">
        <v>2205</v>
      </c>
      <c r="N761" s="2" t="s">
        <v>1699</v>
      </c>
      <c r="O761" s="56">
        <v>2229</v>
      </c>
      <c r="P761" s="2" t="s">
        <v>2888</v>
      </c>
      <c r="Q761" s="2" t="s">
        <v>2889</v>
      </c>
      <c r="R761" s="2" t="s">
        <v>2826</v>
      </c>
      <c r="S761" s="2" t="s">
        <v>839</v>
      </c>
      <c r="T761" s="2" t="s">
        <v>685</v>
      </c>
      <c r="U761" s="2" t="s">
        <v>2890</v>
      </c>
      <c r="V761" s="2" t="s">
        <v>2477</v>
      </c>
      <c r="W761" s="2" t="s">
        <v>2891</v>
      </c>
      <c r="X761" s="2" t="s">
        <v>2892</v>
      </c>
      <c r="Y761" s="2" t="s">
        <v>2893</v>
      </c>
      <c r="Z761" s="2" t="s">
        <v>580</v>
      </c>
      <c r="AA761" s="2" t="s">
        <v>548</v>
      </c>
      <c r="AB761" s="2" t="s">
        <v>2894</v>
      </c>
    </row>
    <row r="762" spans="1:28" x14ac:dyDescent="0.25">
      <c r="A762" s="4">
        <v>46240</v>
      </c>
      <c r="B762" s="8" t="s">
        <v>2681</v>
      </c>
      <c r="C762" s="8" t="s">
        <v>36</v>
      </c>
      <c r="D762" s="8" t="s">
        <v>52</v>
      </c>
      <c r="E762" s="8" t="s">
        <v>47</v>
      </c>
      <c r="F762" s="13"/>
      <c r="G762" s="59"/>
      <c r="H762" s="6">
        <f>15000/7</f>
        <v>2142.8571428571427</v>
      </c>
      <c r="I762" s="6">
        <f t="shared" si="54"/>
        <v>242.7682737169518</v>
      </c>
      <c r="J762" s="2" t="s">
        <v>2840</v>
      </c>
      <c r="K762" s="2">
        <v>6.43</v>
      </c>
      <c r="L762" s="2" t="s">
        <v>756</v>
      </c>
      <c r="M762" s="2" t="s">
        <v>724</v>
      </c>
      <c r="N762" s="2" t="s">
        <v>2895</v>
      </c>
      <c r="O762" s="56">
        <v>1561</v>
      </c>
      <c r="P762" s="2" t="s">
        <v>627</v>
      </c>
      <c r="Q762" s="2" t="s">
        <v>2896</v>
      </c>
      <c r="R762" s="2" t="s">
        <v>2897</v>
      </c>
      <c r="S762" s="2" t="s">
        <v>839</v>
      </c>
      <c r="T762" s="2" t="s">
        <v>628</v>
      </c>
      <c r="U762" s="2" t="s">
        <v>2898</v>
      </c>
      <c r="V762" s="2" t="s">
        <v>2899</v>
      </c>
      <c r="W762" s="2" t="s">
        <v>2900</v>
      </c>
      <c r="X762" s="2" t="s">
        <v>2901</v>
      </c>
      <c r="Y762" s="2" t="s">
        <v>2902</v>
      </c>
      <c r="Z762" s="2" t="s">
        <v>580</v>
      </c>
      <c r="AA762" s="2" t="s">
        <v>548</v>
      </c>
      <c r="AB762" s="2" t="s">
        <v>2903</v>
      </c>
    </row>
    <row r="763" spans="1:28" x14ac:dyDescent="0.25">
      <c r="A763" s="4">
        <v>46240</v>
      </c>
      <c r="B763" s="8" t="s">
        <v>2681</v>
      </c>
      <c r="C763" s="8" t="s">
        <v>36</v>
      </c>
      <c r="D763" s="7" t="s">
        <v>46</v>
      </c>
      <c r="E763" s="7" t="s">
        <v>47</v>
      </c>
      <c r="F763" s="13"/>
      <c r="G763" s="59"/>
      <c r="H763" s="6">
        <f>15000/7</f>
        <v>2142.8571428571427</v>
      </c>
      <c r="I763" s="6">
        <f t="shared" si="54"/>
        <v>136.70886075949366</v>
      </c>
      <c r="J763" s="2" t="s">
        <v>2447</v>
      </c>
      <c r="K763" s="2">
        <v>7.11</v>
      </c>
      <c r="L763" s="2" t="s">
        <v>1696</v>
      </c>
      <c r="M763" s="2" t="s">
        <v>2493</v>
      </c>
      <c r="N763" s="2" t="s">
        <v>2904</v>
      </c>
      <c r="O763" s="56">
        <f>1047-75</f>
        <v>972</v>
      </c>
      <c r="P763" s="2" t="s">
        <v>2905</v>
      </c>
      <c r="Q763" s="2" t="s">
        <v>887</v>
      </c>
      <c r="R763" s="2" t="s">
        <v>1209</v>
      </c>
      <c r="S763" s="2" t="s">
        <v>658</v>
      </c>
      <c r="T763" s="2" t="s">
        <v>658</v>
      </c>
      <c r="U763" s="2" t="s">
        <v>1150</v>
      </c>
      <c r="V763" s="2" t="s">
        <v>2906</v>
      </c>
      <c r="W763" s="2" t="s">
        <v>2907</v>
      </c>
      <c r="X763" s="2" t="s">
        <v>2908</v>
      </c>
      <c r="Y763" s="2" t="s">
        <v>2909</v>
      </c>
      <c r="Z763" s="2" t="s">
        <v>800</v>
      </c>
      <c r="AA763" s="2" t="s">
        <v>548</v>
      </c>
      <c r="AB763" s="2" t="s">
        <v>2910</v>
      </c>
    </row>
    <row r="764" spans="1:28" x14ac:dyDescent="0.25">
      <c r="A764" s="4">
        <v>46240</v>
      </c>
      <c r="B764" s="8" t="s">
        <v>2681</v>
      </c>
      <c r="C764" s="8" t="s">
        <v>36</v>
      </c>
      <c r="D764" s="7" t="s">
        <v>46</v>
      </c>
      <c r="E764" s="8" t="s">
        <v>61</v>
      </c>
      <c r="F764" s="13"/>
      <c r="G764" s="59"/>
      <c r="H764" s="6"/>
      <c r="I764" s="6">
        <f t="shared" si="54"/>
        <v>0</v>
      </c>
      <c r="J764" s="2"/>
      <c r="K764" s="2"/>
      <c r="L764" s="2"/>
      <c r="M764" s="2"/>
      <c r="N764" s="2"/>
      <c r="O764" s="56">
        <f>3*25</f>
        <v>75</v>
      </c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>
        <v>46240</v>
      </c>
      <c r="B765" s="8" t="s">
        <v>2681</v>
      </c>
      <c r="C765" s="8" t="s">
        <v>36</v>
      </c>
      <c r="D765" s="8" t="s">
        <v>48</v>
      </c>
      <c r="E765" s="7" t="s">
        <v>38</v>
      </c>
      <c r="F765" s="13">
        <v>2838</v>
      </c>
      <c r="G765" s="59"/>
      <c r="H765" s="6">
        <f>24000/7</f>
        <v>3428.5714285714284</v>
      </c>
      <c r="I765" s="6">
        <f t="shared" si="54"/>
        <v>476.66263603385732</v>
      </c>
      <c r="J765" s="2" t="s">
        <v>843</v>
      </c>
      <c r="K765" s="2">
        <v>8.27</v>
      </c>
      <c r="L765" s="2" t="s">
        <v>621</v>
      </c>
      <c r="M765" s="2" t="s">
        <v>738</v>
      </c>
      <c r="N765" s="2" t="s">
        <v>2911</v>
      </c>
      <c r="O765" s="56">
        <v>3942</v>
      </c>
      <c r="P765" s="2" t="s">
        <v>2912</v>
      </c>
      <c r="Q765" s="2" t="s">
        <v>2913</v>
      </c>
      <c r="R765" s="2" t="s">
        <v>1889</v>
      </c>
      <c r="S765" s="2" t="s">
        <v>595</v>
      </c>
      <c r="T765" s="2" t="s">
        <v>737</v>
      </c>
      <c r="U765" s="2" t="s">
        <v>2914</v>
      </c>
      <c r="V765" s="2" t="s">
        <v>2915</v>
      </c>
      <c r="W765" s="2" t="s">
        <v>2916</v>
      </c>
      <c r="X765" s="2" t="s">
        <v>2917</v>
      </c>
      <c r="Y765" s="2" t="s">
        <v>2918</v>
      </c>
      <c r="Z765" s="2" t="s">
        <v>649</v>
      </c>
      <c r="AA765" s="2" t="s">
        <v>548</v>
      </c>
      <c r="AB765" s="2" t="s">
        <v>2919</v>
      </c>
    </row>
    <row r="766" spans="1:28" x14ac:dyDescent="0.25">
      <c r="A766" s="4">
        <v>46240</v>
      </c>
      <c r="B766" s="8" t="s">
        <v>2681</v>
      </c>
      <c r="C766" s="8" t="s">
        <v>36</v>
      </c>
      <c r="D766" s="8" t="s">
        <v>49</v>
      </c>
      <c r="E766" s="8" t="s">
        <v>47</v>
      </c>
      <c r="F766" s="13"/>
      <c r="G766" s="59"/>
      <c r="H766" s="6">
        <f>15000/7</f>
        <v>2142.8571428571427</v>
      </c>
      <c r="I766" s="6">
        <f t="shared" si="54"/>
        <v>0</v>
      </c>
      <c r="J766" s="2" t="s">
        <v>2920</v>
      </c>
      <c r="K766" s="2" t="s">
        <v>1227</v>
      </c>
      <c r="L766" s="2" t="s">
        <v>784</v>
      </c>
      <c r="M766" s="2" t="s">
        <v>2921</v>
      </c>
      <c r="N766" s="2" t="s">
        <v>2922</v>
      </c>
      <c r="O766" s="56">
        <v>1515</v>
      </c>
      <c r="P766" s="2" t="s">
        <v>2923</v>
      </c>
      <c r="Q766" s="2" t="s">
        <v>733</v>
      </c>
      <c r="R766" s="2" t="s">
        <v>2924</v>
      </c>
      <c r="S766" s="2" t="s">
        <v>902</v>
      </c>
      <c r="T766" s="2" t="s">
        <v>903</v>
      </c>
      <c r="U766" s="2" t="s">
        <v>629</v>
      </c>
      <c r="V766" s="2" t="s">
        <v>2925</v>
      </c>
      <c r="W766" s="2" t="s">
        <v>2926</v>
      </c>
      <c r="X766" s="2" t="s">
        <v>2927</v>
      </c>
      <c r="Y766" s="2" t="s">
        <v>2928</v>
      </c>
      <c r="Z766" s="2" t="s">
        <v>548</v>
      </c>
      <c r="AA766" s="2" t="s">
        <v>548</v>
      </c>
      <c r="AB766" s="2" t="s">
        <v>1231</v>
      </c>
    </row>
    <row r="767" spans="1:28" x14ac:dyDescent="0.25">
      <c r="A767" s="4">
        <v>46241</v>
      </c>
      <c r="B767" s="8" t="s">
        <v>2681</v>
      </c>
      <c r="C767" s="8" t="s">
        <v>36</v>
      </c>
      <c r="D767" s="8" t="s">
        <v>39</v>
      </c>
      <c r="E767" s="8" t="s">
        <v>47</v>
      </c>
      <c r="F767" s="13"/>
      <c r="G767" s="59"/>
      <c r="H767" s="6">
        <f>15000/6</f>
        <v>2500</v>
      </c>
      <c r="I767" s="6">
        <f t="shared" si="54"/>
        <v>352.76073619631904</v>
      </c>
      <c r="J767" s="2">
        <v>11.18</v>
      </c>
      <c r="K767" s="2">
        <v>9.7799999999999994</v>
      </c>
      <c r="L767" s="2">
        <v>1.4</v>
      </c>
      <c r="M767" s="2">
        <v>12.52</v>
      </c>
      <c r="N767" s="2" t="s">
        <v>2929</v>
      </c>
      <c r="O767" s="56">
        <v>3450</v>
      </c>
      <c r="P767" s="2">
        <v>1.79</v>
      </c>
      <c r="Q767" s="2">
        <v>10.46</v>
      </c>
      <c r="R767" s="2">
        <v>198.73</v>
      </c>
      <c r="S767" s="2">
        <v>6.15</v>
      </c>
      <c r="T767" s="2">
        <v>4.3899999999999997</v>
      </c>
      <c r="U767" s="2">
        <v>192.58</v>
      </c>
      <c r="V767" s="2">
        <v>19.690000000000001</v>
      </c>
      <c r="W767" s="2">
        <v>9289.7900000000009</v>
      </c>
      <c r="X767" s="2" t="s">
        <v>2930</v>
      </c>
      <c r="Y767" s="2" t="s">
        <v>2931</v>
      </c>
      <c r="Z767" s="2">
        <v>0.2</v>
      </c>
      <c r="AA767" s="2" t="s">
        <v>548</v>
      </c>
      <c r="AB767" s="2">
        <v>291.5</v>
      </c>
    </row>
    <row r="768" spans="1:28" x14ac:dyDescent="0.25">
      <c r="A768" s="4">
        <v>46241</v>
      </c>
      <c r="B768" s="8" t="s">
        <v>2681</v>
      </c>
      <c r="C768" s="8" t="s">
        <v>36</v>
      </c>
      <c r="D768" s="8" t="s">
        <v>43</v>
      </c>
      <c r="E768" s="8" t="s">
        <v>47</v>
      </c>
      <c r="F768" s="13"/>
      <c r="G768" s="59"/>
      <c r="H768" s="6">
        <f>15000/6</f>
        <v>2500</v>
      </c>
      <c r="I768" s="6">
        <f t="shared" si="54"/>
        <v>0</v>
      </c>
      <c r="J768" s="2">
        <v>5.94</v>
      </c>
      <c r="K768" s="2">
        <v>4.09</v>
      </c>
      <c r="L768" s="2">
        <v>1.85</v>
      </c>
      <c r="M768" s="2">
        <v>31.15</v>
      </c>
      <c r="N768" s="2" t="s">
        <v>45</v>
      </c>
      <c r="O768" s="56" t="s">
        <v>42</v>
      </c>
      <c r="P768" s="2" t="s">
        <v>45</v>
      </c>
      <c r="Q768" s="2" t="s">
        <v>45</v>
      </c>
      <c r="R768" s="2">
        <v>83.28</v>
      </c>
      <c r="S768" s="2">
        <v>7.57</v>
      </c>
      <c r="T768" s="2">
        <v>4.09</v>
      </c>
      <c r="U768" s="2">
        <v>75.709999999999994</v>
      </c>
      <c r="V768" s="2">
        <v>18.52</v>
      </c>
      <c r="W768" s="2">
        <v>8894.02</v>
      </c>
      <c r="X768" s="2" t="s">
        <v>45</v>
      </c>
      <c r="Y768" s="2" t="s">
        <v>45</v>
      </c>
      <c r="Z768" s="2" t="s">
        <v>1380</v>
      </c>
      <c r="AA768" s="2" t="s">
        <v>45</v>
      </c>
      <c r="AB768" s="2" t="s">
        <v>2932</v>
      </c>
    </row>
    <row r="769" spans="1:28" x14ac:dyDescent="0.25">
      <c r="A769" s="4">
        <v>46241</v>
      </c>
      <c r="B769" s="8" t="s">
        <v>2681</v>
      </c>
      <c r="C769" s="8" t="s">
        <v>36</v>
      </c>
      <c r="D769" s="8" t="s">
        <v>67</v>
      </c>
      <c r="E769" s="8" t="s">
        <v>47</v>
      </c>
      <c r="F769" s="13"/>
      <c r="G769" s="59"/>
      <c r="H769" s="6">
        <f>15000/6</f>
        <v>2500</v>
      </c>
      <c r="I769" s="6">
        <f t="shared" si="54"/>
        <v>237.98955613577024</v>
      </c>
      <c r="J769" s="2">
        <v>8.7100000000000009</v>
      </c>
      <c r="K769" s="2">
        <v>7.66</v>
      </c>
      <c r="L769" s="2">
        <v>1.05</v>
      </c>
      <c r="M769" s="2">
        <v>12.05</v>
      </c>
      <c r="N769" s="2" t="s">
        <v>2933</v>
      </c>
      <c r="O769" s="56">
        <v>1823</v>
      </c>
      <c r="P769" s="2">
        <v>1.66</v>
      </c>
      <c r="Q769" s="2">
        <v>13.24</v>
      </c>
      <c r="R769" s="2">
        <v>137.69</v>
      </c>
      <c r="S769" s="2">
        <v>3.79</v>
      </c>
      <c r="T769" s="2">
        <v>3.61</v>
      </c>
      <c r="U769" s="2">
        <v>133.91</v>
      </c>
      <c r="V769" s="2">
        <v>17.47</v>
      </c>
      <c r="W769" s="2">
        <v>678.48</v>
      </c>
      <c r="X769" s="2" t="s">
        <v>2934</v>
      </c>
      <c r="Y769" s="2" t="s">
        <v>2935</v>
      </c>
      <c r="Z769" s="2">
        <v>1.2</v>
      </c>
      <c r="AA769" s="2" t="s">
        <v>548</v>
      </c>
      <c r="AB769" s="2">
        <v>64.8</v>
      </c>
    </row>
    <row r="770" spans="1:28" x14ac:dyDescent="0.25">
      <c r="A770" s="4">
        <v>46241</v>
      </c>
      <c r="B770" s="8" t="s">
        <v>2681</v>
      </c>
      <c r="C770" s="8" t="s">
        <v>36</v>
      </c>
      <c r="D770" s="8" t="s">
        <v>50</v>
      </c>
      <c r="E770" s="8" t="s">
        <v>47</v>
      </c>
      <c r="F770" s="13"/>
      <c r="G770" s="59"/>
      <c r="H770" s="6">
        <f>15000/6</f>
        <v>2500</v>
      </c>
      <c r="I770" s="6">
        <f t="shared" si="54"/>
        <v>258.14977973568284</v>
      </c>
      <c r="J770" s="2">
        <v>7.46</v>
      </c>
      <c r="K770" s="2">
        <v>6.81</v>
      </c>
      <c r="L770" s="2">
        <v>0.65</v>
      </c>
      <c r="M770" s="2">
        <v>8.7100000000000009</v>
      </c>
      <c r="N770" s="2" t="s">
        <v>2936</v>
      </c>
      <c r="O770" s="56">
        <v>1758</v>
      </c>
      <c r="P770" s="2">
        <v>1.93</v>
      </c>
      <c r="Q770" s="2">
        <v>12.55</v>
      </c>
      <c r="R770" s="2">
        <v>140.06</v>
      </c>
      <c r="S770" s="2">
        <v>2.84</v>
      </c>
      <c r="T770" s="2">
        <v>4.37</v>
      </c>
      <c r="U770" s="2">
        <v>137.22</v>
      </c>
      <c r="V770" s="2">
        <v>20.14</v>
      </c>
      <c r="W770" s="2">
        <v>2542.71</v>
      </c>
      <c r="X770" s="2" t="s">
        <v>2937</v>
      </c>
      <c r="Y770" s="2" t="s">
        <v>2938</v>
      </c>
      <c r="Z770" s="2">
        <v>0.4</v>
      </c>
      <c r="AA770" s="2" t="s">
        <v>548</v>
      </c>
      <c r="AB770" s="2">
        <v>329.7</v>
      </c>
    </row>
    <row r="771" spans="1:28" x14ac:dyDescent="0.25">
      <c r="A771" s="4">
        <v>46241</v>
      </c>
      <c r="B771" s="8" t="s">
        <v>2681</v>
      </c>
      <c r="C771" s="8" t="s">
        <v>36</v>
      </c>
      <c r="D771" s="8" t="s">
        <v>52</v>
      </c>
      <c r="E771" s="8" t="s">
        <v>47</v>
      </c>
      <c r="F771" s="13"/>
      <c r="G771" s="59"/>
      <c r="H771" s="6">
        <f>15000/6</f>
        <v>2500</v>
      </c>
      <c r="I771" s="6">
        <f t="shared" si="54"/>
        <v>98</v>
      </c>
      <c r="J771" s="2">
        <v>6.6</v>
      </c>
      <c r="K771" s="2">
        <v>4.5</v>
      </c>
      <c r="L771" s="2">
        <v>2.1</v>
      </c>
      <c r="M771" s="2">
        <v>31.8</v>
      </c>
      <c r="N771" s="2" t="s">
        <v>2812</v>
      </c>
      <c r="O771" s="56">
        <v>441</v>
      </c>
      <c r="P771" s="2">
        <v>1.76</v>
      </c>
      <c r="Q771" s="2">
        <v>6.47</v>
      </c>
      <c r="R771" s="2">
        <v>68.14</v>
      </c>
      <c r="S771" s="2">
        <v>8.0399999999999991</v>
      </c>
      <c r="T771" s="2">
        <v>3.83</v>
      </c>
      <c r="U771" s="2">
        <v>60.09</v>
      </c>
      <c r="V771" s="2">
        <v>13.34</v>
      </c>
      <c r="W771" s="2">
        <v>1119.58</v>
      </c>
      <c r="X771" s="2" t="s">
        <v>2939</v>
      </c>
      <c r="Y771" s="2" t="s">
        <v>2940</v>
      </c>
      <c r="Z771" s="2" t="s">
        <v>548</v>
      </c>
      <c r="AA771" s="2" t="s">
        <v>548</v>
      </c>
      <c r="AB771" s="2">
        <v>119.1</v>
      </c>
    </row>
    <row r="772" spans="1:28" x14ac:dyDescent="0.25">
      <c r="A772" s="4">
        <v>46241</v>
      </c>
      <c r="B772" s="8" t="s">
        <v>2681</v>
      </c>
      <c r="C772" s="8" t="s">
        <v>36</v>
      </c>
      <c r="D772" s="7" t="s">
        <v>46</v>
      </c>
      <c r="E772" s="8" t="s">
        <v>61</v>
      </c>
      <c r="F772" s="13"/>
      <c r="G772" s="59"/>
      <c r="H772" s="6"/>
      <c r="I772" s="6">
        <f t="shared" si="54"/>
        <v>155.94594594594594</v>
      </c>
      <c r="J772" s="2">
        <v>8.1</v>
      </c>
      <c r="K772" s="2">
        <v>7.4</v>
      </c>
      <c r="L772" s="2">
        <v>0.7</v>
      </c>
      <c r="M772" s="2">
        <v>8.64</v>
      </c>
      <c r="N772" s="2" t="s">
        <v>2941</v>
      </c>
      <c r="O772" s="56">
        <v>1154</v>
      </c>
      <c r="P772" s="2">
        <v>2.06</v>
      </c>
      <c r="Q772" s="2">
        <v>5.05</v>
      </c>
      <c r="R772" s="2">
        <v>228.54</v>
      </c>
      <c r="S772" s="2">
        <v>3.31</v>
      </c>
      <c r="T772" s="2">
        <v>4.7300000000000004</v>
      </c>
      <c r="U772" s="2">
        <v>225.23</v>
      </c>
      <c r="V772" s="2">
        <v>30.44</v>
      </c>
      <c r="W772" s="2">
        <v>8098.18</v>
      </c>
      <c r="X772" s="2" t="s">
        <v>2942</v>
      </c>
      <c r="Y772" s="2" t="s">
        <v>2943</v>
      </c>
      <c r="Z772" s="2">
        <v>0.1</v>
      </c>
      <c r="AA772" s="2" t="s">
        <v>548</v>
      </c>
      <c r="AB772" s="2">
        <v>254.5</v>
      </c>
    </row>
    <row r="773" spans="1:28" x14ac:dyDescent="0.25">
      <c r="A773" s="4">
        <v>46241</v>
      </c>
      <c r="B773" s="8" t="s">
        <v>2681</v>
      </c>
      <c r="C773" s="8" t="s">
        <v>36</v>
      </c>
      <c r="D773" s="8" t="s">
        <v>48</v>
      </c>
      <c r="E773" s="7" t="s">
        <v>38</v>
      </c>
      <c r="F773" s="13">
        <v>3038</v>
      </c>
      <c r="G773" s="59"/>
      <c r="H773" s="6">
        <f>24000/7</f>
        <v>3428.5714285714284</v>
      </c>
      <c r="I773" s="6">
        <f t="shared" si="54"/>
        <v>643.75</v>
      </c>
      <c r="J773" s="2">
        <v>6.79</v>
      </c>
      <c r="K773" s="2">
        <v>6.24</v>
      </c>
      <c r="L773" s="2">
        <v>0.55000000000000004</v>
      </c>
      <c r="M773" s="2">
        <v>8.1</v>
      </c>
      <c r="N773" s="2" t="s">
        <v>2944</v>
      </c>
      <c r="O773" s="56">
        <v>4017</v>
      </c>
      <c r="P773" s="2">
        <v>5.17</v>
      </c>
      <c r="Q773" s="2">
        <v>16.14</v>
      </c>
      <c r="R773" s="2">
        <v>248.89</v>
      </c>
      <c r="S773" s="2">
        <v>3.31</v>
      </c>
      <c r="T773" s="2">
        <v>6.02</v>
      </c>
      <c r="U773" s="2">
        <v>245.58</v>
      </c>
      <c r="V773" s="2">
        <v>39.340000000000003</v>
      </c>
      <c r="W773" s="2">
        <v>6697.84</v>
      </c>
      <c r="X773" s="2" t="s">
        <v>2945</v>
      </c>
      <c r="Y773" s="2" t="s">
        <v>2946</v>
      </c>
      <c r="Z773" s="2" t="s">
        <v>548</v>
      </c>
      <c r="AA773" s="2" t="s">
        <v>548</v>
      </c>
      <c r="AB773" s="2">
        <v>49.3</v>
      </c>
    </row>
    <row r="774" spans="1:28" x14ac:dyDescent="0.25">
      <c r="A774" s="4">
        <v>46241</v>
      </c>
      <c r="B774" s="8" t="s">
        <v>2681</v>
      </c>
      <c r="C774" s="8" t="s">
        <v>36</v>
      </c>
      <c r="D774" s="8" t="s">
        <v>49</v>
      </c>
      <c r="E774" s="8" t="s">
        <v>47</v>
      </c>
      <c r="F774" s="13"/>
      <c r="G774" s="59"/>
      <c r="H774" s="6">
        <f>15000/6</f>
        <v>2500</v>
      </c>
      <c r="I774" s="6">
        <f t="shared" si="54"/>
        <v>579.30056710775045</v>
      </c>
      <c r="J774" s="2">
        <v>12.98</v>
      </c>
      <c r="K774" s="2">
        <v>10.58</v>
      </c>
      <c r="L774" s="2">
        <v>2.4</v>
      </c>
      <c r="M774" s="2">
        <v>18.489999999999998</v>
      </c>
      <c r="N774" s="2" t="s">
        <v>2947</v>
      </c>
      <c r="O774" s="56">
        <v>6129</v>
      </c>
      <c r="P774" s="2">
        <v>3.93</v>
      </c>
      <c r="Q774" s="2">
        <v>13.99</v>
      </c>
      <c r="R774" s="2">
        <v>438.16</v>
      </c>
      <c r="S774" s="2">
        <v>10.41</v>
      </c>
      <c r="T774" s="2">
        <v>4.34</v>
      </c>
      <c r="U774" s="2">
        <v>427.75</v>
      </c>
      <c r="V774" s="2">
        <v>40.43</v>
      </c>
      <c r="W774" s="2">
        <v>2058.87</v>
      </c>
      <c r="X774" s="2" t="s">
        <v>2948</v>
      </c>
      <c r="Y774" s="2" t="s">
        <v>2949</v>
      </c>
      <c r="Z774" s="2" t="s">
        <v>548</v>
      </c>
      <c r="AA774" s="2" t="s">
        <v>548</v>
      </c>
      <c r="AB774" s="2">
        <v>5.5</v>
      </c>
    </row>
    <row r="775" spans="1:28" x14ac:dyDescent="0.25">
      <c r="A775" s="4">
        <v>46242</v>
      </c>
      <c r="B775" s="8" t="s">
        <v>2681</v>
      </c>
      <c r="C775" s="8" t="s">
        <v>36</v>
      </c>
      <c r="D775" s="8" t="s">
        <v>39</v>
      </c>
      <c r="E775" s="8" t="s">
        <v>47</v>
      </c>
      <c r="F775" s="13"/>
      <c r="G775" s="59"/>
      <c r="H775" s="6">
        <f>15000/5</f>
        <v>3000</v>
      </c>
      <c r="I775" s="6">
        <f t="shared" si="54"/>
        <v>490.99836333878886</v>
      </c>
      <c r="J775" s="2">
        <v>6.86</v>
      </c>
      <c r="K775" s="2">
        <v>6.11</v>
      </c>
      <c r="L775" s="2">
        <v>0.75</v>
      </c>
      <c r="M775" s="2">
        <v>10.93</v>
      </c>
      <c r="N775" s="2" t="s">
        <v>2035</v>
      </c>
      <c r="O775" s="56">
        <v>3000</v>
      </c>
      <c r="P775" s="2">
        <v>1.96</v>
      </c>
      <c r="Q775" s="2">
        <v>15.19</v>
      </c>
      <c r="R775" s="2">
        <v>125.39</v>
      </c>
      <c r="S775" s="2">
        <v>2.37</v>
      </c>
      <c r="T775" s="2">
        <v>3.15</v>
      </c>
      <c r="U775" s="2">
        <v>123.03</v>
      </c>
      <c r="V775" s="2">
        <v>20.14</v>
      </c>
      <c r="W775" s="2">
        <v>9296.65</v>
      </c>
      <c r="X775" s="2" t="s">
        <v>2950</v>
      </c>
      <c r="Y775" s="2" t="s">
        <v>2951</v>
      </c>
      <c r="Z775" s="2">
        <v>0.1</v>
      </c>
      <c r="AA775" s="2" t="s">
        <v>548</v>
      </c>
      <c r="AB775" s="2">
        <v>291.60000000000002</v>
      </c>
    </row>
    <row r="776" spans="1:28" x14ac:dyDescent="0.25">
      <c r="A776" s="4">
        <v>46242</v>
      </c>
      <c r="B776" s="8" t="s">
        <v>2681</v>
      </c>
      <c r="C776" s="8" t="s">
        <v>36</v>
      </c>
      <c r="D776" s="8" t="s">
        <v>43</v>
      </c>
      <c r="E776" s="8" t="s">
        <v>61</v>
      </c>
      <c r="F776" s="13"/>
      <c r="G776" s="59"/>
      <c r="H776" s="6"/>
      <c r="I776" s="6">
        <f t="shared" si="54"/>
        <v>0</v>
      </c>
      <c r="J776" s="2">
        <v>3.12</v>
      </c>
      <c r="K776" s="2">
        <v>2.72</v>
      </c>
      <c r="L776" s="2">
        <v>0.4</v>
      </c>
      <c r="M776" s="2">
        <v>12.84</v>
      </c>
      <c r="N776" s="2" t="s">
        <v>45</v>
      </c>
      <c r="O776" s="56">
        <v>0</v>
      </c>
      <c r="P776" s="2" t="s">
        <v>45</v>
      </c>
      <c r="Q776" s="2" t="s">
        <v>45</v>
      </c>
      <c r="R776" s="2">
        <v>45.42</v>
      </c>
      <c r="S776" s="2">
        <v>1.42</v>
      </c>
      <c r="T776" s="2">
        <v>3.55</v>
      </c>
      <c r="U776" s="2">
        <v>44.01</v>
      </c>
      <c r="V776" s="2">
        <v>16.2</v>
      </c>
      <c r="W776" s="2">
        <v>8897.2199999999993</v>
      </c>
      <c r="X776" s="2" t="s">
        <v>45</v>
      </c>
      <c r="Y776" s="2" t="s">
        <v>45</v>
      </c>
      <c r="Z776" s="2">
        <v>0.2</v>
      </c>
      <c r="AA776" s="2" t="s">
        <v>45</v>
      </c>
      <c r="AB776" s="2">
        <v>263.2</v>
      </c>
    </row>
    <row r="777" spans="1:28" x14ac:dyDescent="0.25">
      <c r="A777" s="4">
        <v>46242</v>
      </c>
      <c r="B777" s="8" t="s">
        <v>2681</v>
      </c>
      <c r="C777" s="8" t="s">
        <v>36</v>
      </c>
      <c r="D777" s="8" t="s">
        <v>67</v>
      </c>
      <c r="E777" s="8" t="s">
        <v>47</v>
      </c>
      <c r="F777" s="13"/>
      <c r="G777" s="59"/>
      <c r="H777" s="6">
        <f>15000/5</f>
        <v>3000</v>
      </c>
      <c r="I777" s="6">
        <f t="shared" si="54"/>
        <v>208.21643286573146</v>
      </c>
      <c r="J777" s="2">
        <v>6.64</v>
      </c>
      <c r="K777" s="2">
        <v>4.99</v>
      </c>
      <c r="L777" s="2">
        <v>1.65</v>
      </c>
      <c r="M777" s="2">
        <v>24.86</v>
      </c>
      <c r="N777" s="2" t="s">
        <v>2952</v>
      </c>
      <c r="O777" s="56">
        <f>1564-525</f>
        <v>1039</v>
      </c>
      <c r="P777" s="2">
        <v>2.15</v>
      </c>
      <c r="Q777" s="2">
        <v>14.82</v>
      </c>
      <c r="R777" s="2">
        <v>105.52</v>
      </c>
      <c r="S777" s="2">
        <v>5.2</v>
      </c>
      <c r="T777" s="2">
        <v>3.15</v>
      </c>
      <c r="U777" s="2">
        <v>100.31</v>
      </c>
      <c r="V777" s="2">
        <v>20.12</v>
      </c>
      <c r="W777" s="2">
        <v>685.12</v>
      </c>
      <c r="X777" s="2" t="s">
        <v>2953</v>
      </c>
      <c r="Y777" s="2" t="s">
        <v>2954</v>
      </c>
      <c r="Z777" s="2">
        <v>1.1000000000000001</v>
      </c>
      <c r="AA777" s="2" t="s">
        <v>548</v>
      </c>
      <c r="AB777" s="2">
        <v>66.2</v>
      </c>
    </row>
    <row r="778" spans="1:28" x14ac:dyDescent="0.25">
      <c r="A778" s="4">
        <v>46242</v>
      </c>
      <c r="B778" s="8" t="s">
        <v>2681</v>
      </c>
      <c r="C778" s="8" t="s">
        <v>36</v>
      </c>
      <c r="D778" s="8" t="s">
        <v>67</v>
      </c>
      <c r="E778" s="8" t="s">
        <v>61</v>
      </c>
      <c r="F778" s="13"/>
      <c r="G778" s="59"/>
      <c r="H778" s="6"/>
      <c r="I778" s="6">
        <f t="shared" si="54"/>
        <v>0</v>
      </c>
      <c r="J778" s="2"/>
      <c r="K778" s="2"/>
      <c r="L778" s="2"/>
      <c r="M778" s="2"/>
      <c r="N778" s="2"/>
      <c r="O778" s="79">
        <f>21*25</f>
        <v>525</v>
      </c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>
        <v>46242</v>
      </c>
      <c r="B779" s="8" t="s">
        <v>2681</v>
      </c>
      <c r="C779" s="8" t="s">
        <v>36</v>
      </c>
      <c r="D779" s="8" t="s">
        <v>50</v>
      </c>
      <c r="E779" s="8" t="s">
        <v>61</v>
      </c>
      <c r="F779" s="13"/>
      <c r="G779" s="59"/>
      <c r="H779" s="6"/>
      <c r="I779" s="6">
        <f t="shared" si="54"/>
        <v>249.1329479768786</v>
      </c>
      <c r="J779" s="2">
        <v>7.14</v>
      </c>
      <c r="K779" s="2">
        <v>5.19</v>
      </c>
      <c r="L779" s="2">
        <v>1.95</v>
      </c>
      <c r="M779" s="2">
        <v>27.3</v>
      </c>
      <c r="N779" s="2" t="s">
        <v>2955</v>
      </c>
      <c r="O779" s="79">
        <v>1293</v>
      </c>
      <c r="P779" s="2">
        <v>1.61</v>
      </c>
      <c r="Q779" s="2">
        <v>11.68</v>
      </c>
      <c r="R779" s="2">
        <v>110.72</v>
      </c>
      <c r="S779" s="2">
        <v>7.1</v>
      </c>
      <c r="T779" s="2">
        <v>3.64</v>
      </c>
      <c r="U779" s="2">
        <v>103.63</v>
      </c>
      <c r="V779" s="2">
        <v>19.95</v>
      </c>
      <c r="W779" s="2">
        <v>2549.86</v>
      </c>
      <c r="X779" s="2" t="s">
        <v>2956</v>
      </c>
      <c r="Y779" s="2" t="s">
        <v>2957</v>
      </c>
      <c r="Z779" s="2">
        <v>1.8</v>
      </c>
      <c r="AA779" s="2" t="s">
        <v>548</v>
      </c>
      <c r="AB779" s="2">
        <v>331.5</v>
      </c>
    </row>
    <row r="780" spans="1:28" x14ac:dyDescent="0.25">
      <c r="A780" s="4">
        <v>46242</v>
      </c>
      <c r="B780" s="8" t="s">
        <v>2681</v>
      </c>
      <c r="C780" s="8" t="s">
        <v>36</v>
      </c>
      <c r="D780" s="8" t="s">
        <v>52</v>
      </c>
      <c r="E780" s="8" t="s">
        <v>47</v>
      </c>
      <c r="F780" s="13"/>
      <c r="G780" s="59"/>
      <c r="H780" s="6">
        <f>15000/5</f>
        <v>3000</v>
      </c>
      <c r="I780" s="6">
        <f t="shared" si="54"/>
        <v>292.11324570273001</v>
      </c>
      <c r="J780" s="2">
        <v>11.84</v>
      </c>
      <c r="K780" s="2">
        <v>9.89</v>
      </c>
      <c r="L780" s="2">
        <v>1.95</v>
      </c>
      <c r="M780" s="2">
        <v>16.46</v>
      </c>
      <c r="N780" s="2" t="s">
        <v>2958</v>
      </c>
      <c r="O780" s="79">
        <v>2889</v>
      </c>
      <c r="P780" s="2">
        <v>2.21</v>
      </c>
      <c r="Q780" s="2">
        <v>13.78</v>
      </c>
      <c r="R780" s="2">
        <v>209.62</v>
      </c>
      <c r="S780" s="2">
        <v>7.1</v>
      </c>
      <c r="T780" s="2">
        <v>3.64</v>
      </c>
      <c r="U780" s="2">
        <v>202.52</v>
      </c>
      <c r="V780" s="2">
        <v>20.47</v>
      </c>
      <c r="W780" s="2">
        <v>1131.42</v>
      </c>
      <c r="X780" s="2" t="s">
        <v>2959</v>
      </c>
      <c r="Y780" s="2" t="s">
        <v>2960</v>
      </c>
      <c r="Z780" s="2">
        <v>0.2</v>
      </c>
      <c r="AA780" s="2" t="s">
        <v>548</v>
      </c>
      <c r="AB780" s="2">
        <v>119.3</v>
      </c>
    </row>
    <row r="781" spans="1:28" x14ac:dyDescent="0.25">
      <c r="A781" s="4">
        <v>46242</v>
      </c>
      <c r="B781" s="8" t="s">
        <v>2681</v>
      </c>
      <c r="C781" s="8" t="s">
        <v>36</v>
      </c>
      <c r="D781" s="7" t="s">
        <v>46</v>
      </c>
      <c r="E781" s="8" t="s">
        <v>61</v>
      </c>
      <c r="F781" s="13"/>
      <c r="G781" s="59"/>
      <c r="H781" s="6"/>
      <c r="I781" s="6">
        <f t="shared" si="54"/>
        <v>268.64864864864865</v>
      </c>
      <c r="J781" s="2">
        <v>6.15</v>
      </c>
      <c r="K781" s="2">
        <v>5.55</v>
      </c>
      <c r="L781" s="2">
        <v>0.6</v>
      </c>
      <c r="M781" s="2">
        <v>9.75</v>
      </c>
      <c r="N781" s="2" t="s">
        <v>2961</v>
      </c>
      <c r="O781" s="79">
        <v>1491</v>
      </c>
      <c r="P781" s="2">
        <v>2.76</v>
      </c>
      <c r="Q781" s="2">
        <v>8.73</v>
      </c>
      <c r="R781" s="2">
        <v>170.82</v>
      </c>
      <c r="S781" s="2">
        <v>3.79</v>
      </c>
      <c r="T781" s="2">
        <v>6.31</v>
      </c>
      <c r="U781" s="2">
        <v>167.03</v>
      </c>
      <c r="V781" s="2">
        <v>30.09</v>
      </c>
      <c r="W781" s="2">
        <v>8104.33</v>
      </c>
      <c r="X781" s="2" t="s">
        <v>2962</v>
      </c>
      <c r="Y781" s="2" t="s">
        <v>2963</v>
      </c>
      <c r="Z781" s="2">
        <v>0.1</v>
      </c>
      <c r="AA781" s="2" t="s">
        <v>548</v>
      </c>
      <c r="AB781" s="2">
        <v>254.6</v>
      </c>
    </row>
    <row r="782" spans="1:28" x14ac:dyDescent="0.25">
      <c r="A782" s="4">
        <v>46242</v>
      </c>
      <c r="B782" s="8" t="s">
        <v>2681</v>
      </c>
      <c r="C782" s="8" t="s">
        <v>36</v>
      </c>
      <c r="D782" s="8" t="s">
        <v>48</v>
      </c>
      <c r="E782" s="7" t="s">
        <v>38</v>
      </c>
      <c r="F782" s="13">
        <v>5749</v>
      </c>
      <c r="G782" s="59"/>
      <c r="H782" s="6">
        <f>24000/7</f>
        <v>3428.5714285714284</v>
      </c>
      <c r="I782" s="6">
        <f t="shared" si="54"/>
        <v>507.41394527802294</v>
      </c>
      <c r="J782" s="2">
        <v>12.33</v>
      </c>
      <c r="K782" s="2">
        <v>11.33</v>
      </c>
      <c r="L782" s="2" t="s">
        <v>1696</v>
      </c>
      <c r="M782" s="2">
        <v>8.11</v>
      </c>
      <c r="N782" s="2" t="s">
        <v>2964</v>
      </c>
      <c r="O782" s="79">
        <v>5749</v>
      </c>
      <c r="P782" s="2">
        <v>5.3</v>
      </c>
      <c r="Q782" s="2">
        <v>17.18</v>
      </c>
      <c r="R782" s="2" t="s">
        <v>2965</v>
      </c>
      <c r="S782" s="2">
        <v>6.15</v>
      </c>
      <c r="T782" s="2">
        <v>6.15</v>
      </c>
      <c r="U782" s="2">
        <v>434.85</v>
      </c>
      <c r="V782" s="2">
        <v>38.380000000000003</v>
      </c>
      <c r="W782" s="2">
        <v>6710.17</v>
      </c>
      <c r="X782" s="2" t="s">
        <v>2966</v>
      </c>
      <c r="Y782" s="2" t="s">
        <v>2967</v>
      </c>
      <c r="Z782" s="2" t="s">
        <v>548</v>
      </c>
      <c r="AA782" s="2" t="s">
        <v>548</v>
      </c>
      <c r="AB782" s="2">
        <v>49.3</v>
      </c>
    </row>
    <row r="783" spans="1:28" x14ac:dyDescent="0.25">
      <c r="A783" s="4">
        <v>46242</v>
      </c>
      <c r="B783" s="8" t="s">
        <v>2681</v>
      </c>
      <c r="C783" s="8" t="s">
        <v>36</v>
      </c>
      <c r="D783" s="8" t="s">
        <v>49</v>
      </c>
      <c r="E783" s="8" t="s">
        <v>47</v>
      </c>
      <c r="F783" s="13"/>
      <c r="G783" s="59"/>
      <c r="H783" s="6">
        <f>15000/5</f>
        <v>3000</v>
      </c>
      <c r="I783" s="6">
        <f t="shared" si="54"/>
        <v>520.3767123287671</v>
      </c>
      <c r="J783" s="2">
        <v>7.69</v>
      </c>
      <c r="K783" s="2">
        <v>5.84</v>
      </c>
      <c r="L783" s="2">
        <v>1.85</v>
      </c>
      <c r="M783" s="2">
        <v>24.05</v>
      </c>
      <c r="N783" s="2" t="s">
        <v>2968</v>
      </c>
      <c r="O783" s="79">
        <v>3039</v>
      </c>
      <c r="P783" s="2">
        <v>3.84</v>
      </c>
      <c r="Q783" s="2">
        <v>12.82</v>
      </c>
      <c r="R783" s="2">
        <v>237.06</v>
      </c>
      <c r="S783" s="2">
        <v>8.0399999999999991</v>
      </c>
      <c r="T783" s="2">
        <v>4.3499999999999996</v>
      </c>
      <c r="U783" s="2">
        <v>229.02</v>
      </c>
      <c r="V783" s="2">
        <v>39.200000000000003</v>
      </c>
      <c r="W783" s="2">
        <v>2066.5700000000002</v>
      </c>
      <c r="X783" s="2" t="s">
        <v>2969</v>
      </c>
      <c r="Y783" s="2" t="s">
        <v>2970</v>
      </c>
      <c r="Z783" s="2">
        <v>0.1</v>
      </c>
      <c r="AA783" s="2" t="s">
        <v>548</v>
      </c>
      <c r="AB783" s="2">
        <v>5.6</v>
      </c>
    </row>
    <row r="784" spans="1:28" x14ac:dyDescent="0.25">
      <c r="A784" s="14">
        <v>46242</v>
      </c>
      <c r="B784" s="14" t="s">
        <v>2681</v>
      </c>
      <c r="C784" s="14" t="s">
        <v>36</v>
      </c>
      <c r="D784" s="42"/>
      <c r="E784" s="42" t="s">
        <v>47</v>
      </c>
      <c r="F784" s="43"/>
      <c r="G784" s="60"/>
      <c r="H784" s="44">
        <v>3000</v>
      </c>
      <c r="I784" s="6">
        <f t="shared" si="54"/>
        <v>0</v>
      </c>
      <c r="J784" s="42"/>
      <c r="K784" s="42"/>
      <c r="L784" s="42"/>
      <c r="M784" s="42"/>
      <c r="N784" s="42"/>
      <c r="O784" s="60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</row>
    <row r="785" spans="1:28" x14ac:dyDescent="0.25">
      <c r="A785" s="4">
        <v>46243</v>
      </c>
      <c r="B785" s="8" t="s">
        <v>55</v>
      </c>
      <c r="C785" s="8" t="s">
        <v>56</v>
      </c>
      <c r="D785" s="8" t="s">
        <v>39</v>
      </c>
      <c r="E785" s="8" t="s">
        <v>47</v>
      </c>
      <c r="F785" s="13"/>
      <c r="G785" s="59"/>
      <c r="H785" s="6"/>
      <c r="I785" s="6">
        <f t="shared" si="54"/>
        <v>0</v>
      </c>
      <c r="J785" s="2" t="s">
        <v>548</v>
      </c>
      <c r="K785" s="2" t="s">
        <v>548</v>
      </c>
      <c r="L785" s="2" t="s">
        <v>548</v>
      </c>
      <c r="M785" s="2" t="s">
        <v>45</v>
      </c>
      <c r="N785" s="2" t="s">
        <v>548</v>
      </c>
      <c r="O785" s="56">
        <v>0</v>
      </c>
      <c r="P785" s="2" t="s">
        <v>45</v>
      </c>
      <c r="Q785" s="2" t="s">
        <v>45</v>
      </c>
      <c r="R785" s="2" t="s">
        <v>548</v>
      </c>
      <c r="S785" s="2" t="s">
        <v>548</v>
      </c>
      <c r="T785" s="2" t="s">
        <v>45</v>
      </c>
      <c r="U785" s="2" t="s">
        <v>548</v>
      </c>
      <c r="V785" s="2" t="s">
        <v>45</v>
      </c>
      <c r="W785" s="2">
        <v>9296.65</v>
      </c>
      <c r="X785" s="2" t="s">
        <v>2950</v>
      </c>
      <c r="Y785" s="2" t="s">
        <v>2951</v>
      </c>
      <c r="Z785" s="2" t="s">
        <v>548</v>
      </c>
      <c r="AA785" s="2" t="s">
        <v>45</v>
      </c>
      <c r="AB785" s="2">
        <v>291.60000000000002</v>
      </c>
    </row>
    <row r="786" spans="1:28" x14ac:dyDescent="0.25">
      <c r="A786" s="4">
        <v>46243</v>
      </c>
      <c r="B786" s="8" t="s">
        <v>55</v>
      </c>
      <c r="C786" s="8" t="s">
        <v>56</v>
      </c>
      <c r="D786" s="8" t="s">
        <v>43</v>
      </c>
      <c r="E786" s="8" t="s">
        <v>47</v>
      </c>
      <c r="F786" s="13"/>
      <c r="G786" s="59"/>
      <c r="H786" s="6"/>
      <c r="I786" s="6">
        <f t="shared" si="54"/>
        <v>0</v>
      </c>
      <c r="J786" s="2" t="s">
        <v>548</v>
      </c>
      <c r="K786" s="2" t="s">
        <v>548</v>
      </c>
      <c r="L786" s="2" t="s">
        <v>548</v>
      </c>
      <c r="M786" s="2" t="s">
        <v>45</v>
      </c>
      <c r="N786" s="2" t="s">
        <v>45</v>
      </c>
      <c r="O786" s="56">
        <v>0</v>
      </c>
      <c r="P786" s="2" t="s">
        <v>45</v>
      </c>
      <c r="Q786" s="2" t="s">
        <v>45</v>
      </c>
      <c r="R786" s="2" t="s">
        <v>548</v>
      </c>
      <c r="S786" s="2" t="s">
        <v>548</v>
      </c>
      <c r="T786" s="2" t="s">
        <v>45</v>
      </c>
      <c r="U786" s="2" t="s">
        <v>548</v>
      </c>
      <c r="V786" s="2" t="s">
        <v>45</v>
      </c>
      <c r="W786" s="2">
        <v>8897.2199999999993</v>
      </c>
      <c r="X786" s="2" t="s">
        <v>45</v>
      </c>
      <c r="Y786" s="2" t="s">
        <v>45</v>
      </c>
      <c r="Z786" s="2" t="s">
        <v>548</v>
      </c>
      <c r="AA786" s="2" t="s">
        <v>45</v>
      </c>
      <c r="AB786" s="2">
        <v>263.2</v>
      </c>
    </row>
    <row r="787" spans="1:28" x14ac:dyDescent="0.25">
      <c r="A787" s="4">
        <v>46243</v>
      </c>
      <c r="B787" s="8" t="s">
        <v>55</v>
      </c>
      <c r="C787" s="8" t="s">
        <v>56</v>
      </c>
      <c r="D787" s="8" t="s">
        <v>67</v>
      </c>
      <c r="E787" s="8" t="s">
        <v>47</v>
      </c>
      <c r="F787" s="13"/>
      <c r="G787" s="59"/>
      <c r="H787" s="6"/>
      <c r="I787" s="6">
        <f t="shared" si="54"/>
        <v>0</v>
      </c>
      <c r="J787" s="2" t="s">
        <v>45</v>
      </c>
      <c r="K787" s="2" t="s">
        <v>45</v>
      </c>
      <c r="L787" s="2" t="s">
        <v>45</v>
      </c>
      <c r="M787" s="2" t="s">
        <v>45</v>
      </c>
      <c r="N787" s="2" t="s">
        <v>45</v>
      </c>
      <c r="O787" s="56" t="s">
        <v>45</v>
      </c>
      <c r="P787" s="2" t="s">
        <v>45</v>
      </c>
      <c r="Q787" s="2" t="s">
        <v>45</v>
      </c>
      <c r="R787" s="2" t="s">
        <v>45</v>
      </c>
      <c r="S787" s="2" t="s">
        <v>45</v>
      </c>
      <c r="T787" s="2" t="s">
        <v>45</v>
      </c>
      <c r="U787" s="2" t="s">
        <v>45</v>
      </c>
      <c r="V787" s="2" t="s">
        <v>45</v>
      </c>
      <c r="W787" s="2" t="s">
        <v>45</v>
      </c>
      <c r="X787" s="2" t="s">
        <v>45</v>
      </c>
      <c r="Y787" s="2" t="s">
        <v>45</v>
      </c>
      <c r="Z787" s="2" t="s">
        <v>45</v>
      </c>
      <c r="AA787" s="2" t="s">
        <v>45</v>
      </c>
      <c r="AB787" s="2" t="s">
        <v>45</v>
      </c>
    </row>
    <row r="788" spans="1:28" x14ac:dyDescent="0.25">
      <c r="A788" s="4">
        <v>46243</v>
      </c>
      <c r="B788" s="8" t="s">
        <v>55</v>
      </c>
      <c r="C788" s="8" t="s">
        <v>56</v>
      </c>
      <c r="D788" s="8" t="s">
        <v>50</v>
      </c>
      <c r="E788" s="8" t="s">
        <v>47</v>
      </c>
      <c r="F788" s="13"/>
      <c r="G788" s="59"/>
      <c r="H788" s="6"/>
      <c r="I788" s="6">
        <f t="shared" si="54"/>
        <v>0</v>
      </c>
      <c r="J788" s="2" t="s">
        <v>548</v>
      </c>
      <c r="K788" s="2" t="s">
        <v>548</v>
      </c>
      <c r="L788" s="2" t="s">
        <v>548</v>
      </c>
      <c r="M788" s="2" t="s">
        <v>45</v>
      </c>
      <c r="N788" s="2" t="s">
        <v>548</v>
      </c>
      <c r="O788" s="79">
        <v>0</v>
      </c>
      <c r="P788" s="2" t="s">
        <v>45</v>
      </c>
      <c r="Q788" s="2" t="s">
        <v>45</v>
      </c>
      <c r="R788" s="2" t="s">
        <v>548</v>
      </c>
      <c r="S788" s="2" t="s">
        <v>548</v>
      </c>
      <c r="T788" s="2" t="s">
        <v>45</v>
      </c>
      <c r="U788" s="2" t="s">
        <v>548</v>
      </c>
      <c r="V788" s="2" t="s">
        <v>45</v>
      </c>
      <c r="W788" s="2">
        <v>2549.86</v>
      </c>
      <c r="X788" s="2" t="s">
        <v>2956</v>
      </c>
      <c r="Y788" s="2" t="s">
        <v>2957</v>
      </c>
      <c r="Z788" s="2" t="s">
        <v>548</v>
      </c>
      <c r="AA788" s="2" t="s">
        <v>45</v>
      </c>
      <c r="AB788" s="2">
        <v>331.5</v>
      </c>
    </row>
    <row r="789" spans="1:28" x14ac:dyDescent="0.25">
      <c r="A789" s="4">
        <v>46243</v>
      </c>
      <c r="B789" s="8" t="s">
        <v>55</v>
      </c>
      <c r="C789" s="8" t="s">
        <v>56</v>
      </c>
      <c r="D789" s="8" t="s">
        <v>52</v>
      </c>
      <c r="E789" s="8" t="s">
        <v>47</v>
      </c>
      <c r="F789" s="13"/>
      <c r="G789" s="59"/>
      <c r="H789" s="6"/>
      <c r="I789" s="6">
        <f t="shared" si="54"/>
        <v>0</v>
      </c>
      <c r="J789" s="2" t="s">
        <v>45</v>
      </c>
      <c r="K789" s="2" t="s">
        <v>45</v>
      </c>
      <c r="L789" s="2" t="s">
        <v>45</v>
      </c>
      <c r="M789" s="2" t="s">
        <v>45</v>
      </c>
      <c r="N789" s="2" t="s">
        <v>45</v>
      </c>
      <c r="O789" s="79" t="s">
        <v>45</v>
      </c>
      <c r="P789" s="2" t="s">
        <v>45</v>
      </c>
      <c r="Q789" s="2" t="s">
        <v>45</v>
      </c>
      <c r="R789" s="2" t="s">
        <v>45</v>
      </c>
      <c r="S789" s="2" t="s">
        <v>45</v>
      </c>
      <c r="T789" s="2" t="s">
        <v>45</v>
      </c>
      <c r="U789" s="2" t="s">
        <v>45</v>
      </c>
      <c r="V789" s="2" t="s">
        <v>45</v>
      </c>
      <c r="W789" s="2" t="s">
        <v>45</v>
      </c>
      <c r="X789" s="2" t="s">
        <v>45</v>
      </c>
      <c r="Y789" s="2" t="s">
        <v>45</v>
      </c>
      <c r="Z789" s="2" t="s">
        <v>45</v>
      </c>
      <c r="AA789" s="2" t="s">
        <v>45</v>
      </c>
      <c r="AB789" s="2" t="s">
        <v>45</v>
      </c>
    </row>
    <row r="790" spans="1:28" x14ac:dyDescent="0.25">
      <c r="A790" s="4">
        <v>46243</v>
      </c>
      <c r="B790" s="8" t="s">
        <v>55</v>
      </c>
      <c r="C790" s="8" t="s">
        <v>56</v>
      </c>
      <c r="D790" s="7" t="s">
        <v>46</v>
      </c>
      <c r="E790" s="7" t="s">
        <v>47</v>
      </c>
      <c r="F790" s="13"/>
      <c r="G790" s="59"/>
      <c r="H790" s="6"/>
      <c r="I790" s="6">
        <f t="shared" si="54"/>
        <v>0</v>
      </c>
      <c r="J790" s="2" t="s">
        <v>548</v>
      </c>
      <c r="K790" s="2" t="s">
        <v>548</v>
      </c>
      <c r="L790" s="2" t="s">
        <v>548</v>
      </c>
      <c r="M790" s="2" t="s">
        <v>45</v>
      </c>
      <c r="N790" s="2" t="s">
        <v>548</v>
      </c>
      <c r="O790" s="79">
        <v>0</v>
      </c>
      <c r="P790" s="2" t="s">
        <v>45</v>
      </c>
      <c r="Q790" s="2" t="s">
        <v>45</v>
      </c>
      <c r="R790" s="2" t="s">
        <v>548</v>
      </c>
      <c r="S790" s="2" t="s">
        <v>548</v>
      </c>
      <c r="T790" s="2" t="s">
        <v>45</v>
      </c>
      <c r="U790" s="2" t="s">
        <v>548</v>
      </c>
      <c r="V790" s="2" t="s">
        <v>45</v>
      </c>
      <c r="W790" s="2">
        <v>8104.33</v>
      </c>
      <c r="X790" s="2" t="s">
        <v>2962</v>
      </c>
      <c r="Y790" s="2" t="s">
        <v>2963</v>
      </c>
      <c r="Z790" s="2" t="s">
        <v>548</v>
      </c>
      <c r="AA790" s="2" t="s">
        <v>45</v>
      </c>
      <c r="AB790" s="2">
        <v>254.6</v>
      </c>
    </row>
    <row r="791" spans="1:28" x14ac:dyDescent="0.25">
      <c r="A791" s="4">
        <v>46243</v>
      </c>
      <c r="B791" s="8" t="s">
        <v>2681</v>
      </c>
      <c r="C791" s="8" t="s">
        <v>36</v>
      </c>
      <c r="D791" s="8" t="s">
        <v>48</v>
      </c>
      <c r="E791" s="7" t="s">
        <v>38</v>
      </c>
      <c r="F791" s="13">
        <v>4650</v>
      </c>
      <c r="G791" s="59"/>
      <c r="H791" s="6">
        <f>24000/7</f>
        <v>3428.5714285714284</v>
      </c>
      <c r="I791" s="6">
        <f t="shared" si="54"/>
        <v>764.8026315789474</v>
      </c>
      <c r="J791" s="2">
        <v>6.93</v>
      </c>
      <c r="K791" s="2">
        <v>6.08</v>
      </c>
      <c r="L791" s="2">
        <v>0.85</v>
      </c>
      <c r="M791" s="2">
        <v>12.27</v>
      </c>
      <c r="N791" s="2" t="s">
        <v>2971</v>
      </c>
      <c r="O791" s="79">
        <v>4650</v>
      </c>
      <c r="P791" s="2">
        <v>5.64</v>
      </c>
      <c r="Q791" s="2">
        <v>19.77</v>
      </c>
      <c r="R791" s="2">
        <v>235.17</v>
      </c>
      <c r="S791" s="2">
        <v>5.2</v>
      </c>
      <c r="T791" s="2">
        <v>6.12</v>
      </c>
      <c r="U791" s="2">
        <v>229.96</v>
      </c>
      <c r="V791" s="2">
        <v>37.83</v>
      </c>
      <c r="W791" s="2">
        <v>6717.1</v>
      </c>
      <c r="X791" s="2" t="s">
        <v>2972</v>
      </c>
      <c r="Y791" s="2" t="s">
        <v>2973</v>
      </c>
      <c r="Z791" s="2" t="s">
        <v>548</v>
      </c>
      <c r="AA791" s="2" t="s">
        <v>548</v>
      </c>
      <c r="AB791" s="2">
        <v>49.3</v>
      </c>
    </row>
    <row r="792" spans="1:28" x14ac:dyDescent="0.25">
      <c r="A792" s="4">
        <v>46243</v>
      </c>
      <c r="B792" s="8" t="s">
        <v>55</v>
      </c>
      <c r="C792" s="8" t="s">
        <v>56</v>
      </c>
      <c r="D792" s="8" t="s">
        <v>49</v>
      </c>
      <c r="E792" s="8" t="s">
        <v>47</v>
      </c>
      <c r="F792" s="13"/>
      <c r="G792" s="59"/>
      <c r="H792" s="6"/>
      <c r="I792" s="6">
        <f t="shared" si="54"/>
        <v>0</v>
      </c>
      <c r="J792" s="2" t="s">
        <v>45</v>
      </c>
      <c r="K792" s="2" t="s">
        <v>45</v>
      </c>
      <c r="L792" s="2" t="s">
        <v>45</v>
      </c>
      <c r="M792" s="2" t="s">
        <v>45</v>
      </c>
      <c r="N792" s="2" t="s">
        <v>45</v>
      </c>
      <c r="O792" s="79" t="s">
        <v>45</v>
      </c>
      <c r="P792" s="2" t="s">
        <v>45</v>
      </c>
      <c r="Q792" s="2" t="s">
        <v>45</v>
      </c>
      <c r="R792" s="2" t="s">
        <v>45</v>
      </c>
      <c r="S792" s="2" t="s">
        <v>45</v>
      </c>
      <c r="T792" s="2" t="s">
        <v>45</v>
      </c>
      <c r="U792" s="2" t="s">
        <v>45</v>
      </c>
      <c r="V792" s="2" t="s">
        <v>45</v>
      </c>
      <c r="W792" s="2" t="s">
        <v>45</v>
      </c>
      <c r="X792" s="2" t="s">
        <v>45</v>
      </c>
      <c r="Y792" s="2" t="s">
        <v>45</v>
      </c>
      <c r="Z792" s="2" t="s">
        <v>45</v>
      </c>
      <c r="AA792" s="2" t="s">
        <v>45</v>
      </c>
      <c r="AB792" s="2" t="s">
        <v>45</v>
      </c>
    </row>
    <row r="793" spans="1:28" x14ac:dyDescent="0.25">
      <c r="A793" s="4">
        <v>46244</v>
      </c>
      <c r="B793" s="8" t="s">
        <v>2974</v>
      </c>
      <c r="C793" s="8" t="s">
        <v>36</v>
      </c>
      <c r="D793" s="8" t="s">
        <v>39</v>
      </c>
      <c r="E793" s="8" t="s">
        <v>47</v>
      </c>
      <c r="F793" s="13"/>
      <c r="G793" s="59"/>
      <c r="H793" s="6">
        <f>15000/7</f>
        <v>2142.8571428571427</v>
      </c>
      <c r="I793" s="6">
        <f t="shared" si="54"/>
        <v>331.76943699731902</v>
      </c>
      <c r="J793" s="2">
        <v>8.86</v>
      </c>
      <c r="K793" s="2">
        <v>7.46</v>
      </c>
      <c r="L793" s="2">
        <v>1.4</v>
      </c>
      <c r="M793" s="2">
        <v>15.81</v>
      </c>
      <c r="N793" s="2" t="s">
        <v>2975</v>
      </c>
      <c r="O793" s="56">
        <v>2475</v>
      </c>
      <c r="P793" s="2">
        <v>1.58</v>
      </c>
      <c r="Q793" s="2">
        <v>9.84</v>
      </c>
      <c r="R793" s="2">
        <v>150.94</v>
      </c>
      <c r="S793" s="2">
        <v>6.15</v>
      </c>
      <c r="T793" s="2">
        <v>4.3899999999999997</v>
      </c>
      <c r="U793" s="2">
        <v>144.79</v>
      </c>
      <c r="V793" s="2">
        <v>19.420000000000002</v>
      </c>
      <c r="W793" s="2">
        <v>9305.5</v>
      </c>
      <c r="X793" s="2" t="s">
        <v>2976</v>
      </c>
      <c r="Y793" s="2" t="s">
        <v>2977</v>
      </c>
      <c r="Z793" s="2">
        <v>0.2</v>
      </c>
      <c r="AA793" s="2" t="s">
        <v>548</v>
      </c>
      <c r="AB793" s="2">
        <v>291.8</v>
      </c>
    </row>
    <row r="794" spans="1:28" x14ac:dyDescent="0.25">
      <c r="A794" s="4">
        <v>46244</v>
      </c>
      <c r="B794" s="8" t="s">
        <v>2974</v>
      </c>
      <c r="C794" s="8" t="s">
        <v>36</v>
      </c>
      <c r="D794" s="8" t="s">
        <v>43</v>
      </c>
      <c r="E794" s="8" t="s">
        <v>47</v>
      </c>
      <c r="F794" s="13"/>
      <c r="G794" s="59"/>
      <c r="H794" s="6">
        <f>15000/7</f>
        <v>2142.8571428571427</v>
      </c>
      <c r="I794" s="6">
        <f t="shared" si="54"/>
        <v>37.313432835820898</v>
      </c>
      <c r="J794" s="2">
        <v>2.46</v>
      </c>
      <c r="K794" s="2">
        <v>2.0099999999999998</v>
      </c>
      <c r="L794" s="2">
        <v>0.45</v>
      </c>
      <c r="M794" s="2">
        <v>18.309999999999999</v>
      </c>
      <c r="N794" s="2" t="s">
        <v>45</v>
      </c>
      <c r="O794" s="56">
        <v>75</v>
      </c>
      <c r="P794" s="2" t="s">
        <v>45</v>
      </c>
      <c r="Q794" s="2" t="s">
        <v>45</v>
      </c>
      <c r="R794" s="2">
        <v>35.49</v>
      </c>
      <c r="S794" s="2">
        <v>1.42</v>
      </c>
      <c r="T794" s="2">
        <v>3.15</v>
      </c>
      <c r="U794" s="2">
        <v>34.07</v>
      </c>
      <c r="V794" s="2">
        <v>16.97</v>
      </c>
      <c r="W794" s="2">
        <v>8899.67</v>
      </c>
      <c r="X794" s="2" t="s">
        <v>45</v>
      </c>
      <c r="Y794" s="2" t="s">
        <v>45</v>
      </c>
      <c r="Z794" s="2">
        <v>0.4</v>
      </c>
      <c r="AA794" s="2" t="s">
        <v>45</v>
      </c>
      <c r="AB794" s="2">
        <v>263.60000000000002</v>
      </c>
    </row>
    <row r="795" spans="1:28" x14ac:dyDescent="0.25">
      <c r="A795" s="4">
        <v>46244</v>
      </c>
      <c r="B795" s="8" t="s">
        <v>2974</v>
      </c>
      <c r="C795" s="8" t="s">
        <v>36</v>
      </c>
      <c r="D795" s="8" t="s">
        <v>67</v>
      </c>
      <c r="E795" s="8" t="s">
        <v>47</v>
      </c>
      <c r="F795" s="13"/>
      <c r="G795" s="59"/>
      <c r="H795" s="6">
        <f>15000/7</f>
        <v>2142.8571428571427</v>
      </c>
      <c r="I795" s="6">
        <f t="shared" si="54"/>
        <v>258.160237388724</v>
      </c>
      <c r="J795" s="2">
        <v>8.94</v>
      </c>
      <c r="K795" s="2">
        <v>6.74</v>
      </c>
      <c r="L795" s="2">
        <v>2.2000000000000002</v>
      </c>
      <c r="M795" s="2">
        <v>24.62</v>
      </c>
      <c r="N795" s="2" t="s">
        <v>2978</v>
      </c>
      <c r="O795" s="56">
        <f>2665-O796</f>
        <v>1740</v>
      </c>
      <c r="P795" s="2">
        <v>2.1800000000000002</v>
      </c>
      <c r="Q795" s="2">
        <v>17.82</v>
      </c>
      <c r="R795" s="2">
        <v>149.52000000000001</v>
      </c>
      <c r="S795" s="2">
        <v>8.0399999999999991</v>
      </c>
      <c r="T795" s="2">
        <v>3.66</v>
      </c>
      <c r="U795" s="2">
        <v>141.47999999999999</v>
      </c>
      <c r="V795" s="2">
        <v>21.01</v>
      </c>
      <c r="W795" s="2">
        <v>694.05</v>
      </c>
      <c r="X795" s="2" t="s">
        <v>2979</v>
      </c>
      <c r="Y795" s="2" t="s">
        <v>2980</v>
      </c>
      <c r="Z795" s="2">
        <v>0.8</v>
      </c>
      <c r="AA795" s="2" t="s">
        <v>548</v>
      </c>
      <c r="AB795" s="2">
        <v>67.599999999999994</v>
      </c>
    </row>
    <row r="796" spans="1:28" x14ac:dyDescent="0.25">
      <c r="A796" s="4">
        <v>46244</v>
      </c>
      <c r="B796" s="8" t="s">
        <v>2974</v>
      </c>
      <c r="C796" s="8" t="s">
        <v>36</v>
      </c>
      <c r="D796" s="8" t="s">
        <v>67</v>
      </c>
      <c r="E796" s="8" t="s">
        <v>61</v>
      </c>
      <c r="F796" s="13"/>
      <c r="G796" s="59"/>
      <c r="H796" s="6"/>
      <c r="I796" s="6"/>
      <c r="J796" s="2"/>
      <c r="K796" s="2"/>
      <c r="L796" s="2"/>
      <c r="M796" s="2"/>
      <c r="N796" s="2"/>
      <c r="O796" s="56">
        <f>37*25</f>
        <v>925</v>
      </c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>
        <v>46244</v>
      </c>
      <c r="B797" s="8" t="s">
        <v>2974</v>
      </c>
      <c r="C797" s="8" t="s">
        <v>36</v>
      </c>
      <c r="D797" s="8" t="s">
        <v>50</v>
      </c>
      <c r="E797" s="8" t="s">
        <v>47</v>
      </c>
      <c r="F797" s="13"/>
      <c r="G797" s="59"/>
      <c r="H797" s="6">
        <f>15000/7</f>
        <v>2142.8571428571427</v>
      </c>
      <c r="I797" s="6">
        <f t="shared" ref="I797:I804" si="56">IFERROR(O797/K797,)</f>
        <v>0</v>
      </c>
      <c r="J797" s="2">
        <v>1.36</v>
      </c>
      <c r="K797" s="2">
        <v>0.66</v>
      </c>
      <c r="L797" s="2">
        <v>0.7</v>
      </c>
      <c r="M797" s="2">
        <v>51.39</v>
      </c>
      <c r="N797" s="2" t="s">
        <v>548</v>
      </c>
      <c r="O797" s="56">
        <v>0</v>
      </c>
      <c r="P797" s="2" t="s">
        <v>45</v>
      </c>
      <c r="Q797" s="2" t="s">
        <v>548</v>
      </c>
      <c r="R797" s="2">
        <v>10.88</v>
      </c>
      <c r="S797" s="2">
        <v>2.37</v>
      </c>
      <c r="T797" s="2">
        <v>3.38</v>
      </c>
      <c r="U797" s="2">
        <v>8.52</v>
      </c>
      <c r="V797" s="2">
        <v>12.86</v>
      </c>
      <c r="W797" s="2">
        <v>2551.2199999999998</v>
      </c>
      <c r="X797" s="2" t="s">
        <v>2956</v>
      </c>
      <c r="Y797" s="2" t="s">
        <v>2957</v>
      </c>
      <c r="Z797" s="2">
        <v>0.3</v>
      </c>
      <c r="AA797" s="2" t="s">
        <v>45</v>
      </c>
      <c r="AB797" s="2">
        <v>331.8</v>
      </c>
    </row>
    <row r="798" spans="1:28" x14ac:dyDescent="0.25">
      <c r="A798" s="4">
        <v>46244</v>
      </c>
      <c r="B798" s="8" t="s">
        <v>2974</v>
      </c>
      <c r="C798" s="8" t="s">
        <v>36</v>
      </c>
      <c r="D798" s="8" t="s">
        <v>52</v>
      </c>
      <c r="E798" s="8" t="s">
        <v>47</v>
      </c>
      <c r="F798" s="13"/>
      <c r="G798" s="59"/>
      <c r="H798" s="6">
        <f>15000/7</f>
        <v>2142.8571428571427</v>
      </c>
      <c r="I798" s="6">
        <f t="shared" si="56"/>
        <v>144.85049833887044</v>
      </c>
      <c r="J798" s="2">
        <v>10.73</v>
      </c>
      <c r="K798" s="2">
        <v>9.0299999999999994</v>
      </c>
      <c r="L798" s="2">
        <v>1.7</v>
      </c>
      <c r="M798" s="2">
        <v>15.85</v>
      </c>
      <c r="N798" s="2" t="s">
        <v>2981</v>
      </c>
      <c r="O798" s="56">
        <v>1308</v>
      </c>
      <c r="P798" s="2">
        <v>1.65</v>
      </c>
      <c r="Q798" s="2">
        <v>6.79</v>
      </c>
      <c r="R798" s="2">
        <v>192.58</v>
      </c>
      <c r="S798" s="2">
        <v>6.15</v>
      </c>
      <c r="T798" s="2">
        <v>3.62</v>
      </c>
      <c r="U798" s="2">
        <v>186.43</v>
      </c>
      <c r="V798" s="2">
        <v>20.65</v>
      </c>
      <c r="W798" s="2">
        <v>1142.1500000000001</v>
      </c>
      <c r="X798" s="2" t="s">
        <v>2982</v>
      </c>
      <c r="Y798" s="2" t="s">
        <v>2983</v>
      </c>
      <c r="Z798" s="2">
        <v>0.5</v>
      </c>
      <c r="AA798" s="2" t="s">
        <v>548</v>
      </c>
      <c r="AB798" s="2">
        <v>119.8</v>
      </c>
    </row>
    <row r="799" spans="1:28" x14ac:dyDescent="0.25">
      <c r="A799" s="4">
        <v>46244</v>
      </c>
      <c r="B799" s="8" t="s">
        <v>2974</v>
      </c>
      <c r="C799" s="8" t="s">
        <v>36</v>
      </c>
      <c r="D799" s="7" t="s">
        <v>46</v>
      </c>
      <c r="E799" s="8" t="s">
        <v>47</v>
      </c>
      <c r="F799" s="13"/>
      <c r="G799" s="59"/>
      <c r="H799" s="6">
        <f>15000/7</f>
        <v>2142.8571428571427</v>
      </c>
      <c r="I799" s="6">
        <f t="shared" si="56"/>
        <v>337.05953827460507</v>
      </c>
      <c r="J799" s="2">
        <v>8.7799999999999994</v>
      </c>
      <c r="K799" s="2">
        <v>8.23</v>
      </c>
      <c r="L799" s="2">
        <v>0.55000000000000004</v>
      </c>
      <c r="M799" s="2">
        <v>6.26</v>
      </c>
      <c r="N799" s="2" t="s">
        <v>2984</v>
      </c>
      <c r="O799" s="56">
        <v>2774</v>
      </c>
      <c r="P799" s="2">
        <v>2.94</v>
      </c>
      <c r="Q799" s="2">
        <v>10.74</v>
      </c>
      <c r="R799" s="2">
        <v>258.35000000000002</v>
      </c>
      <c r="S799" s="2">
        <v>3.31</v>
      </c>
      <c r="T799" s="2">
        <v>6.02</v>
      </c>
      <c r="U799" s="2">
        <v>255.04</v>
      </c>
      <c r="V799" s="2">
        <v>30.98</v>
      </c>
      <c r="W799" s="2">
        <v>8113.11</v>
      </c>
      <c r="X799" s="2" t="s">
        <v>2985</v>
      </c>
      <c r="Y799" s="2" t="s">
        <v>2986</v>
      </c>
      <c r="Z799" s="2">
        <v>0.5</v>
      </c>
      <c r="AA799" s="2" t="s">
        <v>548</v>
      </c>
      <c r="AB799" s="2">
        <v>255.1</v>
      </c>
    </row>
    <row r="800" spans="1:28" x14ac:dyDescent="0.25">
      <c r="A800" s="4">
        <v>46244</v>
      </c>
      <c r="B800" s="8" t="s">
        <v>2974</v>
      </c>
      <c r="C800" s="8" t="s">
        <v>36</v>
      </c>
      <c r="D800" s="8" t="s">
        <v>48</v>
      </c>
      <c r="E800" s="7" t="s">
        <v>38</v>
      </c>
      <c r="F800" s="13">
        <v>6365</v>
      </c>
      <c r="G800" s="59"/>
      <c r="H800" s="6">
        <f>24000/6</f>
        <v>4000</v>
      </c>
      <c r="I800" s="6">
        <f t="shared" si="56"/>
        <v>601.03871576959398</v>
      </c>
      <c r="J800" s="2">
        <v>11.74</v>
      </c>
      <c r="K800" s="2">
        <v>10.59</v>
      </c>
      <c r="L800" s="2">
        <v>1.1499999999999999</v>
      </c>
      <c r="M800" s="2">
        <v>9.8000000000000007</v>
      </c>
      <c r="N800" s="2" t="s">
        <v>2388</v>
      </c>
      <c r="O800" s="56">
        <v>6365</v>
      </c>
      <c r="P800" s="2">
        <v>5.47</v>
      </c>
      <c r="Q800" s="2">
        <v>15.53</v>
      </c>
      <c r="R800" s="2">
        <v>409.77</v>
      </c>
      <c r="S800" s="2">
        <v>7.57</v>
      </c>
      <c r="T800" s="2">
        <v>6.58</v>
      </c>
      <c r="U800" s="2">
        <v>402.2</v>
      </c>
      <c r="V800" s="2">
        <v>37.99</v>
      </c>
      <c r="W800" s="2">
        <v>6728.83</v>
      </c>
      <c r="X800" s="2" t="s">
        <v>2987</v>
      </c>
      <c r="Y800" s="2" t="s">
        <v>2988</v>
      </c>
      <c r="Z800" s="2">
        <v>0.1</v>
      </c>
      <c r="AA800" s="2" t="s">
        <v>548</v>
      </c>
      <c r="AB800" s="2">
        <v>49.4</v>
      </c>
    </row>
    <row r="801" spans="1:28" x14ac:dyDescent="0.25">
      <c r="A801" s="4">
        <v>46244</v>
      </c>
      <c r="B801" s="8" t="s">
        <v>2974</v>
      </c>
      <c r="C801" s="8" t="s">
        <v>36</v>
      </c>
      <c r="D801" s="8" t="s">
        <v>49</v>
      </c>
      <c r="E801" s="8" t="s">
        <v>47</v>
      </c>
      <c r="F801" s="13"/>
      <c r="G801" s="59"/>
      <c r="H801" s="6">
        <f>15000/7</f>
        <v>2142.8571428571427</v>
      </c>
      <c r="I801" s="6">
        <f t="shared" si="56"/>
        <v>359.55882352941171</v>
      </c>
      <c r="J801" s="2">
        <v>1.96</v>
      </c>
      <c r="K801" s="2">
        <v>1.36</v>
      </c>
      <c r="L801" s="2">
        <v>0.6</v>
      </c>
      <c r="M801" s="2">
        <v>30.64</v>
      </c>
      <c r="N801" s="2" t="s">
        <v>2989</v>
      </c>
      <c r="O801" s="56">
        <v>489</v>
      </c>
      <c r="P801" s="2">
        <v>3.15</v>
      </c>
      <c r="Q801" s="2">
        <v>8.99</v>
      </c>
      <c r="R801" s="2">
        <v>54.42</v>
      </c>
      <c r="S801" s="2">
        <v>3.79</v>
      </c>
      <c r="T801" s="2">
        <v>6.31</v>
      </c>
      <c r="U801" s="2">
        <v>50.63</v>
      </c>
      <c r="V801" s="2">
        <v>37.270000000000003</v>
      </c>
      <c r="W801" s="2">
        <v>2068.52</v>
      </c>
      <c r="X801" s="2" t="s">
        <v>2990</v>
      </c>
      <c r="Y801" s="2" t="s">
        <v>2991</v>
      </c>
      <c r="Z801" s="2" t="s">
        <v>548</v>
      </c>
      <c r="AA801" s="2" t="s">
        <v>548</v>
      </c>
      <c r="AB801" s="2">
        <v>5.6</v>
      </c>
    </row>
    <row r="802" spans="1:28" x14ac:dyDescent="0.25">
      <c r="A802" s="4">
        <v>46245</v>
      </c>
      <c r="B802" s="8" t="s">
        <v>2974</v>
      </c>
      <c r="C802" s="8" t="s">
        <v>36</v>
      </c>
      <c r="D802" s="8" t="s">
        <v>39</v>
      </c>
      <c r="E802" s="8" t="s">
        <v>47</v>
      </c>
      <c r="F802" s="13"/>
      <c r="G802" s="59"/>
      <c r="H802" s="6">
        <f>15000/5</f>
        <v>3000</v>
      </c>
      <c r="I802" s="6">
        <f t="shared" si="56"/>
        <v>247.074122236671</v>
      </c>
      <c r="J802" s="2">
        <v>8.24</v>
      </c>
      <c r="K802" s="2">
        <v>7.69</v>
      </c>
      <c r="L802" s="2">
        <v>0.55000000000000004</v>
      </c>
      <c r="M802" s="2">
        <v>6.68</v>
      </c>
      <c r="N802" s="2" t="s">
        <v>1975</v>
      </c>
      <c r="O802" s="56">
        <v>1900</v>
      </c>
      <c r="P802" s="2">
        <v>1.59</v>
      </c>
      <c r="Q802" s="2">
        <v>11.53</v>
      </c>
      <c r="R802" s="2">
        <v>151.41999999999999</v>
      </c>
      <c r="S802" s="2">
        <v>2.37</v>
      </c>
      <c r="T802" s="2">
        <v>4.3</v>
      </c>
      <c r="U802" s="2">
        <v>149.05000000000001</v>
      </c>
      <c r="V802" s="2">
        <v>19.39</v>
      </c>
      <c r="W802" s="2">
        <v>9313.74</v>
      </c>
      <c r="X802" s="2" t="s">
        <v>2992</v>
      </c>
      <c r="Y802" s="2" t="s">
        <v>2993</v>
      </c>
      <c r="Z802" s="2" t="s">
        <v>548</v>
      </c>
      <c r="AA802" s="2" t="s">
        <v>548</v>
      </c>
      <c r="AB802" s="2">
        <v>291.8</v>
      </c>
    </row>
    <row r="803" spans="1:28" x14ac:dyDescent="0.25">
      <c r="A803" s="4">
        <v>46245</v>
      </c>
      <c r="B803" s="8" t="s">
        <v>2974</v>
      </c>
      <c r="C803" s="8" t="s">
        <v>36</v>
      </c>
      <c r="D803" s="8" t="s">
        <v>43</v>
      </c>
      <c r="E803" s="8" t="s">
        <v>2994</v>
      </c>
      <c r="F803" s="13"/>
      <c r="G803" s="59"/>
      <c r="H803" s="6"/>
      <c r="I803" s="6">
        <f t="shared" si="56"/>
        <v>0</v>
      </c>
      <c r="J803" s="2" t="s">
        <v>45</v>
      </c>
      <c r="K803" s="2" t="s">
        <v>45</v>
      </c>
      <c r="L803" s="2" t="s">
        <v>45</v>
      </c>
      <c r="M803" s="2" t="s">
        <v>45</v>
      </c>
      <c r="N803" s="2" t="s">
        <v>45</v>
      </c>
      <c r="O803" s="56">
        <v>450</v>
      </c>
      <c r="P803" s="2" t="s">
        <v>45</v>
      </c>
      <c r="Q803" s="2" t="s">
        <v>45</v>
      </c>
      <c r="R803" s="2" t="s">
        <v>45</v>
      </c>
      <c r="S803" s="2" t="s">
        <v>45</v>
      </c>
      <c r="T803" s="2" t="s">
        <v>45</v>
      </c>
      <c r="U803" s="2" t="s">
        <v>45</v>
      </c>
      <c r="V803" s="2" t="s">
        <v>45</v>
      </c>
      <c r="W803" s="2" t="s">
        <v>45</v>
      </c>
      <c r="X803" s="2" t="s">
        <v>45</v>
      </c>
      <c r="Y803" s="2" t="s">
        <v>45</v>
      </c>
      <c r="Z803" s="2" t="s">
        <v>45</v>
      </c>
      <c r="AA803" s="2" t="s">
        <v>45</v>
      </c>
      <c r="AB803" s="2" t="s">
        <v>45</v>
      </c>
    </row>
    <row r="804" spans="1:28" x14ac:dyDescent="0.25">
      <c r="A804" s="4">
        <v>46245</v>
      </c>
      <c r="B804" s="8" t="s">
        <v>2974</v>
      </c>
      <c r="C804" s="8" t="s">
        <v>36</v>
      </c>
      <c r="D804" s="8" t="s">
        <v>67</v>
      </c>
      <c r="E804" s="8" t="s">
        <v>61</v>
      </c>
      <c r="F804" s="13"/>
      <c r="G804" s="59"/>
      <c r="H804" s="6"/>
      <c r="I804" s="6">
        <f t="shared" si="56"/>
        <v>307.66045548654245</v>
      </c>
      <c r="J804" s="2">
        <v>13.16</v>
      </c>
      <c r="K804" s="2">
        <v>9.66</v>
      </c>
      <c r="L804" s="2">
        <v>3.5</v>
      </c>
      <c r="M804" s="2">
        <v>26.59</v>
      </c>
      <c r="N804" s="2" t="s">
        <v>2995</v>
      </c>
      <c r="O804" s="56">
        <f>3872-O805</f>
        <v>2972</v>
      </c>
      <c r="P804" s="2">
        <v>2.42</v>
      </c>
      <c r="Q804" s="2">
        <v>18.18</v>
      </c>
      <c r="R804" s="2">
        <v>212.93</v>
      </c>
      <c r="S804" s="2">
        <v>11.36</v>
      </c>
      <c r="T804" s="2">
        <v>3.24</v>
      </c>
      <c r="U804" s="2">
        <v>201.57</v>
      </c>
      <c r="V804" s="2">
        <v>20.86</v>
      </c>
      <c r="W804" s="2">
        <v>707.22</v>
      </c>
      <c r="X804" s="2" t="s">
        <v>2996</v>
      </c>
      <c r="Y804" s="2" t="s">
        <v>2997</v>
      </c>
      <c r="Z804" s="2">
        <v>0.6</v>
      </c>
      <c r="AA804" s="2" t="s">
        <v>548</v>
      </c>
      <c r="AB804" s="2">
        <v>68.2</v>
      </c>
    </row>
    <row r="805" spans="1:28" x14ac:dyDescent="0.25">
      <c r="A805" s="4">
        <v>46245</v>
      </c>
      <c r="B805" s="8" t="s">
        <v>2974</v>
      </c>
      <c r="C805" s="8" t="s">
        <v>36</v>
      </c>
      <c r="D805" s="8" t="s">
        <v>67</v>
      </c>
      <c r="E805" s="8" t="s">
        <v>47</v>
      </c>
      <c r="F805" s="13"/>
      <c r="G805" s="59"/>
      <c r="H805" s="6">
        <f>15000/5</f>
        <v>3000</v>
      </c>
      <c r="I805" s="6"/>
      <c r="J805" s="2"/>
      <c r="K805" s="2"/>
      <c r="L805" s="2"/>
      <c r="M805" s="2"/>
      <c r="N805" s="2"/>
      <c r="O805" s="56">
        <f>36*25</f>
        <v>900</v>
      </c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>
        <v>46245</v>
      </c>
      <c r="B806" s="8" t="s">
        <v>2974</v>
      </c>
      <c r="C806" s="8" t="s">
        <v>36</v>
      </c>
      <c r="D806" s="8" t="s">
        <v>50</v>
      </c>
      <c r="E806" s="8" t="s">
        <v>61</v>
      </c>
      <c r="F806" s="13"/>
      <c r="G806" s="59"/>
      <c r="H806" s="6"/>
      <c r="I806" s="6">
        <f>IFERROR(O806/K806,)</f>
        <v>372.95285359801488</v>
      </c>
      <c r="J806" s="2">
        <v>5.58</v>
      </c>
      <c r="K806" s="2">
        <v>4.03</v>
      </c>
      <c r="L806" s="2">
        <v>1.55</v>
      </c>
      <c r="M806" s="2">
        <v>27.76</v>
      </c>
      <c r="N806" s="2" t="s">
        <v>2998</v>
      </c>
      <c r="O806" s="56">
        <v>1503</v>
      </c>
      <c r="P806" s="2">
        <v>2.14</v>
      </c>
      <c r="Q806" s="2">
        <v>16.12</v>
      </c>
      <c r="R806" s="2">
        <v>93.22</v>
      </c>
      <c r="S806" s="2">
        <v>6.15</v>
      </c>
      <c r="T806" s="2">
        <v>3.97</v>
      </c>
      <c r="U806" s="2">
        <v>87.06</v>
      </c>
      <c r="V806" s="2">
        <v>21.59</v>
      </c>
      <c r="W806" s="2">
        <v>2556.8000000000002</v>
      </c>
      <c r="X806" s="2" t="s">
        <v>2999</v>
      </c>
      <c r="Y806" s="2" t="s">
        <v>3000</v>
      </c>
      <c r="Z806" s="2">
        <v>1.5</v>
      </c>
      <c r="AA806" s="2" t="s">
        <v>548</v>
      </c>
      <c r="AB806" s="2">
        <v>333.3</v>
      </c>
    </row>
    <row r="807" spans="1:28" x14ac:dyDescent="0.25">
      <c r="A807" s="4">
        <v>46245</v>
      </c>
      <c r="B807" s="8" t="s">
        <v>2974</v>
      </c>
      <c r="C807" s="8" t="s">
        <v>36</v>
      </c>
      <c r="D807" s="8" t="s">
        <v>52</v>
      </c>
      <c r="E807" s="8" t="s">
        <v>47</v>
      </c>
      <c r="F807" s="13"/>
      <c r="G807" s="59"/>
      <c r="H807" s="6">
        <f>15000/5</f>
        <v>3000</v>
      </c>
      <c r="I807" s="6">
        <f>IFERROR(O807/K807,)</f>
        <v>108.52618757612666</v>
      </c>
      <c r="J807" s="2">
        <v>9.4600000000000009</v>
      </c>
      <c r="K807" s="2">
        <v>8.2100000000000009</v>
      </c>
      <c r="L807" s="2">
        <v>1.25</v>
      </c>
      <c r="M807" s="2">
        <v>13.22</v>
      </c>
      <c r="N807" s="2" t="s">
        <v>3001</v>
      </c>
      <c r="O807" s="56">
        <f>1491-O808</f>
        <v>891</v>
      </c>
      <c r="P807" s="2">
        <v>1.78</v>
      </c>
      <c r="Q807" s="2">
        <v>10.4</v>
      </c>
      <c r="R807" s="2">
        <v>143.37</v>
      </c>
      <c r="S807" s="2">
        <v>5.2</v>
      </c>
      <c r="T807" s="2">
        <v>4.16</v>
      </c>
      <c r="U807" s="2">
        <v>138.16999999999999</v>
      </c>
      <c r="V807" s="2">
        <v>16.829999999999998</v>
      </c>
      <c r="W807" s="2">
        <v>1151.94</v>
      </c>
      <c r="X807" s="2" t="s">
        <v>3002</v>
      </c>
      <c r="Y807" s="2" t="s">
        <v>3003</v>
      </c>
      <c r="Z807" s="2">
        <v>0.6</v>
      </c>
      <c r="AA807" s="2" t="s">
        <v>548</v>
      </c>
      <c r="AB807" s="2">
        <v>120.4</v>
      </c>
    </row>
    <row r="808" spans="1:28" x14ac:dyDescent="0.25">
      <c r="A808" s="4">
        <v>46245</v>
      </c>
      <c r="B808" s="8" t="s">
        <v>2974</v>
      </c>
      <c r="C808" s="8" t="s">
        <v>36</v>
      </c>
      <c r="D808" s="8" t="s">
        <v>52</v>
      </c>
      <c r="E808" s="8" t="s">
        <v>61</v>
      </c>
      <c r="F808" s="13"/>
      <c r="G808" s="59"/>
      <c r="H808" s="6"/>
      <c r="I808" s="6"/>
      <c r="J808" s="2"/>
      <c r="K808" s="2"/>
      <c r="L808" s="2"/>
      <c r="M808" s="2"/>
      <c r="N808" s="2"/>
      <c r="O808" s="56">
        <f>24*25</f>
        <v>600</v>
      </c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>
        <v>46245</v>
      </c>
      <c r="B809" s="8" t="s">
        <v>2974</v>
      </c>
      <c r="C809" s="8" t="s">
        <v>36</v>
      </c>
      <c r="D809" s="7" t="s">
        <v>46</v>
      </c>
      <c r="E809" s="8" t="s">
        <v>47</v>
      </c>
      <c r="F809" s="13"/>
      <c r="G809" s="59"/>
      <c r="H809" s="6">
        <f>15000/5</f>
        <v>3000</v>
      </c>
      <c r="I809" s="6">
        <f t="shared" ref="I809:I814" si="57">IFERROR(O809/K809,)</f>
        <v>285.69206842923796</v>
      </c>
      <c r="J809" s="2">
        <v>7.03</v>
      </c>
      <c r="K809" s="2">
        <v>6.43</v>
      </c>
      <c r="L809" s="2">
        <v>0.6</v>
      </c>
      <c r="M809" s="2">
        <v>8.5299999999999994</v>
      </c>
      <c r="N809" s="2" t="s">
        <v>3004</v>
      </c>
      <c r="O809" s="56">
        <v>1837</v>
      </c>
      <c r="P809" s="2">
        <v>2.77</v>
      </c>
      <c r="Q809" s="2">
        <v>8.9</v>
      </c>
      <c r="R809" s="2">
        <v>206.3</v>
      </c>
      <c r="S809" s="2">
        <v>2.84</v>
      </c>
      <c r="T809" s="2">
        <v>4.7300000000000004</v>
      </c>
      <c r="U809" s="2">
        <v>203.47</v>
      </c>
      <c r="V809" s="2">
        <v>31.64</v>
      </c>
      <c r="W809" s="2">
        <v>8120.14</v>
      </c>
      <c r="X809" s="2" t="s">
        <v>3005</v>
      </c>
      <c r="Y809" s="2" t="s">
        <v>3006</v>
      </c>
      <c r="Z809" s="2">
        <v>0.4</v>
      </c>
      <c r="AA809" s="2" t="s">
        <v>548</v>
      </c>
      <c r="AB809" s="2">
        <v>255.5</v>
      </c>
    </row>
    <row r="810" spans="1:28" x14ac:dyDescent="0.25">
      <c r="A810" s="4">
        <v>46245</v>
      </c>
      <c r="B810" s="8" t="s">
        <v>2974</v>
      </c>
      <c r="C810" s="8" t="s">
        <v>36</v>
      </c>
      <c r="D810" s="8" t="s">
        <v>48</v>
      </c>
      <c r="E810" s="7" t="s">
        <v>38</v>
      </c>
      <c r="F810" s="13">
        <v>4460</v>
      </c>
      <c r="G810" s="59"/>
      <c r="H810" s="6">
        <f>24000/6</f>
        <v>4000</v>
      </c>
      <c r="I810" s="6">
        <f t="shared" si="57"/>
        <v>803.60360360360357</v>
      </c>
      <c r="J810" s="2">
        <v>6.1</v>
      </c>
      <c r="K810" s="2">
        <v>5.55</v>
      </c>
      <c r="L810" s="2">
        <v>0.55000000000000004</v>
      </c>
      <c r="M810" s="2">
        <v>9.01</v>
      </c>
      <c r="N810" s="2" t="s">
        <v>2955</v>
      </c>
      <c r="O810" s="56">
        <v>4460</v>
      </c>
      <c r="P810" s="2">
        <v>5.57</v>
      </c>
      <c r="Q810" s="2">
        <v>20.399999999999999</v>
      </c>
      <c r="R810" s="2">
        <v>218.61</v>
      </c>
      <c r="S810" s="2">
        <v>3.31</v>
      </c>
      <c r="T810" s="2">
        <v>6.02</v>
      </c>
      <c r="U810" s="2">
        <v>215.3</v>
      </c>
      <c r="V810" s="2">
        <v>38.76</v>
      </c>
      <c r="W810" s="2">
        <v>6734.94</v>
      </c>
      <c r="X810" s="2" t="s">
        <v>3007</v>
      </c>
      <c r="Y810" s="2" t="s">
        <v>3008</v>
      </c>
      <c r="Z810" s="2" t="s">
        <v>548</v>
      </c>
      <c r="AA810" s="2" t="s">
        <v>548</v>
      </c>
      <c r="AB810" s="2">
        <v>49.4</v>
      </c>
    </row>
    <row r="811" spans="1:28" x14ac:dyDescent="0.25">
      <c r="A811" s="4">
        <v>46245</v>
      </c>
      <c r="B811" s="8" t="s">
        <v>2974</v>
      </c>
      <c r="C811" s="8" t="s">
        <v>36</v>
      </c>
      <c r="D811" s="8" t="s">
        <v>49</v>
      </c>
      <c r="E811" s="8" t="s">
        <v>47</v>
      </c>
      <c r="F811" s="13"/>
      <c r="G811" s="59"/>
      <c r="H811" s="6">
        <f>15000/5</f>
        <v>3000</v>
      </c>
      <c r="I811" s="6">
        <f t="shared" si="57"/>
        <v>74.683544303797461</v>
      </c>
      <c r="J811" s="2">
        <v>1.0900000000000001</v>
      </c>
      <c r="K811" s="2">
        <v>0.79</v>
      </c>
      <c r="L811" s="2">
        <v>0.3</v>
      </c>
      <c r="M811" s="2">
        <v>27.54</v>
      </c>
      <c r="N811" s="2" t="s">
        <v>3009</v>
      </c>
      <c r="O811" s="56">
        <v>59</v>
      </c>
      <c r="P811" s="2">
        <v>2.36</v>
      </c>
      <c r="Q811" s="2">
        <v>2.97</v>
      </c>
      <c r="R811" s="2">
        <v>19.87</v>
      </c>
      <c r="S811" s="2">
        <v>0.95</v>
      </c>
      <c r="T811" s="2">
        <v>3.15</v>
      </c>
      <c r="U811" s="2">
        <v>18.93</v>
      </c>
      <c r="V811" s="2">
        <v>23.98</v>
      </c>
      <c r="W811" s="2">
        <v>2069.61</v>
      </c>
      <c r="X811" s="2" t="s">
        <v>3010</v>
      </c>
      <c r="Y811" s="2" t="s">
        <v>3011</v>
      </c>
      <c r="Z811" s="2" t="s">
        <v>548</v>
      </c>
      <c r="AA811" s="2" t="s">
        <v>548</v>
      </c>
      <c r="AB811" s="2">
        <v>5.6</v>
      </c>
    </row>
    <row r="812" spans="1:28" x14ac:dyDescent="0.25">
      <c r="A812" s="4">
        <v>46246</v>
      </c>
      <c r="B812" s="8" t="s">
        <v>2974</v>
      </c>
      <c r="C812" s="8" t="s">
        <v>36</v>
      </c>
      <c r="D812" s="8" t="s">
        <v>39</v>
      </c>
      <c r="E812" s="8" t="s">
        <v>47</v>
      </c>
      <c r="F812" s="13"/>
      <c r="G812" s="59"/>
      <c r="H812" s="6">
        <f>15000/6</f>
        <v>2500</v>
      </c>
      <c r="I812" s="6">
        <f t="shared" si="57"/>
        <v>234.87773487773489</v>
      </c>
      <c r="J812" s="2">
        <v>8.57</v>
      </c>
      <c r="K812" s="2">
        <v>7.77</v>
      </c>
      <c r="L812" s="2">
        <v>0.8</v>
      </c>
      <c r="M812" s="2">
        <v>9.33</v>
      </c>
      <c r="N812" s="2" t="s">
        <v>3012</v>
      </c>
      <c r="O812" s="56">
        <v>1825</v>
      </c>
      <c r="P812" s="2">
        <v>1.46</v>
      </c>
      <c r="Q812" s="2">
        <v>8.6999999999999993</v>
      </c>
      <c r="R812" s="2">
        <v>148.58000000000001</v>
      </c>
      <c r="S812" s="2">
        <v>3.31</v>
      </c>
      <c r="T812" s="2">
        <v>4.1399999999999997</v>
      </c>
      <c r="U812" s="2">
        <v>145.27000000000001</v>
      </c>
      <c r="V812" s="2">
        <v>18.690000000000001</v>
      </c>
      <c r="W812" s="2">
        <v>9322.31</v>
      </c>
      <c r="X812" s="2" t="s">
        <v>3013</v>
      </c>
      <c r="Y812" s="2" t="s">
        <v>3014</v>
      </c>
      <c r="Z812" s="2">
        <v>0.4</v>
      </c>
      <c r="AA812" s="2" t="s">
        <v>548</v>
      </c>
      <c r="AB812" s="2">
        <v>292.2</v>
      </c>
    </row>
    <row r="813" spans="1:28" x14ac:dyDescent="0.25">
      <c r="A813" s="4">
        <v>46246</v>
      </c>
      <c r="B813" s="8" t="s">
        <v>2974</v>
      </c>
      <c r="C813" s="8" t="s">
        <v>36</v>
      </c>
      <c r="D813" s="8" t="s">
        <v>43</v>
      </c>
      <c r="E813" s="8" t="s">
        <v>2994</v>
      </c>
      <c r="F813" s="13"/>
      <c r="G813" s="59"/>
      <c r="H813" s="6"/>
      <c r="I813" s="6">
        <f t="shared" si="57"/>
        <v>0</v>
      </c>
      <c r="J813" s="2">
        <v>7.96</v>
      </c>
      <c r="K813" s="2">
        <v>6.76</v>
      </c>
      <c r="L813" s="2">
        <v>1.2</v>
      </c>
      <c r="M813" s="2">
        <v>15.07</v>
      </c>
      <c r="N813" s="2" t="s">
        <v>45</v>
      </c>
      <c r="O813" s="56" t="s">
        <v>42</v>
      </c>
      <c r="P813" s="2" t="s">
        <v>45</v>
      </c>
      <c r="Q813" s="2" t="s">
        <v>45</v>
      </c>
      <c r="R813" s="2">
        <v>151.41999999999999</v>
      </c>
      <c r="S813" s="2">
        <v>5.68</v>
      </c>
      <c r="T813" s="2">
        <v>4.7300000000000004</v>
      </c>
      <c r="U813" s="2">
        <v>145.74</v>
      </c>
      <c r="V813" s="2">
        <v>21.55</v>
      </c>
      <c r="W813" s="2">
        <v>8916.3799999999992</v>
      </c>
      <c r="X813" s="2" t="s">
        <v>45</v>
      </c>
      <c r="Y813" s="2" t="s">
        <v>45</v>
      </c>
      <c r="Z813" s="2">
        <v>0.9</v>
      </c>
      <c r="AA813" s="2" t="s">
        <v>45</v>
      </c>
      <c r="AB813" s="2">
        <v>265.2</v>
      </c>
    </row>
    <row r="814" spans="1:28" x14ac:dyDescent="0.25">
      <c r="A814" s="4">
        <v>46246</v>
      </c>
      <c r="B814" s="8" t="s">
        <v>2974</v>
      </c>
      <c r="C814" s="8" t="s">
        <v>36</v>
      </c>
      <c r="D814" s="8" t="s">
        <v>67</v>
      </c>
      <c r="E814" s="8" t="s">
        <v>47</v>
      </c>
      <c r="F814" s="13"/>
      <c r="G814" s="59"/>
      <c r="H814" s="6">
        <f>15000/6</f>
        <v>2500</v>
      </c>
      <c r="I814" s="6">
        <f t="shared" si="57"/>
        <v>290.70487993803255</v>
      </c>
      <c r="J814" s="2">
        <v>15.56</v>
      </c>
      <c r="K814" s="2">
        <v>12.91</v>
      </c>
      <c r="L814" s="2">
        <v>2.65</v>
      </c>
      <c r="M814" s="2">
        <v>17.03</v>
      </c>
      <c r="N814" s="2" t="s">
        <v>3015</v>
      </c>
      <c r="O814" s="56">
        <f>4928-1175</f>
        <v>3753</v>
      </c>
      <c r="P814" s="2">
        <v>2.31</v>
      </c>
      <c r="Q814" s="2">
        <v>17.77</v>
      </c>
      <c r="R814" s="2">
        <v>277.27999999999997</v>
      </c>
      <c r="S814" s="2">
        <v>7.57</v>
      </c>
      <c r="T814" s="2">
        <v>2.86</v>
      </c>
      <c r="U814" s="2">
        <v>269.70999999999998</v>
      </c>
      <c r="V814" s="2">
        <v>20.88</v>
      </c>
      <c r="W814" s="2">
        <v>722.78</v>
      </c>
      <c r="X814" s="2" t="s">
        <v>3016</v>
      </c>
      <c r="Y814" s="2" t="s">
        <v>3017</v>
      </c>
      <c r="Z814" s="2">
        <v>1.2</v>
      </c>
      <c r="AA814" s="2" t="s">
        <v>548</v>
      </c>
      <c r="AB814" s="2">
        <v>69.400000000000006</v>
      </c>
    </row>
    <row r="815" spans="1:28" x14ac:dyDescent="0.25">
      <c r="A815" s="4">
        <v>46246</v>
      </c>
      <c r="B815" s="8" t="s">
        <v>2974</v>
      </c>
      <c r="C815" s="8" t="s">
        <v>36</v>
      </c>
      <c r="D815" s="8" t="s">
        <v>67</v>
      </c>
      <c r="E815" s="8" t="s">
        <v>61</v>
      </c>
      <c r="F815" s="13"/>
      <c r="G815" s="59"/>
      <c r="H815" s="6"/>
      <c r="I815" s="6"/>
      <c r="J815" s="2"/>
      <c r="K815" s="2"/>
      <c r="L815" s="2"/>
      <c r="M815" s="2"/>
      <c r="N815" s="2"/>
      <c r="O815" s="56">
        <f>47*25</f>
        <v>1175</v>
      </c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>
        <v>46246</v>
      </c>
      <c r="B816" s="8" t="s">
        <v>2974</v>
      </c>
      <c r="C816" s="8" t="s">
        <v>36</v>
      </c>
      <c r="D816" s="8" t="s">
        <v>50</v>
      </c>
      <c r="E816" s="8" t="s">
        <v>47</v>
      </c>
      <c r="F816" s="13"/>
      <c r="G816" s="59"/>
      <c r="H816" s="6">
        <f>15000/6</f>
        <v>2500</v>
      </c>
      <c r="I816" s="6">
        <f t="shared" ref="I816:I823" si="58">IFERROR(O816/K816,)</f>
        <v>143.33895446880271</v>
      </c>
      <c r="J816" s="2">
        <v>7.38</v>
      </c>
      <c r="K816" s="2">
        <v>5.93</v>
      </c>
      <c r="L816" s="2">
        <v>1.45</v>
      </c>
      <c r="M816" s="2">
        <v>19.66</v>
      </c>
      <c r="N816" s="2" t="s">
        <v>3018</v>
      </c>
      <c r="O816" s="56">
        <v>850</v>
      </c>
      <c r="P816" s="2">
        <v>1.65</v>
      </c>
      <c r="Q816" s="2">
        <v>6.75</v>
      </c>
      <c r="R816" s="2">
        <v>125.86</v>
      </c>
      <c r="S816" s="2">
        <v>4.7300000000000004</v>
      </c>
      <c r="T816" s="2">
        <v>3.26</v>
      </c>
      <c r="U816" s="2">
        <v>121.13</v>
      </c>
      <c r="V816" s="2">
        <v>20.440000000000001</v>
      </c>
      <c r="W816" s="2">
        <v>2564.1799999999998</v>
      </c>
      <c r="X816" s="2" t="s">
        <v>3019</v>
      </c>
      <c r="Y816" s="2" t="s">
        <v>3020</v>
      </c>
      <c r="Z816" s="2">
        <v>2.7</v>
      </c>
      <c r="AA816" s="2">
        <v>0.01</v>
      </c>
      <c r="AB816" s="2" t="s">
        <v>3021</v>
      </c>
    </row>
    <row r="817" spans="1:28" x14ac:dyDescent="0.25">
      <c r="A817" s="4">
        <v>46246</v>
      </c>
      <c r="B817" s="8" t="s">
        <v>2974</v>
      </c>
      <c r="C817" s="8" t="s">
        <v>36</v>
      </c>
      <c r="D817" s="8" t="s">
        <v>52</v>
      </c>
      <c r="E817" s="8" t="s">
        <v>47</v>
      </c>
      <c r="F817" s="13"/>
      <c r="G817" s="59"/>
      <c r="H817" s="6">
        <f>15000/6</f>
        <v>2500</v>
      </c>
      <c r="I817" s="6">
        <f t="shared" si="58"/>
        <v>185.42024013722127</v>
      </c>
      <c r="J817" s="2">
        <v>7.23</v>
      </c>
      <c r="K817" s="2">
        <v>5.83</v>
      </c>
      <c r="L817" s="2">
        <v>1.4</v>
      </c>
      <c r="M817" s="2">
        <v>19.350000000000001</v>
      </c>
      <c r="N817" s="2" t="s">
        <v>3022</v>
      </c>
      <c r="O817" s="56">
        <v>1081</v>
      </c>
      <c r="P817" s="2">
        <v>1.59</v>
      </c>
      <c r="Q817" s="2">
        <v>8.7899999999999991</v>
      </c>
      <c r="R817" s="2">
        <v>123.03</v>
      </c>
      <c r="S817" s="2">
        <v>5.2</v>
      </c>
      <c r="T817" s="2">
        <v>3.72</v>
      </c>
      <c r="U817" s="2">
        <v>117.82</v>
      </c>
      <c r="V817" s="2">
        <v>20.190000000000001</v>
      </c>
      <c r="W817" s="2">
        <v>1159.18</v>
      </c>
      <c r="X817" s="2" t="s">
        <v>3023</v>
      </c>
      <c r="Y817" s="2" t="s">
        <v>3024</v>
      </c>
      <c r="Z817" s="2">
        <v>0.7</v>
      </c>
      <c r="AA817" s="2" t="s">
        <v>548</v>
      </c>
      <c r="AB817" s="2">
        <v>121.1</v>
      </c>
    </row>
    <row r="818" spans="1:28" x14ac:dyDescent="0.25">
      <c r="A818" s="4">
        <v>46246</v>
      </c>
      <c r="B818" s="8" t="s">
        <v>2974</v>
      </c>
      <c r="C818" s="8" t="s">
        <v>36</v>
      </c>
      <c r="D818" s="7" t="s">
        <v>46</v>
      </c>
      <c r="E818" s="8" t="s">
        <v>47</v>
      </c>
      <c r="F818" s="13"/>
      <c r="G818" s="59"/>
      <c r="H818" s="6">
        <f>15000/6</f>
        <v>2500</v>
      </c>
      <c r="I818" s="6">
        <f t="shared" si="58"/>
        <v>259.21717171717171</v>
      </c>
      <c r="J818" s="2">
        <v>8.52</v>
      </c>
      <c r="K818" s="2">
        <v>7.92</v>
      </c>
      <c r="L818" s="2">
        <v>0.6</v>
      </c>
      <c r="M818" s="2">
        <v>7.04</v>
      </c>
      <c r="N818" s="2" t="s">
        <v>3025</v>
      </c>
      <c r="O818" s="56">
        <v>2053</v>
      </c>
      <c r="P818" s="2">
        <v>2.77</v>
      </c>
      <c r="Q818" s="2">
        <v>8.3000000000000007</v>
      </c>
      <c r="R818" s="2">
        <v>247.47</v>
      </c>
      <c r="S818" s="2">
        <v>5.2</v>
      </c>
      <c r="T818" s="2">
        <v>8.67</v>
      </c>
      <c r="U818" s="2">
        <v>242.27</v>
      </c>
      <c r="V818" s="2">
        <v>30.58</v>
      </c>
      <c r="W818" s="2">
        <v>8128.67</v>
      </c>
      <c r="X818" s="2" t="s">
        <v>3026</v>
      </c>
      <c r="Y818" s="2" t="s">
        <v>3027</v>
      </c>
      <c r="Z818" s="2">
        <v>0.4</v>
      </c>
      <c r="AA818" s="2" t="s">
        <v>548</v>
      </c>
      <c r="AB818" s="2">
        <v>255.9</v>
      </c>
    </row>
    <row r="819" spans="1:28" x14ac:dyDescent="0.25">
      <c r="A819" s="4">
        <v>46246</v>
      </c>
      <c r="B819" s="8" t="s">
        <v>2974</v>
      </c>
      <c r="C819" s="8" t="s">
        <v>36</v>
      </c>
      <c r="D819" s="8" t="s">
        <v>48</v>
      </c>
      <c r="E819" s="7" t="s">
        <v>38</v>
      </c>
      <c r="F819" s="13">
        <v>3706</v>
      </c>
      <c r="G819" s="59"/>
      <c r="H819" s="6">
        <f>24000/6</f>
        <v>4000</v>
      </c>
      <c r="I819" s="6">
        <f t="shared" si="58"/>
        <v>459.02636916835701</v>
      </c>
      <c r="J819" s="2">
        <v>11.01</v>
      </c>
      <c r="K819" s="2">
        <v>9.86</v>
      </c>
      <c r="L819" s="2">
        <v>1.1499999999999999</v>
      </c>
      <c r="M819" s="2">
        <v>10.45</v>
      </c>
      <c r="N819" s="2" t="s">
        <v>1699</v>
      </c>
      <c r="O819" s="56">
        <v>4526</v>
      </c>
      <c r="P819" s="2">
        <v>4.41</v>
      </c>
      <c r="Q819" s="2">
        <v>11.94</v>
      </c>
      <c r="R819" s="2">
        <v>379.01</v>
      </c>
      <c r="S819" s="2">
        <v>7.1</v>
      </c>
      <c r="T819" s="2">
        <v>6.17</v>
      </c>
      <c r="U819" s="2">
        <v>371.92</v>
      </c>
      <c r="V819" s="2">
        <v>37.72</v>
      </c>
      <c r="W819" s="2">
        <v>6745.94</v>
      </c>
      <c r="X819" s="2" t="s">
        <v>3028</v>
      </c>
      <c r="Y819" s="2" t="s">
        <v>3029</v>
      </c>
      <c r="Z819" s="2">
        <v>0.1</v>
      </c>
      <c r="AA819" s="2" t="s">
        <v>548</v>
      </c>
      <c r="AB819" s="2">
        <v>49.5</v>
      </c>
    </row>
    <row r="820" spans="1:28" x14ac:dyDescent="0.25">
      <c r="A820" s="4">
        <v>46246</v>
      </c>
      <c r="B820" s="8" t="s">
        <v>2974</v>
      </c>
      <c r="C820" s="8" t="s">
        <v>36</v>
      </c>
      <c r="D820" s="8" t="s">
        <v>49</v>
      </c>
      <c r="E820" s="8" t="s">
        <v>47</v>
      </c>
      <c r="F820" s="13"/>
      <c r="G820" s="59"/>
      <c r="H820" s="6">
        <f>15000/6</f>
        <v>2500</v>
      </c>
      <c r="I820" s="6">
        <f t="shared" si="58"/>
        <v>415.22435897435895</v>
      </c>
      <c r="J820" s="2">
        <v>7.74</v>
      </c>
      <c r="K820" s="2">
        <v>6.24</v>
      </c>
      <c r="L820" s="2">
        <v>1.5</v>
      </c>
      <c r="M820" s="2">
        <v>19.39</v>
      </c>
      <c r="N820" s="2" t="s">
        <v>1935</v>
      </c>
      <c r="O820" s="56">
        <v>2591</v>
      </c>
      <c r="P820" s="2">
        <v>2.39</v>
      </c>
      <c r="Q820" s="2">
        <v>9.73</v>
      </c>
      <c r="R820" s="2">
        <v>266.39999999999998</v>
      </c>
      <c r="S820" s="2">
        <v>7.57</v>
      </c>
      <c r="T820" s="2">
        <v>5.05</v>
      </c>
      <c r="U820" s="2">
        <v>258.83</v>
      </c>
      <c r="V820" s="2">
        <v>41.51</v>
      </c>
      <c r="W820" s="2">
        <v>2077.35</v>
      </c>
      <c r="X820" s="2" t="s">
        <v>3030</v>
      </c>
      <c r="Y820" s="2" t="s">
        <v>3031</v>
      </c>
      <c r="Z820" s="2" t="s">
        <v>548</v>
      </c>
      <c r="AA820" s="2" t="s">
        <v>548</v>
      </c>
      <c r="AB820" s="2">
        <v>5.6</v>
      </c>
    </row>
    <row r="821" spans="1:28" x14ac:dyDescent="0.25">
      <c r="A821" s="4">
        <v>46247</v>
      </c>
      <c r="B821" s="8" t="s">
        <v>2974</v>
      </c>
      <c r="C821" s="8" t="s">
        <v>36</v>
      </c>
      <c r="D821" s="8" t="s">
        <v>39</v>
      </c>
      <c r="E821" s="8" t="s">
        <v>47</v>
      </c>
      <c r="F821" s="13"/>
      <c r="G821" s="59"/>
      <c r="H821" s="6">
        <f>15000/6</f>
        <v>2500</v>
      </c>
      <c r="I821" s="6">
        <f t="shared" si="58"/>
        <v>278.53260869565219</v>
      </c>
      <c r="J821" s="2">
        <v>8.36</v>
      </c>
      <c r="K821" s="2">
        <v>7.36</v>
      </c>
      <c r="L821" s="2" t="s">
        <v>1696</v>
      </c>
      <c r="M821" s="2">
        <v>11.96</v>
      </c>
      <c r="N821" s="2" t="s">
        <v>2984</v>
      </c>
      <c r="O821" s="56">
        <v>2050</v>
      </c>
      <c r="P821" s="2">
        <v>1.36</v>
      </c>
      <c r="Q821" s="2">
        <v>9.25</v>
      </c>
      <c r="R821" s="2">
        <v>138.63999999999999</v>
      </c>
      <c r="S821" s="2">
        <v>4.26</v>
      </c>
      <c r="T821" s="2">
        <v>4.26</v>
      </c>
      <c r="U821" s="2">
        <v>134.38</v>
      </c>
      <c r="V821" s="2">
        <v>18.260000000000002</v>
      </c>
      <c r="W821" s="2">
        <v>9330.67</v>
      </c>
      <c r="X821" s="2" t="s">
        <v>3032</v>
      </c>
      <c r="Y821" s="2" t="s">
        <v>3033</v>
      </c>
      <c r="Z821" s="2">
        <v>0.1</v>
      </c>
      <c r="AA821" s="2" t="s">
        <v>548</v>
      </c>
      <c r="AB821" s="2">
        <v>292.3</v>
      </c>
    </row>
    <row r="822" spans="1:28" x14ac:dyDescent="0.25">
      <c r="A822" s="4">
        <v>46247</v>
      </c>
      <c r="B822" s="8" t="s">
        <v>2974</v>
      </c>
      <c r="C822" s="8" t="s">
        <v>36</v>
      </c>
      <c r="D822" s="8" t="s">
        <v>43</v>
      </c>
      <c r="E822" s="8" t="s">
        <v>2994</v>
      </c>
      <c r="F822" s="13"/>
      <c r="G822" s="59"/>
      <c r="H822" s="6"/>
      <c r="I822" s="6">
        <f t="shared" si="58"/>
        <v>0</v>
      </c>
      <c r="J822" s="2">
        <v>7.08</v>
      </c>
      <c r="K822" s="2">
        <v>5.13</v>
      </c>
      <c r="L822" s="2">
        <v>1.95</v>
      </c>
      <c r="M822" s="2">
        <v>27.53</v>
      </c>
      <c r="N822" s="2" t="s">
        <v>45</v>
      </c>
      <c r="O822" s="56" t="s">
        <v>42</v>
      </c>
      <c r="P822" s="2" t="s">
        <v>45</v>
      </c>
      <c r="Q822" s="2" t="s">
        <v>45</v>
      </c>
      <c r="R822" s="2">
        <v>105.52</v>
      </c>
      <c r="S822" s="2">
        <v>8.0399999999999991</v>
      </c>
      <c r="T822" s="2">
        <v>4.13</v>
      </c>
      <c r="U822" s="2">
        <v>97.47</v>
      </c>
      <c r="V822" s="2">
        <v>18.989999999999998</v>
      </c>
      <c r="W822" s="2">
        <v>8923.4699999999993</v>
      </c>
      <c r="X822" s="2" t="s">
        <v>45</v>
      </c>
      <c r="Y822" s="2" t="s">
        <v>45</v>
      </c>
      <c r="Z822" s="2">
        <v>0.1</v>
      </c>
      <c r="AA822" s="2" t="s">
        <v>45</v>
      </c>
      <c r="AB822" s="2">
        <v>265.3</v>
      </c>
    </row>
    <row r="823" spans="1:28" x14ac:dyDescent="0.25">
      <c r="A823" s="4">
        <v>46247</v>
      </c>
      <c r="B823" s="8" t="s">
        <v>2974</v>
      </c>
      <c r="C823" s="8" t="s">
        <v>36</v>
      </c>
      <c r="D823" s="8" t="s">
        <v>67</v>
      </c>
      <c r="E823" s="8" t="s">
        <v>47</v>
      </c>
      <c r="F823" s="13"/>
      <c r="G823" s="59"/>
      <c r="H823" s="6">
        <f>15000/6</f>
        <v>2500</v>
      </c>
      <c r="I823" s="6">
        <f t="shared" si="58"/>
        <v>335.17823639774861</v>
      </c>
      <c r="J823" s="2">
        <v>15.76</v>
      </c>
      <c r="K823" s="2">
        <v>10.66</v>
      </c>
      <c r="L823" s="2">
        <v>5.0999999999999996</v>
      </c>
      <c r="M823" s="2">
        <v>32.36</v>
      </c>
      <c r="N823" s="2" t="s">
        <v>3034</v>
      </c>
      <c r="O823" s="56">
        <f>4048-475</f>
        <v>3573</v>
      </c>
      <c r="P823" s="2">
        <v>2.27</v>
      </c>
      <c r="Q823" s="2">
        <v>17.600000000000001</v>
      </c>
      <c r="R823" s="2">
        <v>229.96</v>
      </c>
      <c r="S823" s="2">
        <v>16.09</v>
      </c>
      <c r="T823" s="2">
        <v>3.15</v>
      </c>
      <c r="U823" s="2">
        <v>213.88</v>
      </c>
      <c r="V823" s="2">
        <v>20.059999999999999</v>
      </c>
      <c r="W823" s="2">
        <v>738.54</v>
      </c>
      <c r="X823" s="2" t="s">
        <v>3035</v>
      </c>
      <c r="Y823" s="2" t="s">
        <v>3036</v>
      </c>
      <c r="Z823" s="2">
        <v>1.6</v>
      </c>
      <c r="AA823" s="2" t="s">
        <v>548</v>
      </c>
      <c r="AB823" s="2" t="s">
        <v>3037</v>
      </c>
    </row>
    <row r="824" spans="1:28" x14ac:dyDescent="0.25">
      <c r="A824" s="4">
        <v>46247</v>
      </c>
      <c r="B824" s="8" t="s">
        <v>2974</v>
      </c>
      <c r="C824" s="8" t="s">
        <v>36</v>
      </c>
      <c r="D824" s="8" t="s">
        <v>67</v>
      </c>
      <c r="E824" s="8" t="s">
        <v>61</v>
      </c>
      <c r="F824" s="13"/>
      <c r="G824" s="59"/>
      <c r="H824" s="6"/>
      <c r="I824" s="6"/>
      <c r="J824" s="2"/>
      <c r="K824" s="2"/>
      <c r="L824" s="2"/>
      <c r="M824" s="2"/>
      <c r="N824" s="2"/>
      <c r="O824" s="56">
        <f>19*25</f>
        <v>475</v>
      </c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>
        <v>46247</v>
      </c>
      <c r="B825" s="8" t="s">
        <v>2974</v>
      </c>
      <c r="C825" s="8" t="s">
        <v>36</v>
      </c>
      <c r="D825" s="8" t="s">
        <v>50</v>
      </c>
      <c r="E825" s="8" t="s">
        <v>47</v>
      </c>
      <c r="F825" s="13"/>
      <c r="G825" s="59"/>
      <c r="H825" s="6">
        <f>15000/6</f>
        <v>2500</v>
      </c>
      <c r="I825" s="6">
        <f>IFERROR(O825/K825,)</f>
        <v>248.64433811802235</v>
      </c>
      <c r="J825" s="2">
        <v>7.02</v>
      </c>
      <c r="K825" s="2">
        <v>6.27</v>
      </c>
      <c r="L825" s="2">
        <v>0.75</v>
      </c>
      <c r="M825" s="2">
        <v>10.68</v>
      </c>
      <c r="N825" s="2" t="s">
        <v>3038</v>
      </c>
      <c r="O825" s="56">
        <v>1559</v>
      </c>
      <c r="P825" s="2">
        <v>2.2200000000000002</v>
      </c>
      <c r="Q825" s="2">
        <v>12.2</v>
      </c>
      <c r="R825" s="2">
        <v>127.76</v>
      </c>
      <c r="S825" s="2">
        <v>3.31</v>
      </c>
      <c r="T825" s="2">
        <v>4.42</v>
      </c>
      <c r="U825" s="2">
        <v>124.45</v>
      </c>
      <c r="V825" s="2">
        <v>19.850000000000001</v>
      </c>
      <c r="W825" s="2">
        <v>2571.1999999999998</v>
      </c>
      <c r="X825" s="2" t="s">
        <v>3039</v>
      </c>
      <c r="Y825" s="2" t="s">
        <v>3040</v>
      </c>
      <c r="Z825" s="2">
        <v>0.4</v>
      </c>
      <c r="AA825" s="2" t="s">
        <v>548</v>
      </c>
      <c r="AB825" s="2">
        <v>336.4</v>
      </c>
    </row>
    <row r="826" spans="1:28" x14ac:dyDescent="0.25">
      <c r="A826" s="4">
        <v>46247</v>
      </c>
      <c r="B826" s="8" t="s">
        <v>2974</v>
      </c>
      <c r="C826" s="8" t="s">
        <v>36</v>
      </c>
      <c r="D826" s="8" t="s">
        <v>52</v>
      </c>
      <c r="E826" s="8" t="s">
        <v>47</v>
      </c>
      <c r="F826" s="13"/>
      <c r="G826" s="59"/>
      <c r="H826" s="6">
        <f>15000/6</f>
        <v>2500</v>
      </c>
      <c r="I826" s="6">
        <f>IFERROR(O826/K826,)</f>
        <v>242.2110552763819</v>
      </c>
      <c r="J826" s="2">
        <v>8.61</v>
      </c>
      <c r="K826" s="2">
        <v>7.96</v>
      </c>
      <c r="L826" s="2">
        <v>0.65</v>
      </c>
      <c r="M826" s="2">
        <v>7.55</v>
      </c>
      <c r="N826" s="2" t="s">
        <v>3041</v>
      </c>
      <c r="O826" s="56">
        <v>1928</v>
      </c>
      <c r="P826" s="2">
        <v>1.72</v>
      </c>
      <c r="Q826" s="2">
        <v>10.98</v>
      </c>
      <c r="R826" s="2">
        <v>175.55</v>
      </c>
      <c r="S826" s="2">
        <v>2.37</v>
      </c>
      <c r="T826" s="2">
        <v>3.64</v>
      </c>
      <c r="U826" s="2">
        <v>173.18</v>
      </c>
      <c r="V826" s="2">
        <v>21.76</v>
      </c>
      <c r="W826" s="2">
        <v>1167.79</v>
      </c>
      <c r="X826" s="2" t="s">
        <v>3042</v>
      </c>
      <c r="Y826" s="2" t="s">
        <v>3043</v>
      </c>
      <c r="Z826" s="2" t="s">
        <v>548</v>
      </c>
      <c r="AA826" s="2" t="s">
        <v>548</v>
      </c>
      <c r="AB826" s="2">
        <v>121.1</v>
      </c>
    </row>
    <row r="827" spans="1:28" x14ac:dyDescent="0.25">
      <c r="A827" s="4">
        <v>46247</v>
      </c>
      <c r="B827" s="8" t="s">
        <v>2974</v>
      </c>
      <c r="C827" s="8" t="s">
        <v>36</v>
      </c>
      <c r="D827" s="7" t="s">
        <v>46</v>
      </c>
      <c r="E827" s="8" t="s">
        <v>47</v>
      </c>
      <c r="F827" s="13"/>
      <c r="G827" s="59"/>
      <c r="H827" s="6">
        <f>15000/6</f>
        <v>2500</v>
      </c>
      <c r="I827" s="6">
        <f>IFERROR(O827/K827,)</f>
        <v>283.26612903225805</v>
      </c>
      <c r="J827" s="2">
        <v>5.41</v>
      </c>
      <c r="K827" s="2">
        <v>4.96</v>
      </c>
      <c r="L827" s="2">
        <v>0.45</v>
      </c>
      <c r="M827" s="2">
        <v>8.32</v>
      </c>
      <c r="N827" s="2" t="s">
        <v>3044</v>
      </c>
      <c r="O827" s="56">
        <v>1405</v>
      </c>
      <c r="P827" s="2">
        <v>3.24</v>
      </c>
      <c r="Q827" s="2">
        <v>9.0299999999999994</v>
      </c>
      <c r="R827" s="2">
        <v>155.68</v>
      </c>
      <c r="S827" s="2">
        <v>2.84</v>
      </c>
      <c r="T827" s="2">
        <v>6.31</v>
      </c>
      <c r="U827" s="2">
        <v>152.84</v>
      </c>
      <c r="V827" s="2">
        <v>30.82</v>
      </c>
      <c r="W827" s="2">
        <v>8134.08</v>
      </c>
      <c r="X827" s="2" t="s">
        <v>3045</v>
      </c>
      <c r="Y827" s="2" t="s">
        <v>3046</v>
      </c>
      <c r="Z827" s="2">
        <v>0.2</v>
      </c>
      <c r="AA827" s="2" t="s">
        <v>548</v>
      </c>
      <c r="AB827" s="2">
        <v>256.10000000000002</v>
      </c>
    </row>
    <row r="828" spans="1:28" x14ac:dyDescent="0.25">
      <c r="A828" s="4">
        <v>46247</v>
      </c>
      <c r="B828" s="8" t="s">
        <v>2974</v>
      </c>
      <c r="C828" s="8" t="s">
        <v>36</v>
      </c>
      <c r="D828" s="8" t="s">
        <v>48</v>
      </c>
      <c r="E828" s="7" t="s">
        <v>38</v>
      </c>
      <c r="F828" s="13">
        <v>4252</v>
      </c>
      <c r="G828" s="59"/>
      <c r="H828" s="6">
        <f>24000/6</f>
        <v>4000</v>
      </c>
      <c r="I828" s="6">
        <f>IFERROR(O828/K828,)</f>
        <v>483.49328214971212</v>
      </c>
      <c r="J828" s="2">
        <v>11.18</v>
      </c>
      <c r="K828" s="2">
        <v>10.42</v>
      </c>
      <c r="L828" s="2">
        <v>0.75</v>
      </c>
      <c r="M828" s="2">
        <v>6.71</v>
      </c>
      <c r="N828" s="2" t="s">
        <v>3047</v>
      </c>
      <c r="O828" s="56">
        <v>5038</v>
      </c>
      <c r="P828" s="2">
        <v>4.62</v>
      </c>
      <c r="Q828" s="2">
        <v>12.41</v>
      </c>
      <c r="R828" s="2">
        <v>405.99</v>
      </c>
      <c r="S828" s="2">
        <v>5.2</v>
      </c>
      <c r="T828" s="2">
        <v>6.94</v>
      </c>
      <c r="U828" s="2">
        <v>400.78</v>
      </c>
      <c r="V828" s="2">
        <v>38.44</v>
      </c>
      <c r="W828" s="2">
        <v>6757.12</v>
      </c>
      <c r="X828" s="2" t="s">
        <v>3048</v>
      </c>
      <c r="Y828" s="2" t="s">
        <v>3049</v>
      </c>
      <c r="Z828" s="2">
        <v>0.1</v>
      </c>
      <c r="AA828" s="2" t="s">
        <v>548</v>
      </c>
      <c r="AB828" s="2">
        <v>49.6</v>
      </c>
    </row>
    <row r="829" spans="1:28" x14ac:dyDescent="0.25">
      <c r="A829" s="4">
        <v>46247</v>
      </c>
      <c r="B829" s="8" t="s">
        <v>2974</v>
      </c>
      <c r="C829" s="8" t="s">
        <v>36</v>
      </c>
      <c r="D829" s="8" t="s">
        <v>49</v>
      </c>
      <c r="E829" s="8" t="s">
        <v>47</v>
      </c>
      <c r="F829" s="13"/>
      <c r="G829" s="59"/>
      <c r="H829" s="6">
        <f>15000/6</f>
        <v>2500</v>
      </c>
      <c r="I829" s="6">
        <f>IFERROR(O829/K829,)</f>
        <v>276.89393939393938</v>
      </c>
      <c r="J829" s="2">
        <v>10.72</v>
      </c>
      <c r="K829" s="2">
        <v>7.92</v>
      </c>
      <c r="L829" s="2">
        <v>2.8</v>
      </c>
      <c r="M829" s="2">
        <v>26.12</v>
      </c>
      <c r="N829" s="2" t="s">
        <v>3050</v>
      </c>
      <c r="O829" s="56">
        <f>3443-1250</f>
        <v>2193</v>
      </c>
      <c r="P829" s="2">
        <v>3.76</v>
      </c>
      <c r="Q829" s="2">
        <v>11.09</v>
      </c>
      <c r="R829" s="2">
        <v>310.39999999999998</v>
      </c>
      <c r="S829" s="2">
        <v>12.3</v>
      </c>
      <c r="T829" s="2">
        <v>4.3899999999999997</v>
      </c>
      <c r="U829" s="2">
        <v>298.10000000000002</v>
      </c>
      <c r="V829" s="2">
        <v>37.64</v>
      </c>
      <c r="W829" s="2">
        <v>2088.0700000000002</v>
      </c>
      <c r="X829" s="2" t="s">
        <v>3051</v>
      </c>
      <c r="Y829" s="2" t="s">
        <v>3052</v>
      </c>
      <c r="Z829" s="2" t="s">
        <v>548</v>
      </c>
      <c r="AA829" s="2" t="s">
        <v>548</v>
      </c>
      <c r="AB829" s="2">
        <v>5.6</v>
      </c>
    </row>
    <row r="830" spans="1:28" x14ac:dyDescent="0.25">
      <c r="A830" s="4">
        <v>46247</v>
      </c>
      <c r="B830" s="8" t="s">
        <v>2974</v>
      </c>
      <c r="C830" s="8" t="s">
        <v>36</v>
      </c>
      <c r="D830" s="8" t="s">
        <v>49</v>
      </c>
      <c r="E830" s="8" t="s">
        <v>61</v>
      </c>
      <c r="F830" s="13"/>
      <c r="G830" s="59"/>
      <c r="H830" s="6"/>
      <c r="I830" s="6"/>
      <c r="J830" s="2"/>
      <c r="K830" s="2"/>
      <c r="L830" s="2"/>
      <c r="M830" s="2"/>
      <c r="N830" s="2"/>
      <c r="O830" s="56">
        <f>50*25</f>
        <v>1250</v>
      </c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>
        <v>46248</v>
      </c>
      <c r="B831" s="8" t="s">
        <v>2974</v>
      </c>
      <c r="C831" s="8" t="s">
        <v>36</v>
      </c>
      <c r="D831" s="8" t="s">
        <v>39</v>
      </c>
      <c r="E831" s="8" t="s">
        <v>47</v>
      </c>
      <c r="F831" s="13"/>
      <c r="G831" s="59"/>
      <c r="H831" s="6">
        <f>15000/6</f>
        <v>2500</v>
      </c>
      <c r="I831" s="6">
        <f t="shared" ref="I831:I862" si="59">IFERROR(O831/K831,)</f>
        <v>206.18556701030928</v>
      </c>
      <c r="J831" s="2">
        <v>8.44</v>
      </c>
      <c r="K831" s="2">
        <v>6.79</v>
      </c>
      <c r="L831" s="2">
        <v>1.65</v>
      </c>
      <c r="M831" s="2">
        <v>19.55</v>
      </c>
      <c r="N831" s="2" t="s">
        <v>2081</v>
      </c>
      <c r="O831" s="56">
        <v>1400</v>
      </c>
      <c r="P831" s="2">
        <v>1.46</v>
      </c>
      <c r="Q831" s="2">
        <v>8.86</v>
      </c>
      <c r="R831" s="2">
        <v>132.02000000000001</v>
      </c>
      <c r="S831" s="2">
        <v>6.62</v>
      </c>
      <c r="T831" s="2">
        <v>4.01</v>
      </c>
      <c r="U831" s="2">
        <v>125.39</v>
      </c>
      <c r="V831" s="2">
        <v>18.46</v>
      </c>
      <c r="W831" s="2">
        <v>9339.11</v>
      </c>
      <c r="X831" s="2" t="s">
        <v>3053</v>
      </c>
      <c r="Y831" s="2" t="s">
        <v>3054</v>
      </c>
      <c r="Z831" s="2" t="s">
        <v>548</v>
      </c>
      <c r="AA831" s="2" t="s">
        <v>548</v>
      </c>
      <c r="AB831" s="2">
        <v>292.3</v>
      </c>
    </row>
    <row r="832" spans="1:28" x14ac:dyDescent="0.25">
      <c r="A832" s="4">
        <v>46248</v>
      </c>
      <c r="B832" s="8" t="s">
        <v>2974</v>
      </c>
      <c r="C832" s="8" t="s">
        <v>36</v>
      </c>
      <c r="D832" s="8" t="s">
        <v>43</v>
      </c>
      <c r="E832" s="8" t="s">
        <v>2994</v>
      </c>
      <c r="F832" s="13"/>
      <c r="G832" s="59"/>
      <c r="H832" s="6"/>
      <c r="I832" s="6">
        <f t="shared" si="59"/>
        <v>0</v>
      </c>
      <c r="J832" s="2">
        <v>7.29</v>
      </c>
      <c r="K832" s="2">
        <v>4.3899999999999997</v>
      </c>
      <c r="L832" s="2">
        <v>2.9</v>
      </c>
      <c r="M832" s="2">
        <v>39.770000000000003</v>
      </c>
      <c r="N832" s="2" t="s">
        <v>45</v>
      </c>
      <c r="O832" s="56" t="s">
        <v>45</v>
      </c>
      <c r="P832" s="2" t="s">
        <v>45</v>
      </c>
      <c r="Q832" s="2" t="s">
        <v>45</v>
      </c>
      <c r="R832" s="2">
        <v>90.38</v>
      </c>
      <c r="S832" s="2">
        <v>11.83</v>
      </c>
      <c r="T832" s="2">
        <v>4.08</v>
      </c>
      <c r="U832" s="2">
        <v>78.55</v>
      </c>
      <c r="V832" s="2">
        <v>17.89</v>
      </c>
      <c r="W832" s="2">
        <v>8930.76</v>
      </c>
      <c r="X832" s="2" t="s">
        <v>45</v>
      </c>
      <c r="Y832" s="2" t="s">
        <v>45</v>
      </c>
      <c r="Z832" s="2">
        <v>0.1</v>
      </c>
      <c r="AA832" s="2" t="s">
        <v>45</v>
      </c>
      <c r="AB832" s="2">
        <v>265.39999999999998</v>
      </c>
    </row>
    <row r="833" spans="1:28" x14ac:dyDescent="0.25">
      <c r="A833" s="4">
        <v>46248</v>
      </c>
      <c r="B833" s="8" t="s">
        <v>2974</v>
      </c>
      <c r="C833" s="8" t="s">
        <v>36</v>
      </c>
      <c r="D833" s="8" t="s">
        <v>67</v>
      </c>
      <c r="E833" s="8" t="s">
        <v>47</v>
      </c>
      <c r="F833" s="13"/>
      <c r="G833" s="59"/>
      <c r="H833" s="6">
        <f>15000/6</f>
        <v>2500</v>
      </c>
      <c r="I833" s="6">
        <f t="shared" si="59"/>
        <v>335.66433566433568</v>
      </c>
      <c r="J833" s="2">
        <v>11.48</v>
      </c>
      <c r="K833" s="2">
        <v>8.58</v>
      </c>
      <c r="L833" s="2">
        <v>2.9</v>
      </c>
      <c r="M833" s="2">
        <v>25.25</v>
      </c>
      <c r="N833" s="2" t="s">
        <v>3055</v>
      </c>
      <c r="O833" s="56">
        <v>2880</v>
      </c>
      <c r="P833" s="2">
        <v>1.93</v>
      </c>
      <c r="Q833" s="2">
        <v>15.65</v>
      </c>
      <c r="R833" s="2">
        <v>184.07</v>
      </c>
      <c r="S833" s="2">
        <v>8.99</v>
      </c>
      <c r="T833" s="2">
        <v>3.1</v>
      </c>
      <c r="U833" s="2">
        <v>175.08</v>
      </c>
      <c r="V833" s="2">
        <v>20.39</v>
      </c>
      <c r="W833" s="2">
        <v>750.02</v>
      </c>
      <c r="X833" s="2" t="s">
        <v>3056</v>
      </c>
      <c r="Y833" s="2" t="s">
        <v>3057</v>
      </c>
      <c r="Z833" s="2">
        <v>1.3</v>
      </c>
      <c r="AA833" s="2" t="s">
        <v>548</v>
      </c>
      <c r="AB833" s="2">
        <v>72.3</v>
      </c>
    </row>
    <row r="834" spans="1:28" x14ac:dyDescent="0.25">
      <c r="A834" s="4">
        <v>46248</v>
      </c>
      <c r="B834" s="8" t="s">
        <v>2974</v>
      </c>
      <c r="C834" s="8" t="s">
        <v>36</v>
      </c>
      <c r="D834" s="8" t="s">
        <v>50</v>
      </c>
      <c r="E834" s="8" t="s">
        <v>47</v>
      </c>
      <c r="F834" s="13"/>
      <c r="G834" s="59"/>
      <c r="H834" s="6">
        <f>15000/6</f>
        <v>2500</v>
      </c>
      <c r="I834" s="6">
        <f t="shared" si="59"/>
        <v>35.971223021582738</v>
      </c>
      <c r="J834" s="2">
        <v>5.82</v>
      </c>
      <c r="K834" s="2">
        <v>4.17</v>
      </c>
      <c r="L834" s="2">
        <v>1.65</v>
      </c>
      <c r="M834" s="2">
        <v>28.35</v>
      </c>
      <c r="N834" s="2" t="s">
        <v>3058</v>
      </c>
      <c r="O834" s="56">
        <v>150</v>
      </c>
      <c r="P834" s="2">
        <v>1.01</v>
      </c>
      <c r="Q834" s="2">
        <v>2.0099999999999998</v>
      </c>
      <c r="R834" s="2">
        <v>74.760000000000005</v>
      </c>
      <c r="S834" s="2">
        <v>5.68</v>
      </c>
      <c r="T834" s="2">
        <v>3.44</v>
      </c>
      <c r="U834" s="2">
        <v>69.08</v>
      </c>
      <c r="V834" s="2">
        <v>16.57</v>
      </c>
      <c r="W834" s="2">
        <v>2577.02</v>
      </c>
      <c r="X834" s="2" t="s">
        <v>3059</v>
      </c>
      <c r="Y834" s="2" t="s">
        <v>3060</v>
      </c>
      <c r="Z834" s="2" t="s">
        <v>1696</v>
      </c>
      <c r="AA834" s="2">
        <v>0.01</v>
      </c>
      <c r="AB834" s="2">
        <v>337.4</v>
      </c>
    </row>
    <row r="835" spans="1:28" x14ac:dyDescent="0.25">
      <c r="A835" s="4">
        <v>46248</v>
      </c>
      <c r="B835" s="8" t="s">
        <v>2974</v>
      </c>
      <c r="C835" s="8" t="s">
        <v>36</v>
      </c>
      <c r="D835" s="8" t="s">
        <v>52</v>
      </c>
      <c r="E835" s="8" t="s">
        <v>47</v>
      </c>
      <c r="F835" s="13"/>
      <c r="G835" s="59"/>
      <c r="H835" s="6">
        <f>15000/6</f>
        <v>2500</v>
      </c>
      <c r="I835" s="6">
        <f t="shared" si="59"/>
        <v>243.23308270676691</v>
      </c>
      <c r="J835" s="2">
        <v>8.83</v>
      </c>
      <c r="K835" s="2">
        <v>7.98</v>
      </c>
      <c r="L835" s="2">
        <v>0.85</v>
      </c>
      <c r="M835" s="2">
        <v>9.6300000000000008</v>
      </c>
      <c r="N835" s="2" t="s">
        <v>3061</v>
      </c>
      <c r="O835" s="56">
        <v>1941</v>
      </c>
      <c r="P835" s="2">
        <v>1.87</v>
      </c>
      <c r="Q835" s="2">
        <v>11.12</v>
      </c>
      <c r="R835" s="2">
        <v>174.6</v>
      </c>
      <c r="S835" s="2">
        <v>3.31</v>
      </c>
      <c r="T835" s="2">
        <v>3.9</v>
      </c>
      <c r="U835" s="2">
        <v>171.29</v>
      </c>
      <c r="V835" s="2">
        <v>21.47</v>
      </c>
      <c r="W835" s="2">
        <v>1176.6199999999999</v>
      </c>
      <c r="X835" s="2" t="s">
        <v>3062</v>
      </c>
      <c r="Y835" s="2" t="s">
        <v>3063</v>
      </c>
      <c r="Z835" s="2" t="s">
        <v>548</v>
      </c>
      <c r="AA835" s="2" t="s">
        <v>548</v>
      </c>
      <c r="AB835" s="2">
        <v>121.1</v>
      </c>
    </row>
    <row r="836" spans="1:28" x14ac:dyDescent="0.25">
      <c r="A836" s="4">
        <v>46248</v>
      </c>
      <c r="B836" s="8" t="s">
        <v>2974</v>
      </c>
      <c r="C836" s="8" t="s">
        <v>36</v>
      </c>
      <c r="D836" s="7" t="s">
        <v>46</v>
      </c>
      <c r="E836" s="8" t="s">
        <v>47</v>
      </c>
      <c r="F836" s="13"/>
      <c r="G836" s="59"/>
      <c r="H836" s="6">
        <f>15000/6</f>
        <v>2500</v>
      </c>
      <c r="I836" s="6">
        <f t="shared" si="59"/>
        <v>309.63244613434728</v>
      </c>
      <c r="J836" s="2">
        <v>9.44</v>
      </c>
      <c r="K836" s="2">
        <v>7.89</v>
      </c>
      <c r="L836" s="2">
        <v>1.55</v>
      </c>
      <c r="M836" s="2">
        <v>16.41</v>
      </c>
      <c r="N836" s="2" t="s">
        <v>3064</v>
      </c>
      <c r="O836" s="56">
        <v>2443</v>
      </c>
      <c r="P836" s="2">
        <v>3.2</v>
      </c>
      <c r="Q836" s="2">
        <v>10.47</v>
      </c>
      <c r="R836" s="2">
        <v>233.28</v>
      </c>
      <c r="S836" s="2">
        <v>8.99</v>
      </c>
      <c r="T836" s="2">
        <v>5.8</v>
      </c>
      <c r="U836" s="2">
        <v>224.29</v>
      </c>
      <c r="V836" s="2">
        <v>28.41</v>
      </c>
      <c r="W836" s="2">
        <v>8143.52</v>
      </c>
      <c r="X836" s="2" t="s">
        <v>3065</v>
      </c>
      <c r="Y836" s="2" t="s">
        <v>3066</v>
      </c>
      <c r="Z836" s="2">
        <v>0.1</v>
      </c>
      <c r="AA836" s="2" t="s">
        <v>548</v>
      </c>
      <c r="AB836" s="2">
        <v>256.2</v>
      </c>
    </row>
    <row r="837" spans="1:28" x14ac:dyDescent="0.25">
      <c r="A837" s="4">
        <v>46248</v>
      </c>
      <c r="B837" s="8" t="s">
        <v>2974</v>
      </c>
      <c r="C837" s="8" t="s">
        <v>36</v>
      </c>
      <c r="D837" s="8" t="s">
        <v>48</v>
      </c>
      <c r="E837" s="7" t="s">
        <v>38</v>
      </c>
      <c r="F837" s="13">
        <v>2904</v>
      </c>
      <c r="G837" s="59"/>
      <c r="H837" s="6">
        <f>24000/6</f>
        <v>4000</v>
      </c>
      <c r="I837" s="6">
        <f t="shared" si="59"/>
        <v>497.11155378486058</v>
      </c>
      <c r="J837" s="2">
        <v>11.29</v>
      </c>
      <c r="K837" s="2">
        <v>10.039999999999999</v>
      </c>
      <c r="L837" s="2">
        <v>1.25</v>
      </c>
      <c r="M837" s="2">
        <v>11.07</v>
      </c>
      <c r="N837" s="2" t="s">
        <v>2569</v>
      </c>
      <c r="O837" s="56">
        <v>4991</v>
      </c>
      <c r="P837" s="2">
        <v>4.33</v>
      </c>
      <c r="Q837" s="2">
        <v>12.71</v>
      </c>
      <c r="R837" s="2">
        <v>392.74</v>
      </c>
      <c r="S837" s="2">
        <v>7.57</v>
      </c>
      <c r="T837" s="2">
        <v>6.06</v>
      </c>
      <c r="U837" s="2">
        <v>385.17</v>
      </c>
      <c r="V837" s="2">
        <v>38.35</v>
      </c>
      <c r="W837" s="2">
        <v>6768.41</v>
      </c>
      <c r="X837" s="2" t="s">
        <v>3067</v>
      </c>
      <c r="Y837" s="2" t="s">
        <v>3068</v>
      </c>
      <c r="Z837" s="2" t="s">
        <v>548</v>
      </c>
      <c r="AA837" s="2" t="s">
        <v>548</v>
      </c>
      <c r="AB837" s="2">
        <v>49.6</v>
      </c>
    </row>
    <row r="838" spans="1:28" x14ac:dyDescent="0.25">
      <c r="A838" s="4">
        <v>46248</v>
      </c>
      <c r="B838" s="8" t="s">
        <v>2974</v>
      </c>
      <c r="C838" s="8" t="s">
        <v>36</v>
      </c>
      <c r="D838" s="8" t="s">
        <v>49</v>
      </c>
      <c r="E838" s="8" t="s">
        <v>47</v>
      </c>
      <c r="F838" s="13"/>
      <c r="G838" s="59"/>
      <c r="H838" s="6">
        <f>15000/6</f>
        <v>2500</v>
      </c>
      <c r="I838" s="6">
        <f t="shared" si="59"/>
        <v>482.26466575716233</v>
      </c>
      <c r="J838" s="2">
        <v>10.38</v>
      </c>
      <c r="K838" s="2">
        <v>7.33</v>
      </c>
      <c r="L838" s="2">
        <v>3.05</v>
      </c>
      <c r="M838" s="2">
        <v>29.39</v>
      </c>
      <c r="N838" s="2" t="s">
        <v>2936</v>
      </c>
      <c r="O838" s="56">
        <v>3535</v>
      </c>
      <c r="P838" s="2">
        <v>3.88</v>
      </c>
      <c r="Q838" s="2">
        <v>12.15</v>
      </c>
      <c r="R838" s="2" t="s">
        <v>3069</v>
      </c>
      <c r="S838" s="2">
        <v>11.83</v>
      </c>
      <c r="T838" s="2">
        <v>3.88</v>
      </c>
      <c r="U838" s="2">
        <v>279.17</v>
      </c>
      <c r="V838" s="2">
        <v>38.11</v>
      </c>
      <c r="W838" s="2">
        <v>2098.44</v>
      </c>
      <c r="X838" s="2" t="s">
        <v>3070</v>
      </c>
      <c r="Y838" s="2" t="s">
        <v>3071</v>
      </c>
      <c r="Z838" s="2" t="s">
        <v>548</v>
      </c>
      <c r="AA838" s="2" t="s">
        <v>548</v>
      </c>
      <c r="AB838" s="2">
        <v>5.6</v>
      </c>
    </row>
    <row r="839" spans="1:28" x14ac:dyDescent="0.25">
      <c r="A839" s="4">
        <v>46249</v>
      </c>
      <c r="B839" s="8" t="s">
        <v>55</v>
      </c>
      <c r="C839" s="8" t="s">
        <v>56</v>
      </c>
      <c r="D839" s="8" t="s">
        <v>39</v>
      </c>
      <c r="E839" s="8" t="s">
        <v>47</v>
      </c>
      <c r="F839" s="13"/>
      <c r="G839" s="59" t="s">
        <v>146</v>
      </c>
      <c r="H839" s="6"/>
      <c r="I839" s="6">
        <f t="shared" si="59"/>
        <v>0</v>
      </c>
      <c r="J839" s="2">
        <v>0.6</v>
      </c>
      <c r="K839" s="2">
        <v>0.45</v>
      </c>
      <c r="L839" s="2">
        <v>0.15</v>
      </c>
      <c r="M839" s="2">
        <v>25.1</v>
      </c>
      <c r="N839" s="2" t="s">
        <v>1380</v>
      </c>
      <c r="O839" s="56">
        <v>0</v>
      </c>
      <c r="P839" s="2" t="s">
        <v>548</v>
      </c>
      <c r="Q839" s="2" t="s">
        <v>548</v>
      </c>
      <c r="R839" s="2">
        <v>3.79</v>
      </c>
      <c r="S839" s="2">
        <v>0.47</v>
      </c>
      <c r="T839" s="2">
        <v>3.15</v>
      </c>
      <c r="U839" s="2">
        <v>3.31</v>
      </c>
      <c r="V839" s="2">
        <v>7.4</v>
      </c>
      <c r="W839" s="2">
        <v>9339.7099999999991</v>
      </c>
      <c r="X839" s="2" t="s">
        <v>3072</v>
      </c>
      <c r="Y839" s="2" t="s">
        <v>3054</v>
      </c>
      <c r="Z839" s="2">
        <v>0.1</v>
      </c>
      <c r="AA839" s="2">
        <v>0.05</v>
      </c>
      <c r="AB839" s="2">
        <v>292.39999999999998</v>
      </c>
    </row>
    <row r="840" spans="1:28" x14ac:dyDescent="0.25">
      <c r="A840" s="4">
        <v>46249</v>
      </c>
      <c r="B840" s="8" t="s">
        <v>2974</v>
      </c>
      <c r="C840" s="8" t="s">
        <v>36</v>
      </c>
      <c r="D840" s="8" t="s">
        <v>43</v>
      </c>
      <c r="E840" s="8" t="s">
        <v>2994</v>
      </c>
      <c r="F840" s="13"/>
      <c r="G840" s="59"/>
      <c r="H840" s="6"/>
      <c r="I840" s="6">
        <f t="shared" si="59"/>
        <v>0</v>
      </c>
      <c r="J840" s="2">
        <v>5.75</v>
      </c>
      <c r="K840" s="2">
        <v>3.15</v>
      </c>
      <c r="L840" s="2">
        <v>2.6</v>
      </c>
      <c r="M840" s="2">
        <v>45.24</v>
      </c>
      <c r="N840" s="2" t="s">
        <v>45</v>
      </c>
      <c r="O840" s="56" t="s">
        <v>45</v>
      </c>
      <c r="P840" s="2" t="s">
        <v>45</v>
      </c>
      <c r="Q840" s="2" t="s">
        <v>45</v>
      </c>
      <c r="R840" s="2">
        <v>69.08</v>
      </c>
      <c r="S840" s="2">
        <v>9.94</v>
      </c>
      <c r="T840" s="2">
        <v>3.82</v>
      </c>
      <c r="U840" s="2">
        <v>59.15</v>
      </c>
      <c r="V840" s="2">
        <v>18.79</v>
      </c>
      <c r="W840" s="2">
        <v>8936.51</v>
      </c>
      <c r="X840" s="2" t="s">
        <v>45</v>
      </c>
      <c r="Y840" s="2" t="s">
        <v>45</v>
      </c>
      <c r="Z840" s="2">
        <v>0.4</v>
      </c>
      <c r="AA840" s="2" t="s">
        <v>45</v>
      </c>
      <c r="AB840" s="2">
        <v>265.8</v>
      </c>
    </row>
    <row r="841" spans="1:28" x14ac:dyDescent="0.25">
      <c r="A841" s="4">
        <v>46249</v>
      </c>
      <c r="B841" s="8" t="s">
        <v>2974</v>
      </c>
      <c r="C841" s="8" t="s">
        <v>36</v>
      </c>
      <c r="D841" s="8" t="s">
        <v>67</v>
      </c>
      <c r="E841" s="8" t="s">
        <v>47</v>
      </c>
      <c r="F841" s="13"/>
      <c r="G841" s="59"/>
      <c r="H841" s="6">
        <f>15000/5</f>
        <v>3000</v>
      </c>
      <c r="I841" s="6">
        <f t="shared" si="59"/>
        <v>260.33519553072625</v>
      </c>
      <c r="J841" s="2">
        <v>5.97</v>
      </c>
      <c r="K841" s="2">
        <v>5.37</v>
      </c>
      <c r="L841" s="2">
        <v>0.6</v>
      </c>
      <c r="M841" s="2">
        <v>10.050000000000001</v>
      </c>
      <c r="N841" s="2" t="s">
        <v>3073</v>
      </c>
      <c r="O841" s="56">
        <v>1398</v>
      </c>
      <c r="P841" s="2">
        <v>2.21</v>
      </c>
      <c r="Q841" s="2">
        <v>17.18</v>
      </c>
      <c r="R841" s="2">
        <v>81.39</v>
      </c>
      <c r="S841" s="2">
        <v>2.37</v>
      </c>
      <c r="T841" s="2">
        <v>3.94</v>
      </c>
      <c r="U841" s="2">
        <v>79.02</v>
      </c>
      <c r="V841" s="2">
        <v>14.72</v>
      </c>
      <c r="W841" s="2">
        <v>755.99</v>
      </c>
      <c r="X841" s="2" t="s">
        <v>3074</v>
      </c>
      <c r="Y841" s="2" t="s">
        <v>3075</v>
      </c>
      <c r="Z841" s="2" t="s">
        <v>548</v>
      </c>
      <c r="AA841" s="2" t="s">
        <v>548</v>
      </c>
      <c r="AB841" s="2">
        <v>72.3</v>
      </c>
    </row>
    <row r="842" spans="1:28" x14ac:dyDescent="0.25">
      <c r="A842" s="4">
        <v>46249</v>
      </c>
      <c r="B842" s="8" t="s">
        <v>2974</v>
      </c>
      <c r="C842" s="8" t="s">
        <v>36</v>
      </c>
      <c r="D842" s="8" t="s">
        <v>50</v>
      </c>
      <c r="E842" s="8" t="s">
        <v>47</v>
      </c>
      <c r="F842" s="13"/>
      <c r="G842" s="59"/>
      <c r="H842" s="6">
        <f>15000/5</f>
        <v>3000</v>
      </c>
      <c r="I842" s="6">
        <f t="shared" si="59"/>
        <v>278.55072463768113</v>
      </c>
      <c r="J842" s="2">
        <v>7.5</v>
      </c>
      <c r="K842" s="2">
        <v>6.9</v>
      </c>
      <c r="L842" s="2">
        <v>0.6</v>
      </c>
      <c r="M842" s="2" t="s">
        <v>3076</v>
      </c>
      <c r="N842" s="2" t="s">
        <v>3077</v>
      </c>
      <c r="O842" s="56">
        <v>1922</v>
      </c>
      <c r="P842" s="2">
        <v>1.85</v>
      </c>
      <c r="Q842" s="2">
        <v>13.32</v>
      </c>
      <c r="R842" s="2">
        <v>144.32</v>
      </c>
      <c r="S842" s="2">
        <v>3.31</v>
      </c>
      <c r="T842" s="2">
        <v>5.52</v>
      </c>
      <c r="U842" s="2">
        <v>141.01</v>
      </c>
      <c r="V842" s="2">
        <v>20.43</v>
      </c>
      <c r="W842" s="2">
        <v>2584.52</v>
      </c>
      <c r="X842" s="2" t="s">
        <v>3078</v>
      </c>
      <c r="Y842" s="2" t="s">
        <v>3079</v>
      </c>
      <c r="Z842" s="2" t="s">
        <v>548</v>
      </c>
      <c r="AA842" s="2" t="s">
        <v>548</v>
      </c>
      <c r="AB842" s="2">
        <v>337.4</v>
      </c>
    </row>
    <row r="843" spans="1:28" x14ac:dyDescent="0.25">
      <c r="A843" s="4">
        <v>46249</v>
      </c>
      <c r="B843" s="8" t="s">
        <v>2974</v>
      </c>
      <c r="C843" s="8" t="s">
        <v>36</v>
      </c>
      <c r="D843" s="8" t="s">
        <v>52</v>
      </c>
      <c r="E843" s="8" t="s">
        <v>47</v>
      </c>
      <c r="F843" s="13"/>
      <c r="G843" s="59"/>
      <c r="H843" s="6">
        <f>15000/5</f>
        <v>3000</v>
      </c>
      <c r="I843" s="6">
        <f t="shared" si="59"/>
        <v>205.72519083969465</v>
      </c>
      <c r="J843" s="2">
        <v>3.42</v>
      </c>
      <c r="K843" s="2">
        <v>2.62</v>
      </c>
      <c r="L843" s="2">
        <v>0.8</v>
      </c>
      <c r="M843" s="2">
        <v>23.43</v>
      </c>
      <c r="N843" s="2" t="s">
        <v>3080</v>
      </c>
      <c r="O843" s="56">
        <v>539</v>
      </c>
      <c r="P843" s="2">
        <v>1.79</v>
      </c>
      <c r="Q843" s="2">
        <v>10.36</v>
      </c>
      <c r="R843" s="2">
        <v>52.05</v>
      </c>
      <c r="S843" s="2">
        <v>3.31</v>
      </c>
      <c r="T843" s="2">
        <v>4.1399999999999997</v>
      </c>
      <c r="U843" s="2">
        <v>48.74</v>
      </c>
      <c r="V843" s="2">
        <v>18.64</v>
      </c>
      <c r="W843" s="2">
        <v>1180.03</v>
      </c>
      <c r="X843" s="2" t="s">
        <v>3081</v>
      </c>
      <c r="Y843" s="2" t="s">
        <v>3082</v>
      </c>
      <c r="Z843" s="2">
        <v>0.3</v>
      </c>
      <c r="AA843" s="2" t="s">
        <v>548</v>
      </c>
      <c r="AB843" s="2">
        <v>121.4</v>
      </c>
    </row>
    <row r="844" spans="1:28" x14ac:dyDescent="0.25">
      <c r="A844" s="4">
        <v>46249</v>
      </c>
      <c r="B844" s="8" t="s">
        <v>2974</v>
      </c>
      <c r="C844" s="8" t="s">
        <v>36</v>
      </c>
      <c r="D844" s="7" t="s">
        <v>46</v>
      </c>
      <c r="E844" s="8" t="s">
        <v>47</v>
      </c>
      <c r="F844" s="13"/>
      <c r="G844" s="59"/>
      <c r="H844" s="6">
        <f>15000/5</f>
        <v>3000</v>
      </c>
      <c r="I844" s="6">
        <f t="shared" si="59"/>
        <v>328.14992025518342</v>
      </c>
      <c r="J844" s="2">
        <v>14.54</v>
      </c>
      <c r="K844" s="2">
        <v>12.54</v>
      </c>
      <c r="L844" s="2" t="s">
        <v>1380</v>
      </c>
      <c r="M844" s="2">
        <v>13.75</v>
      </c>
      <c r="N844" s="2" t="s">
        <v>3083</v>
      </c>
      <c r="O844" s="56">
        <v>4115</v>
      </c>
      <c r="P844" s="2">
        <v>3.18</v>
      </c>
      <c r="Q844" s="2">
        <v>10.87</v>
      </c>
      <c r="R844" s="2">
        <v>378.54</v>
      </c>
      <c r="S844" s="2">
        <v>12.78</v>
      </c>
      <c r="T844" s="2">
        <v>6.39</v>
      </c>
      <c r="U844" s="2">
        <v>365.77</v>
      </c>
      <c r="V844" s="2">
        <v>29.16</v>
      </c>
      <c r="W844" s="2">
        <v>8158.06</v>
      </c>
      <c r="X844" s="2" t="s">
        <v>3084</v>
      </c>
      <c r="Y844" s="2" t="s">
        <v>3085</v>
      </c>
      <c r="Z844" s="2">
        <v>0.2</v>
      </c>
      <c r="AA844" s="2" t="s">
        <v>548</v>
      </c>
      <c r="AB844" s="2">
        <v>256.39999999999998</v>
      </c>
    </row>
    <row r="845" spans="1:28" x14ac:dyDescent="0.25">
      <c r="A845" s="4">
        <v>46249</v>
      </c>
      <c r="B845" s="8" t="s">
        <v>2974</v>
      </c>
      <c r="C845" s="8" t="s">
        <v>36</v>
      </c>
      <c r="D845" s="8" t="s">
        <v>48</v>
      </c>
      <c r="E845" s="7" t="s">
        <v>38</v>
      </c>
      <c r="F845" s="13">
        <v>2575</v>
      </c>
      <c r="G845" s="59"/>
      <c r="H845" s="6">
        <f>24000/6</f>
        <v>4000</v>
      </c>
      <c r="I845" s="6">
        <f t="shared" si="59"/>
        <v>692.09302325581393</v>
      </c>
      <c r="J845" s="2">
        <v>5.05</v>
      </c>
      <c r="K845" s="2">
        <v>4.3</v>
      </c>
      <c r="L845" s="2">
        <v>0.75</v>
      </c>
      <c r="M845" s="2">
        <v>14.85</v>
      </c>
      <c r="N845" s="2" t="s">
        <v>3086</v>
      </c>
      <c r="O845" s="56">
        <v>2976</v>
      </c>
      <c r="P845" s="2">
        <v>4.9800000000000004</v>
      </c>
      <c r="Q845" s="2">
        <v>17.77</v>
      </c>
      <c r="R845" s="2">
        <v>167.5</v>
      </c>
      <c r="S845" s="2">
        <v>4.7300000000000004</v>
      </c>
      <c r="T845" s="2">
        <v>6.31</v>
      </c>
      <c r="U845" s="2">
        <v>162.77000000000001</v>
      </c>
      <c r="V845" s="2">
        <v>37.85</v>
      </c>
      <c r="W845" s="2">
        <v>6773.46</v>
      </c>
      <c r="X845" s="2" t="s">
        <v>3087</v>
      </c>
      <c r="Y845" s="2" t="s">
        <v>3088</v>
      </c>
      <c r="Z845" s="2" t="s">
        <v>548</v>
      </c>
      <c r="AA845" s="2" t="s">
        <v>548</v>
      </c>
      <c r="AB845" s="2">
        <v>49.6</v>
      </c>
    </row>
    <row r="846" spans="1:28" x14ac:dyDescent="0.25">
      <c r="A846" s="4">
        <v>46249</v>
      </c>
      <c r="B846" s="8" t="s">
        <v>2974</v>
      </c>
      <c r="C846" s="8" t="s">
        <v>36</v>
      </c>
      <c r="D846" s="8" t="s">
        <v>49</v>
      </c>
      <c r="E846" s="8" t="s">
        <v>47</v>
      </c>
      <c r="F846" s="13"/>
      <c r="G846" s="59"/>
      <c r="H846" s="6">
        <f>15000/5</f>
        <v>3000</v>
      </c>
      <c r="I846" s="6">
        <f t="shared" si="59"/>
        <v>504.6913580246914</v>
      </c>
      <c r="J846" s="2">
        <v>5.65</v>
      </c>
      <c r="K846" s="2">
        <v>4.05</v>
      </c>
      <c r="L846" s="2">
        <v>1.6</v>
      </c>
      <c r="M846" s="2">
        <v>28.31</v>
      </c>
      <c r="N846" s="2" t="s">
        <v>3089</v>
      </c>
      <c r="O846" s="56">
        <v>2044</v>
      </c>
      <c r="P846" s="2">
        <v>3.96</v>
      </c>
      <c r="Q846" s="2">
        <v>12.67</v>
      </c>
      <c r="R846" s="2">
        <v>161.35</v>
      </c>
      <c r="S846" s="2">
        <v>7.57</v>
      </c>
      <c r="T846" s="2">
        <v>4.7300000000000004</v>
      </c>
      <c r="U846" s="2">
        <v>153.78</v>
      </c>
      <c r="V846" s="2">
        <v>37.96</v>
      </c>
      <c r="W846" s="2">
        <v>2104.1</v>
      </c>
      <c r="X846" s="2" t="s">
        <v>3090</v>
      </c>
      <c r="Y846" s="2" t="s">
        <v>3091</v>
      </c>
      <c r="Z846" s="2">
        <v>0.1</v>
      </c>
      <c r="AA846" s="2" t="s">
        <v>548</v>
      </c>
      <c r="AB846" s="2">
        <v>5.7</v>
      </c>
    </row>
    <row r="847" spans="1:28" x14ac:dyDescent="0.25">
      <c r="A847" s="4">
        <v>46250</v>
      </c>
      <c r="B847" s="8" t="s">
        <v>55</v>
      </c>
      <c r="C847" s="8" t="s">
        <v>56</v>
      </c>
      <c r="D847" s="8" t="s">
        <v>39</v>
      </c>
      <c r="E847" s="8" t="s">
        <v>47</v>
      </c>
      <c r="F847" s="13"/>
      <c r="G847" s="59"/>
      <c r="H847" s="6"/>
      <c r="I847" s="6">
        <f t="shared" si="59"/>
        <v>0</v>
      </c>
      <c r="J847" s="2" t="s">
        <v>548</v>
      </c>
      <c r="K847" s="2" t="s">
        <v>548</v>
      </c>
      <c r="L847" s="2" t="s">
        <v>548</v>
      </c>
      <c r="M847" s="2" t="s">
        <v>45</v>
      </c>
      <c r="N847" s="2" t="s">
        <v>548</v>
      </c>
      <c r="O847" s="56">
        <v>0</v>
      </c>
      <c r="P847" s="2" t="s">
        <v>45</v>
      </c>
      <c r="Q847" s="2" t="s">
        <v>45</v>
      </c>
      <c r="R847" s="2" t="s">
        <v>548</v>
      </c>
      <c r="S847" s="2" t="s">
        <v>548</v>
      </c>
      <c r="T847" s="2" t="s">
        <v>45</v>
      </c>
      <c r="U847" s="2" t="s">
        <v>548</v>
      </c>
      <c r="V847" s="2" t="s">
        <v>45</v>
      </c>
      <c r="W847" s="2">
        <v>9339.7099999999991</v>
      </c>
      <c r="X847" s="2" t="s">
        <v>3072</v>
      </c>
      <c r="Y847" s="2" t="s">
        <v>3054</v>
      </c>
      <c r="Z847" s="2" t="s">
        <v>548</v>
      </c>
      <c r="AA847" s="2" t="s">
        <v>45</v>
      </c>
      <c r="AB847" s="2">
        <v>292.39999999999998</v>
      </c>
    </row>
    <row r="848" spans="1:28" x14ac:dyDescent="0.25">
      <c r="A848" s="4">
        <v>46250</v>
      </c>
      <c r="B848" s="8" t="s">
        <v>55</v>
      </c>
      <c r="C848" s="8" t="s">
        <v>56</v>
      </c>
      <c r="D848" s="8" t="s">
        <v>43</v>
      </c>
      <c r="E848" s="8" t="s">
        <v>47</v>
      </c>
      <c r="F848" s="13"/>
      <c r="G848" s="59"/>
      <c r="H848" s="6"/>
      <c r="I848" s="6">
        <f t="shared" si="59"/>
        <v>0</v>
      </c>
      <c r="J848" s="2" t="s">
        <v>548</v>
      </c>
      <c r="K848" s="2" t="s">
        <v>548</v>
      </c>
      <c r="L848" s="2" t="s">
        <v>548</v>
      </c>
      <c r="M848" s="2" t="s">
        <v>45</v>
      </c>
      <c r="N848" s="2" t="s">
        <v>45</v>
      </c>
      <c r="O848" s="56" t="s">
        <v>45</v>
      </c>
      <c r="P848" s="2" t="s">
        <v>45</v>
      </c>
      <c r="Q848" s="2" t="s">
        <v>45</v>
      </c>
      <c r="R848" s="2" t="s">
        <v>548</v>
      </c>
      <c r="S848" s="2" t="s">
        <v>548</v>
      </c>
      <c r="T848" s="2" t="s">
        <v>45</v>
      </c>
      <c r="U848" s="2" t="s">
        <v>548</v>
      </c>
      <c r="V848" s="2" t="s">
        <v>45</v>
      </c>
      <c r="W848" s="2">
        <v>8936.51</v>
      </c>
      <c r="X848" s="2" t="s">
        <v>45</v>
      </c>
      <c r="Y848" s="2" t="s">
        <v>45</v>
      </c>
      <c r="Z848" s="2" t="s">
        <v>548</v>
      </c>
      <c r="AA848" s="2" t="s">
        <v>45</v>
      </c>
      <c r="AB848" s="2">
        <v>265.8</v>
      </c>
    </row>
    <row r="849" spans="1:28" x14ac:dyDescent="0.25">
      <c r="A849" s="4">
        <v>46250</v>
      </c>
      <c r="B849" s="8" t="s">
        <v>55</v>
      </c>
      <c r="C849" s="8" t="s">
        <v>56</v>
      </c>
      <c r="D849" s="8" t="s">
        <v>67</v>
      </c>
      <c r="E849" s="8" t="s">
        <v>47</v>
      </c>
      <c r="F849" s="13"/>
      <c r="G849" s="59"/>
      <c r="H849" s="6"/>
      <c r="I849" s="6">
        <f t="shared" si="59"/>
        <v>0</v>
      </c>
      <c r="J849" s="2" t="s">
        <v>45</v>
      </c>
      <c r="K849" s="2" t="s">
        <v>45</v>
      </c>
      <c r="L849" s="2" t="s">
        <v>45</v>
      </c>
      <c r="M849" s="2" t="s">
        <v>45</v>
      </c>
      <c r="N849" s="2" t="s">
        <v>45</v>
      </c>
      <c r="O849" s="56" t="s">
        <v>45</v>
      </c>
      <c r="P849" s="2" t="s">
        <v>45</v>
      </c>
      <c r="Q849" s="2" t="s">
        <v>45</v>
      </c>
      <c r="R849" s="2" t="s">
        <v>45</v>
      </c>
      <c r="S849" s="2" t="s">
        <v>45</v>
      </c>
      <c r="T849" s="2" t="s">
        <v>45</v>
      </c>
      <c r="U849" s="2" t="s">
        <v>45</v>
      </c>
      <c r="V849" s="2" t="s">
        <v>45</v>
      </c>
      <c r="W849" s="2" t="s">
        <v>45</v>
      </c>
      <c r="X849" s="2" t="s">
        <v>45</v>
      </c>
      <c r="Y849" s="2" t="s">
        <v>45</v>
      </c>
      <c r="Z849" s="2" t="s">
        <v>45</v>
      </c>
      <c r="AA849" s="2" t="s">
        <v>45</v>
      </c>
      <c r="AB849" s="2" t="s">
        <v>45</v>
      </c>
    </row>
    <row r="850" spans="1:28" x14ac:dyDescent="0.25">
      <c r="A850" s="4">
        <v>46250</v>
      </c>
      <c r="B850" s="8" t="s">
        <v>55</v>
      </c>
      <c r="C850" s="8" t="s">
        <v>56</v>
      </c>
      <c r="D850" s="8" t="s">
        <v>50</v>
      </c>
      <c r="E850" s="8" t="s">
        <v>47</v>
      </c>
      <c r="F850" s="13"/>
      <c r="G850" s="59"/>
      <c r="H850" s="6"/>
      <c r="I850" s="6">
        <f t="shared" si="59"/>
        <v>0</v>
      </c>
      <c r="J850" s="2">
        <v>0.17</v>
      </c>
      <c r="K850" s="2">
        <v>7.0000000000000007E-2</v>
      </c>
      <c r="L850" s="2">
        <v>0.1</v>
      </c>
      <c r="M850" s="2">
        <v>60.31</v>
      </c>
      <c r="N850" s="2" t="s">
        <v>1380</v>
      </c>
      <c r="O850" s="56">
        <v>0</v>
      </c>
      <c r="P850" s="2" t="s">
        <v>1380</v>
      </c>
      <c r="Q850" s="2">
        <v>2.11</v>
      </c>
      <c r="R850" s="2">
        <v>1.89</v>
      </c>
      <c r="S850" s="2">
        <v>0.47</v>
      </c>
      <c r="T850" s="2">
        <v>4.7300000000000004</v>
      </c>
      <c r="U850" s="2">
        <v>1.42</v>
      </c>
      <c r="V850" s="2">
        <v>21.57</v>
      </c>
      <c r="W850" s="2">
        <v>2584.69</v>
      </c>
      <c r="X850" s="2" t="s">
        <v>3092</v>
      </c>
      <c r="Y850" s="2" t="s">
        <v>3093</v>
      </c>
      <c r="Z850" s="2" t="s">
        <v>548</v>
      </c>
      <c r="AA850" s="2" t="s">
        <v>548</v>
      </c>
      <c r="AB850" s="2">
        <v>337.4</v>
      </c>
    </row>
    <row r="851" spans="1:28" x14ac:dyDescent="0.25">
      <c r="A851" s="4">
        <v>46250</v>
      </c>
      <c r="B851" s="8" t="s">
        <v>55</v>
      </c>
      <c r="C851" s="8" t="s">
        <v>56</v>
      </c>
      <c r="D851" s="8" t="s">
        <v>52</v>
      </c>
      <c r="E851" s="8" t="s">
        <v>47</v>
      </c>
      <c r="F851" s="13"/>
      <c r="G851" s="59"/>
      <c r="H851" s="6"/>
      <c r="I851" s="6">
        <f t="shared" si="59"/>
        <v>0</v>
      </c>
      <c r="J851" s="2" t="s">
        <v>45</v>
      </c>
      <c r="K851" s="2" t="s">
        <v>45</v>
      </c>
      <c r="L851" s="2" t="s">
        <v>45</v>
      </c>
      <c r="M851" s="2" t="s">
        <v>45</v>
      </c>
      <c r="N851" s="2" t="s">
        <v>45</v>
      </c>
      <c r="O851" s="56" t="s">
        <v>45</v>
      </c>
      <c r="P851" s="2" t="s">
        <v>45</v>
      </c>
      <c r="Q851" s="2" t="s">
        <v>45</v>
      </c>
      <c r="R851" s="2" t="s">
        <v>45</v>
      </c>
      <c r="S851" s="2" t="s">
        <v>45</v>
      </c>
      <c r="T851" s="2" t="s">
        <v>45</v>
      </c>
      <c r="U851" s="2" t="s">
        <v>45</v>
      </c>
      <c r="V851" s="2" t="s">
        <v>45</v>
      </c>
      <c r="W851" s="2" t="s">
        <v>45</v>
      </c>
      <c r="X851" s="2" t="s">
        <v>45</v>
      </c>
      <c r="Y851" s="2" t="s">
        <v>45</v>
      </c>
      <c r="Z851" s="2" t="s">
        <v>45</v>
      </c>
      <c r="AA851" s="2" t="s">
        <v>45</v>
      </c>
      <c r="AB851" s="2" t="s">
        <v>45</v>
      </c>
    </row>
    <row r="852" spans="1:28" x14ac:dyDescent="0.25">
      <c r="A852" s="4">
        <v>46250</v>
      </c>
      <c r="B852" s="8" t="s">
        <v>55</v>
      </c>
      <c r="C852" s="8" t="s">
        <v>56</v>
      </c>
      <c r="D852" s="7" t="s">
        <v>46</v>
      </c>
      <c r="E852" s="8" t="s">
        <v>47</v>
      </c>
      <c r="F852" s="13"/>
      <c r="G852" s="59"/>
      <c r="H852" s="6"/>
      <c r="I852" s="6">
        <f t="shared" si="59"/>
        <v>0</v>
      </c>
      <c r="J852" s="2" t="s">
        <v>548</v>
      </c>
      <c r="K852" s="2" t="s">
        <v>548</v>
      </c>
      <c r="L852" s="2" t="s">
        <v>548</v>
      </c>
      <c r="M852" s="2" t="s">
        <v>45</v>
      </c>
      <c r="N852" s="2" t="s">
        <v>548</v>
      </c>
      <c r="O852" s="56">
        <v>0</v>
      </c>
      <c r="P852" s="2" t="s">
        <v>45</v>
      </c>
      <c r="Q852" s="2" t="s">
        <v>45</v>
      </c>
      <c r="R852" s="2" t="s">
        <v>548</v>
      </c>
      <c r="S852" s="2" t="s">
        <v>548</v>
      </c>
      <c r="T852" s="2" t="s">
        <v>45</v>
      </c>
      <c r="U852" s="2" t="s">
        <v>548</v>
      </c>
      <c r="V852" s="2" t="s">
        <v>45</v>
      </c>
      <c r="W852" s="2">
        <v>8158.06</v>
      </c>
      <c r="X852" s="2" t="s">
        <v>3084</v>
      </c>
      <c r="Y852" s="2" t="s">
        <v>3085</v>
      </c>
      <c r="Z852" s="2" t="s">
        <v>548</v>
      </c>
      <c r="AA852" s="2" t="s">
        <v>45</v>
      </c>
      <c r="AB852" s="2">
        <v>256.39999999999998</v>
      </c>
    </row>
    <row r="853" spans="1:28" x14ac:dyDescent="0.25">
      <c r="A853" s="4">
        <v>46250</v>
      </c>
      <c r="B853" s="8" t="s">
        <v>55</v>
      </c>
      <c r="C853" s="8" t="s">
        <v>56</v>
      </c>
      <c r="D853" s="8" t="s">
        <v>48</v>
      </c>
      <c r="E853" s="7" t="s">
        <v>38</v>
      </c>
      <c r="F853" s="13"/>
      <c r="G853" s="59"/>
      <c r="H853" s="6"/>
      <c r="I853" s="6">
        <f t="shared" si="59"/>
        <v>0</v>
      </c>
      <c r="J853" s="2" t="s">
        <v>548</v>
      </c>
      <c r="K853" s="2" t="s">
        <v>548</v>
      </c>
      <c r="L853" s="2" t="s">
        <v>548</v>
      </c>
      <c r="M853" s="2" t="s">
        <v>45</v>
      </c>
      <c r="N853" s="2" t="s">
        <v>548</v>
      </c>
      <c r="O853" s="56">
        <v>0</v>
      </c>
      <c r="P853" s="2" t="s">
        <v>45</v>
      </c>
      <c r="Q853" s="2" t="s">
        <v>45</v>
      </c>
      <c r="R853" s="2" t="s">
        <v>548</v>
      </c>
      <c r="S853" s="2" t="s">
        <v>548</v>
      </c>
      <c r="T853" s="2" t="s">
        <v>45</v>
      </c>
      <c r="U853" s="2" t="s">
        <v>548</v>
      </c>
      <c r="V853" s="2" t="s">
        <v>45</v>
      </c>
      <c r="W853" s="2">
        <v>6773.46</v>
      </c>
      <c r="X853" s="2" t="s">
        <v>3087</v>
      </c>
      <c r="Y853" s="2" t="s">
        <v>3088</v>
      </c>
      <c r="Z853" s="2" t="s">
        <v>548</v>
      </c>
      <c r="AA853" s="2" t="s">
        <v>45</v>
      </c>
      <c r="AB853" s="2">
        <v>49.6</v>
      </c>
    </row>
    <row r="854" spans="1:28" x14ac:dyDescent="0.25">
      <c r="A854" s="4">
        <v>46250</v>
      </c>
      <c r="B854" s="8" t="s">
        <v>55</v>
      </c>
      <c r="C854" s="8" t="s">
        <v>56</v>
      </c>
      <c r="D854" s="8" t="s">
        <v>49</v>
      </c>
      <c r="E854" s="8" t="s">
        <v>47</v>
      </c>
      <c r="F854" s="13"/>
      <c r="G854" s="59"/>
      <c r="H854" s="6"/>
      <c r="I854" s="6">
        <f t="shared" si="59"/>
        <v>0</v>
      </c>
      <c r="J854" s="2" t="s">
        <v>45</v>
      </c>
      <c r="K854" s="2" t="s">
        <v>45</v>
      </c>
      <c r="L854" s="2" t="s">
        <v>45</v>
      </c>
      <c r="M854" s="2" t="s">
        <v>45</v>
      </c>
      <c r="N854" s="2" t="s">
        <v>45</v>
      </c>
      <c r="O854" s="56" t="s">
        <v>45</v>
      </c>
      <c r="P854" s="2" t="s">
        <v>45</v>
      </c>
      <c r="Q854" s="2" t="s">
        <v>45</v>
      </c>
      <c r="R854" s="2" t="s">
        <v>45</v>
      </c>
      <c r="S854" s="2" t="s">
        <v>45</v>
      </c>
      <c r="T854" s="2" t="s">
        <v>45</v>
      </c>
      <c r="U854" s="2" t="s">
        <v>45</v>
      </c>
      <c r="V854" s="2" t="s">
        <v>45</v>
      </c>
      <c r="W854" s="2" t="s">
        <v>45</v>
      </c>
      <c r="X854" s="2" t="s">
        <v>45</v>
      </c>
      <c r="Y854" s="2" t="s">
        <v>45</v>
      </c>
      <c r="Z854" s="2" t="s">
        <v>45</v>
      </c>
      <c r="AA854" s="2" t="s">
        <v>45</v>
      </c>
      <c r="AB854" s="2" t="s">
        <v>45</v>
      </c>
    </row>
    <row r="855" spans="1:28" x14ac:dyDescent="0.25">
      <c r="A855" s="4">
        <v>46251</v>
      </c>
      <c r="B855" s="8" t="s">
        <v>3094</v>
      </c>
      <c r="C855" s="8" t="s">
        <v>36</v>
      </c>
      <c r="D855" s="8" t="s">
        <v>39</v>
      </c>
      <c r="E855" s="8" t="s">
        <v>47</v>
      </c>
      <c r="F855" s="13"/>
      <c r="G855" s="59"/>
      <c r="H855" s="6">
        <f>15000/6</f>
        <v>2500</v>
      </c>
      <c r="I855" s="6">
        <f t="shared" si="59"/>
        <v>323.36578581363</v>
      </c>
      <c r="J855" s="2">
        <v>8.2899999999999991</v>
      </c>
      <c r="K855" s="2">
        <v>7.19</v>
      </c>
      <c r="L855" s="2">
        <v>1.1000000000000001</v>
      </c>
      <c r="M855" s="2">
        <v>13.27</v>
      </c>
      <c r="N855" s="2" t="s">
        <v>3095</v>
      </c>
      <c r="O855" s="56">
        <v>2325</v>
      </c>
      <c r="P855" s="2">
        <v>1.21</v>
      </c>
      <c r="Q855" s="2">
        <v>6.99</v>
      </c>
      <c r="R855" s="2">
        <v>138.16999999999999</v>
      </c>
      <c r="S855" s="2">
        <v>4.26</v>
      </c>
      <c r="T855" s="2">
        <v>3.87</v>
      </c>
      <c r="U855" s="2">
        <v>133.91</v>
      </c>
      <c r="V855" s="2">
        <v>18.63</v>
      </c>
      <c r="W855" s="2" t="s">
        <v>3096</v>
      </c>
      <c r="X855" s="2" t="s">
        <v>3097</v>
      </c>
      <c r="Y855" s="2" t="s">
        <v>3098</v>
      </c>
      <c r="Z855" s="2">
        <v>0.4</v>
      </c>
      <c r="AA855" s="2" t="s">
        <v>548</v>
      </c>
      <c r="AB855" s="2">
        <v>292.8</v>
      </c>
    </row>
    <row r="856" spans="1:28" x14ac:dyDescent="0.25">
      <c r="A856" s="4">
        <v>46251</v>
      </c>
      <c r="B856" s="8" t="s">
        <v>3094</v>
      </c>
      <c r="C856" s="8" t="s">
        <v>36</v>
      </c>
      <c r="D856" s="8" t="s">
        <v>43</v>
      </c>
      <c r="E856" s="8" t="s">
        <v>2994</v>
      </c>
      <c r="F856" s="13"/>
      <c r="G856" s="59"/>
      <c r="H856" s="6"/>
      <c r="I856" s="6">
        <f t="shared" si="59"/>
        <v>0</v>
      </c>
      <c r="J856" s="2">
        <v>2.1800000000000002</v>
      </c>
      <c r="K856" s="2">
        <v>1.48</v>
      </c>
      <c r="L856" s="2">
        <v>0.7</v>
      </c>
      <c r="M856" s="2">
        <v>32.18</v>
      </c>
      <c r="N856" s="2" t="s">
        <v>45</v>
      </c>
      <c r="O856" s="56" t="s">
        <v>45</v>
      </c>
      <c r="P856" s="2" t="s">
        <v>45</v>
      </c>
      <c r="Q856" s="2" t="s">
        <v>45</v>
      </c>
      <c r="R856" s="2">
        <v>29.34</v>
      </c>
      <c r="S856" s="2">
        <v>3.31</v>
      </c>
      <c r="T856" s="2">
        <v>4.7300000000000004</v>
      </c>
      <c r="U856" s="2">
        <v>26.02</v>
      </c>
      <c r="V856" s="2">
        <v>17.64</v>
      </c>
      <c r="W856" s="2">
        <v>8938.68</v>
      </c>
      <c r="X856" s="2" t="s">
        <v>45</v>
      </c>
      <c r="Y856" s="2" t="s">
        <v>45</v>
      </c>
      <c r="Z856" s="2">
        <v>0.2</v>
      </c>
      <c r="AA856" s="2" t="s">
        <v>45</v>
      </c>
      <c r="AB856" s="2" t="s">
        <v>3099</v>
      </c>
    </row>
    <row r="857" spans="1:28" x14ac:dyDescent="0.25">
      <c r="A857" s="4">
        <v>46251</v>
      </c>
      <c r="B857" s="8" t="s">
        <v>3094</v>
      </c>
      <c r="C857" s="8" t="s">
        <v>36</v>
      </c>
      <c r="D857" s="8" t="s">
        <v>67</v>
      </c>
      <c r="E857" s="8" t="s">
        <v>47</v>
      </c>
      <c r="F857" s="13"/>
      <c r="G857" s="59"/>
      <c r="H857" s="6">
        <f>15000/6</f>
        <v>2500</v>
      </c>
      <c r="I857" s="6">
        <f t="shared" si="59"/>
        <v>343.53826850690086</v>
      </c>
      <c r="J857" s="2">
        <v>8.9700000000000006</v>
      </c>
      <c r="K857" s="2">
        <v>7.97</v>
      </c>
      <c r="L857" s="2" t="s">
        <v>1696</v>
      </c>
      <c r="M857" s="2">
        <v>11.15</v>
      </c>
      <c r="N857" s="2" t="s">
        <v>3100</v>
      </c>
      <c r="O857" s="56">
        <v>2738</v>
      </c>
      <c r="P857" s="2">
        <v>2.27</v>
      </c>
      <c r="Q857" s="2">
        <v>19.420000000000002</v>
      </c>
      <c r="R857" s="2">
        <v>141.01</v>
      </c>
      <c r="S857" s="2">
        <v>3.31</v>
      </c>
      <c r="T857" s="2">
        <v>3.31</v>
      </c>
      <c r="U857" s="2">
        <v>137.69</v>
      </c>
      <c r="V857" s="2">
        <v>17.28</v>
      </c>
      <c r="W857" s="2">
        <v>764.96</v>
      </c>
      <c r="X857" s="2" t="s">
        <v>3101</v>
      </c>
      <c r="Y857" s="2" t="s">
        <v>3102</v>
      </c>
      <c r="Z857" s="2" t="s">
        <v>548</v>
      </c>
      <c r="AA857" s="2" t="s">
        <v>548</v>
      </c>
      <c r="AB857" s="2">
        <v>72.3</v>
      </c>
    </row>
    <row r="858" spans="1:28" x14ac:dyDescent="0.25">
      <c r="A858" s="4">
        <v>46251</v>
      </c>
      <c r="B858" s="8" t="s">
        <v>3094</v>
      </c>
      <c r="C858" s="8" t="s">
        <v>36</v>
      </c>
      <c r="D858" s="8" t="s">
        <v>50</v>
      </c>
      <c r="E858" s="8" t="s">
        <v>47</v>
      </c>
      <c r="F858" s="13"/>
      <c r="G858" s="59"/>
      <c r="H858" s="6">
        <f t="shared" ref="H858:H900" si="60">15000/6</f>
        <v>2500</v>
      </c>
      <c r="I858" s="6">
        <f t="shared" si="59"/>
        <v>365.1605231866825</v>
      </c>
      <c r="J858" s="2">
        <v>9.16</v>
      </c>
      <c r="K858" s="2">
        <v>8.41</v>
      </c>
      <c r="L858" s="2">
        <v>0.75</v>
      </c>
      <c r="M858" s="2">
        <v>8.19</v>
      </c>
      <c r="N858" s="2" t="s">
        <v>2016</v>
      </c>
      <c r="O858" s="56">
        <v>3071</v>
      </c>
      <c r="P858" s="2">
        <v>2.2000000000000002</v>
      </c>
      <c r="Q858" s="2">
        <v>17.45</v>
      </c>
      <c r="R858" s="2">
        <v>176.02</v>
      </c>
      <c r="S858" s="2">
        <v>2.84</v>
      </c>
      <c r="T858" s="2">
        <v>3.79</v>
      </c>
      <c r="U858" s="2">
        <v>173.18</v>
      </c>
      <c r="V858" s="2">
        <v>20.59</v>
      </c>
      <c r="W858" s="2">
        <v>2593.85</v>
      </c>
      <c r="X858" s="2" t="s">
        <v>3103</v>
      </c>
      <c r="Y858" s="2" t="s">
        <v>3104</v>
      </c>
      <c r="Z858" s="2">
        <v>0.1</v>
      </c>
      <c r="AA858" s="2" t="s">
        <v>548</v>
      </c>
      <c r="AB858" s="2">
        <v>337.5</v>
      </c>
    </row>
    <row r="859" spans="1:28" x14ac:dyDescent="0.25">
      <c r="A859" s="4">
        <v>46251</v>
      </c>
      <c r="B859" s="8" t="s">
        <v>3094</v>
      </c>
      <c r="C859" s="8" t="s">
        <v>36</v>
      </c>
      <c r="D859" s="8" t="s">
        <v>52</v>
      </c>
      <c r="E859" s="8" t="s">
        <v>47</v>
      </c>
      <c r="F859" s="13"/>
      <c r="G859" s="59"/>
      <c r="H859" s="6">
        <f t="shared" si="60"/>
        <v>2500</v>
      </c>
      <c r="I859" s="6">
        <f t="shared" si="59"/>
        <v>276.1194029850746</v>
      </c>
      <c r="J859" s="2">
        <v>12.44</v>
      </c>
      <c r="K859" s="2">
        <v>11.39</v>
      </c>
      <c r="L859" s="2">
        <v>1.05</v>
      </c>
      <c r="M859" s="2">
        <v>8.44</v>
      </c>
      <c r="N859" s="2" t="s">
        <v>3105</v>
      </c>
      <c r="O859" s="56">
        <v>3145</v>
      </c>
      <c r="P859" s="2">
        <v>1.82</v>
      </c>
      <c r="Q859" s="2">
        <v>12.88</v>
      </c>
      <c r="R859" s="2">
        <v>244.16</v>
      </c>
      <c r="S859" s="2">
        <v>3.79</v>
      </c>
      <c r="T859" s="2">
        <v>3.61</v>
      </c>
      <c r="U859" s="2">
        <v>240.37</v>
      </c>
      <c r="V859" s="2">
        <v>21.1</v>
      </c>
      <c r="W859" s="2">
        <v>1192.47</v>
      </c>
      <c r="X859" s="2" t="s">
        <v>3106</v>
      </c>
      <c r="Y859" s="2" t="s">
        <v>3107</v>
      </c>
      <c r="Z859" s="2">
        <v>0.1</v>
      </c>
      <c r="AA859" s="2" t="s">
        <v>548</v>
      </c>
      <c r="AB859" s="2">
        <v>121.5</v>
      </c>
    </row>
    <row r="860" spans="1:28" x14ac:dyDescent="0.25">
      <c r="A860" s="4">
        <v>46251</v>
      </c>
      <c r="B860" s="8" t="s">
        <v>3094</v>
      </c>
      <c r="C860" s="8" t="s">
        <v>36</v>
      </c>
      <c r="D860" s="7" t="s">
        <v>46</v>
      </c>
      <c r="E860" s="8" t="s">
        <v>47</v>
      </c>
      <c r="F860" s="13"/>
      <c r="G860" s="59"/>
      <c r="H860" s="6">
        <f t="shared" si="60"/>
        <v>2500</v>
      </c>
      <c r="I860" s="6">
        <f t="shared" si="59"/>
        <v>344.45479962721339</v>
      </c>
      <c r="J860" s="2">
        <v>12.88</v>
      </c>
      <c r="K860" s="2">
        <v>10.73</v>
      </c>
      <c r="L860" s="2">
        <v>2.15</v>
      </c>
      <c r="M860" s="2">
        <v>16.7</v>
      </c>
      <c r="N860" s="2" t="s">
        <v>3083</v>
      </c>
      <c r="O860" s="56">
        <v>3696</v>
      </c>
      <c r="P860" s="2">
        <v>2.86</v>
      </c>
      <c r="Q860" s="2">
        <v>11.45</v>
      </c>
      <c r="R860" s="2">
        <v>322.70999999999998</v>
      </c>
      <c r="S860" s="2">
        <v>12.3</v>
      </c>
      <c r="T860" s="2">
        <v>5.72</v>
      </c>
      <c r="U860" s="2">
        <v>310.39999999999998</v>
      </c>
      <c r="V860" s="2">
        <v>28.94</v>
      </c>
      <c r="W860" s="2">
        <v>8170.94</v>
      </c>
      <c r="X860" s="2" t="s">
        <v>3108</v>
      </c>
      <c r="Y860" s="2" t="s">
        <v>3109</v>
      </c>
      <c r="Z860" s="2" t="s">
        <v>548</v>
      </c>
      <c r="AA860" s="2" t="s">
        <v>548</v>
      </c>
      <c r="AB860" s="2">
        <v>256.39999999999998</v>
      </c>
    </row>
    <row r="861" spans="1:28" x14ac:dyDescent="0.25">
      <c r="A861" s="4">
        <v>46251</v>
      </c>
      <c r="B861" s="8" t="s">
        <v>3094</v>
      </c>
      <c r="C861" s="8" t="s">
        <v>36</v>
      </c>
      <c r="D861" s="8" t="s">
        <v>48</v>
      </c>
      <c r="E861" s="7" t="s">
        <v>38</v>
      </c>
      <c r="F861" s="13">
        <v>3194</v>
      </c>
      <c r="G861" s="59"/>
      <c r="H861" s="6">
        <f>24000/3</f>
        <v>8000</v>
      </c>
      <c r="I861" s="6">
        <f t="shared" si="59"/>
        <v>567.97546012269936</v>
      </c>
      <c r="J861" s="2">
        <v>9.1999999999999993</v>
      </c>
      <c r="K861" s="2">
        <v>8.15</v>
      </c>
      <c r="L861" s="2">
        <v>1.05</v>
      </c>
      <c r="M861" s="2">
        <v>11.42</v>
      </c>
      <c r="N861" s="2" t="s">
        <v>898</v>
      </c>
      <c r="O861" s="56">
        <v>4629</v>
      </c>
      <c r="P861" s="2">
        <v>4.5</v>
      </c>
      <c r="Q861" s="2">
        <v>14.67</v>
      </c>
      <c r="R861" s="2">
        <v>315.61</v>
      </c>
      <c r="S861" s="2">
        <v>6.15</v>
      </c>
      <c r="T861" s="2">
        <v>5.86</v>
      </c>
      <c r="U861" s="2">
        <v>309.45999999999998</v>
      </c>
      <c r="V861" s="2">
        <v>37.979999999999997</v>
      </c>
      <c r="W861" s="2">
        <v>6782.66</v>
      </c>
      <c r="X861" s="2" t="s">
        <v>3110</v>
      </c>
      <c r="Y861" s="2" t="s">
        <v>3111</v>
      </c>
      <c r="Z861" s="2">
        <v>0.1</v>
      </c>
      <c r="AA861" s="2" t="s">
        <v>548</v>
      </c>
      <c r="AB861" s="2">
        <v>49.7</v>
      </c>
    </row>
    <row r="862" spans="1:28" x14ac:dyDescent="0.25">
      <c r="A862" s="4">
        <v>46251</v>
      </c>
      <c r="B862" s="8" t="s">
        <v>3094</v>
      </c>
      <c r="C862" s="8" t="s">
        <v>36</v>
      </c>
      <c r="D862" s="8" t="s">
        <v>49</v>
      </c>
      <c r="E862" s="8" t="s">
        <v>47</v>
      </c>
      <c r="F862" s="13"/>
      <c r="G862" s="59"/>
      <c r="H862" s="6">
        <f t="shared" si="60"/>
        <v>2500</v>
      </c>
      <c r="I862" s="6">
        <f t="shared" si="59"/>
        <v>178.79256965944273</v>
      </c>
      <c r="J862" s="2">
        <v>8.61</v>
      </c>
      <c r="K862" s="2">
        <v>6.46</v>
      </c>
      <c r="L862" s="2">
        <v>2.15</v>
      </c>
      <c r="M862" s="2">
        <v>24.98</v>
      </c>
      <c r="N862" s="2" t="s">
        <v>3112</v>
      </c>
      <c r="O862" s="56">
        <f>2205-1050</f>
        <v>1155</v>
      </c>
      <c r="P862" s="2">
        <v>3.04</v>
      </c>
      <c r="Q862" s="2">
        <v>8.86</v>
      </c>
      <c r="R862" s="2">
        <v>248.89</v>
      </c>
      <c r="S862" s="2">
        <v>9.4600000000000009</v>
      </c>
      <c r="T862" s="2">
        <v>4.4000000000000004</v>
      </c>
      <c r="U862" s="2">
        <v>239.43</v>
      </c>
      <c r="V862" s="2">
        <v>37.07</v>
      </c>
      <c r="W862" s="2">
        <v>2112.6999999999998</v>
      </c>
      <c r="X862" s="2" t="s">
        <v>3113</v>
      </c>
      <c r="Y862" s="2" t="s">
        <v>3114</v>
      </c>
      <c r="Z862" s="2" t="s">
        <v>548</v>
      </c>
      <c r="AA862" s="2" t="s">
        <v>548</v>
      </c>
      <c r="AB862" s="2">
        <v>5.7</v>
      </c>
    </row>
    <row r="863" spans="1:28" x14ac:dyDescent="0.25">
      <c r="A863" s="4">
        <v>46251</v>
      </c>
      <c r="B863" s="8" t="s">
        <v>3094</v>
      </c>
      <c r="C863" s="8" t="s">
        <v>36</v>
      </c>
      <c r="D863" s="8" t="s">
        <v>49</v>
      </c>
      <c r="E863" s="8" t="s">
        <v>61</v>
      </c>
      <c r="F863" s="13"/>
      <c r="G863" s="59"/>
      <c r="H863" s="6"/>
      <c r="I863" s="6">
        <f t="shared" ref="I863:I894" si="61">IFERROR(O863/K863,)</f>
        <v>0</v>
      </c>
      <c r="J863" s="2"/>
      <c r="K863" s="2"/>
      <c r="L863" s="2"/>
      <c r="M863" s="2"/>
      <c r="N863" s="2"/>
      <c r="O863" s="56">
        <f>42*25</f>
        <v>1050</v>
      </c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spans="1:28" x14ac:dyDescent="0.25">
      <c r="A864" s="4">
        <v>46252</v>
      </c>
      <c r="B864" s="8" t="s">
        <v>3094</v>
      </c>
      <c r="C864" s="8" t="s">
        <v>36</v>
      </c>
      <c r="D864" s="8" t="s">
        <v>39</v>
      </c>
      <c r="E864" s="8" t="s">
        <v>47</v>
      </c>
      <c r="F864" s="13"/>
      <c r="G864" s="59"/>
      <c r="H864" s="6">
        <f t="shared" si="60"/>
        <v>2500</v>
      </c>
      <c r="I864" s="6">
        <f t="shared" si="61"/>
        <v>297.37206085753803</v>
      </c>
      <c r="J864" s="2">
        <v>8.3800000000000008</v>
      </c>
      <c r="K864" s="2">
        <v>7.23</v>
      </c>
      <c r="L864" s="2">
        <v>1.1499999999999999</v>
      </c>
      <c r="M864" s="2">
        <v>13.72</v>
      </c>
      <c r="N864" s="2" t="s">
        <v>638</v>
      </c>
      <c r="O864" s="56">
        <v>2150</v>
      </c>
      <c r="P864" s="2">
        <v>1.44</v>
      </c>
      <c r="Q864" s="2">
        <v>10.220000000000001</v>
      </c>
      <c r="R864" s="2">
        <v>144.32</v>
      </c>
      <c r="S864" s="2">
        <v>4.7300000000000004</v>
      </c>
      <c r="T864" s="2">
        <v>4.1100000000000003</v>
      </c>
      <c r="U864" s="2">
        <v>139.59</v>
      </c>
      <c r="V864" s="2">
        <v>19.29</v>
      </c>
      <c r="W864" s="2">
        <v>9356.3799999999992</v>
      </c>
      <c r="X864" s="2" t="s">
        <v>3115</v>
      </c>
      <c r="Y864" s="2" t="s">
        <v>3116</v>
      </c>
      <c r="Z864" s="2" t="s">
        <v>548</v>
      </c>
      <c r="AA864" s="2" t="s">
        <v>548</v>
      </c>
      <c r="AB864" s="2">
        <v>292.8</v>
      </c>
    </row>
    <row r="865" spans="1:28" x14ac:dyDescent="0.25">
      <c r="A865" s="4">
        <v>46252</v>
      </c>
      <c r="B865" s="8" t="s">
        <v>55</v>
      </c>
      <c r="C865" s="8" t="s">
        <v>56</v>
      </c>
      <c r="D865" s="8" t="s">
        <v>43</v>
      </c>
      <c r="E865" s="8" t="s">
        <v>2994</v>
      </c>
      <c r="F865" s="13"/>
      <c r="G865" s="59" t="s">
        <v>146</v>
      </c>
      <c r="H865" s="6"/>
      <c r="I865" s="6">
        <f t="shared" si="61"/>
        <v>0</v>
      </c>
      <c r="J865" s="2" t="s">
        <v>45</v>
      </c>
      <c r="K865" s="2" t="s">
        <v>45</v>
      </c>
      <c r="L865" s="2" t="s">
        <v>45</v>
      </c>
      <c r="M865" s="2" t="s">
        <v>45</v>
      </c>
      <c r="N865" s="2" t="s">
        <v>45</v>
      </c>
      <c r="O865" s="56" t="s">
        <v>45</v>
      </c>
      <c r="P865" s="2" t="s">
        <v>45</v>
      </c>
      <c r="Q865" s="2" t="s">
        <v>45</v>
      </c>
      <c r="R865" s="2" t="s">
        <v>45</v>
      </c>
      <c r="S865" s="2" t="s">
        <v>45</v>
      </c>
      <c r="T865" s="2" t="s">
        <v>45</v>
      </c>
      <c r="U865" s="2" t="s">
        <v>45</v>
      </c>
      <c r="V865" s="2" t="s">
        <v>45</v>
      </c>
      <c r="W865" s="2" t="s">
        <v>45</v>
      </c>
      <c r="X865" s="2" t="s">
        <v>45</v>
      </c>
      <c r="Y865" s="2" t="s">
        <v>45</v>
      </c>
      <c r="Z865" s="2" t="s">
        <v>45</v>
      </c>
      <c r="AA865" s="2" t="s">
        <v>45</v>
      </c>
      <c r="AB865" s="2" t="s">
        <v>45</v>
      </c>
    </row>
    <row r="866" spans="1:28" x14ac:dyDescent="0.25">
      <c r="A866" s="4">
        <v>46252</v>
      </c>
      <c r="B866" s="8" t="s">
        <v>3094</v>
      </c>
      <c r="C866" s="8" t="s">
        <v>36</v>
      </c>
      <c r="D866" s="8" t="s">
        <v>67</v>
      </c>
      <c r="E866" s="8" t="s">
        <v>47</v>
      </c>
      <c r="F866" s="13"/>
      <c r="G866" s="6"/>
      <c r="H866" s="6">
        <f t="shared" si="60"/>
        <v>2500</v>
      </c>
      <c r="I866" s="6">
        <f t="shared" si="61"/>
        <v>200.42857142857142</v>
      </c>
      <c r="J866" s="2">
        <v>9.15</v>
      </c>
      <c r="K866" s="2" t="s">
        <v>3117</v>
      </c>
      <c r="L866" s="2">
        <v>2.15</v>
      </c>
      <c r="M866" s="2">
        <v>23.5</v>
      </c>
      <c r="N866" s="2" t="s">
        <v>3118</v>
      </c>
      <c r="O866" s="56">
        <f>1578-175</f>
        <v>1403</v>
      </c>
      <c r="P866" s="2">
        <v>1.56</v>
      </c>
      <c r="Q866" s="2">
        <v>10.69</v>
      </c>
      <c r="R866" s="2">
        <v>147.63</v>
      </c>
      <c r="S866" s="2">
        <v>7.1</v>
      </c>
      <c r="T866" s="2">
        <v>3.3</v>
      </c>
      <c r="U866" s="2">
        <v>140.53</v>
      </c>
      <c r="V866" s="2">
        <v>20.079999999999998</v>
      </c>
      <c r="W866" s="2">
        <v>774.11</v>
      </c>
      <c r="X866" s="2" t="s">
        <v>3119</v>
      </c>
      <c r="Y866" s="2" t="s">
        <v>3120</v>
      </c>
      <c r="Z866" s="2">
        <v>0.7</v>
      </c>
      <c r="AA866" s="2" t="s">
        <v>548</v>
      </c>
      <c r="AB866" s="2" t="s">
        <v>3121</v>
      </c>
    </row>
    <row r="867" spans="1:28" x14ac:dyDescent="0.25">
      <c r="A867" s="4">
        <v>46252</v>
      </c>
      <c r="B867" s="8" t="s">
        <v>3094</v>
      </c>
      <c r="C867" s="8" t="s">
        <v>36</v>
      </c>
      <c r="D867" s="8" t="s">
        <v>67</v>
      </c>
      <c r="E867" s="8" t="s">
        <v>61</v>
      </c>
      <c r="F867" s="13"/>
      <c r="G867" s="59"/>
      <c r="H867" s="6"/>
      <c r="I867" s="6">
        <f t="shared" si="61"/>
        <v>0</v>
      </c>
      <c r="J867" s="2"/>
      <c r="K867" s="2"/>
      <c r="L867" s="2"/>
      <c r="M867" s="2"/>
      <c r="N867" s="2"/>
      <c r="O867" s="56">
        <f>7*25</f>
        <v>175</v>
      </c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spans="1:28" x14ac:dyDescent="0.25">
      <c r="A868" s="4">
        <v>46252</v>
      </c>
      <c r="B868" s="8" t="s">
        <v>3094</v>
      </c>
      <c r="C868" s="8" t="s">
        <v>36</v>
      </c>
      <c r="D868" s="8" t="s">
        <v>50</v>
      </c>
      <c r="E868" s="8" t="s">
        <v>47</v>
      </c>
      <c r="F868" s="13"/>
      <c r="G868" s="59"/>
      <c r="H868" s="6">
        <f t="shared" si="60"/>
        <v>2500</v>
      </c>
      <c r="I868" s="6">
        <f t="shared" si="61"/>
        <v>328.80523731587562</v>
      </c>
      <c r="J868" s="2">
        <v>8.11</v>
      </c>
      <c r="K868" s="2">
        <v>6.11</v>
      </c>
      <c r="L868" s="2" t="s">
        <v>1380</v>
      </c>
      <c r="M868" s="2">
        <v>24.67</v>
      </c>
      <c r="N868" s="2" t="s">
        <v>3122</v>
      </c>
      <c r="O868" s="56">
        <f>2234-225</f>
        <v>2009</v>
      </c>
      <c r="P868" s="2">
        <v>2.2000000000000002</v>
      </c>
      <c r="Q868" s="2">
        <v>16.739999999999998</v>
      </c>
      <c r="R868" s="2">
        <v>133.44</v>
      </c>
      <c r="S868" s="2">
        <v>7.1</v>
      </c>
      <c r="T868" s="2">
        <v>3.55</v>
      </c>
      <c r="U868" s="2">
        <v>126.34</v>
      </c>
      <c r="V868" s="2">
        <v>20.69</v>
      </c>
      <c r="W868" s="2">
        <v>2601.9499999999998</v>
      </c>
      <c r="X868" s="2" t="s">
        <v>3123</v>
      </c>
      <c r="Y868" s="2" t="s">
        <v>3124</v>
      </c>
      <c r="Z868" s="2">
        <v>0.6</v>
      </c>
      <c r="AA868" s="2" t="s">
        <v>548</v>
      </c>
      <c r="AB868" s="2">
        <v>338.1</v>
      </c>
    </row>
    <row r="869" spans="1:28" x14ac:dyDescent="0.25">
      <c r="A869" s="4">
        <v>46252</v>
      </c>
      <c r="B869" s="8" t="s">
        <v>3094</v>
      </c>
      <c r="C869" s="8" t="s">
        <v>36</v>
      </c>
      <c r="D869" s="8" t="s">
        <v>50</v>
      </c>
      <c r="E869" s="8" t="s">
        <v>61</v>
      </c>
      <c r="F869" s="13"/>
      <c r="G869" s="59"/>
      <c r="H869" s="6"/>
      <c r="I869" s="6">
        <f t="shared" si="61"/>
        <v>0</v>
      </c>
      <c r="J869" s="2"/>
      <c r="K869" s="2"/>
      <c r="L869" s="2"/>
      <c r="M869" s="2"/>
      <c r="N869" s="2"/>
      <c r="O869" s="56">
        <f>9*25</f>
        <v>225</v>
      </c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spans="1:28" x14ac:dyDescent="0.25">
      <c r="A870" s="4">
        <v>46252</v>
      </c>
      <c r="B870" s="8" t="s">
        <v>3094</v>
      </c>
      <c r="C870" s="8" t="s">
        <v>36</v>
      </c>
      <c r="D870" s="8" t="s">
        <v>52</v>
      </c>
      <c r="E870" s="8" t="s">
        <v>47</v>
      </c>
      <c r="F870" s="13"/>
      <c r="G870" s="59"/>
      <c r="H870" s="6">
        <f t="shared" si="60"/>
        <v>2500</v>
      </c>
      <c r="I870" s="6">
        <f t="shared" si="61"/>
        <v>296.30331753554498</v>
      </c>
      <c r="J870" s="2">
        <v>11.65</v>
      </c>
      <c r="K870" s="2">
        <v>10.55</v>
      </c>
      <c r="L870" s="2">
        <v>1.1000000000000001</v>
      </c>
      <c r="M870" s="2">
        <v>9.4499999999999993</v>
      </c>
      <c r="N870" s="2" t="s">
        <v>3125</v>
      </c>
      <c r="O870" s="56">
        <v>3126</v>
      </c>
      <c r="P870" s="2">
        <v>2.17</v>
      </c>
      <c r="Q870" s="2">
        <v>13.71</v>
      </c>
      <c r="R870" s="2">
        <v>228.07</v>
      </c>
      <c r="S870" s="2">
        <v>3.79</v>
      </c>
      <c r="T870" s="2">
        <v>3.44</v>
      </c>
      <c r="U870" s="2">
        <v>224.29</v>
      </c>
      <c r="V870" s="2">
        <v>21.27</v>
      </c>
      <c r="W870" s="2">
        <v>1204.46</v>
      </c>
      <c r="X870" s="2" t="s">
        <v>3126</v>
      </c>
      <c r="Y870" s="2" t="s">
        <v>3127</v>
      </c>
      <c r="Z870" s="2">
        <v>0.1</v>
      </c>
      <c r="AA870" s="2" t="s">
        <v>548</v>
      </c>
      <c r="AB870" s="2">
        <v>121.6</v>
      </c>
    </row>
    <row r="871" spans="1:28" x14ac:dyDescent="0.25">
      <c r="A871" s="4">
        <v>46252</v>
      </c>
      <c r="B871" s="8" t="s">
        <v>3094</v>
      </c>
      <c r="C871" s="8" t="s">
        <v>36</v>
      </c>
      <c r="D871" s="7" t="s">
        <v>46</v>
      </c>
      <c r="E871" s="8" t="s">
        <v>47</v>
      </c>
      <c r="F871" s="13"/>
      <c r="G871" s="59"/>
      <c r="H871" s="6">
        <f t="shared" si="60"/>
        <v>2500</v>
      </c>
      <c r="I871" s="6">
        <f t="shared" si="61"/>
        <v>284.61538461538458</v>
      </c>
      <c r="J871" s="2">
        <v>15.43</v>
      </c>
      <c r="K871" s="2">
        <v>13.13</v>
      </c>
      <c r="L871" s="2">
        <v>2.2999999999999998</v>
      </c>
      <c r="M871" s="2">
        <v>14.91</v>
      </c>
      <c r="N871" s="2" t="s">
        <v>3128</v>
      </c>
      <c r="O871" s="56">
        <v>3737</v>
      </c>
      <c r="P871" s="2" t="s">
        <v>1489</v>
      </c>
      <c r="Q871" s="2">
        <v>9.0500000000000007</v>
      </c>
      <c r="R871" s="2">
        <v>413.08</v>
      </c>
      <c r="S871" s="2">
        <v>13.25</v>
      </c>
      <c r="T871" s="2">
        <v>5.76</v>
      </c>
      <c r="U871" s="2">
        <v>399.83</v>
      </c>
      <c r="V871" s="2">
        <v>30.46</v>
      </c>
      <c r="W871" s="2">
        <v>8186.37</v>
      </c>
      <c r="X871" s="2" t="s">
        <v>3129</v>
      </c>
      <c r="Y871" s="2" t="s">
        <v>3130</v>
      </c>
      <c r="Z871" s="2">
        <v>0.9</v>
      </c>
      <c r="AA871" s="2" t="s">
        <v>548</v>
      </c>
      <c r="AB871" s="2">
        <v>257.3</v>
      </c>
    </row>
    <row r="872" spans="1:28" x14ac:dyDescent="0.25">
      <c r="A872" s="4">
        <v>46252</v>
      </c>
      <c r="B872" s="8" t="s">
        <v>3094</v>
      </c>
      <c r="C872" s="8" t="s">
        <v>36</v>
      </c>
      <c r="D872" s="8" t="s">
        <v>48</v>
      </c>
      <c r="E872" s="7" t="s">
        <v>38</v>
      </c>
      <c r="F872" s="13">
        <v>1408</v>
      </c>
      <c r="G872" s="59"/>
      <c r="H872" s="6">
        <f>24000/3</f>
        <v>8000</v>
      </c>
      <c r="I872" s="6">
        <f t="shared" si="61"/>
        <v>335.31073446327684</v>
      </c>
      <c r="J872" s="2">
        <v>7.63</v>
      </c>
      <c r="K872" s="2">
        <v>7.08</v>
      </c>
      <c r="L872" s="2">
        <v>0.55000000000000004</v>
      </c>
      <c r="M872" s="2">
        <v>7.21</v>
      </c>
      <c r="N872" s="2" t="s">
        <v>1412</v>
      </c>
      <c r="O872" s="56" t="s">
        <v>3131</v>
      </c>
      <c r="P872" s="2" t="s">
        <v>1855</v>
      </c>
      <c r="Q872" s="2">
        <v>8.8000000000000007</v>
      </c>
      <c r="R872" s="2">
        <v>269.70999999999998</v>
      </c>
      <c r="S872" s="2">
        <v>3.31</v>
      </c>
      <c r="T872" s="2">
        <v>6.02</v>
      </c>
      <c r="U872" s="2">
        <v>266.39999999999998</v>
      </c>
      <c r="V872" s="2">
        <v>37.65</v>
      </c>
      <c r="W872" s="2">
        <v>6790.29</v>
      </c>
      <c r="X872" s="2" t="s">
        <v>3132</v>
      </c>
      <c r="Y872" s="2" t="s">
        <v>3133</v>
      </c>
      <c r="Z872" s="2" t="s">
        <v>548</v>
      </c>
      <c r="AA872" s="2" t="s">
        <v>548</v>
      </c>
      <c r="AB872" s="2">
        <v>49.7</v>
      </c>
    </row>
    <row r="873" spans="1:28" x14ac:dyDescent="0.25">
      <c r="A873" s="4">
        <v>46252</v>
      </c>
      <c r="B873" s="8" t="s">
        <v>3094</v>
      </c>
      <c r="C873" s="8" t="s">
        <v>36</v>
      </c>
      <c r="D873" s="8" t="s">
        <v>49</v>
      </c>
      <c r="E873" s="8" t="s">
        <v>47</v>
      </c>
      <c r="F873" s="13"/>
      <c r="G873" s="59"/>
      <c r="H873" s="6">
        <f t="shared" si="60"/>
        <v>2500</v>
      </c>
      <c r="I873" s="6">
        <f t="shared" si="61"/>
        <v>426.77824267782427</v>
      </c>
      <c r="J873" s="69">
        <v>7.08</v>
      </c>
      <c r="K873" s="69">
        <v>4.78</v>
      </c>
      <c r="L873" s="69">
        <v>2.2999999999999998</v>
      </c>
      <c r="M873" s="69">
        <v>32.47</v>
      </c>
      <c r="N873" s="69">
        <v>602</v>
      </c>
      <c r="O873" s="56">
        <v>2040</v>
      </c>
      <c r="P873" s="69">
        <v>3.39</v>
      </c>
      <c r="Q873" s="69">
        <v>10.1</v>
      </c>
      <c r="R873" s="69">
        <v>202.05</v>
      </c>
      <c r="S873" s="69">
        <v>9.94</v>
      </c>
      <c r="T873" s="69">
        <v>4.32</v>
      </c>
      <c r="U873" s="69">
        <v>192.11</v>
      </c>
      <c r="V873" s="69">
        <v>40.17</v>
      </c>
      <c r="W873" s="69">
        <v>2119.79</v>
      </c>
      <c r="X873" s="69">
        <v>208348</v>
      </c>
      <c r="Y873" s="69">
        <v>701087</v>
      </c>
      <c r="Z873" s="69">
        <v>0</v>
      </c>
      <c r="AA873" s="69">
        <v>0</v>
      </c>
      <c r="AB873" s="69">
        <v>5.7</v>
      </c>
    </row>
    <row r="874" spans="1:28" x14ac:dyDescent="0.25">
      <c r="A874" s="4">
        <v>46253</v>
      </c>
      <c r="B874" s="8" t="s">
        <v>3094</v>
      </c>
      <c r="C874" s="8" t="s">
        <v>36</v>
      </c>
      <c r="D874" s="8" t="s">
        <v>39</v>
      </c>
      <c r="E874" s="8" t="s">
        <v>47</v>
      </c>
      <c r="F874" s="13"/>
      <c r="G874" s="59"/>
      <c r="H874" s="6">
        <f t="shared" si="60"/>
        <v>2500</v>
      </c>
      <c r="I874" s="6">
        <f t="shared" si="61"/>
        <v>164.60905349794237</v>
      </c>
      <c r="J874" s="2">
        <v>6.36</v>
      </c>
      <c r="K874" s="2">
        <v>4.8600000000000003</v>
      </c>
      <c r="L874" s="2">
        <v>1.5</v>
      </c>
      <c r="M874" s="2">
        <v>23.57</v>
      </c>
      <c r="N874" s="2" t="s">
        <v>3134</v>
      </c>
      <c r="O874" s="56">
        <v>800</v>
      </c>
      <c r="P874" s="2">
        <v>1.48</v>
      </c>
      <c r="Q874" s="2">
        <v>8.56</v>
      </c>
      <c r="R874" s="2">
        <v>92.74</v>
      </c>
      <c r="S874" s="2">
        <v>6.15</v>
      </c>
      <c r="T874" s="2">
        <v>4.0999999999999996</v>
      </c>
      <c r="U874" s="2">
        <v>86.59</v>
      </c>
      <c r="V874" s="2">
        <v>17.8</v>
      </c>
      <c r="W874" s="2">
        <v>9362.75</v>
      </c>
      <c r="X874" s="2" t="s">
        <v>3135</v>
      </c>
      <c r="Y874" s="2" t="s">
        <v>3136</v>
      </c>
      <c r="Z874" s="2">
        <v>0.1</v>
      </c>
      <c r="AA874" s="2" t="s">
        <v>548</v>
      </c>
      <c r="AB874" s="2">
        <v>292.89999999999998</v>
      </c>
    </row>
    <row r="875" spans="1:28" x14ac:dyDescent="0.25">
      <c r="A875" s="4">
        <v>46253</v>
      </c>
      <c r="B875" s="8" t="s">
        <v>55</v>
      </c>
      <c r="C875" s="8" t="s">
        <v>56</v>
      </c>
      <c r="D875" s="8" t="s">
        <v>43</v>
      </c>
      <c r="E875" s="8" t="s">
        <v>2994</v>
      </c>
      <c r="F875" s="13"/>
      <c r="G875" s="59" t="s">
        <v>146</v>
      </c>
      <c r="H875" s="6"/>
      <c r="I875" s="6">
        <f t="shared" si="61"/>
        <v>0</v>
      </c>
      <c r="J875" s="2">
        <v>7.0000000000000007E-2</v>
      </c>
      <c r="K875" s="2">
        <v>0.02</v>
      </c>
      <c r="L875" s="2">
        <v>0.05</v>
      </c>
      <c r="M875" s="2">
        <v>68.400000000000006</v>
      </c>
      <c r="N875" s="2" t="s">
        <v>45</v>
      </c>
      <c r="O875" s="56" t="s">
        <v>45</v>
      </c>
      <c r="P875" s="2" t="s">
        <v>45</v>
      </c>
      <c r="Q875" s="2" t="s">
        <v>45</v>
      </c>
      <c r="R875" s="2">
        <v>0.47</v>
      </c>
      <c r="S875" s="2" t="s">
        <v>548</v>
      </c>
      <c r="T875" s="2" t="s">
        <v>548</v>
      </c>
      <c r="U875" s="2">
        <v>0.47</v>
      </c>
      <c r="V875" s="2">
        <v>20.48</v>
      </c>
      <c r="W875" s="2">
        <v>8939.2199999999993</v>
      </c>
      <c r="X875" s="2" t="s">
        <v>45</v>
      </c>
      <c r="Y875" s="2" t="s">
        <v>45</v>
      </c>
      <c r="Z875" s="2" t="s">
        <v>548</v>
      </c>
      <c r="AA875" s="2" t="s">
        <v>45</v>
      </c>
      <c r="AB875" s="2" t="s">
        <v>3099</v>
      </c>
    </row>
    <row r="876" spans="1:28" x14ac:dyDescent="0.25">
      <c r="A876" s="4">
        <v>46253</v>
      </c>
      <c r="B876" s="8" t="s">
        <v>3094</v>
      </c>
      <c r="C876" s="8" t="s">
        <v>36</v>
      </c>
      <c r="D876" s="8" t="s">
        <v>67</v>
      </c>
      <c r="E876" s="8" t="s">
        <v>47</v>
      </c>
      <c r="F876" s="13"/>
      <c r="G876" s="6"/>
      <c r="H876" s="6">
        <f t="shared" si="60"/>
        <v>2500</v>
      </c>
      <c r="I876" s="6">
        <f t="shared" si="61"/>
        <v>70.260869565217391</v>
      </c>
      <c r="J876" s="2">
        <v>8.25</v>
      </c>
      <c r="K876" s="2">
        <v>5.75</v>
      </c>
      <c r="L876" s="2">
        <v>2.5</v>
      </c>
      <c r="M876" s="2">
        <v>30.29</v>
      </c>
      <c r="N876" s="2" t="s">
        <v>3137</v>
      </c>
      <c r="O876" s="56">
        <v>404</v>
      </c>
      <c r="P876" s="2">
        <v>1.7</v>
      </c>
      <c r="Q876" s="2">
        <v>10.64</v>
      </c>
      <c r="R876" s="2">
        <v>120.66</v>
      </c>
      <c r="S876" s="2">
        <v>8.52</v>
      </c>
      <c r="T876" s="2">
        <v>3.41</v>
      </c>
      <c r="U876" s="2">
        <v>112.14</v>
      </c>
      <c r="V876" s="2">
        <v>19.489999999999998</v>
      </c>
      <c r="W876" s="2">
        <v>782.36</v>
      </c>
      <c r="X876" s="2" t="s">
        <v>3138</v>
      </c>
      <c r="Y876" s="2" t="s">
        <v>3139</v>
      </c>
      <c r="Z876" s="2">
        <v>1.5</v>
      </c>
      <c r="AA876" s="2" t="s">
        <v>548</v>
      </c>
      <c r="AB876" s="2">
        <v>74.5</v>
      </c>
    </row>
    <row r="877" spans="1:28" x14ac:dyDescent="0.25">
      <c r="A877" s="4">
        <v>46253</v>
      </c>
      <c r="B877" s="8" t="s">
        <v>3094</v>
      </c>
      <c r="C877" s="8" t="s">
        <v>36</v>
      </c>
      <c r="D877" s="8" t="s">
        <v>67</v>
      </c>
      <c r="E877" s="8" t="s">
        <v>61</v>
      </c>
      <c r="F877" s="13"/>
      <c r="G877" s="6"/>
      <c r="H877" s="6"/>
      <c r="I877" s="6">
        <f t="shared" si="61"/>
        <v>0</v>
      </c>
      <c r="J877" s="2"/>
      <c r="K877" s="2"/>
      <c r="L877" s="2"/>
      <c r="M877" s="2"/>
      <c r="N877" s="2"/>
      <c r="O877" s="56">
        <v>880</v>
      </c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spans="1:28" x14ac:dyDescent="0.25">
      <c r="A878" s="4">
        <v>46253</v>
      </c>
      <c r="B878" s="8" t="s">
        <v>3094</v>
      </c>
      <c r="C878" s="8" t="s">
        <v>36</v>
      </c>
      <c r="D878" s="8" t="s">
        <v>50</v>
      </c>
      <c r="E878" s="8" t="s">
        <v>47</v>
      </c>
      <c r="F878" s="13"/>
      <c r="G878" s="6"/>
      <c r="H878" s="6">
        <f t="shared" si="60"/>
        <v>2500</v>
      </c>
      <c r="I878" s="6">
        <f t="shared" si="61"/>
        <v>411.92368839427661</v>
      </c>
      <c r="J878" s="2">
        <v>7.14</v>
      </c>
      <c r="K878" s="2">
        <v>6.29</v>
      </c>
      <c r="L878" s="2">
        <v>0.85</v>
      </c>
      <c r="M878" s="2">
        <v>11.91</v>
      </c>
      <c r="N878" s="2" t="s">
        <v>3100</v>
      </c>
      <c r="O878" s="56">
        <v>2591</v>
      </c>
      <c r="P878" s="2">
        <v>2.15</v>
      </c>
      <c r="Q878" s="2">
        <v>18.88</v>
      </c>
      <c r="R878" s="2">
        <v>137.22</v>
      </c>
      <c r="S878" s="2">
        <v>3.31</v>
      </c>
      <c r="T878" s="2">
        <v>3.9</v>
      </c>
      <c r="U878" s="2">
        <v>133.91</v>
      </c>
      <c r="V878" s="2">
        <v>21.31</v>
      </c>
      <c r="W878" s="2">
        <v>2609.09</v>
      </c>
      <c r="X878" s="2" t="s">
        <v>3140</v>
      </c>
      <c r="Y878" s="2" t="s">
        <v>3141</v>
      </c>
      <c r="Z878" s="2">
        <v>0.1</v>
      </c>
      <c r="AA878" s="2" t="s">
        <v>548</v>
      </c>
      <c r="AB878" s="2">
        <v>338.2</v>
      </c>
    </row>
    <row r="879" spans="1:28" x14ac:dyDescent="0.25">
      <c r="A879" s="4">
        <v>46253</v>
      </c>
      <c r="B879" s="8" t="s">
        <v>3094</v>
      </c>
      <c r="C879" s="8" t="s">
        <v>36</v>
      </c>
      <c r="D879" s="8" t="s">
        <v>52</v>
      </c>
      <c r="E879" s="8" t="s">
        <v>47</v>
      </c>
      <c r="F879" s="13"/>
      <c r="G879" s="6"/>
      <c r="H879" s="6">
        <f t="shared" si="60"/>
        <v>2500</v>
      </c>
      <c r="I879" s="6">
        <f t="shared" si="61"/>
        <v>240.96989966555182</v>
      </c>
      <c r="J879" s="2">
        <v>13.56</v>
      </c>
      <c r="K879" s="2">
        <v>11.96</v>
      </c>
      <c r="L879" s="2">
        <v>1.6</v>
      </c>
      <c r="M879" s="2">
        <v>11.8</v>
      </c>
      <c r="N879" s="2" t="s">
        <v>3142</v>
      </c>
      <c r="O879" s="56">
        <v>2882</v>
      </c>
      <c r="P879" s="2">
        <v>1.95</v>
      </c>
      <c r="Q879" s="2">
        <v>11.47</v>
      </c>
      <c r="R879" s="2">
        <v>251.26</v>
      </c>
      <c r="S879" s="2">
        <v>6.15</v>
      </c>
      <c r="T879" s="2">
        <v>3.84</v>
      </c>
      <c r="U879" s="2">
        <v>245.11</v>
      </c>
      <c r="V879" s="2">
        <v>20.49</v>
      </c>
      <c r="W879" s="2">
        <v>1218.02</v>
      </c>
      <c r="X879" s="2" t="s">
        <v>3143</v>
      </c>
      <c r="Y879" s="2" t="s">
        <v>3144</v>
      </c>
      <c r="Z879" s="2">
        <v>3.4</v>
      </c>
      <c r="AA879" s="2" t="s">
        <v>548</v>
      </c>
      <c r="AB879" s="2" t="s">
        <v>3145</v>
      </c>
    </row>
    <row r="880" spans="1:28" x14ac:dyDescent="0.25">
      <c r="A880" s="4">
        <v>46253</v>
      </c>
      <c r="B880" s="8" t="s">
        <v>3094</v>
      </c>
      <c r="C880" s="8" t="s">
        <v>36</v>
      </c>
      <c r="D880" s="7" t="s">
        <v>46</v>
      </c>
      <c r="E880" s="8" t="s">
        <v>47</v>
      </c>
      <c r="F880" s="13"/>
      <c r="G880" s="6"/>
      <c r="H880" s="6">
        <f t="shared" si="60"/>
        <v>2500</v>
      </c>
      <c r="I880" s="6">
        <f t="shared" si="61"/>
        <v>347.3047304730473</v>
      </c>
      <c r="J880" s="2">
        <v>10.44</v>
      </c>
      <c r="K880" s="2">
        <v>9.09</v>
      </c>
      <c r="L880" s="2">
        <v>1.35</v>
      </c>
      <c r="M880" s="2">
        <v>12.93</v>
      </c>
      <c r="N880" s="2" t="s">
        <v>3146</v>
      </c>
      <c r="O880" s="56">
        <v>3157</v>
      </c>
      <c r="P880" s="2">
        <v>3.2</v>
      </c>
      <c r="Q880" s="2">
        <v>11.1</v>
      </c>
      <c r="R880" s="2">
        <v>284.38</v>
      </c>
      <c r="S880" s="2">
        <v>7.57</v>
      </c>
      <c r="T880" s="2">
        <v>5.61</v>
      </c>
      <c r="U880" s="2">
        <v>276.81</v>
      </c>
      <c r="V880" s="2">
        <v>30.44</v>
      </c>
      <c r="W880" s="2">
        <v>8196.81</v>
      </c>
      <c r="X880" s="2" t="s">
        <v>3147</v>
      </c>
      <c r="Y880" s="2" t="s">
        <v>3148</v>
      </c>
      <c r="Z880" s="2">
        <v>0.5</v>
      </c>
      <c r="AA880" s="2" t="s">
        <v>548</v>
      </c>
      <c r="AB880" s="2">
        <v>257.8</v>
      </c>
    </row>
    <row r="881" spans="1:28" x14ac:dyDescent="0.25">
      <c r="A881" s="4">
        <v>46253</v>
      </c>
      <c r="B881" s="8" t="s">
        <v>3094</v>
      </c>
      <c r="C881" s="8" t="s">
        <v>36</v>
      </c>
      <c r="D881" s="8" t="s">
        <v>48</v>
      </c>
      <c r="E881" s="7" t="s">
        <v>38</v>
      </c>
      <c r="F881" s="13">
        <v>2485</v>
      </c>
      <c r="G881" s="6"/>
      <c r="H881" s="6">
        <f>24000/3</f>
        <v>8000</v>
      </c>
      <c r="I881" s="6">
        <f t="shared" si="61"/>
        <v>462.04986149584488</v>
      </c>
      <c r="J881" s="2">
        <v>7.86</v>
      </c>
      <c r="K881" s="2">
        <v>7.22</v>
      </c>
      <c r="L881" s="2">
        <v>0.65</v>
      </c>
      <c r="M881" s="2">
        <v>8.26</v>
      </c>
      <c r="N881" s="2" t="s">
        <v>3137</v>
      </c>
      <c r="O881" s="56">
        <v>3336</v>
      </c>
      <c r="P881" s="2">
        <v>4.42</v>
      </c>
      <c r="Q881" s="2">
        <v>11.99</v>
      </c>
      <c r="R881" s="2">
        <v>278.23</v>
      </c>
      <c r="S881" s="2">
        <v>4.7300000000000004</v>
      </c>
      <c r="T881" s="2">
        <v>7.28</v>
      </c>
      <c r="U881" s="2">
        <v>273.5</v>
      </c>
      <c r="V881" s="2">
        <v>37.909999999999997</v>
      </c>
      <c r="W881" s="2">
        <v>6798.15</v>
      </c>
      <c r="X881" s="2" t="s">
        <v>3149</v>
      </c>
      <c r="Y881" s="2" t="s">
        <v>3150</v>
      </c>
      <c r="Z881" s="2" t="s">
        <v>548</v>
      </c>
      <c r="AA881" s="2" t="s">
        <v>548</v>
      </c>
      <c r="AB881" s="2">
        <v>49.7</v>
      </c>
    </row>
    <row r="882" spans="1:28" x14ac:dyDescent="0.25">
      <c r="A882" s="4">
        <v>46253</v>
      </c>
      <c r="B882" s="8" t="s">
        <v>3094</v>
      </c>
      <c r="C882" s="8" t="s">
        <v>36</v>
      </c>
      <c r="D882" s="8" t="s">
        <v>49</v>
      </c>
      <c r="E882" s="8" t="s">
        <v>47</v>
      </c>
      <c r="F882" s="13"/>
      <c r="G882" s="59"/>
      <c r="H882" s="6">
        <f t="shared" si="60"/>
        <v>2500</v>
      </c>
      <c r="I882" s="6">
        <f t="shared" si="61"/>
        <v>559.96784565916403</v>
      </c>
      <c r="J882" s="2">
        <v>7.82</v>
      </c>
      <c r="K882" s="2">
        <v>6.22</v>
      </c>
      <c r="L882" s="2">
        <v>1.6</v>
      </c>
      <c r="M882" s="2">
        <v>20.47</v>
      </c>
      <c r="N882" s="2" t="s">
        <v>3151</v>
      </c>
      <c r="O882" s="56">
        <v>3483</v>
      </c>
      <c r="P882" s="2">
        <v>3.64</v>
      </c>
      <c r="Q882" s="2">
        <v>13.22</v>
      </c>
      <c r="R882" s="2">
        <v>263.56</v>
      </c>
      <c r="S882" s="2">
        <v>8.0399999999999991</v>
      </c>
      <c r="T882" s="2">
        <v>5.03</v>
      </c>
      <c r="U882" s="2">
        <v>255.52</v>
      </c>
      <c r="V882" s="2">
        <v>41.1</v>
      </c>
      <c r="W882" s="2">
        <v>2127.6</v>
      </c>
      <c r="X882" s="2" t="s">
        <v>3152</v>
      </c>
      <c r="Y882" s="2" t="s">
        <v>3153</v>
      </c>
      <c r="Z882" s="2" t="s">
        <v>548</v>
      </c>
      <c r="AA882" s="2" t="s">
        <v>548</v>
      </c>
      <c r="AB882" s="2">
        <v>5.7</v>
      </c>
    </row>
    <row r="883" spans="1:28" x14ac:dyDescent="0.25">
      <c r="A883" s="4">
        <v>46254</v>
      </c>
      <c r="B883" s="8" t="s">
        <v>3094</v>
      </c>
      <c r="C883" s="8" t="s">
        <v>36</v>
      </c>
      <c r="D883" s="8" t="s">
        <v>39</v>
      </c>
      <c r="E883" s="8" t="s">
        <v>47</v>
      </c>
      <c r="F883" s="13"/>
      <c r="G883" s="59"/>
      <c r="H883" s="6">
        <f t="shared" si="60"/>
        <v>2500</v>
      </c>
      <c r="I883" s="6">
        <f t="shared" si="61"/>
        <v>264.22764227642278</v>
      </c>
      <c r="J883" s="2">
        <v>3.11</v>
      </c>
      <c r="K883" s="2">
        <v>2.46</v>
      </c>
      <c r="L883" s="2">
        <v>0.65</v>
      </c>
      <c r="M883" s="2">
        <v>20.91</v>
      </c>
      <c r="N883" s="2" t="s">
        <v>3080</v>
      </c>
      <c r="O883" s="56">
        <v>650</v>
      </c>
      <c r="P883" s="2">
        <v>1.62</v>
      </c>
      <c r="Q883" s="2">
        <v>10.31</v>
      </c>
      <c r="R883" s="2">
        <v>47.32</v>
      </c>
      <c r="S883" s="2">
        <v>2.37</v>
      </c>
      <c r="T883" s="2">
        <v>3.64</v>
      </c>
      <c r="U883" s="2">
        <v>44.95</v>
      </c>
      <c r="V883" s="2">
        <v>18.28</v>
      </c>
      <c r="W883" s="2">
        <v>9365.85</v>
      </c>
      <c r="X883" s="2" t="s">
        <v>3154</v>
      </c>
      <c r="Y883" s="2" t="s">
        <v>3155</v>
      </c>
      <c r="Z883" s="2" t="s">
        <v>548</v>
      </c>
      <c r="AA883" s="2" t="s">
        <v>548</v>
      </c>
      <c r="AB883" s="2">
        <v>292.89999999999998</v>
      </c>
    </row>
    <row r="884" spans="1:28" x14ac:dyDescent="0.25">
      <c r="A884" s="4">
        <v>46254</v>
      </c>
      <c r="B884" s="8" t="s">
        <v>55</v>
      </c>
      <c r="C884" s="8" t="s">
        <v>56</v>
      </c>
      <c r="D884" s="8" t="s">
        <v>43</v>
      </c>
      <c r="E884" s="8" t="s">
        <v>2994</v>
      </c>
      <c r="F884" s="13"/>
      <c r="G884" s="59" t="s">
        <v>146</v>
      </c>
      <c r="H884" s="6"/>
      <c r="I884" s="6">
        <f t="shared" si="61"/>
        <v>0</v>
      </c>
      <c r="J884" s="2" t="s">
        <v>45</v>
      </c>
      <c r="K884" s="2" t="s">
        <v>45</v>
      </c>
      <c r="L884" s="2" t="s">
        <v>45</v>
      </c>
      <c r="M884" s="2" t="s">
        <v>45</v>
      </c>
      <c r="N884" s="2" t="s">
        <v>45</v>
      </c>
      <c r="O884" s="56" t="s">
        <v>45</v>
      </c>
      <c r="P884" s="2" t="s">
        <v>45</v>
      </c>
      <c r="Q884" s="2" t="s">
        <v>45</v>
      </c>
      <c r="R884" s="2" t="s">
        <v>45</v>
      </c>
      <c r="S884" s="2" t="s">
        <v>45</v>
      </c>
      <c r="T884" s="2" t="s">
        <v>45</v>
      </c>
      <c r="U884" s="2" t="s">
        <v>45</v>
      </c>
      <c r="V884" s="2" t="s">
        <v>45</v>
      </c>
      <c r="W884" s="2" t="s">
        <v>45</v>
      </c>
      <c r="X884" s="2" t="s">
        <v>45</v>
      </c>
      <c r="Y884" s="2" t="s">
        <v>45</v>
      </c>
      <c r="Z884" s="2" t="s">
        <v>45</v>
      </c>
      <c r="AA884" s="2" t="s">
        <v>45</v>
      </c>
      <c r="AB884" s="2" t="s">
        <v>45</v>
      </c>
    </row>
    <row r="885" spans="1:28" x14ac:dyDescent="0.25">
      <c r="A885" s="4">
        <v>46254</v>
      </c>
      <c r="B885" s="8" t="s">
        <v>3094</v>
      </c>
      <c r="C885" s="8" t="s">
        <v>36</v>
      </c>
      <c r="D885" s="8" t="s">
        <v>67</v>
      </c>
      <c r="E885" s="8" t="s">
        <v>47</v>
      </c>
      <c r="F885" s="13"/>
      <c r="G885" s="6"/>
      <c r="H885" s="6">
        <f t="shared" si="60"/>
        <v>2500</v>
      </c>
      <c r="I885" s="6">
        <f t="shared" si="61"/>
        <v>69.664902998236329</v>
      </c>
      <c r="J885" s="2">
        <v>7.72</v>
      </c>
      <c r="K885" s="2">
        <v>5.67</v>
      </c>
      <c r="L885" s="2">
        <v>2.0499999999999998</v>
      </c>
      <c r="M885" s="2">
        <v>26.57</v>
      </c>
      <c r="N885" s="2" t="s">
        <v>3156</v>
      </c>
      <c r="O885" s="56">
        <v>395</v>
      </c>
      <c r="P885" s="2">
        <v>1.25</v>
      </c>
      <c r="Q885" s="2">
        <v>8.06</v>
      </c>
      <c r="R885" s="2">
        <v>95.58</v>
      </c>
      <c r="S885" s="2">
        <v>7.1</v>
      </c>
      <c r="T885" s="2">
        <v>3.46</v>
      </c>
      <c r="U885" s="2">
        <v>88.48</v>
      </c>
      <c r="V885" s="2">
        <v>15.62</v>
      </c>
      <c r="W885" s="2">
        <v>790.08</v>
      </c>
      <c r="X885" s="2" t="s">
        <v>3157</v>
      </c>
      <c r="Y885" s="2" t="s">
        <v>3158</v>
      </c>
      <c r="Z885" s="2" t="s">
        <v>1380</v>
      </c>
      <c r="AA885" s="2" t="s">
        <v>548</v>
      </c>
      <c r="AB885" s="2">
        <v>76.5</v>
      </c>
    </row>
    <row r="886" spans="1:28" x14ac:dyDescent="0.25">
      <c r="A886" s="4">
        <v>46254</v>
      </c>
      <c r="B886" s="8" t="s">
        <v>3094</v>
      </c>
      <c r="C886" s="8" t="s">
        <v>36</v>
      </c>
      <c r="D886" s="8" t="s">
        <v>67</v>
      </c>
      <c r="E886" s="8" t="s">
        <v>61</v>
      </c>
      <c r="F886" s="13"/>
      <c r="G886" s="6"/>
      <c r="H886" s="6"/>
      <c r="I886" s="6">
        <f t="shared" si="61"/>
        <v>0</v>
      </c>
      <c r="J886" s="2"/>
      <c r="K886" s="2"/>
      <c r="L886" s="2"/>
      <c r="M886" s="2"/>
      <c r="N886" s="2"/>
      <c r="O886" s="56">
        <v>375</v>
      </c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spans="1:28" x14ac:dyDescent="0.25">
      <c r="A887" s="4">
        <v>46254</v>
      </c>
      <c r="B887" s="8" t="s">
        <v>3094</v>
      </c>
      <c r="C887" s="8" t="s">
        <v>36</v>
      </c>
      <c r="D887" s="8" t="s">
        <v>50</v>
      </c>
      <c r="E887" s="8" t="s">
        <v>47</v>
      </c>
      <c r="F887" s="13"/>
      <c r="G887" s="6"/>
      <c r="H887" s="6">
        <f t="shared" si="60"/>
        <v>2500</v>
      </c>
      <c r="I887" s="6">
        <f t="shared" si="61"/>
        <v>250.1547987616099</v>
      </c>
      <c r="J887" s="2">
        <v>7.91</v>
      </c>
      <c r="K887" s="2">
        <v>6.46</v>
      </c>
      <c r="L887" s="2">
        <v>1.45</v>
      </c>
      <c r="M887" s="2">
        <v>18.34</v>
      </c>
      <c r="N887" s="2" t="s">
        <v>3159</v>
      </c>
      <c r="O887" s="56">
        <v>1616</v>
      </c>
      <c r="P887" s="2">
        <v>1.81</v>
      </c>
      <c r="Q887" s="2">
        <v>11.27</v>
      </c>
      <c r="R887" s="2">
        <v>143.37</v>
      </c>
      <c r="S887" s="2">
        <v>6.15</v>
      </c>
      <c r="T887" s="2">
        <v>4.24</v>
      </c>
      <c r="U887" s="2">
        <v>137.22</v>
      </c>
      <c r="V887" s="2">
        <v>21.25</v>
      </c>
      <c r="W887" s="2" t="s">
        <v>3160</v>
      </c>
      <c r="X887" s="2" t="s">
        <v>3161</v>
      </c>
      <c r="Y887" s="2" t="s">
        <v>3162</v>
      </c>
      <c r="Z887" s="2">
        <v>0.9</v>
      </c>
      <c r="AA887" s="2" t="s">
        <v>548</v>
      </c>
      <c r="AB887" s="2">
        <v>339.1</v>
      </c>
    </row>
    <row r="888" spans="1:28" x14ac:dyDescent="0.25">
      <c r="A888" s="4">
        <v>46254</v>
      </c>
      <c r="B888" s="8" t="s">
        <v>3094</v>
      </c>
      <c r="C888" s="8" t="s">
        <v>36</v>
      </c>
      <c r="D888" s="8" t="s">
        <v>52</v>
      </c>
      <c r="E888" s="8" t="s">
        <v>47</v>
      </c>
      <c r="F888" s="13"/>
      <c r="G888" s="6"/>
      <c r="H888" s="6">
        <f t="shared" si="60"/>
        <v>2500</v>
      </c>
      <c r="I888" s="6">
        <f t="shared" si="61"/>
        <v>275.103734439834</v>
      </c>
      <c r="J888" s="2">
        <v>9.0299999999999994</v>
      </c>
      <c r="K888" s="2">
        <v>7.23</v>
      </c>
      <c r="L888" s="2">
        <v>1.8</v>
      </c>
      <c r="M888" s="2">
        <v>19.93</v>
      </c>
      <c r="N888" s="2" t="s">
        <v>3163</v>
      </c>
      <c r="O888" s="56">
        <v>1989</v>
      </c>
      <c r="P888" s="2">
        <v>1.99</v>
      </c>
      <c r="Q888" s="2">
        <v>12.51</v>
      </c>
      <c r="R888" s="2">
        <v>158.99</v>
      </c>
      <c r="S888" s="2">
        <v>6.62</v>
      </c>
      <c r="T888" s="2">
        <v>3.68</v>
      </c>
      <c r="U888" s="2">
        <v>152.36000000000001</v>
      </c>
      <c r="V888" s="2">
        <v>21.07</v>
      </c>
      <c r="W888" s="2">
        <v>1227.05</v>
      </c>
      <c r="X888" s="2" t="s">
        <v>3164</v>
      </c>
      <c r="Y888" s="2" t="s">
        <v>3165</v>
      </c>
      <c r="Z888" s="2" t="s">
        <v>548</v>
      </c>
      <c r="AA888" s="2" t="s">
        <v>548</v>
      </c>
      <c r="AB888" s="2" t="s">
        <v>3145</v>
      </c>
    </row>
    <row r="889" spans="1:28" x14ac:dyDescent="0.25">
      <c r="A889" s="4">
        <v>46254</v>
      </c>
      <c r="B889" s="8" t="s">
        <v>3094</v>
      </c>
      <c r="C889" s="8" t="s">
        <v>36</v>
      </c>
      <c r="D889" s="7" t="s">
        <v>46</v>
      </c>
      <c r="E889" s="8" t="s">
        <v>47</v>
      </c>
      <c r="F889" s="13"/>
      <c r="G889" s="6"/>
      <c r="H889" s="6">
        <f t="shared" si="60"/>
        <v>2500</v>
      </c>
      <c r="I889" s="6">
        <f t="shared" si="61"/>
        <v>239.33054393305437</v>
      </c>
      <c r="J889" s="2">
        <v>11.86</v>
      </c>
      <c r="K889" s="2">
        <v>9.56</v>
      </c>
      <c r="L889" s="2">
        <v>2.2999999999999998</v>
      </c>
      <c r="M889" s="2">
        <v>19.399999999999999</v>
      </c>
      <c r="N889" s="2" t="s">
        <v>3166</v>
      </c>
      <c r="O889" s="56">
        <v>2288</v>
      </c>
      <c r="P889" s="2">
        <v>2.5299999999999998</v>
      </c>
      <c r="Q889" s="2">
        <v>7.84</v>
      </c>
      <c r="R889" s="2">
        <v>291.95</v>
      </c>
      <c r="S889" s="2">
        <v>12.78</v>
      </c>
      <c r="T889" s="2">
        <v>5.55</v>
      </c>
      <c r="U889" s="2">
        <v>279.17</v>
      </c>
      <c r="V889" s="2">
        <v>29.21</v>
      </c>
      <c r="W889" s="2">
        <v>8208.67</v>
      </c>
      <c r="X889" s="2" t="s">
        <v>3167</v>
      </c>
      <c r="Y889" s="2" t="s">
        <v>3168</v>
      </c>
      <c r="Z889" s="2">
        <v>1.1000000000000001</v>
      </c>
      <c r="AA889" s="2" t="s">
        <v>548</v>
      </c>
      <c r="AB889" s="2">
        <v>258.89999999999998</v>
      </c>
    </row>
    <row r="890" spans="1:28" x14ac:dyDescent="0.25">
      <c r="A890" s="4">
        <v>46254</v>
      </c>
      <c r="B890" s="8" t="s">
        <v>3094</v>
      </c>
      <c r="C890" s="8" t="s">
        <v>36</v>
      </c>
      <c r="D890" s="8" t="s">
        <v>48</v>
      </c>
      <c r="E890" s="7" t="s">
        <v>38</v>
      </c>
      <c r="F890" s="13"/>
      <c r="G890" s="59" t="s">
        <v>146</v>
      </c>
      <c r="H890" s="6"/>
      <c r="I890" s="6">
        <f t="shared" si="61"/>
        <v>0</v>
      </c>
      <c r="J890" s="2">
        <v>0.94</v>
      </c>
      <c r="K890" s="2">
        <v>0.28999999999999998</v>
      </c>
      <c r="L890" s="2">
        <v>0.65</v>
      </c>
      <c r="M890" s="2">
        <v>69.459999999999994</v>
      </c>
      <c r="N890" s="2" t="s">
        <v>548</v>
      </c>
      <c r="O890" s="56">
        <v>0</v>
      </c>
      <c r="P890" s="2" t="s">
        <v>45</v>
      </c>
      <c r="Q890" s="2" t="s">
        <v>548</v>
      </c>
      <c r="R890" s="2">
        <v>10.88</v>
      </c>
      <c r="S890" s="2">
        <v>3.31</v>
      </c>
      <c r="T890" s="2">
        <v>5.0999999999999996</v>
      </c>
      <c r="U890" s="2">
        <v>7.57</v>
      </c>
      <c r="V890" s="2">
        <v>26.49</v>
      </c>
      <c r="W890" s="2">
        <v>6799.09</v>
      </c>
      <c r="X890" s="2" t="s">
        <v>3149</v>
      </c>
      <c r="Y890" s="2" t="s">
        <v>3150</v>
      </c>
      <c r="Z890" s="2" t="s">
        <v>548</v>
      </c>
      <c r="AA890" s="2" t="s">
        <v>45</v>
      </c>
      <c r="AB890" s="2">
        <v>49.7</v>
      </c>
    </row>
    <row r="891" spans="1:28" x14ac:dyDescent="0.25">
      <c r="A891" s="4">
        <v>46254</v>
      </c>
      <c r="B891" s="8" t="s">
        <v>3094</v>
      </c>
      <c r="C891" s="8" t="s">
        <v>36</v>
      </c>
      <c r="D891" s="8" t="s">
        <v>49</v>
      </c>
      <c r="E891" s="8" t="s">
        <v>47</v>
      </c>
      <c r="F891" s="13"/>
      <c r="G891" s="59"/>
      <c r="H891" s="6">
        <f t="shared" si="60"/>
        <v>2500</v>
      </c>
      <c r="I891" s="6">
        <f t="shared" si="61"/>
        <v>477.03549060542798</v>
      </c>
      <c r="J891" s="2">
        <v>6.79</v>
      </c>
      <c r="K891" s="2">
        <v>4.79</v>
      </c>
      <c r="L891" s="2" t="s">
        <v>1380</v>
      </c>
      <c r="M891" s="2">
        <v>29.44</v>
      </c>
      <c r="N891" s="2" t="s">
        <v>3169</v>
      </c>
      <c r="O891" s="56">
        <v>2285</v>
      </c>
      <c r="P891" s="2">
        <v>3.27</v>
      </c>
      <c r="Q891" s="2">
        <v>11.15</v>
      </c>
      <c r="R891" s="2">
        <v>204.89</v>
      </c>
      <c r="S891" s="2">
        <v>8.99</v>
      </c>
      <c r="T891" s="2">
        <v>4.5</v>
      </c>
      <c r="U891" s="2">
        <v>195.89</v>
      </c>
      <c r="V891" s="2">
        <v>40.869999999999997</v>
      </c>
      <c r="W891" s="2">
        <v>2134.4</v>
      </c>
      <c r="X891" s="2" t="s">
        <v>3170</v>
      </c>
      <c r="Y891" s="2" t="s">
        <v>3171</v>
      </c>
      <c r="Z891" s="2" t="s">
        <v>548</v>
      </c>
      <c r="AA891" s="2" t="s">
        <v>548</v>
      </c>
      <c r="AB891" s="2">
        <v>5.7</v>
      </c>
    </row>
    <row r="892" spans="1:28" x14ac:dyDescent="0.25">
      <c r="A892" s="4">
        <v>46255</v>
      </c>
      <c r="B892" s="8" t="s">
        <v>3094</v>
      </c>
      <c r="C892" s="8" t="s">
        <v>36</v>
      </c>
      <c r="D892" s="8" t="s">
        <v>39</v>
      </c>
      <c r="E892" s="8" t="s">
        <v>47</v>
      </c>
      <c r="F892" s="13"/>
      <c r="G892" s="59"/>
      <c r="H892" s="6">
        <f t="shared" si="60"/>
        <v>2500</v>
      </c>
      <c r="I892" s="6">
        <f t="shared" si="61"/>
        <v>241.4364640883978</v>
      </c>
      <c r="J892" s="2">
        <v>7.68</v>
      </c>
      <c r="K892" s="2">
        <v>5.43</v>
      </c>
      <c r="L892" s="2">
        <v>2.25</v>
      </c>
      <c r="M892" s="2">
        <v>29.3</v>
      </c>
      <c r="N892" s="2" t="s">
        <v>3172</v>
      </c>
      <c r="O892" s="56">
        <v>1311</v>
      </c>
      <c r="P892" s="2">
        <v>1.62</v>
      </c>
      <c r="Q892" s="2">
        <v>12.42</v>
      </c>
      <c r="R892" s="2">
        <v>105.52</v>
      </c>
      <c r="S892" s="2">
        <v>8.99</v>
      </c>
      <c r="T892" s="2" t="s">
        <v>1855</v>
      </c>
      <c r="U892" s="2">
        <v>96.53</v>
      </c>
      <c r="V892" s="2">
        <v>17.78</v>
      </c>
      <c r="W892" s="2">
        <v>9373.5300000000007</v>
      </c>
      <c r="X892" s="2" t="s">
        <v>3173</v>
      </c>
      <c r="Y892" s="2" t="s">
        <v>3174</v>
      </c>
      <c r="Z892" s="2" t="s">
        <v>548</v>
      </c>
      <c r="AA892" s="2" t="s">
        <v>548</v>
      </c>
      <c r="AB892" s="2">
        <v>292.89999999999998</v>
      </c>
    </row>
    <row r="893" spans="1:28" x14ac:dyDescent="0.25">
      <c r="A893" s="4">
        <v>46255</v>
      </c>
      <c r="B893" s="8" t="s">
        <v>55</v>
      </c>
      <c r="C893" s="8" t="s">
        <v>56</v>
      </c>
      <c r="D893" s="8" t="s">
        <v>43</v>
      </c>
      <c r="E893" s="8" t="s">
        <v>2994</v>
      </c>
      <c r="F893" s="13"/>
      <c r="G893" s="59" t="s">
        <v>146</v>
      </c>
      <c r="H893" s="6"/>
      <c r="I893" s="6">
        <f t="shared" si="61"/>
        <v>0</v>
      </c>
      <c r="J893" s="2" t="s">
        <v>45</v>
      </c>
      <c r="K893" s="2" t="s">
        <v>45</v>
      </c>
      <c r="L893" s="2" t="s">
        <v>45</v>
      </c>
      <c r="M893" s="2" t="s">
        <v>45</v>
      </c>
      <c r="N893" s="2" t="s">
        <v>45</v>
      </c>
      <c r="O893" s="56" t="s">
        <v>45</v>
      </c>
      <c r="P893" s="2" t="s">
        <v>45</v>
      </c>
      <c r="Q893" s="2" t="s">
        <v>45</v>
      </c>
      <c r="R893" s="2" t="s">
        <v>45</v>
      </c>
      <c r="S893" s="2" t="s">
        <v>45</v>
      </c>
      <c r="T893" s="2" t="s">
        <v>45</v>
      </c>
      <c r="U893" s="2" t="s">
        <v>45</v>
      </c>
      <c r="V893" s="2" t="s">
        <v>45</v>
      </c>
      <c r="W893" s="2" t="s">
        <v>45</v>
      </c>
      <c r="X893" s="2" t="s">
        <v>45</v>
      </c>
      <c r="Y893" s="2" t="s">
        <v>45</v>
      </c>
      <c r="Z893" s="2" t="s">
        <v>45</v>
      </c>
      <c r="AA893" s="2" t="s">
        <v>45</v>
      </c>
      <c r="AB893" s="2" t="s">
        <v>45</v>
      </c>
    </row>
    <row r="894" spans="1:28" x14ac:dyDescent="0.25">
      <c r="A894" s="4">
        <v>46255</v>
      </c>
      <c r="B894" s="8" t="s">
        <v>3094</v>
      </c>
      <c r="C894" s="8" t="s">
        <v>36</v>
      </c>
      <c r="D894" s="8" t="s">
        <v>67</v>
      </c>
      <c r="E894" s="8" t="s">
        <v>47</v>
      </c>
      <c r="F894" s="13"/>
      <c r="G894" s="59"/>
      <c r="H894" s="6">
        <f t="shared" si="60"/>
        <v>2500</v>
      </c>
      <c r="I894" s="6">
        <f t="shared" si="61"/>
        <v>111.86943620178042</v>
      </c>
      <c r="J894" s="2">
        <v>7.54</v>
      </c>
      <c r="K894" s="2">
        <v>6.74</v>
      </c>
      <c r="L894" s="2">
        <v>0.8</v>
      </c>
      <c r="M894" s="2">
        <v>10.6</v>
      </c>
      <c r="N894" s="2" t="s">
        <v>3175</v>
      </c>
      <c r="O894" s="56">
        <f>1504-750</f>
        <v>754</v>
      </c>
      <c r="P894" s="2">
        <v>1.55</v>
      </c>
      <c r="Q894" s="2">
        <v>10.32</v>
      </c>
      <c r="R894" s="2">
        <v>145.74</v>
      </c>
      <c r="S894" s="2">
        <v>2.84</v>
      </c>
      <c r="T894" s="2">
        <v>3.55</v>
      </c>
      <c r="U894" s="2">
        <v>142.9</v>
      </c>
      <c r="V894" s="2">
        <v>21.19</v>
      </c>
      <c r="W894" s="2">
        <v>797.62</v>
      </c>
      <c r="X894" s="2" t="s">
        <v>3176</v>
      </c>
      <c r="Y894" s="2" t="s">
        <v>3177</v>
      </c>
      <c r="Z894" s="2">
        <v>1.4</v>
      </c>
      <c r="AA894" s="2" t="s">
        <v>548</v>
      </c>
      <c r="AB894" s="2">
        <v>78.2</v>
      </c>
    </row>
    <row r="895" spans="1:28" x14ac:dyDescent="0.25">
      <c r="A895" s="4">
        <v>46255</v>
      </c>
      <c r="B895" s="8" t="s">
        <v>3094</v>
      </c>
      <c r="C895" s="8" t="s">
        <v>36</v>
      </c>
      <c r="D895" s="8" t="s">
        <v>67</v>
      </c>
      <c r="E895" s="8" t="s">
        <v>61</v>
      </c>
      <c r="F895" s="13"/>
      <c r="G895" s="59"/>
      <c r="H895" s="6"/>
      <c r="I895" s="6"/>
      <c r="J895" s="2"/>
      <c r="K895" s="2"/>
      <c r="L895" s="2"/>
      <c r="M895" s="2"/>
      <c r="N895" s="2"/>
      <c r="O895" s="56">
        <f>30*25</f>
        <v>750</v>
      </c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spans="1:28" x14ac:dyDescent="0.25">
      <c r="A896" s="4">
        <v>46255</v>
      </c>
      <c r="B896" s="8" t="s">
        <v>3094</v>
      </c>
      <c r="C896" s="8" t="s">
        <v>36</v>
      </c>
      <c r="D896" s="8" t="s">
        <v>50</v>
      </c>
      <c r="E896" s="8" t="s">
        <v>47</v>
      </c>
      <c r="F896" s="13"/>
      <c r="G896" s="59"/>
      <c r="H896" s="6">
        <f t="shared" si="60"/>
        <v>2500</v>
      </c>
      <c r="I896" s="6">
        <f t="shared" ref="I896:I916" si="62">IFERROR(O896/K896,)</f>
        <v>361.41078838174269</v>
      </c>
      <c r="J896" s="2">
        <v>8.58</v>
      </c>
      <c r="K896" s="2">
        <v>7.23</v>
      </c>
      <c r="L896" s="2">
        <v>1.35</v>
      </c>
      <c r="M896" s="2">
        <v>15.74</v>
      </c>
      <c r="N896" s="2" t="s">
        <v>3178</v>
      </c>
      <c r="O896" s="56">
        <v>2613</v>
      </c>
      <c r="P896" s="2">
        <v>2.0099999999999998</v>
      </c>
      <c r="Q896" s="2">
        <v>16.989999999999998</v>
      </c>
      <c r="R896" s="2">
        <v>153.78</v>
      </c>
      <c r="S896" s="2">
        <v>4.26</v>
      </c>
      <c r="T896" s="2">
        <v>3.15</v>
      </c>
      <c r="U896" s="2">
        <v>149.52000000000001</v>
      </c>
      <c r="V896" s="2">
        <v>20.68</v>
      </c>
      <c r="W896" s="2">
        <v>2625.58</v>
      </c>
      <c r="X896" s="2" t="s">
        <v>3179</v>
      </c>
      <c r="Y896" s="2" t="s">
        <v>3180</v>
      </c>
      <c r="Z896" s="2">
        <v>0.5</v>
      </c>
      <c r="AA896" s="2" t="s">
        <v>548</v>
      </c>
      <c r="AB896" s="2">
        <v>339.6</v>
      </c>
    </row>
    <row r="897" spans="1:28" x14ac:dyDescent="0.25">
      <c r="A897" s="4">
        <v>46255</v>
      </c>
      <c r="B897" s="8" t="s">
        <v>3094</v>
      </c>
      <c r="C897" s="8" t="s">
        <v>36</v>
      </c>
      <c r="D897" s="8" t="s">
        <v>52</v>
      </c>
      <c r="E897" s="8" t="s">
        <v>47</v>
      </c>
      <c r="F897" s="13"/>
      <c r="G897" s="59"/>
      <c r="H897" s="6">
        <f t="shared" si="60"/>
        <v>2500</v>
      </c>
      <c r="I897" s="6">
        <f t="shared" si="62"/>
        <v>171.15942028985506</v>
      </c>
      <c r="J897" s="2">
        <v>8.3000000000000007</v>
      </c>
      <c r="K897" s="2">
        <v>6.9</v>
      </c>
      <c r="L897" s="2">
        <v>1.4</v>
      </c>
      <c r="M897" s="2">
        <v>16.87</v>
      </c>
      <c r="N897" s="2" t="s">
        <v>3181</v>
      </c>
      <c r="O897" s="56">
        <v>1181</v>
      </c>
      <c r="P897" s="2">
        <v>2.09</v>
      </c>
      <c r="Q897" s="2">
        <v>9.8699999999999992</v>
      </c>
      <c r="R897" s="2">
        <v>119.71</v>
      </c>
      <c r="S897" s="2">
        <v>5.2</v>
      </c>
      <c r="T897" s="2">
        <v>3.72</v>
      </c>
      <c r="U897" s="2">
        <v>114.51</v>
      </c>
      <c r="V897" s="2">
        <v>16.600000000000001</v>
      </c>
      <c r="W897" s="2">
        <v>1235.3499999999999</v>
      </c>
      <c r="X897" s="2" t="s">
        <v>3182</v>
      </c>
      <c r="Y897" s="2" t="s">
        <v>3183</v>
      </c>
      <c r="Z897" s="2">
        <v>0.2</v>
      </c>
      <c r="AA897" s="2" t="s">
        <v>548</v>
      </c>
      <c r="AB897" s="2">
        <v>125.2</v>
      </c>
    </row>
    <row r="898" spans="1:28" x14ac:dyDescent="0.25">
      <c r="A898" s="4">
        <v>46255</v>
      </c>
      <c r="B898" s="8" t="s">
        <v>3094</v>
      </c>
      <c r="C898" s="8" t="s">
        <v>36</v>
      </c>
      <c r="D898" s="7" t="s">
        <v>46</v>
      </c>
      <c r="E898" s="8" t="s">
        <v>47</v>
      </c>
      <c r="F898" s="13"/>
      <c r="G898" s="59"/>
      <c r="H898" s="6">
        <f t="shared" si="60"/>
        <v>2500</v>
      </c>
      <c r="I898" s="6">
        <f t="shared" si="62"/>
        <v>442.66994266994266</v>
      </c>
      <c r="J898" s="2">
        <v>15.01</v>
      </c>
      <c r="K898" s="2">
        <v>12.21</v>
      </c>
      <c r="L898" s="2">
        <v>2.8</v>
      </c>
      <c r="M898" s="2">
        <v>18.66</v>
      </c>
      <c r="N898" s="2" t="s">
        <v>3184</v>
      </c>
      <c r="O898" s="56">
        <v>5405</v>
      </c>
      <c r="P898" s="2">
        <v>3.57</v>
      </c>
      <c r="Q898" s="2">
        <v>13.88</v>
      </c>
      <c r="R898" s="2">
        <v>389.42</v>
      </c>
      <c r="S898" s="2">
        <v>16.09</v>
      </c>
      <c r="T898" s="2">
        <v>5.75</v>
      </c>
      <c r="U898" s="2">
        <v>373.34</v>
      </c>
      <c r="V898" s="2">
        <v>30.58</v>
      </c>
      <c r="W898" s="2">
        <v>8223.67</v>
      </c>
      <c r="X898" s="2" t="s">
        <v>3185</v>
      </c>
      <c r="Y898" s="2" t="s">
        <v>3186</v>
      </c>
      <c r="Z898" s="2">
        <v>0.1</v>
      </c>
      <c r="AA898" s="2" t="s">
        <v>548</v>
      </c>
      <c r="AB898" s="2" t="s">
        <v>3187</v>
      </c>
    </row>
    <row r="899" spans="1:28" x14ac:dyDescent="0.25">
      <c r="A899" s="4">
        <v>46255</v>
      </c>
      <c r="B899" s="8" t="s">
        <v>3094</v>
      </c>
      <c r="C899" s="8" t="s">
        <v>36</v>
      </c>
      <c r="D899" s="8" t="s">
        <v>48</v>
      </c>
      <c r="E899" s="8" t="s">
        <v>2994</v>
      </c>
      <c r="F899" s="13"/>
      <c r="G899" s="59"/>
      <c r="H899" s="6"/>
      <c r="I899" s="6">
        <f t="shared" si="62"/>
        <v>209.11602209944752</v>
      </c>
      <c r="J899" s="2">
        <v>5.37</v>
      </c>
      <c r="K899" s="2">
        <v>3.62</v>
      </c>
      <c r="L899" s="2">
        <v>1.75</v>
      </c>
      <c r="M899" s="2">
        <v>32.6</v>
      </c>
      <c r="N899" s="2" t="s">
        <v>3188</v>
      </c>
      <c r="O899" s="56">
        <v>757</v>
      </c>
      <c r="P899" s="2">
        <v>4.09</v>
      </c>
      <c r="Q899" s="2">
        <v>6.2</v>
      </c>
      <c r="R899" s="2">
        <v>122.08</v>
      </c>
      <c r="S899" s="2">
        <v>8.99</v>
      </c>
      <c r="T899" s="2">
        <v>5.14</v>
      </c>
      <c r="U899" s="2">
        <v>113.09</v>
      </c>
      <c r="V899" s="2">
        <v>31.26</v>
      </c>
      <c r="W899" s="2">
        <v>6804.46</v>
      </c>
      <c r="X899" s="2" t="s">
        <v>3189</v>
      </c>
      <c r="Y899" s="2" t="s">
        <v>3190</v>
      </c>
      <c r="Z899" s="2" t="s">
        <v>548</v>
      </c>
      <c r="AA899" s="2" t="s">
        <v>548</v>
      </c>
      <c r="AB899" s="2">
        <v>49.7</v>
      </c>
    </row>
    <row r="900" spans="1:28" x14ac:dyDescent="0.25">
      <c r="A900" s="4">
        <v>46255</v>
      </c>
      <c r="B900" s="8" t="s">
        <v>3094</v>
      </c>
      <c r="C900" s="8" t="s">
        <v>36</v>
      </c>
      <c r="D900" s="8" t="s">
        <v>49</v>
      </c>
      <c r="E900" s="8" t="s">
        <v>47</v>
      </c>
      <c r="F900" s="13"/>
      <c r="G900" s="59"/>
      <c r="H900" s="6">
        <f t="shared" si="60"/>
        <v>2500</v>
      </c>
      <c r="I900" s="6">
        <f t="shared" si="62"/>
        <v>523.05389221556891</v>
      </c>
      <c r="J900" s="2">
        <v>5.24</v>
      </c>
      <c r="K900" s="2">
        <v>3.34</v>
      </c>
      <c r="L900" s="2">
        <v>1.9</v>
      </c>
      <c r="M900" s="2">
        <v>36.22</v>
      </c>
      <c r="N900" s="2" t="s">
        <v>607</v>
      </c>
      <c r="O900" s="56">
        <v>1747</v>
      </c>
      <c r="P900" s="2">
        <v>3.65</v>
      </c>
      <c r="Q900" s="2">
        <v>12.11</v>
      </c>
      <c r="R900" s="2">
        <v>144.32</v>
      </c>
      <c r="S900" s="2">
        <v>8.99</v>
      </c>
      <c r="T900" s="2">
        <v>4.7300000000000004</v>
      </c>
      <c r="U900" s="2">
        <v>135.33000000000001</v>
      </c>
      <c r="V900" s="2">
        <v>40.46</v>
      </c>
      <c r="W900" s="2">
        <v>2139.64</v>
      </c>
      <c r="X900" s="2" t="s">
        <v>3191</v>
      </c>
      <c r="Y900" s="2" t="s">
        <v>3192</v>
      </c>
      <c r="Z900" s="2" t="s">
        <v>548</v>
      </c>
      <c r="AA900" s="2" t="s">
        <v>548</v>
      </c>
      <c r="AB900" s="2">
        <v>5.7</v>
      </c>
    </row>
    <row r="901" spans="1:28" x14ac:dyDescent="0.25">
      <c r="A901" s="4">
        <v>46256</v>
      </c>
      <c r="B901" s="8" t="s">
        <v>3094</v>
      </c>
      <c r="C901" s="8" t="s">
        <v>36</v>
      </c>
      <c r="D901" s="8" t="s">
        <v>39</v>
      </c>
      <c r="E901" s="8" t="s">
        <v>47</v>
      </c>
      <c r="F901" s="13"/>
      <c r="G901" s="59"/>
      <c r="H901" s="6">
        <f>15000/5</f>
        <v>3000</v>
      </c>
      <c r="I901" s="6">
        <f t="shared" si="62"/>
        <v>326.59409020217731</v>
      </c>
      <c r="J901" s="2">
        <v>8.0299999999999994</v>
      </c>
      <c r="K901" s="2">
        <v>6.43</v>
      </c>
      <c r="L901" s="2">
        <v>1.6</v>
      </c>
      <c r="M901" s="2">
        <v>19.93</v>
      </c>
      <c r="N901" s="2" t="s">
        <v>1739</v>
      </c>
      <c r="O901" s="56">
        <v>2100</v>
      </c>
      <c r="P901" s="2">
        <v>1.72</v>
      </c>
      <c r="Q901" s="2">
        <v>13.5</v>
      </c>
      <c r="R901" s="2">
        <v>120.19</v>
      </c>
      <c r="S901" s="2">
        <v>6.62</v>
      </c>
      <c r="T901" s="2">
        <v>4.1399999999999997</v>
      </c>
      <c r="U901" s="2">
        <v>113.56</v>
      </c>
      <c r="V901" s="2">
        <v>17.670000000000002</v>
      </c>
      <c r="W901" s="2">
        <v>9381.56</v>
      </c>
      <c r="X901" s="2" t="s">
        <v>3193</v>
      </c>
      <c r="Y901" s="2" t="s">
        <v>3194</v>
      </c>
      <c r="Z901" s="2">
        <v>0.1</v>
      </c>
      <c r="AA901" s="2" t="s">
        <v>548</v>
      </c>
      <c r="AB901" s="2" t="s">
        <v>3195</v>
      </c>
    </row>
    <row r="902" spans="1:28" x14ac:dyDescent="0.25">
      <c r="A902" s="4">
        <v>46256</v>
      </c>
      <c r="B902" s="8" t="s">
        <v>55</v>
      </c>
      <c r="C902" s="8" t="s">
        <v>56</v>
      </c>
      <c r="D902" s="8" t="s">
        <v>43</v>
      </c>
      <c r="E902" s="8" t="s">
        <v>2994</v>
      </c>
      <c r="F902" s="13"/>
      <c r="G902" s="59" t="s">
        <v>146</v>
      </c>
      <c r="H902" s="6"/>
      <c r="I902" s="6">
        <f t="shared" si="62"/>
        <v>0</v>
      </c>
      <c r="J902" s="2" t="s">
        <v>45</v>
      </c>
      <c r="K902" s="2" t="s">
        <v>45</v>
      </c>
      <c r="L902" s="2" t="s">
        <v>45</v>
      </c>
      <c r="M902" s="2" t="s">
        <v>45</v>
      </c>
      <c r="N902" s="2" t="s">
        <v>45</v>
      </c>
      <c r="O902" s="56" t="s">
        <v>45</v>
      </c>
      <c r="P902" s="2" t="s">
        <v>45</v>
      </c>
      <c r="Q902" s="2" t="s">
        <v>45</v>
      </c>
      <c r="R902" s="2" t="s">
        <v>45</v>
      </c>
      <c r="S902" s="2" t="s">
        <v>45</v>
      </c>
      <c r="T902" s="2" t="s">
        <v>45</v>
      </c>
      <c r="U902" s="2" t="s">
        <v>45</v>
      </c>
      <c r="V902" s="2" t="s">
        <v>45</v>
      </c>
      <c r="W902" s="2" t="s">
        <v>45</v>
      </c>
      <c r="X902" s="2" t="s">
        <v>45</v>
      </c>
      <c r="Y902" s="2" t="s">
        <v>45</v>
      </c>
      <c r="Z902" s="2" t="s">
        <v>45</v>
      </c>
      <c r="AA902" s="2" t="s">
        <v>45</v>
      </c>
      <c r="AB902" s="2" t="s">
        <v>45</v>
      </c>
    </row>
    <row r="903" spans="1:28" x14ac:dyDescent="0.25">
      <c r="A903" s="4">
        <v>46256</v>
      </c>
      <c r="B903" s="8" t="s">
        <v>3094</v>
      </c>
      <c r="C903" s="8" t="s">
        <v>36</v>
      </c>
      <c r="D903" s="8" t="s">
        <v>67</v>
      </c>
      <c r="E903" s="8" t="s">
        <v>61</v>
      </c>
      <c r="F903" s="13"/>
      <c r="G903" s="59"/>
      <c r="H903" s="6"/>
      <c r="I903" s="6">
        <f t="shared" si="62"/>
        <v>139.19308357348703</v>
      </c>
      <c r="J903" s="2">
        <v>8.39</v>
      </c>
      <c r="K903" s="2">
        <v>6.94</v>
      </c>
      <c r="L903" s="2">
        <v>1.45</v>
      </c>
      <c r="M903" s="2">
        <v>17.28</v>
      </c>
      <c r="N903" s="2" t="s">
        <v>2289</v>
      </c>
      <c r="O903" s="56">
        <v>966</v>
      </c>
      <c r="P903" s="2">
        <v>1.58</v>
      </c>
      <c r="Q903" s="2">
        <v>8.5399999999999991</v>
      </c>
      <c r="R903" s="2">
        <v>113.09</v>
      </c>
      <c r="S903" s="2">
        <v>5.2</v>
      </c>
      <c r="T903" s="2">
        <v>3.59</v>
      </c>
      <c r="U903" s="2">
        <v>107.88</v>
      </c>
      <c r="V903" s="2">
        <v>15.54</v>
      </c>
      <c r="W903" s="2">
        <v>806.01</v>
      </c>
      <c r="X903" s="2" t="s">
        <v>3196</v>
      </c>
      <c r="Y903" s="2" t="s">
        <v>3197</v>
      </c>
      <c r="Z903" s="2">
        <v>1.3</v>
      </c>
      <c r="AA903" s="2" t="s">
        <v>548</v>
      </c>
      <c r="AB903" s="2">
        <v>79.5</v>
      </c>
    </row>
    <row r="904" spans="1:28" x14ac:dyDescent="0.25">
      <c r="A904" s="4">
        <v>46256</v>
      </c>
      <c r="B904" s="8" t="s">
        <v>3094</v>
      </c>
      <c r="C904" s="8" t="s">
        <v>36</v>
      </c>
      <c r="D904" s="8" t="s">
        <v>50</v>
      </c>
      <c r="E904" s="8" t="s">
        <v>47</v>
      </c>
      <c r="F904" s="13"/>
      <c r="G904" s="59"/>
      <c r="H904" s="6">
        <f>15000/5</f>
        <v>3000</v>
      </c>
      <c r="I904" s="6">
        <f t="shared" si="62"/>
        <v>381.55136268343819</v>
      </c>
      <c r="J904" s="2">
        <v>6.47</v>
      </c>
      <c r="K904" s="2">
        <v>4.7699999999999996</v>
      </c>
      <c r="L904" s="2">
        <v>1.7</v>
      </c>
      <c r="M904" s="2">
        <v>26.29</v>
      </c>
      <c r="N904" s="2" t="s">
        <v>3198</v>
      </c>
      <c r="O904" s="56">
        <v>1820</v>
      </c>
      <c r="P904" s="2">
        <v>2.2000000000000002</v>
      </c>
      <c r="Q904" s="2">
        <v>17.97</v>
      </c>
      <c r="R904" s="2">
        <v>101.26</v>
      </c>
      <c r="S904" s="2">
        <v>6.15</v>
      </c>
      <c r="T904" s="2">
        <v>3.62</v>
      </c>
      <c r="U904" s="2">
        <v>95.11</v>
      </c>
      <c r="V904" s="2">
        <v>19.95</v>
      </c>
      <c r="W904" s="2">
        <v>2632.04</v>
      </c>
      <c r="X904" s="2" t="s">
        <v>3199</v>
      </c>
      <c r="Y904" s="2" t="s">
        <v>3200</v>
      </c>
      <c r="Z904" s="2" t="s">
        <v>548</v>
      </c>
      <c r="AA904" s="2" t="s">
        <v>548</v>
      </c>
      <c r="AB904" s="2">
        <v>339.6</v>
      </c>
    </row>
    <row r="905" spans="1:28" x14ac:dyDescent="0.25">
      <c r="A905" s="4">
        <v>46256</v>
      </c>
      <c r="B905" s="8" t="s">
        <v>3094</v>
      </c>
      <c r="C905" s="8" t="s">
        <v>36</v>
      </c>
      <c r="D905" s="8" t="s">
        <v>52</v>
      </c>
      <c r="E905" s="8" t="s">
        <v>47</v>
      </c>
      <c r="F905" s="13"/>
      <c r="G905" s="59"/>
      <c r="H905" s="6">
        <f>15000/5</f>
        <v>3000</v>
      </c>
      <c r="I905" s="6">
        <f t="shared" si="62"/>
        <v>156.46153846153845</v>
      </c>
      <c r="J905" s="2">
        <v>7.5</v>
      </c>
      <c r="K905" s="2">
        <v>6.5</v>
      </c>
      <c r="L905" s="2" t="s">
        <v>1696</v>
      </c>
      <c r="M905" s="2">
        <v>13.34</v>
      </c>
      <c r="N905" s="2" t="s">
        <v>3201</v>
      </c>
      <c r="O905" s="56">
        <v>1017</v>
      </c>
      <c r="P905" s="2">
        <v>1.65</v>
      </c>
      <c r="Q905" s="2">
        <v>7.12</v>
      </c>
      <c r="R905" s="2">
        <v>142.9</v>
      </c>
      <c r="S905" s="2">
        <v>3.79</v>
      </c>
      <c r="T905" s="2">
        <v>3.79</v>
      </c>
      <c r="U905" s="2">
        <v>139.11000000000001</v>
      </c>
      <c r="V905" s="2">
        <v>21.41</v>
      </c>
      <c r="W905" s="2">
        <v>1242.8499999999999</v>
      </c>
      <c r="X905" s="2" t="s">
        <v>3202</v>
      </c>
      <c r="Y905" s="2" t="s">
        <v>3203</v>
      </c>
      <c r="Z905" s="2">
        <v>0.4</v>
      </c>
      <c r="AA905" s="2" t="s">
        <v>548</v>
      </c>
      <c r="AB905" s="2">
        <v>125.6</v>
      </c>
    </row>
    <row r="906" spans="1:28" x14ac:dyDescent="0.25">
      <c r="A906" s="4">
        <v>46256</v>
      </c>
      <c r="B906" s="8" t="s">
        <v>3094</v>
      </c>
      <c r="C906" s="8" t="s">
        <v>36</v>
      </c>
      <c r="D906" s="7" t="s">
        <v>46</v>
      </c>
      <c r="E906" s="8" t="s">
        <v>47</v>
      </c>
      <c r="F906" s="13"/>
      <c r="G906" s="59"/>
      <c r="H906" s="6">
        <f>15000/5</f>
        <v>3000</v>
      </c>
      <c r="I906" s="6">
        <f t="shared" si="62"/>
        <v>437.74551665243376</v>
      </c>
      <c r="J906" s="2">
        <v>13.86</v>
      </c>
      <c r="K906" s="2">
        <v>11.71</v>
      </c>
      <c r="L906" s="2">
        <v>2.15</v>
      </c>
      <c r="M906" s="2">
        <v>15.51</v>
      </c>
      <c r="N906" s="2" t="s">
        <v>3204</v>
      </c>
      <c r="O906" s="56">
        <v>5126</v>
      </c>
      <c r="P906" s="2">
        <v>3.86</v>
      </c>
      <c r="Q906" s="2">
        <v>14.2</v>
      </c>
      <c r="R906" s="2">
        <v>361.03</v>
      </c>
      <c r="S906" s="2">
        <v>12.78</v>
      </c>
      <c r="T906" s="2">
        <v>5.94</v>
      </c>
      <c r="U906" s="2">
        <v>348.26</v>
      </c>
      <c r="V906" s="2">
        <v>29.74</v>
      </c>
      <c r="W906" s="2">
        <v>8237.5400000000009</v>
      </c>
      <c r="X906" s="2" t="s">
        <v>3205</v>
      </c>
      <c r="Y906" s="2" t="s">
        <v>3206</v>
      </c>
      <c r="Z906" s="2">
        <v>0.1</v>
      </c>
      <c r="AA906" s="2" t="s">
        <v>548</v>
      </c>
      <c r="AB906" s="2">
        <v>259.10000000000002</v>
      </c>
    </row>
    <row r="907" spans="1:28" x14ac:dyDescent="0.25">
      <c r="A907" s="4">
        <v>46256</v>
      </c>
      <c r="B907" s="8" t="s">
        <v>3094</v>
      </c>
      <c r="C907" s="8" t="s">
        <v>36</v>
      </c>
      <c r="D907" s="8" t="s">
        <v>48</v>
      </c>
      <c r="E907" s="8" t="s">
        <v>2994</v>
      </c>
      <c r="F907" s="13"/>
      <c r="G907" s="59"/>
      <c r="H907" s="6"/>
      <c r="I907" s="6">
        <f t="shared" si="62"/>
        <v>127.30263157894737</v>
      </c>
      <c r="J907" s="2">
        <v>5.34</v>
      </c>
      <c r="K907" s="2">
        <v>3.04</v>
      </c>
      <c r="L907" s="2">
        <v>2.2999999999999998</v>
      </c>
      <c r="M907" s="2">
        <v>43.11</v>
      </c>
      <c r="N907" s="2" t="s">
        <v>3207</v>
      </c>
      <c r="O907" s="56">
        <v>387</v>
      </c>
      <c r="P907" s="2">
        <v>3.15</v>
      </c>
      <c r="Q907" s="2">
        <v>3.82</v>
      </c>
      <c r="R907" s="2">
        <v>101.26</v>
      </c>
      <c r="S907" s="2">
        <v>13.25</v>
      </c>
      <c r="T907" s="2">
        <v>5.76</v>
      </c>
      <c r="U907" s="2">
        <v>88.01</v>
      </c>
      <c r="V907" s="2" t="s">
        <v>3208</v>
      </c>
      <c r="W907" s="2">
        <v>6809.79</v>
      </c>
      <c r="X907" s="2" t="s">
        <v>3209</v>
      </c>
      <c r="Y907" s="2" t="s">
        <v>3210</v>
      </c>
      <c r="Z907" s="2">
        <v>0.1</v>
      </c>
      <c r="AA907" s="2" t="s">
        <v>548</v>
      </c>
      <c r="AB907" s="2">
        <v>49.8</v>
      </c>
    </row>
    <row r="908" spans="1:28" x14ac:dyDescent="0.25">
      <c r="A908" s="4">
        <v>46256</v>
      </c>
      <c r="B908" s="8" t="s">
        <v>3094</v>
      </c>
      <c r="C908" s="8" t="s">
        <v>36</v>
      </c>
      <c r="D908" s="8" t="s">
        <v>49</v>
      </c>
      <c r="E908" s="8" t="s">
        <v>47</v>
      </c>
      <c r="F908" s="13"/>
      <c r="G908" s="59"/>
      <c r="H908" s="6">
        <f>15000/5</f>
        <v>3000</v>
      </c>
      <c r="I908" s="6">
        <f t="shared" si="62"/>
        <v>477.53086419753089</v>
      </c>
      <c r="J908" s="2">
        <v>5.65</v>
      </c>
      <c r="K908" s="2">
        <v>4.05</v>
      </c>
      <c r="L908" s="2">
        <v>1.6</v>
      </c>
      <c r="M908" s="2">
        <v>28.33</v>
      </c>
      <c r="N908" s="2" t="s">
        <v>3201</v>
      </c>
      <c r="O908" s="56">
        <v>1934</v>
      </c>
      <c r="P908" s="2">
        <v>3.14</v>
      </c>
      <c r="Q908" s="2">
        <v>11.2</v>
      </c>
      <c r="R908" s="2">
        <v>172.71</v>
      </c>
      <c r="S908" s="2">
        <v>7.1</v>
      </c>
      <c r="T908" s="2">
        <v>4.4400000000000004</v>
      </c>
      <c r="U908" s="2">
        <v>165.61</v>
      </c>
      <c r="V908" s="2">
        <v>40.92</v>
      </c>
      <c r="W908" s="2">
        <v>2145.29</v>
      </c>
      <c r="X908" s="2" t="s">
        <v>3211</v>
      </c>
      <c r="Y908" s="2" t="s">
        <v>3212</v>
      </c>
      <c r="Z908" s="2" t="s">
        <v>548</v>
      </c>
      <c r="AA908" s="2" t="s">
        <v>548</v>
      </c>
      <c r="AB908" s="2">
        <v>5.7</v>
      </c>
    </row>
    <row r="909" spans="1:28" x14ac:dyDescent="0.25">
      <c r="A909" s="4">
        <v>46257</v>
      </c>
      <c r="B909" s="8" t="s">
        <v>55</v>
      </c>
      <c r="C909" s="8" t="s">
        <v>56</v>
      </c>
      <c r="D909" s="8" t="s">
        <v>39</v>
      </c>
      <c r="E909" s="8" t="s">
        <v>47</v>
      </c>
      <c r="F909" s="13"/>
      <c r="G909" s="59"/>
      <c r="H909" s="6"/>
      <c r="I909" s="6">
        <f t="shared" si="62"/>
        <v>0</v>
      </c>
      <c r="J909" s="2" t="s">
        <v>548</v>
      </c>
      <c r="K909" s="2" t="s">
        <v>548</v>
      </c>
      <c r="L909" s="2" t="s">
        <v>548</v>
      </c>
      <c r="M909" s="2" t="s">
        <v>45</v>
      </c>
      <c r="N909" s="2" t="s">
        <v>548</v>
      </c>
      <c r="O909" s="56">
        <v>0</v>
      </c>
      <c r="P909" s="2" t="s">
        <v>45</v>
      </c>
      <c r="Q909" s="2" t="s">
        <v>45</v>
      </c>
      <c r="R909" s="2" t="s">
        <v>548</v>
      </c>
      <c r="S909" s="2" t="s">
        <v>548</v>
      </c>
      <c r="T909" s="2" t="s">
        <v>45</v>
      </c>
      <c r="U909" s="2" t="s">
        <v>548</v>
      </c>
      <c r="V909" s="2" t="s">
        <v>45</v>
      </c>
      <c r="W909" s="2"/>
      <c r="X909" s="2"/>
      <c r="Y909" s="2"/>
      <c r="Z909" s="2"/>
      <c r="AA909" s="2"/>
      <c r="AB909" s="2"/>
    </row>
    <row r="910" spans="1:28" x14ac:dyDescent="0.25">
      <c r="A910" s="4">
        <v>46257</v>
      </c>
      <c r="B910" s="8" t="s">
        <v>55</v>
      </c>
      <c r="C910" s="8" t="s">
        <v>56</v>
      </c>
      <c r="D910" s="8" t="s">
        <v>43</v>
      </c>
      <c r="E910" s="8" t="s">
        <v>47</v>
      </c>
      <c r="F910" s="13"/>
      <c r="G910" s="59"/>
      <c r="H910" s="6"/>
      <c r="I910" s="6">
        <f t="shared" si="62"/>
        <v>0</v>
      </c>
      <c r="J910" s="2" t="s">
        <v>548</v>
      </c>
      <c r="K910" s="2" t="s">
        <v>548</v>
      </c>
      <c r="L910" s="2" t="s">
        <v>548</v>
      </c>
      <c r="M910" s="2" t="s">
        <v>45</v>
      </c>
      <c r="N910" s="2" t="s">
        <v>45</v>
      </c>
      <c r="O910" s="56" t="s">
        <v>45</v>
      </c>
      <c r="P910" s="2" t="s">
        <v>45</v>
      </c>
      <c r="Q910" s="2" t="s">
        <v>45</v>
      </c>
      <c r="R910" s="2" t="s">
        <v>548</v>
      </c>
      <c r="S910" s="2" t="s">
        <v>548</v>
      </c>
      <c r="T910" s="2" t="s">
        <v>45</v>
      </c>
      <c r="U910" s="2" t="s">
        <v>548</v>
      </c>
      <c r="V910" s="2" t="s">
        <v>45</v>
      </c>
      <c r="W910" s="2"/>
      <c r="X910" s="2"/>
      <c r="Y910" s="2"/>
      <c r="Z910" s="2"/>
      <c r="AA910" s="2"/>
      <c r="AB910" s="2"/>
    </row>
    <row r="911" spans="1:28" x14ac:dyDescent="0.25">
      <c r="A911" s="4">
        <v>46257</v>
      </c>
      <c r="B911" s="8" t="s">
        <v>55</v>
      </c>
      <c r="C911" s="8" t="s">
        <v>56</v>
      </c>
      <c r="D911" s="8" t="s">
        <v>67</v>
      </c>
      <c r="E911" s="8" t="s">
        <v>47</v>
      </c>
      <c r="F911" s="13"/>
      <c r="G911" s="59"/>
      <c r="H911" s="6"/>
      <c r="I911" s="6">
        <f t="shared" si="62"/>
        <v>0</v>
      </c>
      <c r="J911" s="2" t="s">
        <v>45</v>
      </c>
      <c r="K911" s="2" t="s">
        <v>45</v>
      </c>
      <c r="L911" s="2" t="s">
        <v>45</v>
      </c>
      <c r="M911" s="2" t="s">
        <v>45</v>
      </c>
      <c r="N911" s="2" t="s">
        <v>45</v>
      </c>
      <c r="O911" s="56" t="s">
        <v>45</v>
      </c>
      <c r="P911" s="2" t="s">
        <v>45</v>
      </c>
      <c r="Q911" s="2" t="s">
        <v>45</v>
      </c>
      <c r="R911" s="2" t="s">
        <v>45</v>
      </c>
      <c r="S911" s="2" t="s">
        <v>45</v>
      </c>
      <c r="T911" s="2" t="s">
        <v>45</v>
      </c>
      <c r="U911" s="2" t="s">
        <v>45</v>
      </c>
      <c r="V911" s="2" t="s">
        <v>45</v>
      </c>
      <c r="W911" s="2" t="s">
        <v>45</v>
      </c>
      <c r="X911" s="2" t="s">
        <v>45</v>
      </c>
      <c r="Y911" s="2" t="s">
        <v>45</v>
      </c>
      <c r="Z911" s="2" t="s">
        <v>45</v>
      </c>
      <c r="AA911" s="2" t="s">
        <v>45</v>
      </c>
      <c r="AB911" s="2" t="s">
        <v>45</v>
      </c>
    </row>
    <row r="912" spans="1:28" x14ac:dyDescent="0.25">
      <c r="A912" s="4">
        <v>46257</v>
      </c>
      <c r="B912" s="8" t="s">
        <v>55</v>
      </c>
      <c r="C912" s="8" t="s">
        <v>56</v>
      </c>
      <c r="D912" s="8" t="s">
        <v>50</v>
      </c>
      <c r="E912" s="8" t="s">
        <v>47</v>
      </c>
      <c r="F912" s="13"/>
      <c r="G912" s="59"/>
      <c r="H912" s="6"/>
      <c r="I912" s="6">
        <f t="shared" si="62"/>
        <v>0</v>
      </c>
      <c r="J912" s="2" t="s">
        <v>548</v>
      </c>
      <c r="K912" s="2" t="s">
        <v>548</v>
      </c>
      <c r="L912" s="2" t="s">
        <v>548</v>
      </c>
      <c r="M912" s="2" t="s">
        <v>45</v>
      </c>
      <c r="N912" s="2" t="s">
        <v>45</v>
      </c>
      <c r="O912" s="56" t="s">
        <v>45</v>
      </c>
      <c r="P912" s="2" t="s">
        <v>45</v>
      </c>
      <c r="Q912" s="2" t="s">
        <v>45</v>
      </c>
      <c r="R912" s="2" t="s">
        <v>548</v>
      </c>
      <c r="S912" s="2" t="s">
        <v>548</v>
      </c>
      <c r="T912" s="2" t="s">
        <v>45</v>
      </c>
      <c r="U912" s="2" t="s">
        <v>548</v>
      </c>
      <c r="V912" s="2" t="s">
        <v>45</v>
      </c>
      <c r="W912" s="2"/>
      <c r="X912" s="2" t="s">
        <v>45</v>
      </c>
      <c r="Y912" s="2" t="s">
        <v>45</v>
      </c>
      <c r="Z912" s="2" t="s">
        <v>548</v>
      </c>
      <c r="AA912" s="2" t="s">
        <v>45</v>
      </c>
      <c r="AB912" s="2"/>
    </row>
    <row r="913" spans="1:28" x14ac:dyDescent="0.25">
      <c r="A913" s="4">
        <v>46257</v>
      </c>
      <c r="B913" s="8" t="s">
        <v>55</v>
      </c>
      <c r="C913" s="8" t="s">
        <v>56</v>
      </c>
      <c r="D913" s="8" t="s">
        <v>52</v>
      </c>
      <c r="E913" s="8" t="s">
        <v>47</v>
      </c>
      <c r="F913" s="13"/>
      <c r="G913" s="59"/>
      <c r="H913" s="6"/>
      <c r="I913" s="6">
        <f t="shared" si="62"/>
        <v>0</v>
      </c>
      <c r="J913" s="2" t="s">
        <v>45</v>
      </c>
      <c r="K913" s="2" t="s">
        <v>45</v>
      </c>
      <c r="L913" s="2" t="s">
        <v>45</v>
      </c>
      <c r="M913" s="2" t="s">
        <v>45</v>
      </c>
      <c r="N913" s="2" t="s">
        <v>45</v>
      </c>
      <c r="O913" s="56" t="s">
        <v>45</v>
      </c>
      <c r="P913" s="2" t="s">
        <v>45</v>
      </c>
      <c r="Q913" s="2" t="s">
        <v>45</v>
      </c>
      <c r="R913" s="2" t="s">
        <v>45</v>
      </c>
      <c r="S913" s="2" t="s">
        <v>45</v>
      </c>
      <c r="T913" s="2" t="s">
        <v>45</v>
      </c>
      <c r="U913" s="2" t="s">
        <v>45</v>
      </c>
      <c r="V913" s="2" t="s">
        <v>45</v>
      </c>
      <c r="W913" s="2" t="s">
        <v>45</v>
      </c>
      <c r="X913" s="2" t="s">
        <v>45</v>
      </c>
      <c r="Y913" s="2" t="s">
        <v>45</v>
      </c>
      <c r="Z913" s="2" t="s">
        <v>45</v>
      </c>
      <c r="AA913" s="2" t="s">
        <v>45</v>
      </c>
      <c r="AB913" s="2" t="s">
        <v>45</v>
      </c>
    </row>
    <row r="914" spans="1:28" x14ac:dyDescent="0.25">
      <c r="A914" s="4">
        <v>46257</v>
      </c>
      <c r="B914" s="8" t="s">
        <v>55</v>
      </c>
      <c r="C914" s="8" t="s">
        <v>56</v>
      </c>
      <c r="D914" s="7" t="s">
        <v>46</v>
      </c>
      <c r="E914" s="8" t="s">
        <v>47</v>
      </c>
      <c r="F914" s="13"/>
      <c r="G914" s="59"/>
      <c r="H914" s="6"/>
      <c r="I914" s="6">
        <f t="shared" si="62"/>
        <v>0</v>
      </c>
      <c r="J914" s="2" t="s">
        <v>548</v>
      </c>
      <c r="K914" s="2" t="s">
        <v>548</v>
      </c>
      <c r="L914" s="2" t="s">
        <v>548</v>
      </c>
      <c r="M914" s="2" t="s">
        <v>45</v>
      </c>
      <c r="N914" s="2" t="s">
        <v>548</v>
      </c>
      <c r="O914" s="56">
        <v>0</v>
      </c>
      <c r="P914" s="2" t="s">
        <v>45</v>
      </c>
      <c r="Q914" s="2" t="s">
        <v>45</v>
      </c>
      <c r="R914" s="2" t="s">
        <v>548</v>
      </c>
      <c r="S914" s="2" t="s">
        <v>548</v>
      </c>
      <c r="T914" s="2" t="s">
        <v>45</v>
      </c>
      <c r="U914" s="2" t="s">
        <v>548</v>
      </c>
      <c r="V914" s="2" t="s">
        <v>45</v>
      </c>
      <c r="W914" s="2"/>
      <c r="X914" s="2"/>
      <c r="Y914" s="2"/>
      <c r="Z914" s="2"/>
      <c r="AA914" s="2"/>
      <c r="AB914" s="2"/>
    </row>
    <row r="915" spans="1:28" x14ac:dyDescent="0.25">
      <c r="A915" s="4">
        <v>46257</v>
      </c>
      <c r="B915" s="8" t="s">
        <v>55</v>
      </c>
      <c r="C915" s="8" t="s">
        <v>56</v>
      </c>
      <c r="D915" s="8" t="s">
        <v>48</v>
      </c>
      <c r="E915" s="7" t="s">
        <v>2994</v>
      </c>
      <c r="F915" s="13"/>
      <c r="G915" s="59"/>
      <c r="H915" s="6"/>
      <c r="I915" s="6">
        <f t="shared" si="62"/>
        <v>0</v>
      </c>
      <c r="J915" s="2" t="s">
        <v>548</v>
      </c>
      <c r="K915" s="2" t="s">
        <v>548</v>
      </c>
      <c r="L915" s="2" t="s">
        <v>548</v>
      </c>
      <c r="M915" s="2" t="s">
        <v>45</v>
      </c>
      <c r="N915" s="2" t="s">
        <v>548</v>
      </c>
      <c r="O915" s="56">
        <v>0</v>
      </c>
      <c r="P915" s="2" t="s">
        <v>45</v>
      </c>
      <c r="Q915" s="2" t="s">
        <v>45</v>
      </c>
      <c r="R915" s="2" t="s">
        <v>548</v>
      </c>
      <c r="S915" s="2" t="s">
        <v>548</v>
      </c>
      <c r="T915" s="2" t="s">
        <v>45</v>
      </c>
      <c r="U915" s="2" t="s">
        <v>548</v>
      </c>
      <c r="V915" s="2" t="s">
        <v>45</v>
      </c>
      <c r="W915" s="2"/>
      <c r="X915" s="2"/>
      <c r="Y915" s="2"/>
      <c r="Z915" s="2"/>
      <c r="AA915" s="2"/>
      <c r="AB915" s="2"/>
    </row>
    <row r="916" spans="1:28" x14ac:dyDescent="0.25">
      <c r="A916" s="4">
        <v>46257</v>
      </c>
      <c r="B916" s="8" t="s">
        <v>55</v>
      </c>
      <c r="C916" s="8" t="s">
        <v>56</v>
      </c>
      <c r="D916" s="8" t="s">
        <v>49</v>
      </c>
      <c r="E916" s="8" t="s">
        <v>47</v>
      </c>
      <c r="F916" s="13"/>
      <c r="G916" s="59"/>
      <c r="H916" s="6"/>
      <c r="I916" s="6">
        <f t="shared" si="62"/>
        <v>0</v>
      </c>
      <c r="J916" s="2" t="s">
        <v>45</v>
      </c>
      <c r="K916" s="2" t="s">
        <v>45</v>
      </c>
      <c r="L916" s="2" t="s">
        <v>45</v>
      </c>
      <c r="M916" s="2" t="s">
        <v>45</v>
      </c>
      <c r="N916" s="2" t="s">
        <v>45</v>
      </c>
      <c r="O916" s="56" t="s">
        <v>45</v>
      </c>
      <c r="P916" s="2" t="s">
        <v>45</v>
      </c>
      <c r="Q916" s="2" t="s">
        <v>45</v>
      </c>
      <c r="R916" s="2" t="s">
        <v>45</v>
      </c>
      <c r="S916" s="2" t="s">
        <v>45</v>
      </c>
      <c r="T916" s="2" t="s">
        <v>45</v>
      </c>
      <c r="U916" s="2" t="s">
        <v>45</v>
      </c>
      <c r="V916" s="2" t="s">
        <v>45</v>
      </c>
      <c r="W916" s="2" t="s">
        <v>45</v>
      </c>
      <c r="X916" s="2" t="s">
        <v>45</v>
      </c>
      <c r="Y916" s="2" t="s">
        <v>45</v>
      </c>
      <c r="Z916" s="2" t="s">
        <v>45</v>
      </c>
      <c r="AA916" s="2" t="s">
        <v>45</v>
      </c>
      <c r="AB916" s="2" t="s">
        <v>45</v>
      </c>
    </row>
    <row r="917" spans="1:28" x14ac:dyDescent="0.25">
      <c r="A917" s="4">
        <v>46258</v>
      </c>
      <c r="B917" s="8" t="s">
        <v>3213</v>
      </c>
      <c r="C917" s="8" t="s">
        <v>36</v>
      </c>
      <c r="D917" s="8" t="s">
        <v>39</v>
      </c>
      <c r="E917" s="8" t="s">
        <v>47</v>
      </c>
      <c r="F917" s="13"/>
      <c r="G917" s="59"/>
      <c r="H917" s="6">
        <f>15000/7</f>
        <v>2142.8571428571427</v>
      </c>
      <c r="I917" s="6">
        <f t="shared" ref="I917:I920" si="63">IFERROR(O917/K917,)</f>
        <v>175.52083333333334</v>
      </c>
      <c r="J917" s="2">
        <v>4.17</v>
      </c>
      <c r="K917" s="2">
        <v>1.92</v>
      </c>
      <c r="L917" s="2">
        <v>2.25</v>
      </c>
      <c r="M917" s="2" t="s">
        <v>1852</v>
      </c>
      <c r="N917" s="2" t="s">
        <v>3214</v>
      </c>
      <c r="O917" s="56">
        <v>337</v>
      </c>
      <c r="P917" s="2">
        <v>1.55</v>
      </c>
      <c r="Q917" s="2">
        <v>7.58</v>
      </c>
      <c r="R917" s="2">
        <v>44.48</v>
      </c>
      <c r="S917" s="2">
        <v>8.52</v>
      </c>
      <c r="T917" s="2">
        <v>3.79</v>
      </c>
      <c r="U917" s="2">
        <v>35.96</v>
      </c>
      <c r="V917" s="2">
        <v>18.77</v>
      </c>
      <c r="W917" s="2">
        <v>9385.73</v>
      </c>
      <c r="X917" s="2" t="s">
        <v>3215</v>
      </c>
      <c r="Y917" s="2" t="s">
        <v>3216</v>
      </c>
      <c r="Z917" s="2">
        <v>0.1</v>
      </c>
      <c r="AA917" s="2" t="s">
        <v>548</v>
      </c>
      <c r="AB917" s="2">
        <v>293.10000000000002</v>
      </c>
    </row>
    <row r="918" spans="1:28" x14ac:dyDescent="0.25">
      <c r="A918" s="4">
        <v>46258</v>
      </c>
      <c r="B918" s="8" t="s">
        <v>55</v>
      </c>
      <c r="C918" s="8" t="s">
        <v>56</v>
      </c>
      <c r="D918" s="8" t="s">
        <v>43</v>
      </c>
      <c r="E918" s="8" t="s">
        <v>2994</v>
      </c>
      <c r="F918" s="13"/>
      <c r="G918" s="59" t="s">
        <v>146</v>
      </c>
      <c r="H918" s="6"/>
      <c r="I918" s="6">
        <f t="shared" si="63"/>
        <v>0</v>
      </c>
      <c r="J918" s="2" t="s">
        <v>45</v>
      </c>
      <c r="K918" s="2" t="s">
        <v>45</v>
      </c>
      <c r="L918" s="2" t="s">
        <v>45</v>
      </c>
      <c r="M918" s="2" t="s">
        <v>45</v>
      </c>
      <c r="N918" s="2" t="s">
        <v>45</v>
      </c>
      <c r="O918" s="56" t="s">
        <v>45</v>
      </c>
      <c r="P918" s="2" t="s">
        <v>45</v>
      </c>
      <c r="Q918" s="2" t="s">
        <v>45</v>
      </c>
      <c r="R918" s="2" t="s">
        <v>45</v>
      </c>
      <c r="S918" s="2" t="s">
        <v>45</v>
      </c>
      <c r="T918" s="2" t="s">
        <v>45</v>
      </c>
      <c r="U918" s="2" t="s">
        <v>45</v>
      </c>
      <c r="V918" s="2" t="s">
        <v>45</v>
      </c>
      <c r="W918" s="2" t="s">
        <v>45</v>
      </c>
      <c r="X918" s="2" t="s">
        <v>45</v>
      </c>
      <c r="Y918" s="2" t="s">
        <v>45</v>
      </c>
      <c r="Z918" s="2" t="s">
        <v>45</v>
      </c>
      <c r="AA918" s="2" t="s">
        <v>45</v>
      </c>
      <c r="AB918" s="2" t="s">
        <v>45</v>
      </c>
    </row>
    <row r="919" spans="1:28" x14ac:dyDescent="0.25">
      <c r="A919" s="4">
        <v>46258</v>
      </c>
      <c r="B919" s="8" t="s">
        <v>3213</v>
      </c>
      <c r="C919" s="8" t="s">
        <v>36</v>
      </c>
      <c r="D919" s="8" t="s">
        <v>67</v>
      </c>
      <c r="E919" s="8" t="s">
        <v>47</v>
      </c>
      <c r="F919" s="13"/>
      <c r="G919" s="59"/>
      <c r="H919" s="6">
        <f>15000/7</f>
        <v>2142.8571428571427</v>
      </c>
      <c r="I919" s="6">
        <f t="shared" si="63"/>
        <v>109.44881889763781</v>
      </c>
      <c r="J919" s="2">
        <v>8.4</v>
      </c>
      <c r="K919" s="2">
        <v>6.35</v>
      </c>
      <c r="L919" s="2">
        <v>2.0499999999999998</v>
      </c>
      <c r="M919" s="2">
        <v>24.41</v>
      </c>
      <c r="N919" s="2" t="s">
        <v>3217</v>
      </c>
      <c r="O919" s="56">
        <v>695</v>
      </c>
      <c r="P919" s="2">
        <v>1.65</v>
      </c>
      <c r="Q919" s="2">
        <v>7.23</v>
      </c>
      <c r="R919" s="2">
        <v>127.28</v>
      </c>
      <c r="S919" s="2">
        <v>7.1</v>
      </c>
      <c r="T919" s="2">
        <v>3.46</v>
      </c>
      <c r="U919" s="2">
        <v>120.19</v>
      </c>
      <c r="V919" s="2">
        <v>18.93</v>
      </c>
      <c r="W919" s="2">
        <v>814.41</v>
      </c>
      <c r="X919" s="2" t="s">
        <v>3218</v>
      </c>
      <c r="Y919" s="2" t="s">
        <v>3219</v>
      </c>
      <c r="Z919" s="2" t="s">
        <v>1696</v>
      </c>
      <c r="AA919" s="2" t="s">
        <v>548</v>
      </c>
      <c r="AB919" s="2">
        <v>80.5</v>
      </c>
    </row>
    <row r="920" spans="1:28" x14ac:dyDescent="0.25">
      <c r="A920" s="4">
        <v>46258</v>
      </c>
      <c r="B920" s="8" t="s">
        <v>3213</v>
      </c>
      <c r="C920" s="8" t="s">
        <v>36</v>
      </c>
      <c r="D920" s="8" t="s">
        <v>67</v>
      </c>
      <c r="E920" s="8" t="s">
        <v>61</v>
      </c>
      <c r="F920" s="13"/>
      <c r="G920" s="59"/>
      <c r="H920" s="6"/>
      <c r="I920" s="6">
        <f t="shared" si="63"/>
        <v>0</v>
      </c>
      <c r="J920" s="2"/>
      <c r="K920" s="2"/>
      <c r="L920" s="2"/>
      <c r="M920" s="2"/>
      <c r="N920" s="2"/>
      <c r="O920" s="56">
        <v>225</v>
      </c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spans="1:28" x14ac:dyDescent="0.25">
      <c r="A921" s="4">
        <v>46258</v>
      </c>
      <c r="B921" s="8" t="s">
        <v>3213</v>
      </c>
      <c r="C921" s="8" t="s">
        <v>36</v>
      </c>
      <c r="D921" s="8" t="s">
        <v>50</v>
      </c>
      <c r="E921" s="8" t="s">
        <v>47</v>
      </c>
      <c r="F921" s="13"/>
      <c r="G921" s="59"/>
      <c r="H921" s="6">
        <f>15000/7</f>
        <v>2142.8571428571427</v>
      </c>
      <c r="I921" s="6">
        <f t="shared" ref="I921" si="64">IFERROR(O921/K921,)</f>
        <v>210.57401812688821</v>
      </c>
      <c r="J921" s="2">
        <v>8.07</v>
      </c>
      <c r="K921" s="2">
        <v>6.62</v>
      </c>
      <c r="L921" s="2">
        <v>1.45</v>
      </c>
      <c r="M921" s="2">
        <v>17.97</v>
      </c>
      <c r="N921" s="2" t="s">
        <v>3220</v>
      </c>
      <c r="O921" s="56">
        <v>1394</v>
      </c>
      <c r="P921" s="2">
        <v>1.85</v>
      </c>
      <c r="Q921" s="2">
        <v>10.09</v>
      </c>
      <c r="R921" s="2">
        <v>138.16999999999999</v>
      </c>
      <c r="S921" s="2">
        <v>6.15</v>
      </c>
      <c r="T921" s="2">
        <v>4.24</v>
      </c>
      <c r="U921" s="2">
        <v>132.02000000000001</v>
      </c>
      <c r="V921" s="2">
        <v>19.95</v>
      </c>
      <c r="W921" s="2">
        <v>2640.11</v>
      </c>
      <c r="X921" s="2" t="s">
        <v>3221</v>
      </c>
      <c r="Y921" s="2" t="s">
        <v>3222</v>
      </c>
      <c r="Z921" s="2">
        <v>1.4</v>
      </c>
      <c r="AA921" s="2" t="s">
        <v>548</v>
      </c>
      <c r="AB921" s="2" t="s">
        <v>3223</v>
      </c>
    </row>
    <row r="922" spans="1:28" x14ac:dyDescent="0.25">
      <c r="A922" s="4">
        <v>46258</v>
      </c>
      <c r="B922" s="8" t="s">
        <v>3213</v>
      </c>
      <c r="C922" s="8" t="s">
        <v>36</v>
      </c>
      <c r="D922" s="8" t="s">
        <v>52</v>
      </c>
      <c r="E922" s="8" t="s">
        <v>47</v>
      </c>
      <c r="F922" s="13"/>
      <c r="G922" s="59"/>
      <c r="H922" s="6">
        <f t="shared" ref="H922:H925" si="65">15000/7</f>
        <v>2142.8571428571427</v>
      </c>
      <c r="I922" s="6">
        <f t="shared" ref="I922" si="66">IFERROR(O922/K922,)</f>
        <v>297.70992366412213</v>
      </c>
      <c r="J922" s="2">
        <v>13.33</v>
      </c>
      <c r="K922" s="2">
        <v>10.48</v>
      </c>
      <c r="L922" s="2">
        <v>2.85</v>
      </c>
      <c r="M922" s="2">
        <v>21.39</v>
      </c>
      <c r="N922" s="2" t="s">
        <v>3224</v>
      </c>
      <c r="O922" s="56">
        <v>3120</v>
      </c>
      <c r="P922" s="2">
        <v>2.2200000000000002</v>
      </c>
      <c r="Q922" s="2">
        <v>13.54</v>
      </c>
      <c r="R922" s="2">
        <v>230.44</v>
      </c>
      <c r="S922" s="2">
        <v>10.41</v>
      </c>
      <c r="T922" s="2">
        <v>3.65</v>
      </c>
      <c r="U922" s="2">
        <v>220.03</v>
      </c>
      <c r="V922" s="2" t="s">
        <v>2334</v>
      </c>
      <c r="W922" s="2">
        <v>1256.17</v>
      </c>
      <c r="X922" s="2" t="s">
        <v>3225</v>
      </c>
      <c r="Y922" s="2" t="s">
        <v>3226</v>
      </c>
      <c r="Z922" s="2" t="s">
        <v>548</v>
      </c>
      <c r="AA922" s="2" t="s">
        <v>548</v>
      </c>
      <c r="AB922" s="2">
        <v>125.6</v>
      </c>
    </row>
    <row r="923" spans="1:28" x14ac:dyDescent="0.25">
      <c r="A923" s="4">
        <v>46258</v>
      </c>
      <c r="B923" s="8" t="s">
        <v>3213</v>
      </c>
      <c r="C923" s="8" t="s">
        <v>36</v>
      </c>
      <c r="D923" s="7" t="s">
        <v>46</v>
      </c>
      <c r="E923" s="8" t="s">
        <v>47</v>
      </c>
      <c r="F923" s="13"/>
      <c r="G923" s="59"/>
      <c r="H923" s="6">
        <f t="shared" si="65"/>
        <v>2142.8571428571427</v>
      </c>
      <c r="I923" s="6">
        <f t="shared" ref="I923" si="67">IFERROR(O923/K923,)</f>
        <v>420.24336283185846</v>
      </c>
      <c r="J923" s="2">
        <v>11.59</v>
      </c>
      <c r="K923" s="2">
        <v>9.0399999999999991</v>
      </c>
      <c r="L923" s="2">
        <v>2.5499999999999998</v>
      </c>
      <c r="M923" s="2" t="s">
        <v>3227</v>
      </c>
      <c r="N923" s="2" t="s">
        <v>723</v>
      </c>
      <c r="O923" s="56">
        <v>3799</v>
      </c>
      <c r="P923" s="2">
        <v>3.55</v>
      </c>
      <c r="Q923" s="2">
        <v>12.85</v>
      </c>
      <c r="R923" s="2">
        <v>295.74</v>
      </c>
      <c r="S923" s="2">
        <v>15.61</v>
      </c>
      <c r="T923" s="2">
        <v>6.12</v>
      </c>
      <c r="U923" s="2">
        <v>280.12</v>
      </c>
      <c r="V923" s="2">
        <v>30.99</v>
      </c>
      <c r="W923" s="2">
        <v>8249.1299999999992</v>
      </c>
      <c r="X923" s="2" t="s">
        <v>3228</v>
      </c>
      <c r="Y923" s="2" t="s">
        <v>3229</v>
      </c>
      <c r="Z923" s="2">
        <v>0.1</v>
      </c>
      <c r="AA923" s="2" t="s">
        <v>548</v>
      </c>
      <c r="AB923" s="2">
        <v>259.2</v>
      </c>
    </row>
    <row r="924" spans="1:28" x14ac:dyDescent="0.25">
      <c r="A924" s="4">
        <v>46258</v>
      </c>
      <c r="B924" s="8" t="s">
        <v>3213</v>
      </c>
      <c r="C924" s="8" t="s">
        <v>36</v>
      </c>
      <c r="D924" s="8" t="s">
        <v>48</v>
      </c>
      <c r="E924" s="8" t="s">
        <v>47</v>
      </c>
      <c r="F924" s="13"/>
      <c r="G924" s="59"/>
      <c r="H924" s="6">
        <f t="shared" si="65"/>
        <v>2142.8571428571427</v>
      </c>
      <c r="I924" s="6">
        <f t="shared" ref="I924" si="68">IFERROR(O924/K924,)</f>
        <v>499.24012158054711</v>
      </c>
      <c r="J924" s="2">
        <v>7.23</v>
      </c>
      <c r="K924" s="2">
        <v>6.58</v>
      </c>
      <c r="L924" s="2">
        <v>0.65</v>
      </c>
      <c r="M924" s="2">
        <v>8.99</v>
      </c>
      <c r="N924" s="2" t="s">
        <v>3025</v>
      </c>
      <c r="O924" s="56">
        <v>3285</v>
      </c>
      <c r="P924" s="2">
        <v>4.43</v>
      </c>
      <c r="Q924" s="2">
        <v>13.12</v>
      </c>
      <c r="R924" s="2">
        <v>250.31</v>
      </c>
      <c r="S924" s="2">
        <v>4.26</v>
      </c>
      <c r="T924" s="2">
        <v>6.55</v>
      </c>
      <c r="U924" s="2">
        <v>246.05</v>
      </c>
      <c r="V924" s="2">
        <v>37.4</v>
      </c>
      <c r="W924" s="2">
        <v>6817.02</v>
      </c>
      <c r="X924" s="2" t="s">
        <v>3230</v>
      </c>
      <c r="Y924" s="2" t="s">
        <v>3231</v>
      </c>
      <c r="Z924" s="2" t="s">
        <v>548</v>
      </c>
      <c r="AA924" s="2" t="s">
        <v>548</v>
      </c>
      <c r="AB924" s="2">
        <v>49.8</v>
      </c>
    </row>
    <row r="925" spans="1:28" x14ac:dyDescent="0.25">
      <c r="A925" s="4">
        <v>46258</v>
      </c>
      <c r="B925" s="8" t="s">
        <v>3213</v>
      </c>
      <c r="C925" s="8" t="s">
        <v>36</v>
      </c>
      <c r="D925" s="8" t="s">
        <v>49</v>
      </c>
      <c r="E925" s="8" t="s">
        <v>47</v>
      </c>
      <c r="F925" s="13"/>
      <c r="G925" s="59"/>
      <c r="H925" s="6">
        <f t="shared" si="65"/>
        <v>2142.8571428571427</v>
      </c>
      <c r="I925" s="6">
        <f t="shared" ref="I925:I930" si="69">IFERROR(O925/K925,)</f>
        <v>550.64599483204131</v>
      </c>
      <c r="J925" s="2">
        <v>5.77</v>
      </c>
      <c r="K925" s="2">
        <v>3.87</v>
      </c>
      <c r="L925" s="2">
        <v>1.9</v>
      </c>
      <c r="M925" s="2">
        <v>32.92</v>
      </c>
      <c r="N925" s="2" t="s">
        <v>3232</v>
      </c>
      <c r="O925" s="56">
        <v>2131</v>
      </c>
      <c r="P925" s="2">
        <v>3.76</v>
      </c>
      <c r="Q925" s="2">
        <v>12.95</v>
      </c>
      <c r="R925" s="2">
        <v>168.45</v>
      </c>
      <c r="S925" s="2">
        <v>8.52</v>
      </c>
      <c r="T925" s="2">
        <v>4.4800000000000004</v>
      </c>
      <c r="U925" s="2">
        <v>159.93</v>
      </c>
      <c r="V925" s="2">
        <v>41.31</v>
      </c>
      <c r="W925" s="2">
        <v>2151.06</v>
      </c>
      <c r="X925" s="2" t="s">
        <v>3233</v>
      </c>
      <c r="Y925" s="2" t="s">
        <v>3234</v>
      </c>
      <c r="Z925" s="2" t="s">
        <v>548</v>
      </c>
      <c r="AA925" s="2" t="s">
        <v>548</v>
      </c>
      <c r="AB925" s="2">
        <v>5.7</v>
      </c>
    </row>
    <row r="926" spans="1:28" x14ac:dyDescent="0.25">
      <c r="A926" s="4">
        <v>46258</v>
      </c>
      <c r="B926" s="8" t="s">
        <v>3213</v>
      </c>
      <c r="C926" s="8" t="s">
        <v>36</v>
      </c>
      <c r="D926" s="8" t="s">
        <v>49</v>
      </c>
      <c r="E926" s="8" t="s">
        <v>61</v>
      </c>
      <c r="F926" s="13"/>
      <c r="G926" s="59"/>
      <c r="H926" s="6"/>
      <c r="I926" s="6">
        <f t="shared" si="69"/>
        <v>0</v>
      </c>
      <c r="J926" s="2"/>
      <c r="K926" s="2"/>
      <c r="L926" s="2"/>
      <c r="M926" s="2"/>
      <c r="N926" s="2"/>
      <c r="O926" s="56">
        <v>50</v>
      </c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spans="1:28" x14ac:dyDescent="0.25">
      <c r="A927" s="4">
        <v>46259</v>
      </c>
      <c r="B927" s="8" t="s">
        <v>55</v>
      </c>
      <c r="C927" s="8" t="s">
        <v>56</v>
      </c>
      <c r="D927" s="8" t="s">
        <v>39</v>
      </c>
      <c r="E927" s="8" t="s">
        <v>47</v>
      </c>
      <c r="F927" s="13"/>
      <c r="G927" s="59" t="s">
        <v>146</v>
      </c>
      <c r="H927" s="6"/>
      <c r="I927" s="6">
        <f t="shared" si="69"/>
        <v>0</v>
      </c>
      <c r="J927" s="2">
        <v>0.08</v>
      </c>
      <c r="K927" s="2">
        <v>0.03</v>
      </c>
      <c r="L927" s="2">
        <v>0.05</v>
      </c>
      <c r="M927" s="2">
        <v>64.27</v>
      </c>
      <c r="N927" s="2" t="s">
        <v>548</v>
      </c>
      <c r="O927" s="56">
        <v>0</v>
      </c>
      <c r="P927" s="2" t="s">
        <v>45</v>
      </c>
      <c r="Q927" s="2" t="s">
        <v>548</v>
      </c>
      <c r="R927" s="2">
        <v>0.47</v>
      </c>
      <c r="S927" s="2">
        <v>0.47</v>
      </c>
      <c r="T927" s="2">
        <v>9.4600000000000009</v>
      </c>
      <c r="U927" s="2" t="s">
        <v>548</v>
      </c>
      <c r="V927" s="2" t="s">
        <v>548</v>
      </c>
      <c r="W927" s="2">
        <v>9385.7999999999993</v>
      </c>
      <c r="X927" s="2" t="s">
        <v>3215</v>
      </c>
      <c r="Y927" s="2" t="s">
        <v>3216</v>
      </c>
      <c r="Z927" s="2" t="s">
        <v>548</v>
      </c>
      <c r="AA927" s="2" t="s">
        <v>45</v>
      </c>
      <c r="AB927" s="2">
        <v>293.10000000000002</v>
      </c>
    </row>
    <row r="928" spans="1:28" x14ac:dyDescent="0.25">
      <c r="A928" s="4">
        <v>46259</v>
      </c>
      <c r="B928" s="8" t="s">
        <v>55</v>
      </c>
      <c r="C928" s="8" t="s">
        <v>56</v>
      </c>
      <c r="D928" s="8" t="s">
        <v>43</v>
      </c>
      <c r="E928" s="8" t="s">
        <v>2994</v>
      </c>
      <c r="F928" s="13"/>
      <c r="G928" s="59" t="s">
        <v>146</v>
      </c>
      <c r="H928" s="6"/>
      <c r="I928" s="6">
        <f t="shared" si="69"/>
        <v>0</v>
      </c>
      <c r="J928" s="2">
        <v>1.08</v>
      </c>
      <c r="K928" s="2">
        <v>0.57999999999999996</v>
      </c>
      <c r="L928" s="2">
        <v>0.5</v>
      </c>
      <c r="M928" s="2">
        <v>46.3</v>
      </c>
      <c r="N928" s="2" t="s">
        <v>45</v>
      </c>
      <c r="O928" s="56" t="s">
        <v>45</v>
      </c>
      <c r="P928" s="2" t="s">
        <v>45</v>
      </c>
      <c r="Q928" s="2" t="s">
        <v>45</v>
      </c>
      <c r="R928" s="2">
        <v>12.3</v>
      </c>
      <c r="S928" s="2">
        <v>1.89</v>
      </c>
      <c r="T928" s="2">
        <v>3.79</v>
      </c>
      <c r="U928" s="2">
        <v>10.41</v>
      </c>
      <c r="V928" s="2">
        <v>17.95</v>
      </c>
      <c r="W928" s="2">
        <v>8942.2000000000007</v>
      </c>
      <c r="X928" s="2" t="s">
        <v>45</v>
      </c>
      <c r="Y928" s="2" t="s">
        <v>45</v>
      </c>
      <c r="Z928" s="2" t="s">
        <v>548</v>
      </c>
      <c r="AA928" s="2" t="s">
        <v>45</v>
      </c>
      <c r="AB928" s="2">
        <v>266.3</v>
      </c>
    </row>
    <row r="929" spans="1:28" x14ac:dyDescent="0.25">
      <c r="A929" s="4">
        <v>46259</v>
      </c>
      <c r="B929" s="8" t="s">
        <v>3213</v>
      </c>
      <c r="C929" s="8" t="s">
        <v>36</v>
      </c>
      <c r="D929" s="8" t="s">
        <v>67</v>
      </c>
      <c r="E929" s="8" t="s">
        <v>47</v>
      </c>
      <c r="F929" s="13"/>
      <c r="G929" s="59"/>
      <c r="H929" s="6">
        <f>15000/5</f>
        <v>3000</v>
      </c>
      <c r="I929" s="6">
        <f t="shared" si="69"/>
        <v>241.92592592592592</v>
      </c>
      <c r="J929" s="2">
        <v>7.85</v>
      </c>
      <c r="K929" s="2">
        <v>6.75</v>
      </c>
      <c r="L929" s="2">
        <v>1.1000000000000001</v>
      </c>
      <c r="M929" s="2">
        <v>14.02</v>
      </c>
      <c r="N929" s="2" t="s">
        <v>3235</v>
      </c>
      <c r="O929" s="56">
        <v>1633</v>
      </c>
      <c r="P929" s="2">
        <v>1.77</v>
      </c>
      <c r="Q929" s="2">
        <v>13.48</v>
      </c>
      <c r="R929" s="2">
        <v>121.13</v>
      </c>
      <c r="S929" s="2">
        <v>3.79</v>
      </c>
      <c r="T929" s="2">
        <v>3.44</v>
      </c>
      <c r="U929" s="2">
        <v>117.35</v>
      </c>
      <c r="V929" s="2">
        <v>17.39</v>
      </c>
      <c r="W929" s="2">
        <v>822.26</v>
      </c>
      <c r="X929" s="2" t="s">
        <v>3236</v>
      </c>
      <c r="Y929" s="2" t="s">
        <v>3237</v>
      </c>
      <c r="Z929" s="2">
        <v>1.6</v>
      </c>
      <c r="AA929" s="2" t="s">
        <v>548</v>
      </c>
      <c r="AB929" s="2">
        <v>82.3</v>
      </c>
    </row>
    <row r="930" spans="1:28" x14ac:dyDescent="0.25">
      <c r="A930" s="4">
        <v>46259</v>
      </c>
      <c r="B930" s="8" t="s">
        <v>3213</v>
      </c>
      <c r="C930" s="8" t="s">
        <v>36</v>
      </c>
      <c r="D930" s="8" t="s">
        <v>50</v>
      </c>
      <c r="E930" s="8" t="s">
        <v>47</v>
      </c>
      <c r="F930" s="13"/>
      <c r="G930" s="59"/>
      <c r="H930" s="6">
        <f>15000/5</f>
        <v>3000</v>
      </c>
      <c r="I930" s="6">
        <f t="shared" si="69"/>
        <v>303.19888734353265</v>
      </c>
      <c r="J930" s="2">
        <v>8.44</v>
      </c>
      <c r="K930" s="2">
        <v>7.19</v>
      </c>
      <c r="L930" s="2">
        <v>1.25</v>
      </c>
      <c r="M930" s="2">
        <v>14.81</v>
      </c>
      <c r="N930" s="2" t="s">
        <v>3238</v>
      </c>
      <c r="O930" s="56">
        <v>2180</v>
      </c>
      <c r="P930" s="2">
        <v>2.44</v>
      </c>
      <c r="Q930" s="2">
        <v>16.329999999999998</v>
      </c>
      <c r="R930" s="2">
        <v>151.88999999999999</v>
      </c>
      <c r="S930" s="2">
        <v>4.7300000000000004</v>
      </c>
      <c r="T930" s="2">
        <v>3.79</v>
      </c>
      <c r="U930" s="2">
        <v>147.16</v>
      </c>
      <c r="V930" s="2">
        <v>20.46</v>
      </c>
      <c r="W930" s="2">
        <v>2648.55</v>
      </c>
      <c r="X930" s="2" t="s">
        <v>3239</v>
      </c>
      <c r="Y930" s="2" t="s">
        <v>3240</v>
      </c>
      <c r="Z930" s="2">
        <v>0.3</v>
      </c>
      <c r="AA930" s="2" t="s">
        <v>548</v>
      </c>
      <c r="AB930" s="2">
        <v>341.3</v>
      </c>
    </row>
    <row r="931" spans="1:28" x14ac:dyDescent="0.25">
      <c r="A931" s="4">
        <v>46259</v>
      </c>
      <c r="B931" s="8" t="s">
        <v>3213</v>
      </c>
      <c r="C931" s="8" t="s">
        <v>36</v>
      </c>
      <c r="D931" s="8" t="s">
        <v>50</v>
      </c>
      <c r="E931" s="8" t="s">
        <v>61</v>
      </c>
      <c r="F931" s="13"/>
      <c r="G931" s="59"/>
      <c r="H931" s="6"/>
      <c r="I931" s="6"/>
      <c r="J931" s="2"/>
      <c r="K931" s="2"/>
      <c r="L931" s="2"/>
      <c r="M931" s="2"/>
      <c r="N931" s="2"/>
      <c r="O931" s="56">
        <f>12*25</f>
        <v>300</v>
      </c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spans="1:28" x14ac:dyDescent="0.25">
      <c r="A932" s="4">
        <v>46259</v>
      </c>
      <c r="B932" s="8" t="s">
        <v>3213</v>
      </c>
      <c r="C932" s="8" t="s">
        <v>36</v>
      </c>
      <c r="D932" s="8" t="s">
        <v>52</v>
      </c>
      <c r="E932" s="8" t="s">
        <v>47</v>
      </c>
      <c r="F932" s="13"/>
      <c r="G932" s="59"/>
      <c r="H932" s="6">
        <f>15000/5</f>
        <v>3000</v>
      </c>
      <c r="I932" s="6">
        <f t="shared" ref="I932:I935" si="70">IFERROR(O932/K932,)</f>
        <v>158.07926829268294</v>
      </c>
      <c r="J932" s="2">
        <v>8.9600000000000009</v>
      </c>
      <c r="K932" s="2">
        <v>6.56</v>
      </c>
      <c r="L932" s="2">
        <v>2.4</v>
      </c>
      <c r="M932" s="2">
        <v>26.78</v>
      </c>
      <c r="N932" s="2" t="s">
        <v>3241</v>
      </c>
      <c r="O932" s="56">
        <v>1037</v>
      </c>
      <c r="P932" s="2">
        <v>2.42</v>
      </c>
      <c r="Q932" s="2">
        <v>9.65</v>
      </c>
      <c r="R932" s="2">
        <v>107.41</v>
      </c>
      <c r="S932" s="2">
        <v>8.99</v>
      </c>
      <c r="T932" s="2">
        <v>3.75</v>
      </c>
      <c r="U932" s="2">
        <v>98.42</v>
      </c>
      <c r="V932" s="2" t="s">
        <v>2545</v>
      </c>
      <c r="W932" s="2">
        <v>1265.1400000000001</v>
      </c>
      <c r="X932" s="2" t="s">
        <v>3242</v>
      </c>
      <c r="Y932" s="2" t="s">
        <v>3243</v>
      </c>
      <c r="Z932" s="2">
        <v>0.8</v>
      </c>
      <c r="AA932" s="2" t="s">
        <v>548</v>
      </c>
      <c r="AB932" s="2">
        <v>126.4</v>
      </c>
    </row>
    <row r="933" spans="1:28" x14ac:dyDescent="0.25">
      <c r="A933" s="4">
        <v>46259</v>
      </c>
      <c r="B933" s="8" t="s">
        <v>3213</v>
      </c>
      <c r="C933" s="8" t="s">
        <v>36</v>
      </c>
      <c r="D933" s="7" t="s">
        <v>46</v>
      </c>
      <c r="E933" s="8" t="s">
        <v>47</v>
      </c>
      <c r="F933" s="13"/>
      <c r="G933" s="59"/>
      <c r="H933" s="6">
        <f>15000/5</f>
        <v>3000</v>
      </c>
      <c r="I933" s="6">
        <f t="shared" si="70"/>
        <v>415.74212893553226</v>
      </c>
      <c r="J933" s="2">
        <v>16.739999999999998</v>
      </c>
      <c r="K933" s="2">
        <v>13.34</v>
      </c>
      <c r="L933" s="2">
        <v>3.4</v>
      </c>
      <c r="M933" s="2">
        <v>20.309999999999999</v>
      </c>
      <c r="N933" s="2" t="s">
        <v>3244</v>
      </c>
      <c r="O933" s="56">
        <v>5546</v>
      </c>
      <c r="P933" s="2">
        <v>3.82</v>
      </c>
      <c r="Q933" s="2">
        <v>13.29</v>
      </c>
      <c r="R933" s="2">
        <v>417.34</v>
      </c>
      <c r="S933" s="2">
        <v>19.399999999999999</v>
      </c>
      <c r="T933" s="2">
        <v>5.71</v>
      </c>
      <c r="U933" s="2">
        <v>397.94</v>
      </c>
      <c r="V933" s="2">
        <v>29.83</v>
      </c>
      <c r="W933" s="2">
        <v>8265.86</v>
      </c>
      <c r="X933" s="2" t="s">
        <v>3245</v>
      </c>
      <c r="Y933" s="2" t="s">
        <v>3246</v>
      </c>
      <c r="Z933" s="2">
        <v>0.1</v>
      </c>
      <c r="AA933" s="2" t="s">
        <v>548</v>
      </c>
      <c r="AB933" s="2">
        <v>259.3</v>
      </c>
    </row>
    <row r="934" spans="1:28" x14ac:dyDescent="0.25">
      <c r="A934" s="4">
        <v>46259</v>
      </c>
      <c r="B934" s="8" t="s">
        <v>3213</v>
      </c>
      <c r="C934" s="8" t="s">
        <v>36</v>
      </c>
      <c r="D934" s="8" t="s">
        <v>48</v>
      </c>
      <c r="E934" s="7" t="s">
        <v>38</v>
      </c>
      <c r="F934" s="13">
        <v>1899</v>
      </c>
      <c r="G934" s="59"/>
      <c r="H934" s="6">
        <f>24000/6</f>
        <v>4000</v>
      </c>
      <c r="I934" s="6">
        <f t="shared" si="70"/>
        <v>396.38554216867465</v>
      </c>
      <c r="J934" s="2">
        <v>9.1999999999999993</v>
      </c>
      <c r="K934" s="2">
        <v>8.3000000000000007</v>
      </c>
      <c r="L934" s="2">
        <v>0.9</v>
      </c>
      <c r="M934" s="2">
        <v>9.7799999999999994</v>
      </c>
      <c r="N934" s="2" t="s">
        <v>3247</v>
      </c>
      <c r="O934" s="56">
        <v>3290</v>
      </c>
      <c r="P934" s="2">
        <v>3.77</v>
      </c>
      <c r="Q934" s="2">
        <v>10.199999999999999</v>
      </c>
      <c r="R934" s="2">
        <v>322.70999999999998</v>
      </c>
      <c r="S934" s="2">
        <v>5.2</v>
      </c>
      <c r="T934" s="2">
        <v>5.78</v>
      </c>
      <c r="U934" s="2">
        <v>317.5</v>
      </c>
      <c r="V934" s="2">
        <v>38.25</v>
      </c>
      <c r="W934" s="2">
        <v>6826.22</v>
      </c>
      <c r="X934" s="2" t="s">
        <v>3248</v>
      </c>
      <c r="Y934" s="2" t="s">
        <v>3249</v>
      </c>
      <c r="Z934" s="2" t="s">
        <v>548</v>
      </c>
      <c r="AA934" s="2" t="s">
        <v>548</v>
      </c>
      <c r="AB934" s="2">
        <v>49.8</v>
      </c>
    </row>
    <row r="935" spans="1:28" x14ac:dyDescent="0.25">
      <c r="A935" s="4">
        <v>46259</v>
      </c>
      <c r="B935" s="8" t="s">
        <v>3213</v>
      </c>
      <c r="C935" s="8" t="s">
        <v>36</v>
      </c>
      <c r="D935" s="8" t="s">
        <v>49</v>
      </c>
      <c r="E935" s="8" t="s">
        <v>47</v>
      </c>
      <c r="F935" s="13"/>
      <c r="G935" s="59"/>
      <c r="H935" s="6">
        <f>15000/5</f>
        <v>3000</v>
      </c>
      <c r="I935" s="6">
        <f t="shared" si="70"/>
        <v>553.14285714285711</v>
      </c>
      <c r="J935" s="2">
        <v>4.3499999999999996</v>
      </c>
      <c r="K935" s="2">
        <v>3.5</v>
      </c>
      <c r="L935" s="2">
        <v>0.85</v>
      </c>
      <c r="M935" s="2">
        <v>19.559999999999999</v>
      </c>
      <c r="N935" s="2" t="s">
        <v>3250</v>
      </c>
      <c r="O935" s="56">
        <v>1936</v>
      </c>
      <c r="P935" s="2">
        <v>3.7</v>
      </c>
      <c r="Q935" s="2">
        <v>13.87</v>
      </c>
      <c r="R935" s="2">
        <v>139.59</v>
      </c>
      <c r="S935" s="2">
        <v>5.2</v>
      </c>
      <c r="T935" s="2">
        <v>6.12</v>
      </c>
      <c r="U935" s="2">
        <v>134.38</v>
      </c>
      <c r="V935" s="2">
        <v>38.43</v>
      </c>
      <c r="W935" s="2">
        <v>2155.41</v>
      </c>
      <c r="X935" s="2" t="s">
        <v>3251</v>
      </c>
      <c r="Y935" s="2" t="s">
        <v>3252</v>
      </c>
      <c r="Z935" s="2" t="s">
        <v>548</v>
      </c>
      <c r="AA935" s="2" t="s">
        <v>548</v>
      </c>
      <c r="AB935" s="2">
        <v>5.7</v>
      </c>
    </row>
    <row r="936" spans="1:28" x14ac:dyDescent="0.25">
      <c r="A936" s="4">
        <v>46260</v>
      </c>
      <c r="B936" s="8" t="s">
        <v>3213</v>
      </c>
      <c r="C936" s="8" t="s">
        <v>36</v>
      </c>
      <c r="D936" s="8" t="s">
        <v>39</v>
      </c>
      <c r="E936" s="8" t="s">
        <v>47</v>
      </c>
      <c r="F936" s="13"/>
      <c r="G936" s="59"/>
      <c r="H936" s="6">
        <f>15000/6</f>
        <v>2500</v>
      </c>
      <c r="I936" s="6">
        <f t="shared" ref="I936" si="71">IFERROR(O936/K936,)</f>
        <v>119.78723404255318</v>
      </c>
      <c r="J936" s="2">
        <v>5.5</v>
      </c>
      <c r="K936" s="2">
        <v>4.7</v>
      </c>
      <c r="L936" s="2">
        <v>0.8</v>
      </c>
      <c r="M936" s="2">
        <v>14.54</v>
      </c>
      <c r="N936" s="2" t="s">
        <v>3253</v>
      </c>
      <c r="O936" s="56">
        <v>563</v>
      </c>
      <c r="P936" s="2">
        <v>1.24</v>
      </c>
      <c r="Q936" s="2">
        <v>6.13</v>
      </c>
      <c r="R936" s="2">
        <v>91.8</v>
      </c>
      <c r="S936" s="2">
        <v>3.31</v>
      </c>
      <c r="T936" s="2">
        <v>4.1399999999999997</v>
      </c>
      <c r="U936" s="2">
        <v>88.48</v>
      </c>
      <c r="V936" s="2">
        <v>18.82</v>
      </c>
      <c r="W936" s="2">
        <v>9391.31</v>
      </c>
      <c r="X936" s="2" t="s">
        <v>3254</v>
      </c>
      <c r="Y936" s="2" t="s">
        <v>3255</v>
      </c>
      <c r="Z936" s="2" t="s">
        <v>548</v>
      </c>
      <c r="AA936" s="2" t="s">
        <v>548</v>
      </c>
      <c r="AB936" s="2">
        <v>293.10000000000002</v>
      </c>
    </row>
    <row r="937" spans="1:28" x14ac:dyDescent="0.25">
      <c r="A937" s="4">
        <v>46260</v>
      </c>
      <c r="B937" s="8" t="s">
        <v>3213</v>
      </c>
      <c r="C937" s="8" t="s">
        <v>36</v>
      </c>
      <c r="D937" s="8" t="s">
        <v>43</v>
      </c>
      <c r="E937" s="8" t="s">
        <v>61</v>
      </c>
      <c r="F937" s="13"/>
      <c r="G937" s="59"/>
      <c r="H937" s="6"/>
      <c r="I937" s="6">
        <f t="shared" ref="I937:I942" si="72">IFERROR(O937/K937,)</f>
        <v>135.13513513513513</v>
      </c>
      <c r="J937" s="2">
        <v>7.97</v>
      </c>
      <c r="K937" s="2">
        <v>5.92</v>
      </c>
      <c r="L937" s="2">
        <v>2.0499999999999998</v>
      </c>
      <c r="M937" s="2">
        <v>25.74</v>
      </c>
      <c r="N937" s="2" t="s">
        <v>45</v>
      </c>
      <c r="O937" s="56">
        <v>800</v>
      </c>
      <c r="P937" s="2" t="s">
        <v>45</v>
      </c>
      <c r="Q937" s="2" t="s">
        <v>45</v>
      </c>
      <c r="R937" s="2">
        <v>130.6</v>
      </c>
      <c r="S937" s="2">
        <v>8.52</v>
      </c>
      <c r="T937" s="2">
        <v>4.1500000000000004</v>
      </c>
      <c r="U937" s="2">
        <v>122.08</v>
      </c>
      <c r="V937" s="2">
        <v>20.64</v>
      </c>
      <c r="W937" s="2">
        <v>8950.25</v>
      </c>
      <c r="X937" s="2" t="s">
        <v>45</v>
      </c>
      <c r="Y937" s="2" t="s">
        <v>45</v>
      </c>
      <c r="Z937" s="2">
        <v>0.2</v>
      </c>
      <c r="AA937" s="2" t="s">
        <v>45</v>
      </c>
      <c r="AB937" s="2">
        <v>266.5</v>
      </c>
    </row>
    <row r="938" spans="1:28" x14ac:dyDescent="0.25">
      <c r="A938" s="4">
        <v>46260</v>
      </c>
      <c r="B938" s="8" t="s">
        <v>3213</v>
      </c>
      <c r="C938" s="8" t="s">
        <v>36</v>
      </c>
      <c r="D938" s="8" t="s">
        <v>67</v>
      </c>
      <c r="E938" s="8" t="s">
        <v>47</v>
      </c>
      <c r="F938" s="13"/>
      <c r="G938" s="59"/>
      <c r="H938" s="6">
        <f>15000/6</f>
        <v>2500</v>
      </c>
      <c r="I938" s="6">
        <f t="shared" si="72"/>
        <v>319.50146627565982</v>
      </c>
      <c r="J938" s="2">
        <v>9.02</v>
      </c>
      <c r="K938" s="2">
        <v>6.82</v>
      </c>
      <c r="L938" s="2">
        <v>2.2000000000000002</v>
      </c>
      <c r="M938" s="2">
        <v>24.38</v>
      </c>
      <c r="N938" s="2" t="s">
        <v>3256</v>
      </c>
      <c r="O938" s="56">
        <v>2179</v>
      </c>
      <c r="P938" s="2">
        <v>1.82</v>
      </c>
      <c r="Q938" s="2">
        <v>14.3</v>
      </c>
      <c r="R938" s="2">
        <v>152.36000000000001</v>
      </c>
      <c r="S938" s="2">
        <v>7.1</v>
      </c>
      <c r="T938" s="2">
        <v>3.23</v>
      </c>
      <c r="U938" s="2">
        <v>145.27000000000001</v>
      </c>
      <c r="V938" s="2">
        <v>21.29</v>
      </c>
      <c r="W938" s="2">
        <v>831.28</v>
      </c>
      <c r="X938" s="2" t="s">
        <v>3257</v>
      </c>
      <c r="Y938" s="2" t="s">
        <v>3258</v>
      </c>
      <c r="Z938" s="2">
        <v>0.4</v>
      </c>
      <c r="AA938" s="2" t="s">
        <v>548</v>
      </c>
      <c r="AB938" s="2">
        <v>82.7</v>
      </c>
    </row>
    <row r="939" spans="1:28" x14ac:dyDescent="0.25">
      <c r="A939" s="4">
        <v>46260</v>
      </c>
      <c r="B939" s="8" t="s">
        <v>3213</v>
      </c>
      <c r="C939" s="8" t="s">
        <v>36</v>
      </c>
      <c r="D939" s="8" t="s">
        <v>50</v>
      </c>
      <c r="E939" s="8" t="s">
        <v>47</v>
      </c>
      <c r="F939" s="13"/>
      <c r="G939" s="59"/>
      <c r="H939" s="6">
        <f>15000/6</f>
        <v>2500</v>
      </c>
      <c r="I939" s="6">
        <f t="shared" si="72"/>
        <v>337.7204884667571</v>
      </c>
      <c r="J939" s="2">
        <v>8.32</v>
      </c>
      <c r="K939" s="2">
        <v>7.37</v>
      </c>
      <c r="L939" s="2">
        <v>0.95</v>
      </c>
      <c r="M939" s="2">
        <v>11.42</v>
      </c>
      <c r="N939" s="2" t="s">
        <v>3259</v>
      </c>
      <c r="O939" s="56">
        <f>2839-350</f>
        <v>2489</v>
      </c>
      <c r="P939" s="2">
        <v>2.3199999999999998</v>
      </c>
      <c r="Q939" s="2">
        <v>17.86</v>
      </c>
      <c r="R939" s="2">
        <v>158.99</v>
      </c>
      <c r="S939" s="2">
        <v>3.79</v>
      </c>
      <c r="T939" s="2">
        <v>3.98</v>
      </c>
      <c r="U939" s="2">
        <v>155.19999999999999</v>
      </c>
      <c r="V939" s="2">
        <v>21.06</v>
      </c>
      <c r="W939" s="2">
        <v>2656.87</v>
      </c>
      <c r="X939" s="2" t="s">
        <v>3260</v>
      </c>
      <c r="Y939" s="2" t="s">
        <v>3261</v>
      </c>
      <c r="Z939" s="2">
        <v>0.1</v>
      </c>
      <c r="AA939" s="2" t="s">
        <v>548</v>
      </c>
      <c r="AB939" s="2">
        <v>341.4</v>
      </c>
    </row>
    <row r="940" spans="1:28" x14ac:dyDescent="0.25">
      <c r="A940" s="4">
        <v>46260</v>
      </c>
      <c r="B940" s="8" t="s">
        <v>3213</v>
      </c>
      <c r="C940" s="8" t="s">
        <v>36</v>
      </c>
      <c r="D940" s="8" t="s">
        <v>50</v>
      </c>
      <c r="E940" s="8" t="s">
        <v>61</v>
      </c>
      <c r="F940" s="13"/>
      <c r="G940" s="59"/>
      <c r="H940" s="6"/>
      <c r="I940" s="6">
        <f t="shared" si="72"/>
        <v>0</v>
      </c>
      <c r="J940" s="2"/>
      <c r="K940" s="2"/>
      <c r="L940" s="2"/>
      <c r="M940" s="2"/>
      <c r="N940" s="2"/>
      <c r="O940" s="56">
        <v>350</v>
      </c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spans="1:28" x14ac:dyDescent="0.25">
      <c r="A941" s="4">
        <v>46260</v>
      </c>
      <c r="B941" s="8" t="s">
        <v>3213</v>
      </c>
      <c r="C941" s="8" t="s">
        <v>36</v>
      </c>
      <c r="D941" s="8" t="s">
        <v>52</v>
      </c>
      <c r="E941" s="8" t="s">
        <v>47</v>
      </c>
      <c r="F941" s="13"/>
      <c r="G941" s="59"/>
      <c r="H941" s="6">
        <f>15000/6</f>
        <v>2500</v>
      </c>
      <c r="I941" s="6">
        <f t="shared" si="72"/>
        <v>96.989528795811523</v>
      </c>
      <c r="J941" s="2">
        <v>9.64</v>
      </c>
      <c r="K941" s="2">
        <v>7.64</v>
      </c>
      <c r="L941" s="2" t="s">
        <v>1380</v>
      </c>
      <c r="M941" s="2">
        <v>20.74</v>
      </c>
      <c r="N941" s="2" t="s">
        <v>3262</v>
      </c>
      <c r="O941" s="56">
        <v>741</v>
      </c>
      <c r="P941" s="2">
        <v>2.08</v>
      </c>
      <c r="Q941" s="2">
        <v>5.67</v>
      </c>
      <c r="R941" s="2">
        <v>130.6</v>
      </c>
      <c r="S941" s="2">
        <v>7.57</v>
      </c>
      <c r="T941" s="2">
        <v>3.79</v>
      </c>
      <c r="U941" s="2">
        <v>123.03</v>
      </c>
      <c r="V941" s="2">
        <v>16.100000000000001</v>
      </c>
      <c r="W941" s="2">
        <v>1274.78</v>
      </c>
      <c r="X941" s="2" t="s">
        <v>3263</v>
      </c>
      <c r="Y941" s="2" t="s">
        <v>3264</v>
      </c>
      <c r="Z941" s="2" t="s">
        <v>548</v>
      </c>
      <c r="AA941" s="2" t="s">
        <v>548</v>
      </c>
      <c r="AB941" s="2">
        <v>126.5</v>
      </c>
    </row>
    <row r="942" spans="1:28" x14ac:dyDescent="0.25">
      <c r="A942" s="4">
        <v>46260</v>
      </c>
      <c r="B942" s="8" t="s">
        <v>3213</v>
      </c>
      <c r="C942" s="8" t="s">
        <v>36</v>
      </c>
      <c r="D942" s="7" t="s">
        <v>46</v>
      </c>
      <c r="E942" s="8" t="s">
        <v>47</v>
      </c>
      <c r="F942" s="13"/>
      <c r="G942" s="59"/>
      <c r="H942" s="6">
        <f>15000/6</f>
        <v>2500</v>
      </c>
      <c r="I942" s="6">
        <f t="shared" si="72"/>
        <v>385.15283842794759</v>
      </c>
      <c r="J942" s="2">
        <v>16.739999999999998</v>
      </c>
      <c r="K942" s="2">
        <v>13.74</v>
      </c>
      <c r="L942" s="2" t="s">
        <v>1489</v>
      </c>
      <c r="M942" s="2">
        <v>17.920000000000002</v>
      </c>
      <c r="N942" s="2" t="s">
        <v>3265</v>
      </c>
      <c r="O942" s="56">
        <v>5292</v>
      </c>
      <c r="P942" s="2">
        <v>3.6</v>
      </c>
      <c r="Q942" s="2">
        <v>12.06</v>
      </c>
      <c r="R942" s="2">
        <v>438.63</v>
      </c>
      <c r="S942" s="2">
        <v>18.45</v>
      </c>
      <c r="T942" s="2">
        <v>6.15</v>
      </c>
      <c r="U942" s="2">
        <v>420.18</v>
      </c>
      <c r="V942" s="2">
        <v>30.57</v>
      </c>
      <c r="W942" s="2">
        <v>8282.61</v>
      </c>
      <c r="X942" s="2" t="s">
        <v>3266</v>
      </c>
      <c r="Y942" s="2" t="s">
        <v>3267</v>
      </c>
      <c r="Z942" s="2">
        <v>0.1</v>
      </c>
      <c r="AA942" s="2" t="s">
        <v>548</v>
      </c>
      <c r="AB942" s="2">
        <v>259.39999999999998</v>
      </c>
    </row>
    <row r="943" spans="1:28" x14ac:dyDescent="0.25">
      <c r="A943" s="4">
        <v>46260</v>
      </c>
      <c r="B943" s="8" t="s">
        <v>3213</v>
      </c>
      <c r="C943" s="8" t="s">
        <v>36</v>
      </c>
      <c r="D943" s="8" t="s">
        <v>48</v>
      </c>
      <c r="E943" s="7" t="s">
        <v>38</v>
      </c>
      <c r="F943" s="13">
        <v>4058</v>
      </c>
      <c r="G943" s="59"/>
      <c r="H943" s="6">
        <f>24000/6</f>
        <v>4000</v>
      </c>
      <c r="I943" s="6">
        <f t="shared" ref="I943:I966" si="73">IFERROR(O943/K943,)</f>
        <v>524.15130940834138</v>
      </c>
      <c r="J943" s="2">
        <v>11.06</v>
      </c>
      <c r="K943" s="2">
        <v>10.31</v>
      </c>
      <c r="L943" s="2">
        <v>0.75</v>
      </c>
      <c r="M943" s="2">
        <v>6.78</v>
      </c>
      <c r="N943" s="2" t="s">
        <v>3268</v>
      </c>
      <c r="O943" s="56">
        <v>5404</v>
      </c>
      <c r="P943" s="2">
        <v>4.3099999999999996</v>
      </c>
      <c r="Q943" s="2">
        <v>13.08</v>
      </c>
      <c r="R943" s="2">
        <v>413.08</v>
      </c>
      <c r="S943" s="2">
        <v>4.26</v>
      </c>
      <c r="T943" s="2">
        <v>5.68</v>
      </c>
      <c r="U943" s="2">
        <v>408.82</v>
      </c>
      <c r="V943" s="2">
        <v>39.659999999999997</v>
      </c>
      <c r="W943" s="2">
        <v>6837.28</v>
      </c>
      <c r="X943" s="2" t="s">
        <v>3269</v>
      </c>
      <c r="Y943" s="2" t="s">
        <v>3270</v>
      </c>
      <c r="Z943" s="2">
        <v>0.1</v>
      </c>
      <c r="AA943" s="2" t="s">
        <v>548</v>
      </c>
      <c r="AB943" s="2">
        <v>49.9</v>
      </c>
    </row>
    <row r="944" spans="1:28" x14ac:dyDescent="0.25">
      <c r="A944" s="4">
        <v>46260</v>
      </c>
      <c r="B944" s="8" t="s">
        <v>3213</v>
      </c>
      <c r="C944" s="8" t="s">
        <v>36</v>
      </c>
      <c r="D944" s="8" t="s">
        <v>49</v>
      </c>
      <c r="E944" s="8" t="s">
        <v>47</v>
      </c>
      <c r="F944" s="13"/>
      <c r="G944" s="59"/>
      <c r="H944" s="6">
        <f>15000/6</f>
        <v>2500</v>
      </c>
      <c r="I944" s="6">
        <f t="shared" si="73"/>
        <v>416.54501216545009</v>
      </c>
      <c r="J944" s="2">
        <v>4.8099999999999996</v>
      </c>
      <c r="K944" s="2">
        <v>4.1100000000000003</v>
      </c>
      <c r="L944" s="2">
        <v>0.7</v>
      </c>
      <c r="M944" s="2">
        <v>14.55</v>
      </c>
      <c r="N944" s="2" t="s">
        <v>3271</v>
      </c>
      <c r="O944" s="56">
        <v>1712</v>
      </c>
      <c r="P944" s="2">
        <v>3.05</v>
      </c>
      <c r="Q944" s="2">
        <v>10.19</v>
      </c>
      <c r="R944" s="2">
        <v>167.98</v>
      </c>
      <c r="S944" s="2">
        <v>3.31</v>
      </c>
      <c r="T944" s="2">
        <v>4.7300000000000004</v>
      </c>
      <c r="U944" s="2">
        <v>164.67</v>
      </c>
      <c r="V944" s="2">
        <v>40.04</v>
      </c>
      <c r="W944" s="2">
        <v>2160.2199999999998</v>
      </c>
      <c r="X944" s="2" t="s">
        <v>3272</v>
      </c>
      <c r="Y944" s="2" t="s">
        <v>3273</v>
      </c>
      <c r="Z944" s="2" t="s">
        <v>548</v>
      </c>
      <c r="AA944" s="2" t="s">
        <v>548</v>
      </c>
      <c r="AB944" s="2">
        <v>5.7</v>
      </c>
    </row>
    <row r="945" spans="1:28" x14ac:dyDescent="0.25">
      <c r="A945" s="4">
        <v>46261</v>
      </c>
      <c r="B945" s="8" t="s">
        <v>3213</v>
      </c>
      <c r="C945" s="8" t="s">
        <v>36</v>
      </c>
      <c r="D945" s="8" t="s">
        <v>39</v>
      </c>
      <c r="E945" s="8" t="s">
        <v>47</v>
      </c>
      <c r="F945" s="13"/>
      <c r="G945" s="59"/>
      <c r="H945" s="6">
        <f>15000/6</f>
        <v>2500</v>
      </c>
      <c r="I945" s="6">
        <f t="shared" si="73"/>
        <v>312.8621089223638</v>
      </c>
      <c r="J945" s="2">
        <v>9.83</v>
      </c>
      <c r="K945" s="2">
        <v>8.6300000000000008</v>
      </c>
      <c r="L945" s="2">
        <v>1.2</v>
      </c>
      <c r="M945" s="2">
        <v>12.21</v>
      </c>
      <c r="N945" s="2" t="s">
        <v>3274</v>
      </c>
      <c r="O945" s="56">
        <v>2700</v>
      </c>
      <c r="P945" s="2">
        <v>1.33</v>
      </c>
      <c r="Q945" s="2">
        <v>8.4700000000000006</v>
      </c>
      <c r="R945" s="2">
        <v>167.5</v>
      </c>
      <c r="S945" s="2">
        <v>5.2</v>
      </c>
      <c r="T945" s="2">
        <v>4.34</v>
      </c>
      <c r="U945" s="2">
        <v>162.30000000000001</v>
      </c>
      <c r="V945" s="2">
        <v>18.809999999999999</v>
      </c>
      <c r="W945" s="2">
        <v>9401.14</v>
      </c>
      <c r="X945" s="2" t="s">
        <v>3275</v>
      </c>
      <c r="Y945" s="2" t="s">
        <v>3276</v>
      </c>
      <c r="Z945" s="2">
        <v>0.3</v>
      </c>
      <c r="AA945" s="2" t="s">
        <v>548</v>
      </c>
      <c r="AB945" s="2">
        <v>293.39999999999998</v>
      </c>
    </row>
    <row r="946" spans="1:28" x14ac:dyDescent="0.25">
      <c r="A946" s="4">
        <v>46261</v>
      </c>
      <c r="B946" s="8" t="s">
        <v>3213</v>
      </c>
      <c r="C946" s="8" t="s">
        <v>36</v>
      </c>
      <c r="D946" s="8" t="s">
        <v>43</v>
      </c>
      <c r="E946" s="8" t="s">
        <v>61</v>
      </c>
      <c r="F946" s="13"/>
      <c r="G946" s="59"/>
      <c r="H946" s="6"/>
      <c r="I946" s="6">
        <f t="shared" si="73"/>
        <v>137.14733542319749</v>
      </c>
      <c r="J946" s="2">
        <v>8.6300000000000008</v>
      </c>
      <c r="K946" s="2">
        <v>6.38</v>
      </c>
      <c r="L946" s="2">
        <v>2.25</v>
      </c>
      <c r="M946" s="2">
        <v>26.08</v>
      </c>
      <c r="N946" s="2" t="s">
        <v>45</v>
      </c>
      <c r="O946" s="56">
        <v>875</v>
      </c>
      <c r="P946" s="2" t="s">
        <v>45</v>
      </c>
      <c r="Q946" s="2" t="s">
        <v>45</v>
      </c>
      <c r="R946" s="2">
        <v>136.75</v>
      </c>
      <c r="S946" s="2">
        <v>9.4600000000000009</v>
      </c>
      <c r="T946" s="2">
        <v>4.21</v>
      </c>
      <c r="U946" s="2">
        <v>127.28</v>
      </c>
      <c r="V946" s="2">
        <v>19.96</v>
      </c>
      <c r="W946" s="2">
        <v>8958.89</v>
      </c>
      <c r="X946" s="2" t="s">
        <v>45</v>
      </c>
      <c r="Y946" s="2" t="s">
        <v>45</v>
      </c>
      <c r="Z946" s="2">
        <v>0.2</v>
      </c>
      <c r="AA946" s="2" t="s">
        <v>45</v>
      </c>
      <c r="AB946" s="2">
        <v>266.7</v>
      </c>
    </row>
    <row r="947" spans="1:28" x14ac:dyDescent="0.25">
      <c r="A947" s="4">
        <v>46261</v>
      </c>
      <c r="B947" s="8" t="s">
        <v>3213</v>
      </c>
      <c r="C947" s="8" t="s">
        <v>36</v>
      </c>
      <c r="D947" s="8" t="s">
        <v>67</v>
      </c>
      <c r="E947" s="8" t="s">
        <v>47</v>
      </c>
      <c r="F947" s="13"/>
      <c r="G947" s="59"/>
      <c r="H947" s="6">
        <f>15000/6</f>
        <v>2500</v>
      </c>
      <c r="I947" s="6">
        <f t="shared" si="73"/>
        <v>272.93103448275861</v>
      </c>
      <c r="J947" s="2">
        <v>8.4</v>
      </c>
      <c r="K947" s="2">
        <v>5.8</v>
      </c>
      <c r="L947" s="2">
        <v>2.6</v>
      </c>
      <c r="M947" s="2">
        <v>30.95</v>
      </c>
      <c r="N947" s="2" t="s">
        <v>3277</v>
      </c>
      <c r="O947" s="56">
        <v>1583</v>
      </c>
      <c r="P947" s="2">
        <v>2.16</v>
      </c>
      <c r="Q947" s="2">
        <v>16.079999999999998</v>
      </c>
      <c r="R947" s="2">
        <v>98.42</v>
      </c>
      <c r="S947" s="2">
        <v>8.52</v>
      </c>
      <c r="T947" s="2">
        <v>3.28</v>
      </c>
      <c r="U947" s="2">
        <v>89.9</v>
      </c>
      <c r="V947" s="2">
        <v>15.5</v>
      </c>
      <c r="W947" s="2">
        <v>839.68</v>
      </c>
      <c r="X947" s="2" t="s">
        <v>3278</v>
      </c>
      <c r="Y947" s="2" t="s">
        <v>3279</v>
      </c>
      <c r="Z947" s="2">
        <v>0.3</v>
      </c>
      <c r="AA947" s="2" t="s">
        <v>548</v>
      </c>
      <c r="AB947" s="2" t="s">
        <v>3280</v>
      </c>
    </row>
    <row r="948" spans="1:28" x14ac:dyDescent="0.25">
      <c r="A948" s="4">
        <v>46261</v>
      </c>
      <c r="B948" s="8" t="s">
        <v>3213</v>
      </c>
      <c r="C948" s="8" t="s">
        <v>36</v>
      </c>
      <c r="D948" s="8" t="s">
        <v>50</v>
      </c>
      <c r="E948" s="8" t="s">
        <v>47</v>
      </c>
      <c r="F948" s="13"/>
      <c r="G948" s="59"/>
      <c r="H948" s="6">
        <f>15000/6</f>
        <v>2500</v>
      </c>
      <c r="I948" s="6">
        <f t="shared" si="73"/>
        <v>370.64896755162238</v>
      </c>
      <c r="J948" s="2">
        <v>7.78</v>
      </c>
      <c r="K948" s="2">
        <v>6.78</v>
      </c>
      <c r="L948" s="2" t="s">
        <v>1696</v>
      </c>
      <c r="M948" s="2">
        <v>12.86</v>
      </c>
      <c r="N948" s="2" t="s">
        <v>3281</v>
      </c>
      <c r="O948" s="56">
        <v>2513</v>
      </c>
      <c r="P948" s="2">
        <v>2.12</v>
      </c>
      <c r="Q948" s="2">
        <v>16.91</v>
      </c>
      <c r="R948" s="2">
        <v>148.58000000000001</v>
      </c>
      <c r="S948" s="2">
        <v>3.79</v>
      </c>
      <c r="T948" s="2">
        <v>3.79</v>
      </c>
      <c r="U948" s="2">
        <v>144.79</v>
      </c>
      <c r="V948" s="2">
        <v>21.36</v>
      </c>
      <c r="W948" s="2">
        <v>2664.65</v>
      </c>
      <c r="X948" s="2" t="s">
        <v>3282</v>
      </c>
      <c r="Y948" s="2" t="s">
        <v>3283</v>
      </c>
      <c r="Z948" s="2">
        <v>0.4</v>
      </c>
      <c r="AA948" s="2" t="s">
        <v>548</v>
      </c>
      <c r="AB948" s="2">
        <v>341.8</v>
      </c>
    </row>
    <row r="949" spans="1:28" x14ac:dyDescent="0.25">
      <c r="A949" s="4">
        <v>46261</v>
      </c>
      <c r="B949" s="8" t="s">
        <v>3213</v>
      </c>
      <c r="C949" s="8" t="s">
        <v>36</v>
      </c>
      <c r="D949" s="8" t="s">
        <v>52</v>
      </c>
      <c r="E949" s="8" t="s">
        <v>47</v>
      </c>
      <c r="F949" s="13"/>
      <c r="G949" s="59"/>
      <c r="H949" s="6">
        <f>15000/6</f>
        <v>2500</v>
      </c>
      <c r="I949" s="6">
        <f t="shared" si="73"/>
        <v>179.22636103151862</v>
      </c>
      <c r="J949" s="2">
        <v>8.23</v>
      </c>
      <c r="K949" s="2">
        <v>6.98</v>
      </c>
      <c r="L949" s="2">
        <v>1.25</v>
      </c>
      <c r="M949" s="2">
        <v>15.19</v>
      </c>
      <c r="N949" s="2" t="s">
        <v>3284</v>
      </c>
      <c r="O949" s="56">
        <v>1251</v>
      </c>
      <c r="P949" s="2">
        <v>2.2799999999999998</v>
      </c>
      <c r="Q949" s="2">
        <v>11.16</v>
      </c>
      <c r="R949" s="2">
        <v>112.14</v>
      </c>
      <c r="S949" s="2">
        <v>4.7300000000000004</v>
      </c>
      <c r="T949" s="2">
        <v>3.79</v>
      </c>
      <c r="U949" s="2">
        <v>107.41</v>
      </c>
      <c r="V949" s="2">
        <v>15.39</v>
      </c>
      <c r="W949" s="2">
        <v>1283.01</v>
      </c>
      <c r="X949" s="2" t="s">
        <v>3285</v>
      </c>
      <c r="Y949" s="2" t="s">
        <v>3286</v>
      </c>
      <c r="Z949" s="2" t="s">
        <v>548</v>
      </c>
      <c r="AA949" s="2" t="s">
        <v>548</v>
      </c>
      <c r="AB949" s="2">
        <v>126.6</v>
      </c>
    </row>
    <row r="950" spans="1:28" x14ac:dyDescent="0.25">
      <c r="A950" s="4">
        <v>46261</v>
      </c>
      <c r="B950" s="8" t="s">
        <v>3213</v>
      </c>
      <c r="C950" s="8" t="s">
        <v>36</v>
      </c>
      <c r="D950" s="7" t="s">
        <v>46</v>
      </c>
      <c r="E950" s="8" t="s">
        <v>47</v>
      </c>
      <c r="F950" s="13"/>
      <c r="G950" s="59"/>
      <c r="H950" s="6">
        <f>15000/6</f>
        <v>2500</v>
      </c>
      <c r="I950" s="6">
        <f t="shared" si="73"/>
        <v>338.35125448028674</v>
      </c>
      <c r="J950" s="2">
        <v>17.100000000000001</v>
      </c>
      <c r="K950" s="2">
        <v>13.95</v>
      </c>
      <c r="L950" s="2">
        <v>3.15</v>
      </c>
      <c r="M950" s="2">
        <v>18.420000000000002</v>
      </c>
      <c r="N950" s="2" t="s">
        <v>3287</v>
      </c>
      <c r="O950" s="56">
        <v>4720</v>
      </c>
      <c r="P950" s="2">
        <v>3.11</v>
      </c>
      <c r="Q950" s="2">
        <v>10.58</v>
      </c>
      <c r="R950" s="2">
        <v>446.21</v>
      </c>
      <c r="S950" s="2">
        <v>18.45</v>
      </c>
      <c r="T950" s="2">
        <v>5.86</v>
      </c>
      <c r="U950" s="2">
        <v>427.75</v>
      </c>
      <c r="V950" s="2">
        <v>30.66</v>
      </c>
      <c r="W950" s="2">
        <v>8299.7099999999991</v>
      </c>
      <c r="X950" s="2" t="s">
        <v>3288</v>
      </c>
      <c r="Y950" s="2" t="s">
        <v>3289</v>
      </c>
      <c r="Z950" s="2">
        <v>0.1</v>
      </c>
      <c r="AA950" s="2" t="s">
        <v>548</v>
      </c>
      <c r="AB950" s="2">
        <v>259.5</v>
      </c>
    </row>
    <row r="951" spans="1:28" x14ac:dyDescent="0.25">
      <c r="A951" s="4">
        <v>46261</v>
      </c>
      <c r="B951" s="8" t="s">
        <v>3213</v>
      </c>
      <c r="C951" s="8" t="s">
        <v>36</v>
      </c>
      <c r="D951" s="8" t="s">
        <v>48</v>
      </c>
      <c r="E951" s="7" t="s">
        <v>38</v>
      </c>
      <c r="F951" s="13">
        <v>3342</v>
      </c>
      <c r="G951" s="59"/>
      <c r="H951" s="6">
        <f>24000/6</f>
        <v>4000</v>
      </c>
      <c r="I951" s="6">
        <f t="shared" si="73"/>
        <v>446.51162790697674</v>
      </c>
      <c r="J951" s="2">
        <v>9.65</v>
      </c>
      <c r="K951" s="2">
        <v>8.6</v>
      </c>
      <c r="L951" s="2">
        <v>1.05</v>
      </c>
      <c r="M951" s="2">
        <v>10.88</v>
      </c>
      <c r="N951" s="2" t="s">
        <v>3290</v>
      </c>
      <c r="O951" s="56">
        <v>3840</v>
      </c>
      <c r="P951" s="2">
        <v>4.2300000000000004</v>
      </c>
      <c r="Q951" s="2">
        <v>11.56</v>
      </c>
      <c r="R951" s="2">
        <v>332.17</v>
      </c>
      <c r="S951" s="2">
        <v>6.62</v>
      </c>
      <c r="T951" s="2">
        <v>6.31</v>
      </c>
      <c r="U951" s="2">
        <v>325.55</v>
      </c>
      <c r="V951" s="2">
        <v>37.86</v>
      </c>
      <c r="W951" s="2">
        <v>6846.93</v>
      </c>
      <c r="X951" s="2" t="s">
        <v>3291</v>
      </c>
      <c r="Y951" s="2" t="s">
        <v>3292</v>
      </c>
      <c r="Z951" s="2" t="s">
        <v>548</v>
      </c>
      <c r="AA951" s="2" t="s">
        <v>548</v>
      </c>
      <c r="AB951" s="2">
        <v>49.9</v>
      </c>
    </row>
    <row r="952" spans="1:28" x14ac:dyDescent="0.25">
      <c r="A952" s="4">
        <v>46261</v>
      </c>
      <c r="B952" s="8" t="s">
        <v>3213</v>
      </c>
      <c r="C952" s="8" t="s">
        <v>36</v>
      </c>
      <c r="D952" s="8" t="s">
        <v>49</v>
      </c>
      <c r="E952" s="8" t="s">
        <v>47</v>
      </c>
      <c r="F952" s="13"/>
      <c r="G952" s="59"/>
      <c r="H952" s="6">
        <f>15000/6</f>
        <v>2500</v>
      </c>
      <c r="I952" s="6">
        <f t="shared" si="73"/>
        <v>363.08139534883719</v>
      </c>
      <c r="J952" s="2">
        <v>5.89</v>
      </c>
      <c r="K952" s="2">
        <v>3.44</v>
      </c>
      <c r="L952" s="2">
        <v>2.4500000000000002</v>
      </c>
      <c r="M952" s="2">
        <v>41.56</v>
      </c>
      <c r="N952" s="2" t="s">
        <v>3293</v>
      </c>
      <c r="O952" s="56">
        <v>1249</v>
      </c>
      <c r="P952" s="2">
        <v>3.35</v>
      </c>
      <c r="Q952" s="2">
        <v>8.9499999999999993</v>
      </c>
      <c r="R952" s="2">
        <v>139.59</v>
      </c>
      <c r="S952" s="2">
        <v>9.94</v>
      </c>
      <c r="T952" s="2">
        <v>4.0599999999999996</v>
      </c>
      <c r="U952" s="2">
        <v>129.65</v>
      </c>
      <c r="V952" s="2">
        <v>37.64</v>
      </c>
      <c r="W952" s="2">
        <v>2166.11</v>
      </c>
      <c r="X952" s="2" t="s">
        <v>3294</v>
      </c>
      <c r="Y952" s="2" t="s">
        <v>3295</v>
      </c>
      <c r="Z952" s="2">
        <v>0.1</v>
      </c>
      <c r="AA952" s="2" t="s">
        <v>548</v>
      </c>
      <c r="AB952" s="2">
        <v>5.8</v>
      </c>
    </row>
    <row r="953" spans="1:28" x14ac:dyDescent="0.25">
      <c r="A953" s="4">
        <v>46262</v>
      </c>
      <c r="B953" s="8" t="s">
        <v>3213</v>
      </c>
      <c r="C953" s="8" t="s">
        <v>36</v>
      </c>
      <c r="D953" s="8" t="s">
        <v>39</v>
      </c>
      <c r="E953" s="8" t="s">
        <v>47</v>
      </c>
      <c r="F953" s="13"/>
      <c r="G953" s="59"/>
      <c r="H953" s="6">
        <f>15000/6</f>
        <v>2500</v>
      </c>
      <c r="I953" s="6">
        <f t="shared" si="73"/>
        <v>386.3346104725415</v>
      </c>
      <c r="J953" s="2">
        <v>8.98</v>
      </c>
      <c r="K953" s="2">
        <v>7.83</v>
      </c>
      <c r="L953" s="2">
        <v>1.1499999999999999</v>
      </c>
      <c r="M953" s="2">
        <v>12.8</v>
      </c>
      <c r="N953" s="2" t="s">
        <v>3296</v>
      </c>
      <c r="O953" s="56">
        <v>3025</v>
      </c>
      <c r="P953" s="2">
        <v>1.46</v>
      </c>
      <c r="Q953" s="2">
        <v>12.01</v>
      </c>
      <c r="R953" s="2">
        <v>150.94</v>
      </c>
      <c r="S953" s="2">
        <v>4.26</v>
      </c>
      <c r="T953" s="2">
        <v>3.7</v>
      </c>
      <c r="U953" s="2">
        <v>146.68</v>
      </c>
      <c r="V953" s="2">
        <v>18.73</v>
      </c>
      <c r="W953" s="2">
        <v>9410.1200000000008</v>
      </c>
      <c r="X953" s="2" t="s">
        <v>3297</v>
      </c>
      <c r="Y953" s="2" t="s">
        <v>3298</v>
      </c>
      <c r="Z953" s="2">
        <v>0.2</v>
      </c>
      <c r="AA953" s="2" t="s">
        <v>548</v>
      </c>
      <c r="AB953" s="2">
        <v>293.60000000000002</v>
      </c>
    </row>
    <row r="954" spans="1:28" x14ac:dyDescent="0.25">
      <c r="A954" s="4">
        <v>46262</v>
      </c>
      <c r="B954" s="8" t="s">
        <v>3213</v>
      </c>
      <c r="C954" s="8" t="s">
        <v>36</v>
      </c>
      <c r="D954" s="8" t="s">
        <v>43</v>
      </c>
      <c r="E954" s="8" t="s">
        <v>61</v>
      </c>
      <c r="F954" s="13"/>
      <c r="G954" s="59"/>
      <c r="H954" s="6"/>
      <c r="I954" s="6">
        <f t="shared" si="73"/>
        <v>121.29380053908356</v>
      </c>
      <c r="J954" s="2">
        <v>7.51</v>
      </c>
      <c r="K954" s="2">
        <v>3.71</v>
      </c>
      <c r="L954" s="2">
        <v>3.8</v>
      </c>
      <c r="M954" s="2">
        <v>50.57</v>
      </c>
      <c r="N954" s="2" t="s">
        <v>45</v>
      </c>
      <c r="O954" s="56">
        <v>450</v>
      </c>
      <c r="P954" s="2" t="s">
        <v>45</v>
      </c>
      <c r="Q954" s="2" t="s">
        <v>45</v>
      </c>
      <c r="R954" s="2">
        <v>90.85</v>
      </c>
      <c r="S954" s="2">
        <v>16.559999999999999</v>
      </c>
      <c r="T954" s="2">
        <v>4.3600000000000003</v>
      </c>
      <c r="U954" s="2">
        <v>74.290000000000006</v>
      </c>
      <c r="V954" s="2" t="s">
        <v>2117</v>
      </c>
      <c r="W954" s="2">
        <v>8966.43</v>
      </c>
      <c r="X954" s="2" t="s">
        <v>45</v>
      </c>
      <c r="Y954" s="2" t="s">
        <v>45</v>
      </c>
      <c r="Z954" s="2">
        <v>0.1</v>
      </c>
      <c r="AA954" s="2" t="s">
        <v>45</v>
      </c>
      <c r="AB954" s="2">
        <v>266.8</v>
      </c>
    </row>
    <row r="955" spans="1:28" x14ac:dyDescent="0.25">
      <c r="A955" s="4">
        <v>46262</v>
      </c>
      <c r="B955" s="8" t="s">
        <v>3213</v>
      </c>
      <c r="C955" s="8" t="s">
        <v>36</v>
      </c>
      <c r="D955" s="8" t="s">
        <v>67</v>
      </c>
      <c r="E955" s="8" t="s">
        <v>47</v>
      </c>
      <c r="F955" s="13"/>
      <c r="G955" s="59"/>
      <c r="H955" s="6">
        <f>15000/6</f>
        <v>2500</v>
      </c>
      <c r="I955" s="6">
        <f t="shared" si="73"/>
        <v>218.53146853146853</v>
      </c>
      <c r="J955" s="2">
        <v>8.02</v>
      </c>
      <c r="K955" s="2">
        <v>5.72</v>
      </c>
      <c r="L955" s="2">
        <v>2.2999999999999998</v>
      </c>
      <c r="M955" s="2">
        <v>28.67</v>
      </c>
      <c r="N955" s="2" t="s">
        <v>1817</v>
      </c>
      <c r="O955" s="56">
        <v>1250</v>
      </c>
      <c r="P955" s="2">
        <v>1.8</v>
      </c>
      <c r="Q955" s="2">
        <v>9.93</v>
      </c>
      <c r="R955" s="2">
        <v>125.86</v>
      </c>
      <c r="S955" s="2">
        <v>7.57</v>
      </c>
      <c r="T955" s="2">
        <v>3.29</v>
      </c>
      <c r="U955" s="2">
        <v>118.29</v>
      </c>
      <c r="V955" s="2">
        <v>20.68</v>
      </c>
      <c r="W955" s="2">
        <v>847.7</v>
      </c>
      <c r="X955" s="2" t="s">
        <v>3299</v>
      </c>
      <c r="Y955" s="2" t="s">
        <v>3300</v>
      </c>
      <c r="Z955" s="2">
        <v>0.5</v>
      </c>
      <c r="AA955" s="2" t="s">
        <v>548</v>
      </c>
      <c r="AB955" s="2">
        <v>83.5</v>
      </c>
    </row>
    <row r="956" spans="1:28" x14ac:dyDescent="0.25">
      <c r="A956" s="4">
        <v>46262</v>
      </c>
      <c r="B956" s="8" t="s">
        <v>3213</v>
      </c>
      <c r="C956" s="8" t="s">
        <v>36</v>
      </c>
      <c r="D956" s="8" t="s">
        <v>50</v>
      </c>
      <c r="E956" s="8" t="s">
        <v>47</v>
      </c>
      <c r="F956" s="13"/>
      <c r="G956" s="59"/>
      <c r="H956" s="6">
        <f>15000/6</f>
        <v>2500</v>
      </c>
      <c r="I956" s="6">
        <f t="shared" si="73"/>
        <v>143.11512415349887</v>
      </c>
      <c r="J956" s="2">
        <v>5.03</v>
      </c>
      <c r="K956" s="2">
        <v>4.43</v>
      </c>
      <c r="L956" s="2">
        <v>0.6</v>
      </c>
      <c r="M956" s="2">
        <v>11.92</v>
      </c>
      <c r="N956" s="2" t="s">
        <v>3301</v>
      </c>
      <c r="O956" s="56">
        <v>634</v>
      </c>
      <c r="P956" s="2">
        <v>1.86</v>
      </c>
      <c r="Q956" s="2">
        <v>7.7</v>
      </c>
      <c r="R956" s="2">
        <v>82.33</v>
      </c>
      <c r="S956" s="2">
        <v>2.84</v>
      </c>
      <c r="T956" s="2">
        <v>4.7300000000000004</v>
      </c>
      <c r="U956" s="2">
        <v>79.489999999999995</v>
      </c>
      <c r="V956" s="2">
        <v>17.93</v>
      </c>
      <c r="W956" s="2">
        <v>2669.69</v>
      </c>
      <c r="X956" s="2" t="s">
        <v>3302</v>
      </c>
      <c r="Y956" s="2" t="s">
        <v>3303</v>
      </c>
      <c r="Z956" s="2">
        <v>0.3</v>
      </c>
      <c r="AA956" s="2" t="s">
        <v>548</v>
      </c>
      <c r="AB956" s="2">
        <v>342.1</v>
      </c>
    </row>
    <row r="957" spans="1:28" x14ac:dyDescent="0.25">
      <c r="A957" s="4">
        <v>46262</v>
      </c>
      <c r="B957" s="8" t="s">
        <v>3213</v>
      </c>
      <c r="C957" s="8" t="s">
        <v>36</v>
      </c>
      <c r="D957" s="8" t="s">
        <v>52</v>
      </c>
      <c r="E957" s="8" t="s">
        <v>47</v>
      </c>
      <c r="F957" s="13"/>
      <c r="G957" s="59"/>
      <c r="H957" s="6">
        <f>15000/6</f>
        <v>2500</v>
      </c>
      <c r="I957" s="6">
        <f t="shared" si="73"/>
        <v>298.71086556169433</v>
      </c>
      <c r="J957" s="2">
        <v>13.26</v>
      </c>
      <c r="K957" s="2">
        <v>10.86</v>
      </c>
      <c r="L957" s="2">
        <v>2.4</v>
      </c>
      <c r="M957" s="2">
        <v>18.100000000000001</v>
      </c>
      <c r="N957" s="2" t="s">
        <v>3304</v>
      </c>
      <c r="O957" s="56">
        <v>3244</v>
      </c>
      <c r="P957" s="2">
        <v>2.13</v>
      </c>
      <c r="Q957" s="2">
        <v>13.85</v>
      </c>
      <c r="R957" s="2">
        <v>234.22</v>
      </c>
      <c r="S957" s="2">
        <v>9.4600000000000009</v>
      </c>
      <c r="T957" s="2">
        <v>3.94</v>
      </c>
      <c r="U957" s="2">
        <v>224.76</v>
      </c>
      <c r="V957" s="2">
        <v>20.7</v>
      </c>
      <c r="W957" s="2">
        <v>1296.27</v>
      </c>
      <c r="X957" s="2" t="s">
        <v>3305</v>
      </c>
      <c r="Y957" s="2" t="s">
        <v>3306</v>
      </c>
      <c r="Z957" s="2" t="s">
        <v>548</v>
      </c>
      <c r="AA957" s="2" t="s">
        <v>548</v>
      </c>
      <c r="AB957" s="2">
        <v>126.6</v>
      </c>
    </row>
    <row r="958" spans="1:28" x14ac:dyDescent="0.25">
      <c r="A958" s="4">
        <v>46262</v>
      </c>
      <c r="B958" s="8" t="s">
        <v>3213</v>
      </c>
      <c r="C958" s="8" t="s">
        <v>36</v>
      </c>
      <c r="D958" s="7" t="s">
        <v>46</v>
      </c>
      <c r="E958" s="8" t="s">
        <v>47</v>
      </c>
      <c r="F958" s="13"/>
      <c r="G958" s="59"/>
      <c r="H958" s="6">
        <f>15000/6</f>
        <v>2500</v>
      </c>
      <c r="I958" s="6">
        <f t="shared" si="73"/>
        <v>263.98046398046398</v>
      </c>
      <c r="J958" s="2">
        <v>10.24</v>
      </c>
      <c r="K958" s="2">
        <v>8.19</v>
      </c>
      <c r="L958" s="2">
        <v>2.0499999999999998</v>
      </c>
      <c r="M958" s="2">
        <v>20.03</v>
      </c>
      <c r="N958" s="2" t="s">
        <v>3307</v>
      </c>
      <c r="O958" s="56">
        <v>2162</v>
      </c>
      <c r="P958" s="2">
        <v>3.43</v>
      </c>
      <c r="Q958" s="2">
        <v>8.43</v>
      </c>
      <c r="R958" s="2">
        <v>256.45999999999998</v>
      </c>
      <c r="S958" s="2">
        <v>12.78</v>
      </c>
      <c r="T958" s="2">
        <v>6.23</v>
      </c>
      <c r="U958" s="2">
        <v>243.69</v>
      </c>
      <c r="V958" s="2">
        <v>29.77</v>
      </c>
      <c r="W958" s="2">
        <v>8309.94</v>
      </c>
      <c r="X958" s="2" t="s">
        <v>3308</v>
      </c>
      <c r="Y958" s="2" t="s">
        <v>3309</v>
      </c>
      <c r="Z958" s="2">
        <v>0.2</v>
      </c>
      <c r="AA958" s="2" t="s">
        <v>548</v>
      </c>
      <c r="AB958" s="2">
        <v>259.7</v>
      </c>
    </row>
    <row r="959" spans="1:28" x14ac:dyDescent="0.25">
      <c r="A959" s="4">
        <v>46262</v>
      </c>
      <c r="B959" s="8" t="s">
        <v>3213</v>
      </c>
      <c r="C959" s="8" t="s">
        <v>36</v>
      </c>
      <c r="D959" s="8" t="s">
        <v>48</v>
      </c>
      <c r="E959" s="7" t="s">
        <v>38</v>
      </c>
      <c r="F959" s="13">
        <v>3879</v>
      </c>
      <c r="G959" s="59"/>
      <c r="H959" s="6">
        <f>24000/6</f>
        <v>4000</v>
      </c>
      <c r="I959" s="6">
        <f t="shared" si="73"/>
        <v>590.3769841269841</v>
      </c>
      <c r="J959" s="2">
        <v>11.23</v>
      </c>
      <c r="K959" s="2">
        <v>10.08</v>
      </c>
      <c r="L959" s="2">
        <v>1.1499999999999999</v>
      </c>
      <c r="M959" s="2">
        <v>10.24</v>
      </c>
      <c r="N959" s="2" t="s">
        <v>3178</v>
      </c>
      <c r="O959" s="56">
        <v>5951</v>
      </c>
      <c r="P959" s="2">
        <v>4.58</v>
      </c>
      <c r="Q959" s="2">
        <v>15.32</v>
      </c>
      <c r="R959" s="2">
        <v>388.48</v>
      </c>
      <c r="S959" s="2">
        <v>7.1</v>
      </c>
      <c r="T959" s="2">
        <v>6.17</v>
      </c>
      <c r="U959" s="2">
        <v>381.38</v>
      </c>
      <c r="V959" s="2">
        <v>37.83</v>
      </c>
      <c r="W959" s="2">
        <v>6858.16</v>
      </c>
      <c r="X959" s="2" t="s">
        <v>3310</v>
      </c>
      <c r="Y959" s="2" t="s">
        <v>3311</v>
      </c>
      <c r="Z959" s="2" t="s">
        <v>548</v>
      </c>
      <c r="AA959" s="2" t="s">
        <v>548</v>
      </c>
      <c r="AB959" s="2">
        <v>49.9</v>
      </c>
    </row>
    <row r="960" spans="1:28" x14ac:dyDescent="0.25">
      <c r="A960" s="4">
        <v>46262</v>
      </c>
      <c r="B960" s="8" t="s">
        <v>3213</v>
      </c>
      <c r="C960" s="8" t="s">
        <v>36</v>
      </c>
      <c r="D960" s="8" t="s">
        <v>49</v>
      </c>
      <c r="E960" s="8" t="s">
        <v>47</v>
      </c>
      <c r="F960" s="13"/>
      <c r="G960" s="59"/>
      <c r="H960" s="6">
        <f>15000/6</f>
        <v>2500</v>
      </c>
      <c r="I960" s="6">
        <f t="shared" si="73"/>
        <v>445.26315789473688</v>
      </c>
      <c r="J960" s="2">
        <v>4.8</v>
      </c>
      <c r="K960" s="2">
        <v>3.8</v>
      </c>
      <c r="L960" s="2" t="s">
        <v>1696</v>
      </c>
      <c r="M960" s="2">
        <v>20.83</v>
      </c>
      <c r="N960" s="2" t="s">
        <v>3312</v>
      </c>
      <c r="O960" s="56">
        <v>1692</v>
      </c>
      <c r="P960" s="2">
        <v>3.16</v>
      </c>
      <c r="Q960" s="2">
        <v>11.35</v>
      </c>
      <c r="R960" s="2">
        <v>149.05000000000001</v>
      </c>
      <c r="S960" s="2">
        <v>5.2</v>
      </c>
      <c r="T960" s="2">
        <v>5.2</v>
      </c>
      <c r="U960" s="2">
        <v>143.85</v>
      </c>
      <c r="V960" s="2">
        <v>37.85</v>
      </c>
      <c r="W960" s="2">
        <v>2170.91</v>
      </c>
      <c r="X960" s="2" t="s">
        <v>3313</v>
      </c>
      <c r="Y960" s="2" t="s">
        <v>3314</v>
      </c>
      <c r="Z960" s="2" t="s">
        <v>548</v>
      </c>
      <c r="AA960" s="2" t="s">
        <v>548</v>
      </c>
      <c r="AB960" s="2">
        <v>5.8</v>
      </c>
    </row>
    <row r="961" spans="1:28" x14ac:dyDescent="0.25">
      <c r="A961" s="4">
        <v>46263</v>
      </c>
      <c r="B961" s="8" t="s">
        <v>3213</v>
      </c>
      <c r="C961" s="8" t="s">
        <v>36</v>
      </c>
      <c r="D961" s="8" t="s">
        <v>39</v>
      </c>
      <c r="E961" s="8" t="s">
        <v>47</v>
      </c>
      <c r="F961" s="13"/>
      <c r="G961" s="59"/>
      <c r="H961" s="6">
        <f>15000/6</f>
        <v>2500</v>
      </c>
      <c r="I961" s="6">
        <f t="shared" si="73"/>
        <v>274.12008281573497</v>
      </c>
      <c r="J961" s="2">
        <v>6.38</v>
      </c>
      <c r="K961" s="2">
        <v>4.83</v>
      </c>
      <c r="L961" s="2">
        <v>1.55</v>
      </c>
      <c r="M961" s="2">
        <v>24.3</v>
      </c>
      <c r="N961" s="2" t="s">
        <v>3315</v>
      </c>
      <c r="O961" s="56">
        <v>1324</v>
      </c>
      <c r="P961" s="2">
        <v>1.71</v>
      </c>
      <c r="Q961" s="2">
        <v>13.39</v>
      </c>
      <c r="R961" s="2">
        <v>98.89</v>
      </c>
      <c r="S961" s="2">
        <v>6.62</v>
      </c>
      <c r="T961" s="2">
        <v>4.2699999999999996</v>
      </c>
      <c r="U961" s="2">
        <v>92.27</v>
      </c>
      <c r="V961" s="2">
        <v>19.11</v>
      </c>
      <c r="W961" s="2">
        <v>9416.5</v>
      </c>
      <c r="X961" s="2" t="s">
        <v>3316</v>
      </c>
      <c r="Y961" s="2" t="s">
        <v>3317</v>
      </c>
      <c r="Z961" s="2" t="s">
        <v>548</v>
      </c>
      <c r="AA961" s="2" t="s">
        <v>548</v>
      </c>
      <c r="AB961" s="2">
        <v>293.60000000000002</v>
      </c>
    </row>
    <row r="962" spans="1:28" x14ac:dyDescent="0.25">
      <c r="A962" s="4">
        <v>46263</v>
      </c>
      <c r="B962" s="8" t="s">
        <v>3213</v>
      </c>
      <c r="C962" s="8" t="s">
        <v>36</v>
      </c>
      <c r="D962" s="8" t="s">
        <v>43</v>
      </c>
      <c r="E962" s="8" t="s">
        <v>2994</v>
      </c>
      <c r="F962" s="13"/>
      <c r="G962" s="59"/>
      <c r="H962" s="6"/>
      <c r="I962" s="6">
        <f t="shared" si="73"/>
        <v>0</v>
      </c>
      <c r="J962" s="2">
        <v>3.87</v>
      </c>
      <c r="K962" s="2">
        <v>1.82</v>
      </c>
      <c r="L962" s="2">
        <v>2.0499999999999998</v>
      </c>
      <c r="M962" s="2">
        <v>52.98</v>
      </c>
      <c r="N962" s="2" t="s">
        <v>45</v>
      </c>
      <c r="O962" s="56" t="s">
        <v>45</v>
      </c>
      <c r="P962" s="2" t="s">
        <v>45</v>
      </c>
      <c r="Q962" s="2" t="s">
        <v>45</v>
      </c>
      <c r="R962" s="2">
        <v>45.9</v>
      </c>
      <c r="S962" s="2">
        <v>8.0399999999999991</v>
      </c>
      <c r="T962" s="2">
        <v>3.92</v>
      </c>
      <c r="U962" s="2">
        <v>37.85</v>
      </c>
      <c r="V962" s="2">
        <v>20.8</v>
      </c>
      <c r="W962" s="2">
        <v>8970.3700000000008</v>
      </c>
      <c r="X962" s="2" t="s">
        <v>45</v>
      </c>
      <c r="Y962" s="2" t="s">
        <v>45</v>
      </c>
      <c r="Z962" s="2">
        <v>0.9</v>
      </c>
      <c r="AA962" s="2" t="s">
        <v>45</v>
      </c>
      <c r="AB962" s="2">
        <v>267.7</v>
      </c>
    </row>
    <row r="963" spans="1:28" x14ac:dyDescent="0.25">
      <c r="A963" s="4">
        <v>46263</v>
      </c>
      <c r="B963" s="8" t="s">
        <v>3213</v>
      </c>
      <c r="C963" s="8" t="s">
        <v>36</v>
      </c>
      <c r="D963" s="8" t="s">
        <v>67</v>
      </c>
      <c r="E963" s="8" t="s">
        <v>47</v>
      </c>
      <c r="F963" s="13"/>
      <c r="G963" s="59"/>
      <c r="H963" s="6">
        <f>15000/6</f>
        <v>2500</v>
      </c>
      <c r="I963" s="6">
        <f t="shared" si="73"/>
        <v>278.78228782287823</v>
      </c>
      <c r="J963" s="2">
        <v>6.87</v>
      </c>
      <c r="K963" s="2">
        <v>5.42</v>
      </c>
      <c r="L963" s="2">
        <v>1.45</v>
      </c>
      <c r="M963" s="2">
        <v>21.12</v>
      </c>
      <c r="N963" s="2" t="s">
        <v>3318</v>
      </c>
      <c r="O963" s="56">
        <v>1511</v>
      </c>
      <c r="P963" s="2">
        <v>2.12</v>
      </c>
      <c r="Q963" s="2">
        <v>12.19</v>
      </c>
      <c r="R963" s="2">
        <v>123.97</v>
      </c>
      <c r="S963" s="2">
        <v>4.7300000000000004</v>
      </c>
      <c r="T963" s="2">
        <v>3.26</v>
      </c>
      <c r="U963" s="2">
        <v>119.24</v>
      </c>
      <c r="V963" s="2">
        <v>22.02</v>
      </c>
      <c r="W963" s="2">
        <v>854.57</v>
      </c>
      <c r="X963" s="2" t="s">
        <v>3319</v>
      </c>
      <c r="Y963" s="2" t="s">
        <v>3320</v>
      </c>
      <c r="Z963" s="2">
        <v>1.4</v>
      </c>
      <c r="AA963" s="2" t="s">
        <v>548</v>
      </c>
      <c r="AB963" s="2">
        <v>84.9</v>
      </c>
    </row>
    <row r="964" spans="1:28" x14ac:dyDescent="0.25">
      <c r="A964" s="4">
        <v>46263</v>
      </c>
      <c r="B964" s="8" t="s">
        <v>3213</v>
      </c>
      <c r="C964" s="8" t="s">
        <v>36</v>
      </c>
      <c r="D964" s="8" t="s">
        <v>50</v>
      </c>
      <c r="E964" s="8" t="s">
        <v>47</v>
      </c>
      <c r="F964" s="13"/>
      <c r="G964" s="59"/>
      <c r="H964" s="6">
        <f>15000/6</f>
        <v>2500</v>
      </c>
      <c r="I964" s="6">
        <f t="shared" si="73"/>
        <v>478.11158798283259</v>
      </c>
      <c r="J964" s="2">
        <v>5.56</v>
      </c>
      <c r="K964" s="2">
        <v>4.66</v>
      </c>
      <c r="L964" s="2">
        <v>0.9</v>
      </c>
      <c r="M964" s="2">
        <v>16.2</v>
      </c>
      <c r="N964" s="2" t="s">
        <v>3321</v>
      </c>
      <c r="O964" s="56">
        <v>2228</v>
      </c>
      <c r="P964" s="2">
        <v>2.2200000000000002</v>
      </c>
      <c r="Q964" s="2">
        <v>21.02</v>
      </c>
      <c r="R964" s="2">
        <v>105.99</v>
      </c>
      <c r="S964" s="2">
        <v>3.31</v>
      </c>
      <c r="T964" s="2">
        <v>3.68</v>
      </c>
      <c r="U964" s="2">
        <v>102.68</v>
      </c>
      <c r="V964" s="2">
        <v>22.06</v>
      </c>
      <c r="W964" s="2">
        <v>2675.24</v>
      </c>
      <c r="X964" s="2" t="s">
        <v>3322</v>
      </c>
      <c r="Y964" s="2" t="s">
        <v>3323</v>
      </c>
      <c r="Z964" s="2" t="s">
        <v>548</v>
      </c>
      <c r="AA964" s="2" t="s">
        <v>548</v>
      </c>
      <c r="AB964" s="2">
        <v>342.1</v>
      </c>
    </row>
    <row r="965" spans="1:28" x14ac:dyDescent="0.25">
      <c r="A965" s="4">
        <v>46263</v>
      </c>
      <c r="B965" s="8" t="s">
        <v>3213</v>
      </c>
      <c r="C965" s="8" t="s">
        <v>36</v>
      </c>
      <c r="D965" s="8" t="s">
        <v>52</v>
      </c>
      <c r="E965" s="8" t="s">
        <v>47</v>
      </c>
      <c r="F965" s="13"/>
      <c r="G965" s="59"/>
      <c r="H965" s="6">
        <f>15000/6</f>
        <v>2500</v>
      </c>
      <c r="I965" s="6">
        <f t="shared" si="73"/>
        <v>281.46655922643032</v>
      </c>
      <c r="J965" s="2">
        <v>13.96</v>
      </c>
      <c r="K965" s="2">
        <v>12.41</v>
      </c>
      <c r="L965" s="2">
        <v>1.55</v>
      </c>
      <c r="M965" s="2">
        <v>11.1</v>
      </c>
      <c r="N965" s="2" t="s">
        <v>3324</v>
      </c>
      <c r="O965" s="56">
        <v>3493</v>
      </c>
      <c r="P965" s="2">
        <v>2.27</v>
      </c>
      <c r="Q965" s="2">
        <v>16.55</v>
      </c>
      <c r="R965" s="2">
        <v>211.04</v>
      </c>
      <c r="S965" s="2">
        <v>6.15</v>
      </c>
      <c r="T965" s="2">
        <v>3.97</v>
      </c>
      <c r="U965" s="2">
        <v>204.89</v>
      </c>
      <c r="V965" s="2">
        <v>16.510000000000002</v>
      </c>
      <c r="W965" s="2">
        <v>1310.23</v>
      </c>
      <c r="X965" s="2" t="s">
        <v>3325</v>
      </c>
      <c r="Y965" s="2" t="s">
        <v>3326</v>
      </c>
      <c r="Z965" s="2" t="s">
        <v>548</v>
      </c>
      <c r="AA965" s="2" t="s">
        <v>548</v>
      </c>
      <c r="AB965" s="2">
        <v>126.6</v>
      </c>
    </row>
    <row r="966" spans="1:28" x14ac:dyDescent="0.25">
      <c r="A966" s="4">
        <v>46263</v>
      </c>
      <c r="B966" s="8" t="s">
        <v>3213</v>
      </c>
      <c r="C966" s="8" t="s">
        <v>36</v>
      </c>
      <c r="D966" s="7" t="s">
        <v>46</v>
      </c>
      <c r="E966" s="8" t="s">
        <v>47</v>
      </c>
      <c r="F966" s="13"/>
      <c r="G966" s="59"/>
      <c r="H966" s="6">
        <f>15000/6</f>
        <v>2500</v>
      </c>
      <c r="I966" s="6">
        <f t="shared" si="73"/>
        <v>250.83798882681563</v>
      </c>
      <c r="J966" s="2">
        <v>6.23</v>
      </c>
      <c r="K966" s="2">
        <v>3.58</v>
      </c>
      <c r="L966" s="2">
        <v>2.65</v>
      </c>
      <c r="M966" s="2">
        <v>42.55</v>
      </c>
      <c r="N966" s="2" t="s">
        <v>2812</v>
      </c>
      <c r="O966" s="56">
        <v>898</v>
      </c>
      <c r="P966" s="2">
        <v>3.58</v>
      </c>
      <c r="Q966" s="2">
        <v>7.62</v>
      </c>
      <c r="R966" s="2">
        <v>117.82</v>
      </c>
      <c r="S966" s="2">
        <v>14.67</v>
      </c>
      <c r="T966" s="2">
        <v>5.54</v>
      </c>
      <c r="U966" s="2">
        <v>103.15</v>
      </c>
      <c r="V966" s="2">
        <v>28.83</v>
      </c>
      <c r="W966" s="2">
        <v>8316.17</v>
      </c>
      <c r="X966" s="2" t="s">
        <v>3327</v>
      </c>
      <c r="Y966" s="2" t="s">
        <v>3328</v>
      </c>
      <c r="Z966" s="2" t="s">
        <v>548</v>
      </c>
      <c r="AA966" s="2" t="s">
        <v>548</v>
      </c>
      <c r="AB966" s="2">
        <v>259.7</v>
      </c>
    </row>
    <row r="967" spans="1:28" x14ac:dyDescent="0.25">
      <c r="A967" s="4">
        <v>46263</v>
      </c>
      <c r="B967" s="8" t="s">
        <v>3213</v>
      </c>
      <c r="C967" s="8" t="s">
        <v>36</v>
      </c>
      <c r="D967" s="8" t="s">
        <v>48</v>
      </c>
      <c r="E967" s="7" t="s">
        <v>38</v>
      </c>
      <c r="F967" s="13">
        <v>3190</v>
      </c>
      <c r="G967" s="59"/>
      <c r="H967" s="6">
        <f>24000/6</f>
        <v>4000</v>
      </c>
      <c r="I967" s="6">
        <f t="shared" ref="I967:I968" si="74">IFERROR(O967/K967,)</f>
        <v>570.57182705718276</v>
      </c>
      <c r="J967" s="2">
        <v>8.02</v>
      </c>
      <c r="K967" s="2">
        <v>7.17</v>
      </c>
      <c r="L967" s="2">
        <v>0.85</v>
      </c>
      <c r="M967" s="2">
        <v>10.6</v>
      </c>
      <c r="N967" s="2" t="s">
        <v>3329</v>
      </c>
      <c r="O967" s="56">
        <v>4091</v>
      </c>
      <c r="P967" s="2">
        <v>4.93</v>
      </c>
      <c r="Q967" s="2">
        <v>14.86</v>
      </c>
      <c r="R967" s="2">
        <v>275.39</v>
      </c>
      <c r="S967" s="2">
        <v>5.2</v>
      </c>
      <c r="T967" s="2">
        <v>6.12</v>
      </c>
      <c r="U967" s="2">
        <v>270.18</v>
      </c>
      <c r="V967" s="2">
        <v>37.68</v>
      </c>
      <c r="W967" s="2">
        <v>6866.18</v>
      </c>
      <c r="X967" s="2" t="s">
        <v>3330</v>
      </c>
      <c r="Y967" s="2" t="s">
        <v>3331</v>
      </c>
      <c r="Z967" s="2" t="s">
        <v>548</v>
      </c>
      <c r="AA967" s="2" t="s">
        <v>548</v>
      </c>
      <c r="AB967" s="2">
        <v>49.9</v>
      </c>
    </row>
    <row r="968" spans="1:28" x14ac:dyDescent="0.25">
      <c r="A968" s="4">
        <v>46263</v>
      </c>
      <c r="B968" s="8" t="s">
        <v>3213</v>
      </c>
      <c r="C968" s="8" t="s">
        <v>36</v>
      </c>
      <c r="D968" s="8" t="s">
        <v>49</v>
      </c>
      <c r="E968" s="8" t="s">
        <v>47</v>
      </c>
      <c r="F968" s="13"/>
      <c r="G968" s="59"/>
      <c r="H968" s="6">
        <f>15000/6</f>
        <v>2500</v>
      </c>
      <c r="I968" s="6">
        <f t="shared" si="74"/>
        <v>186.84210526315789</v>
      </c>
      <c r="J968" s="2">
        <v>6.85</v>
      </c>
      <c r="K968" s="2">
        <v>5.7</v>
      </c>
      <c r="L968" s="2">
        <v>1.1499999999999999</v>
      </c>
      <c r="M968" s="2">
        <v>16.79</v>
      </c>
      <c r="N968" s="2" t="s">
        <v>3332</v>
      </c>
      <c r="O968" s="56">
        <v>1065</v>
      </c>
      <c r="P968" s="2">
        <v>2.76</v>
      </c>
      <c r="Q968" s="2">
        <v>5.13</v>
      </c>
      <c r="R968" s="2">
        <v>207.72</v>
      </c>
      <c r="S968" s="2">
        <v>5.68</v>
      </c>
      <c r="T968" s="2">
        <v>4.9400000000000004</v>
      </c>
      <c r="U968" s="2">
        <v>202.05</v>
      </c>
      <c r="V968" s="2">
        <v>35.46</v>
      </c>
      <c r="W968" s="2">
        <v>2177.7600000000002</v>
      </c>
      <c r="X968" s="2" t="s">
        <v>3333</v>
      </c>
      <c r="Y968" s="2" t="s">
        <v>3334</v>
      </c>
      <c r="Z968" s="2">
        <v>0.1</v>
      </c>
      <c r="AA968" s="2" t="s">
        <v>548</v>
      </c>
      <c r="AB968" s="2">
        <v>5.9</v>
      </c>
    </row>
    <row r="969" spans="1:28" x14ac:dyDescent="0.25">
      <c r="A969" s="4">
        <v>46264</v>
      </c>
      <c r="B969" s="8" t="s">
        <v>55</v>
      </c>
      <c r="C969" s="8" t="s">
        <v>56</v>
      </c>
      <c r="D969" s="8" t="s">
        <v>39</v>
      </c>
      <c r="E969" s="8" t="s">
        <v>47</v>
      </c>
      <c r="F969" s="13"/>
      <c r="G969" s="59"/>
      <c r="H969" s="6"/>
      <c r="I969" s="6">
        <f t="shared" ref="I969" si="75">IFERROR(O969/K969,)</f>
        <v>0</v>
      </c>
      <c r="J969" s="2" t="s">
        <v>548</v>
      </c>
      <c r="K969" s="2" t="s">
        <v>548</v>
      </c>
      <c r="L969" s="2" t="s">
        <v>548</v>
      </c>
      <c r="M969" s="2" t="s">
        <v>45</v>
      </c>
      <c r="N969" s="2" t="s">
        <v>548</v>
      </c>
      <c r="O969" s="56">
        <v>0</v>
      </c>
      <c r="P969" s="2" t="s">
        <v>45</v>
      </c>
      <c r="Q969" s="2" t="s">
        <v>45</v>
      </c>
      <c r="R969" s="2" t="s">
        <v>548</v>
      </c>
      <c r="S969" s="2" t="s">
        <v>548</v>
      </c>
      <c r="T969" s="2" t="s">
        <v>45</v>
      </c>
      <c r="U969" s="2" t="s">
        <v>548</v>
      </c>
      <c r="V969" s="2" t="s">
        <v>45</v>
      </c>
      <c r="W969" s="2">
        <v>9416.5</v>
      </c>
      <c r="X969" s="2" t="s">
        <v>3316</v>
      </c>
      <c r="Y969" s="2" t="s">
        <v>3317</v>
      </c>
      <c r="Z969" s="2" t="s">
        <v>548</v>
      </c>
      <c r="AA969" s="2" t="s">
        <v>45</v>
      </c>
      <c r="AB969" s="2">
        <v>293.60000000000002</v>
      </c>
    </row>
    <row r="970" spans="1:28" x14ac:dyDescent="0.25">
      <c r="A970" s="4">
        <v>46264</v>
      </c>
      <c r="B970" s="8" t="s">
        <v>55</v>
      </c>
      <c r="C970" s="8" t="s">
        <v>56</v>
      </c>
      <c r="D970" s="8" t="s">
        <v>43</v>
      </c>
      <c r="E970" s="8" t="s">
        <v>47</v>
      </c>
      <c r="F970" s="13"/>
      <c r="G970" s="59"/>
      <c r="H970" s="6"/>
      <c r="I970" s="6">
        <f t="shared" ref="I970:I976" si="76">IFERROR(O970/K970,)</f>
        <v>0</v>
      </c>
      <c r="J970" s="2" t="s">
        <v>548</v>
      </c>
      <c r="K970" s="2" t="s">
        <v>548</v>
      </c>
      <c r="L970" s="2" t="s">
        <v>548</v>
      </c>
      <c r="M970" s="2" t="s">
        <v>45</v>
      </c>
      <c r="N970" s="2" t="s">
        <v>45</v>
      </c>
      <c r="O970" s="56" t="s">
        <v>45</v>
      </c>
      <c r="P970" s="2" t="s">
        <v>45</v>
      </c>
      <c r="Q970" s="2" t="s">
        <v>45</v>
      </c>
      <c r="R970" s="2" t="s">
        <v>548</v>
      </c>
      <c r="S970" s="2" t="s">
        <v>548</v>
      </c>
      <c r="T970" s="2" t="s">
        <v>45</v>
      </c>
      <c r="U970" s="2" t="s">
        <v>548</v>
      </c>
      <c r="V970" s="2" t="s">
        <v>45</v>
      </c>
      <c r="W970" s="2">
        <v>8970.3700000000008</v>
      </c>
      <c r="X970" s="2" t="s">
        <v>45</v>
      </c>
      <c r="Y970" s="2" t="s">
        <v>45</v>
      </c>
      <c r="Z970" s="2" t="s">
        <v>548</v>
      </c>
      <c r="AA970" s="2" t="s">
        <v>45</v>
      </c>
      <c r="AB970" s="2">
        <v>267.7</v>
      </c>
    </row>
    <row r="971" spans="1:28" x14ac:dyDescent="0.25">
      <c r="A971" s="4">
        <v>46264</v>
      </c>
      <c r="B971" s="8" t="s">
        <v>55</v>
      </c>
      <c r="C971" s="8" t="s">
        <v>56</v>
      </c>
      <c r="D971" s="8" t="s">
        <v>67</v>
      </c>
      <c r="E971" s="8" t="s">
        <v>47</v>
      </c>
      <c r="F971" s="13"/>
      <c r="G971" s="59"/>
      <c r="H971" s="6"/>
      <c r="I971" s="6">
        <f t="shared" si="76"/>
        <v>0</v>
      </c>
      <c r="J971" s="2" t="s">
        <v>548</v>
      </c>
      <c r="K971" s="2" t="s">
        <v>548</v>
      </c>
      <c r="L971" s="2" t="s">
        <v>548</v>
      </c>
      <c r="M971" s="2" t="s">
        <v>45</v>
      </c>
      <c r="N971" s="2" t="s">
        <v>548</v>
      </c>
      <c r="O971" s="56">
        <v>0</v>
      </c>
      <c r="P971" s="2" t="s">
        <v>45</v>
      </c>
      <c r="Q971" s="2" t="s">
        <v>45</v>
      </c>
      <c r="R971" s="2" t="s">
        <v>548</v>
      </c>
      <c r="S971" s="2" t="s">
        <v>548</v>
      </c>
      <c r="T971" s="2" t="s">
        <v>45</v>
      </c>
      <c r="U971" s="2" t="s">
        <v>548</v>
      </c>
      <c r="V971" s="2" t="s">
        <v>45</v>
      </c>
      <c r="W971" s="2">
        <v>854.57</v>
      </c>
      <c r="X971" s="2" t="s">
        <v>3319</v>
      </c>
      <c r="Y971" s="2" t="s">
        <v>3320</v>
      </c>
      <c r="Z971" s="2" t="s">
        <v>548</v>
      </c>
      <c r="AA971" s="2" t="s">
        <v>45</v>
      </c>
      <c r="AB971" s="2">
        <v>84.9</v>
      </c>
    </row>
    <row r="972" spans="1:28" x14ac:dyDescent="0.25">
      <c r="A972" s="4">
        <v>46264</v>
      </c>
      <c r="B972" s="8" t="s">
        <v>55</v>
      </c>
      <c r="C972" s="8" t="s">
        <v>56</v>
      </c>
      <c r="D972" s="8" t="s">
        <v>50</v>
      </c>
      <c r="E972" s="8" t="s">
        <v>47</v>
      </c>
      <c r="F972" s="13"/>
      <c r="G972" s="59"/>
      <c r="H972" s="6"/>
      <c r="I972" s="6">
        <f t="shared" si="76"/>
        <v>0</v>
      </c>
      <c r="J972" s="2" t="s">
        <v>548</v>
      </c>
      <c r="K972" s="2" t="s">
        <v>548</v>
      </c>
      <c r="L972" s="2" t="s">
        <v>548</v>
      </c>
      <c r="M972" s="2" t="s">
        <v>45</v>
      </c>
      <c r="N972" s="2" t="s">
        <v>548</v>
      </c>
      <c r="O972" s="56">
        <v>0</v>
      </c>
      <c r="P972" s="2" t="s">
        <v>45</v>
      </c>
      <c r="Q972" s="2" t="s">
        <v>45</v>
      </c>
      <c r="R972" s="2" t="s">
        <v>548</v>
      </c>
      <c r="S972" s="2" t="s">
        <v>548</v>
      </c>
      <c r="T972" s="2" t="s">
        <v>45</v>
      </c>
      <c r="U972" s="2" t="s">
        <v>548</v>
      </c>
      <c r="V972" s="2" t="s">
        <v>45</v>
      </c>
      <c r="W972" s="2">
        <v>2675.24</v>
      </c>
      <c r="X972" s="2" t="s">
        <v>3322</v>
      </c>
      <c r="Y972" s="2" t="s">
        <v>3323</v>
      </c>
      <c r="Z972" s="2" t="s">
        <v>548</v>
      </c>
      <c r="AA972" s="2" t="s">
        <v>45</v>
      </c>
      <c r="AB972" s="2">
        <v>342.1</v>
      </c>
    </row>
    <row r="973" spans="1:28" x14ac:dyDescent="0.25">
      <c r="A973" s="4">
        <v>46264</v>
      </c>
      <c r="B973" s="8" t="s">
        <v>55</v>
      </c>
      <c r="C973" s="8" t="s">
        <v>56</v>
      </c>
      <c r="D973" s="8" t="s">
        <v>52</v>
      </c>
      <c r="E973" s="8" t="s">
        <v>47</v>
      </c>
      <c r="F973" s="13"/>
      <c r="G973" s="59"/>
      <c r="H973" s="6"/>
      <c r="I973" s="6">
        <f t="shared" si="76"/>
        <v>0</v>
      </c>
      <c r="J973" s="2" t="s">
        <v>45</v>
      </c>
      <c r="K973" s="2" t="s">
        <v>45</v>
      </c>
      <c r="L973" s="2" t="s">
        <v>45</v>
      </c>
      <c r="M973" s="2" t="s">
        <v>45</v>
      </c>
      <c r="N973" s="2" t="s">
        <v>45</v>
      </c>
      <c r="O973" s="56" t="s">
        <v>45</v>
      </c>
      <c r="P973" s="2" t="s">
        <v>45</v>
      </c>
      <c r="Q973" s="2" t="s">
        <v>45</v>
      </c>
      <c r="R973" s="2" t="s">
        <v>45</v>
      </c>
      <c r="S973" s="2" t="s">
        <v>45</v>
      </c>
      <c r="T973" s="2" t="s">
        <v>45</v>
      </c>
      <c r="U973" s="2" t="s">
        <v>45</v>
      </c>
      <c r="V973" s="2" t="s">
        <v>45</v>
      </c>
      <c r="W973" s="2" t="s">
        <v>45</v>
      </c>
      <c r="X973" s="2" t="s">
        <v>45</v>
      </c>
      <c r="Y973" s="2" t="s">
        <v>45</v>
      </c>
      <c r="Z973" s="2" t="s">
        <v>45</v>
      </c>
      <c r="AA973" s="2" t="s">
        <v>45</v>
      </c>
      <c r="AB973" s="2" t="s">
        <v>45</v>
      </c>
    </row>
    <row r="974" spans="1:28" x14ac:dyDescent="0.25">
      <c r="A974" s="4">
        <v>46264</v>
      </c>
      <c r="B974" s="8" t="s">
        <v>55</v>
      </c>
      <c r="C974" s="8" t="s">
        <v>56</v>
      </c>
      <c r="D974" s="7" t="s">
        <v>46</v>
      </c>
      <c r="E974" s="8" t="s">
        <v>47</v>
      </c>
      <c r="F974" s="13"/>
      <c r="G974" s="59"/>
      <c r="H974" s="6"/>
      <c r="I974" s="6">
        <f t="shared" si="76"/>
        <v>0</v>
      </c>
      <c r="J974" s="2" t="s">
        <v>548</v>
      </c>
      <c r="K974" s="2" t="s">
        <v>548</v>
      </c>
      <c r="L974" s="2" t="s">
        <v>548</v>
      </c>
      <c r="M974" s="2" t="s">
        <v>45</v>
      </c>
      <c r="N974" s="2" t="s">
        <v>548</v>
      </c>
      <c r="O974" s="56">
        <v>0</v>
      </c>
      <c r="P974" s="2" t="s">
        <v>45</v>
      </c>
      <c r="Q974" s="2" t="s">
        <v>45</v>
      </c>
      <c r="R974" s="2" t="s">
        <v>548</v>
      </c>
      <c r="S974" s="2" t="s">
        <v>548</v>
      </c>
      <c r="T974" s="2" t="s">
        <v>45</v>
      </c>
      <c r="U974" s="2" t="s">
        <v>548</v>
      </c>
      <c r="V974" s="2" t="s">
        <v>45</v>
      </c>
      <c r="W974" s="2">
        <v>8316.17</v>
      </c>
      <c r="X974" s="2" t="s">
        <v>3327</v>
      </c>
      <c r="Y974" s="2" t="s">
        <v>3328</v>
      </c>
      <c r="Z974" s="2" t="s">
        <v>548</v>
      </c>
      <c r="AA974" s="2" t="s">
        <v>45</v>
      </c>
      <c r="AB974" s="2">
        <v>259.7</v>
      </c>
    </row>
    <row r="975" spans="1:28" x14ac:dyDescent="0.25">
      <c r="A975" s="4">
        <v>46264</v>
      </c>
      <c r="B975" s="8" t="s">
        <v>3213</v>
      </c>
      <c r="C975" s="8" t="s">
        <v>36</v>
      </c>
      <c r="D975" s="8" t="s">
        <v>48</v>
      </c>
      <c r="E975" s="7" t="s">
        <v>38</v>
      </c>
      <c r="F975" s="13">
        <v>1693</v>
      </c>
      <c r="G975" s="59"/>
      <c r="H975" s="6">
        <f>24000/6</f>
        <v>4000</v>
      </c>
      <c r="I975" s="6">
        <f t="shared" si="76"/>
        <v>595.97315436241615</v>
      </c>
      <c r="J975" s="2">
        <v>3.28</v>
      </c>
      <c r="K975" s="2">
        <v>2.98</v>
      </c>
      <c r="L975" s="2">
        <v>0.3</v>
      </c>
      <c r="M975" s="2">
        <v>9.16</v>
      </c>
      <c r="N975" s="2" t="s">
        <v>1491</v>
      </c>
      <c r="O975" s="56">
        <v>1776</v>
      </c>
      <c r="P975" s="2">
        <v>4.42</v>
      </c>
      <c r="Q975" s="2">
        <v>15.97</v>
      </c>
      <c r="R975" s="2">
        <v>111.2</v>
      </c>
      <c r="S975" s="2">
        <v>2.37</v>
      </c>
      <c r="T975" s="2">
        <v>7.89</v>
      </c>
      <c r="U975" s="2">
        <v>108.83</v>
      </c>
      <c r="V975" s="2">
        <v>36.56</v>
      </c>
      <c r="W975" s="2">
        <v>6869.46</v>
      </c>
      <c r="X975" s="2" t="s">
        <v>3335</v>
      </c>
      <c r="Y975" s="2" t="s">
        <v>3336</v>
      </c>
      <c r="Z975" s="2" t="s">
        <v>548</v>
      </c>
      <c r="AA975" s="2" t="s">
        <v>548</v>
      </c>
      <c r="AB975" s="2">
        <v>49.9</v>
      </c>
    </row>
    <row r="976" spans="1:28" x14ac:dyDescent="0.25">
      <c r="A976" s="4">
        <v>46264</v>
      </c>
      <c r="B976" s="8" t="s">
        <v>55</v>
      </c>
      <c r="C976" s="8" t="s">
        <v>56</v>
      </c>
      <c r="D976" s="8" t="s">
        <v>49</v>
      </c>
      <c r="E976" s="8" t="s">
        <v>47</v>
      </c>
      <c r="F976" s="13"/>
      <c r="G976" s="59"/>
      <c r="H976" s="6"/>
      <c r="I976" s="6">
        <f t="shared" si="76"/>
        <v>0</v>
      </c>
      <c r="J976" s="2" t="s">
        <v>45</v>
      </c>
      <c r="K976" s="2" t="s">
        <v>45</v>
      </c>
      <c r="L976" s="2" t="s">
        <v>45</v>
      </c>
      <c r="M976" s="2" t="s">
        <v>45</v>
      </c>
      <c r="N976" s="2" t="s">
        <v>45</v>
      </c>
      <c r="O976" s="56" t="s">
        <v>45</v>
      </c>
      <c r="P976" s="2" t="s">
        <v>45</v>
      </c>
      <c r="Q976" s="2" t="s">
        <v>45</v>
      </c>
      <c r="R976" s="2" t="s">
        <v>45</v>
      </c>
      <c r="S976" s="2" t="s">
        <v>45</v>
      </c>
      <c r="T976" s="2" t="s">
        <v>45</v>
      </c>
      <c r="U976" s="2" t="s">
        <v>45</v>
      </c>
      <c r="V976" s="2" t="s">
        <v>45</v>
      </c>
      <c r="W976" s="2" t="s">
        <v>45</v>
      </c>
      <c r="X976" s="2" t="s">
        <v>45</v>
      </c>
      <c r="Y976" s="2" t="s">
        <v>45</v>
      </c>
      <c r="Z976" s="2" t="s">
        <v>45</v>
      </c>
      <c r="AA976" s="2" t="s">
        <v>45</v>
      </c>
      <c r="AB976" s="2" t="s">
        <v>45</v>
      </c>
    </row>
    <row r="977" spans="1:28" x14ac:dyDescent="0.25">
      <c r="A977" s="2"/>
      <c r="B977" s="8"/>
      <c r="C977" s="8"/>
      <c r="D977" s="8"/>
      <c r="E977" s="8"/>
      <c r="F977" s="13"/>
      <c r="G977" s="59"/>
      <c r="H977" s="6"/>
      <c r="I977" s="6"/>
      <c r="J977" s="2"/>
      <c r="K977" s="2"/>
      <c r="L977" s="2"/>
      <c r="M977" s="2"/>
      <c r="N977" s="2"/>
      <c r="O977" s="56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</row>
    <row r="978" spans="1:28" x14ac:dyDescent="0.25">
      <c r="A978" s="2"/>
      <c r="B978" s="8"/>
      <c r="C978" s="8"/>
      <c r="D978" s="8"/>
      <c r="E978" s="8"/>
      <c r="F978" s="13"/>
      <c r="G978" s="59"/>
      <c r="H978" s="6"/>
      <c r="I978" s="6"/>
      <c r="J978" s="2"/>
      <c r="K978" s="2"/>
      <c r="L978" s="2"/>
      <c r="M978" s="2"/>
      <c r="N978" s="2"/>
      <c r="O978" s="56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</row>
    <row r="979" spans="1:28" x14ac:dyDescent="0.25">
      <c r="A979" s="2"/>
      <c r="B979" s="8"/>
      <c r="C979" s="8"/>
      <c r="D979" s="8"/>
      <c r="E979" s="8"/>
      <c r="F979" s="13"/>
      <c r="G979" s="59"/>
      <c r="H979" s="6"/>
      <c r="I979" s="6"/>
      <c r="J979" s="2"/>
      <c r="K979" s="2"/>
      <c r="L979" s="2"/>
      <c r="M979" s="2"/>
      <c r="N979" s="2"/>
      <c r="O979" s="56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</row>
    <row r="980" spans="1:28" x14ac:dyDescent="0.25">
      <c r="A980" s="2"/>
      <c r="B980" s="8"/>
      <c r="C980" s="8"/>
      <c r="D980" s="8"/>
      <c r="E980" s="8"/>
      <c r="F980" s="13"/>
      <c r="G980" s="59"/>
      <c r="H980" s="6"/>
      <c r="I980" s="6"/>
      <c r="J980" s="2"/>
      <c r="K980" s="2"/>
      <c r="L980" s="2"/>
      <c r="M980" s="2"/>
      <c r="N980" s="2"/>
      <c r="O980" s="56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</row>
    <row r="981" spans="1:28" x14ac:dyDescent="0.25">
      <c r="A981" s="2"/>
      <c r="B981" s="8"/>
      <c r="C981" s="8"/>
      <c r="D981" s="8"/>
      <c r="E981" s="8"/>
      <c r="F981" s="13"/>
      <c r="G981" s="59"/>
      <c r="H981" s="6"/>
      <c r="I981" s="6"/>
      <c r="J981" s="2"/>
      <c r="K981" s="2"/>
      <c r="L981" s="2"/>
      <c r="M981" s="2"/>
      <c r="N981" s="2"/>
      <c r="O981" s="56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</row>
    <row r="982" spans="1:28" x14ac:dyDescent="0.25">
      <c r="A982" s="2"/>
      <c r="B982" s="8"/>
      <c r="C982" s="8"/>
      <c r="D982" s="8"/>
      <c r="E982" s="8"/>
      <c r="F982" s="13"/>
      <c r="G982" s="59"/>
      <c r="H982" s="6"/>
      <c r="I982" s="6"/>
      <c r="J982" s="2"/>
      <c r="K982" s="2"/>
      <c r="L982" s="2"/>
      <c r="M982" s="2"/>
      <c r="N982" s="2"/>
      <c r="O982" s="56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</row>
    <row r="983" spans="1:28" x14ac:dyDescent="0.25">
      <c r="A983" s="2"/>
      <c r="B983" s="8"/>
      <c r="C983" s="8"/>
      <c r="D983" s="8"/>
      <c r="E983" s="8"/>
      <c r="F983" s="13"/>
      <c r="G983" s="59"/>
      <c r="H983" s="6"/>
      <c r="I983" s="6"/>
      <c r="J983" s="2"/>
      <c r="K983" s="2"/>
      <c r="L983" s="2"/>
      <c r="M983" s="2"/>
      <c r="N983" s="2"/>
      <c r="O983" s="56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</row>
    <row r="984" spans="1:28" x14ac:dyDescent="0.25">
      <c r="A984" s="2"/>
      <c r="B984" s="8"/>
      <c r="C984" s="8"/>
      <c r="D984" s="8"/>
      <c r="E984" s="8"/>
      <c r="F984" s="13"/>
      <c r="G984" s="59"/>
      <c r="H984" s="6"/>
      <c r="I984" s="6"/>
      <c r="J984" s="2"/>
      <c r="K984" s="2"/>
      <c r="L984" s="2"/>
      <c r="M984" s="2"/>
      <c r="N984" s="2"/>
      <c r="O984" s="56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</row>
    <row r="985" spans="1:28" x14ac:dyDescent="0.25">
      <c r="A985" s="2"/>
      <c r="B985" s="8"/>
      <c r="C985" s="8"/>
      <c r="D985" s="8"/>
      <c r="E985" s="8"/>
      <c r="F985" s="13"/>
      <c r="G985" s="59"/>
      <c r="H985" s="6"/>
      <c r="I985" s="6"/>
      <c r="J985" s="2"/>
      <c r="K985" s="2"/>
      <c r="L985" s="2"/>
      <c r="M985" s="2"/>
      <c r="N985" s="2"/>
      <c r="O985" s="56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</row>
    <row r="986" spans="1:28" x14ac:dyDescent="0.25">
      <c r="A986" s="2"/>
      <c r="B986" s="8"/>
      <c r="C986" s="8"/>
      <c r="D986" s="8"/>
      <c r="E986" s="8"/>
      <c r="F986" s="13"/>
      <c r="G986" s="59"/>
      <c r="H986" s="6"/>
      <c r="I986" s="6"/>
      <c r="J986" s="2"/>
      <c r="K986" s="2"/>
      <c r="L986" s="2"/>
      <c r="M986" s="2"/>
      <c r="N986" s="2"/>
      <c r="O986" s="56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</row>
    <row r="987" spans="1:28" x14ac:dyDescent="0.25">
      <c r="A987" s="2"/>
      <c r="B987" s="8"/>
      <c r="C987" s="8"/>
      <c r="D987" s="8"/>
      <c r="E987" s="8"/>
      <c r="F987" s="13"/>
      <c r="G987" s="59"/>
      <c r="H987" s="6"/>
      <c r="I987" s="6"/>
      <c r="J987" s="2"/>
      <c r="K987" s="2"/>
      <c r="L987" s="2"/>
      <c r="M987" s="2"/>
      <c r="N987" s="2"/>
      <c r="O987" s="56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</row>
    <row r="988" spans="1:28" x14ac:dyDescent="0.25">
      <c r="A988" s="2"/>
      <c r="B988" s="8"/>
      <c r="C988" s="8"/>
      <c r="D988" s="8"/>
      <c r="E988" s="8"/>
      <c r="F988" s="13"/>
      <c r="G988" s="59"/>
      <c r="H988" s="6"/>
      <c r="I988" s="6"/>
      <c r="J988" s="2"/>
      <c r="K988" s="2"/>
      <c r="L988" s="2"/>
      <c r="M988" s="2"/>
      <c r="N988" s="2"/>
      <c r="O988" s="56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</row>
    <row r="989" spans="1:28" x14ac:dyDescent="0.25">
      <c r="A989" s="2"/>
      <c r="B989" s="8"/>
      <c r="C989" s="8"/>
      <c r="D989" s="8"/>
      <c r="E989" s="8"/>
      <c r="F989" s="13"/>
      <c r="G989" s="59"/>
      <c r="H989" s="6"/>
      <c r="I989" s="6"/>
      <c r="J989" s="2"/>
      <c r="K989" s="2"/>
      <c r="L989" s="2"/>
      <c r="M989" s="2"/>
      <c r="N989" s="2"/>
      <c r="O989" s="56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</row>
    <row r="990" spans="1:28" x14ac:dyDescent="0.25">
      <c r="A990" s="2"/>
      <c r="B990" s="8"/>
      <c r="C990" s="8"/>
      <c r="D990" s="8"/>
      <c r="E990" s="8"/>
      <c r="F990" s="13"/>
      <c r="G990" s="59"/>
      <c r="H990" s="6"/>
      <c r="I990" s="6"/>
      <c r="J990" s="2"/>
      <c r="K990" s="2"/>
      <c r="L990" s="2"/>
      <c r="M990" s="2"/>
      <c r="N990" s="2"/>
      <c r="O990" s="56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</row>
    <row r="991" spans="1:28" x14ac:dyDescent="0.25">
      <c r="A991" s="2"/>
      <c r="B991" s="8"/>
      <c r="C991" s="8"/>
      <c r="D991" s="8"/>
      <c r="E991" s="8"/>
      <c r="F991" s="13"/>
      <c r="G991" s="59"/>
      <c r="H991" s="6"/>
      <c r="I991" s="6"/>
      <c r="J991" s="2"/>
      <c r="K991" s="2"/>
      <c r="L991" s="2"/>
      <c r="M991" s="2"/>
      <c r="N991" s="2"/>
      <c r="O991" s="56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</row>
    <row r="992" spans="1:28" x14ac:dyDescent="0.25">
      <c r="A992" s="2"/>
      <c r="B992" s="8"/>
      <c r="C992" s="8"/>
      <c r="D992" s="8"/>
      <c r="E992" s="8"/>
      <c r="F992" s="13"/>
      <c r="G992" s="59"/>
      <c r="H992" s="6"/>
      <c r="I992" s="6"/>
      <c r="J992" s="2"/>
      <c r="K992" s="2"/>
      <c r="L992" s="2"/>
      <c r="M992" s="2"/>
      <c r="N992" s="2"/>
      <c r="O992" s="56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</row>
    <row r="993" spans="1:28" x14ac:dyDescent="0.25">
      <c r="A993" s="2"/>
      <c r="B993" s="8"/>
      <c r="C993" s="8"/>
      <c r="D993" s="8"/>
      <c r="E993" s="8"/>
      <c r="F993" s="13"/>
      <c r="G993" s="59"/>
      <c r="H993" s="6"/>
      <c r="I993" s="6"/>
      <c r="J993" s="2"/>
      <c r="K993" s="2"/>
      <c r="L993" s="2"/>
      <c r="M993" s="2"/>
      <c r="N993" s="2"/>
      <c r="O993" s="56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 spans="1:28" x14ac:dyDescent="0.25">
      <c r="A994" s="2"/>
      <c r="B994" s="8"/>
      <c r="C994" s="8"/>
      <c r="D994" s="8"/>
      <c r="E994" s="8"/>
      <c r="F994" s="13"/>
      <c r="G994" s="59"/>
      <c r="H994" s="6"/>
      <c r="I994" s="6"/>
      <c r="J994" s="2"/>
      <c r="K994" s="2"/>
      <c r="L994" s="2"/>
      <c r="M994" s="2"/>
      <c r="N994" s="2"/>
      <c r="O994" s="56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 spans="1:28" x14ac:dyDescent="0.25">
      <c r="A995" s="2"/>
      <c r="B995" s="8"/>
      <c r="C995" s="8"/>
      <c r="D995" s="8"/>
      <c r="E995" s="8"/>
      <c r="F995" s="13"/>
      <c r="G995" s="59"/>
      <c r="H995" s="6"/>
      <c r="I995" s="6"/>
      <c r="J995" s="2"/>
      <c r="K995" s="2"/>
      <c r="L995" s="2"/>
      <c r="M995" s="2"/>
      <c r="N995" s="2"/>
      <c r="O995" s="56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 spans="1:28" x14ac:dyDescent="0.25">
      <c r="A996" s="2"/>
      <c r="B996" s="8"/>
      <c r="C996" s="8"/>
      <c r="D996" s="8"/>
      <c r="E996" s="8"/>
      <c r="F996" s="13"/>
      <c r="G996" s="59"/>
      <c r="H996" s="6"/>
      <c r="I996" s="6"/>
      <c r="J996" s="2"/>
      <c r="K996" s="2"/>
      <c r="L996" s="2"/>
      <c r="M996" s="2"/>
      <c r="N996" s="2"/>
      <c r="O996" s="56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</row>
    <row r="997" spans="1:28" x14ac:dyDescent="0.25">
      <c r="A997" s="2"/>
      <c r="B997" s="8"/>
      <c r="C997" s="8"/>
      <c r="D997" s="8"/>
      <c r="E997" s="8"/>
      <c r="F997" s="13"/>
      <c r="G997" s="59"/>
      <c r="H997" s="6"/>
      <c r="I997" s="6"/>
      <c r="J997" s="2"/>
      <c r="K997" s="2"/>
      <c r="L997" s="2"/>
      <c r="M997" s="2"/>
      <c r="N997" s="2"/>
      <c r="O997" s="56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</row>
    <row r="998" spans="1:28" x14ac:dyDescent="0.25">
      <c r="A998" s="2"/>
      <c r="B998" s="8"/>
      <c r="C998" s="8"/>
      <c r="D998" s="8"/>
      <c r="E998" s="8"/>
      <c r="F998" s="13"/>
      <c r="G998" s="59"/>
      <c r="H998" s="6"/>
      <c r="I998" s="6"/>
      <c r="J998" s="2"/>
      <c r="K998" s="2"/>
      <c r="L998" s="2"/>
      <c r="M998" s="2"/>
      <c r="N998" s="2"/>
      <c r="O998" s="56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</row>
    <row r="999" spans="1:28" x14ac:dyDescent="0.25">
      <c r="A999" s="2"/>
      <c r="B999" s="8"/>
      <c r="C999" s="8"/>
      <c r="D999" s="8"/>
      <c r="E999" s="8"/>
      <c r="F999" s="13"/>
      <c r="G999" s="59"/>
      <c r="H999" s="6"/>
      <c r="I999" s="6"/>
      <c r="J999" s="2"/>
      <c r="K999" s="2"/>
      <c r="L999" s="2"/>
      <c r="M999" s="2"/>
      <c r="N999" s="2"/>
      <c r="O999" s="56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</row>
    <row r="1000" spans="1:28" x14ac:dyDescent="0.25">
      <c r="A1000" s="2"/>
      <c r="B1000" s="8"/>
      <c r="C1000" s="8"/>
      <c r="D1000" s="8"/>
      <c r="E1000" s="8"/>
      <c r="F1000" s="13"/>
      <c r="G1000" s="59"/>
      <c r="H1000" s="6"/>
      <c r="I1000" s="6"/>
      <c r="J1000" s="2"/>
      <c r="K1000" s="2"/>
      <c r="L1000" s="2"/>
      <c r="M1000" s="2"/>
      <c r="N1000" s="2"/>
      <c r="O1000" s="56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</row>
    <row r="1001" spans="1:28" x14ac:dyDescent="0.25">
      <c r="A1001" s="2"/>
      <c r="B1001" s="8"/>
      <c r="C1001" s="8"/>
      <c r="D1001" s="8"/>
      <c r="E1001" s="8"/>
      <c r="F1001" s="13"/>
      <c r="G1001" s="59"/>
      <c r="H1001" s="6"/>
      <c r="I1001" s="6"/>
      <c r="J1001" s="2"/>
      <c r="K1001" s="2"/>
      <c r="L1001" s="2"/>
      <c r="M1001" s="2"/>
      <c r="N1001" s="2"/>
      <c r="O1001" s="56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</row>
    <row r="1002" spans="1:28" x14ac:dyDescent="0.25">
      <c r="A1002" s="2"/>
      <c r="B1002" s="8"/>
      <c r="C1002" s="8"/>
      <c r="D1002" s="8"/>
      <c r="E1002" s="8"/>
      <c r="F1002" s="13"/>
      <c r="G1002" s="59"/>
      <c r="H1002" s="6"/>
      <c r="I1002" s="6"/>
      <c r="J1002" s="2"/>
      <c r="K1002" s="2"/>
      <c r="L1002" s="2"/>
      <c r="M1002" s="2"/>
      <c r="N1002" s="2"/>
      <c r="O1002" s="56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</row>
    <row r="1003" spans="1:28" x14ac:dyDescent="0.25">
      <c r="A1003" s="2"/>
      <c r="B1003" s="8"/>
      <c r="C1003" s="8"/>
      <c r="D1003" s="8"/>
      <c r="E1003" s="8"/>
      <c r="F1003" s="13"/>
      <c r="G1003" s="59"/>
      <c r="H1003" s="6"/>
      <c r="I1003" s="6"/>
      <c r="J1003" s="2"/>
      <c r="K1003" s="2"/>
      <c r="L1003" s="2"/>
      <c r="M1003" s="2"/>
      <c r="N1003" s="2"/>
      <c r="O1003" s="56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</row>
    <row r="1004" spans="1:28" x14ac:dyDescent="0.25">
      <c r="A1004" s="2"/>
      <c r="B1004" s="8"/>
      <c r="C1004" s="8"/>
      <c r="D1004" s="8"/>
      <c r="E1004" s="8"/>
      <c r="F1004" s="13"/>
      <c r="G1004" s="59"/>
      <c r="H1004" s="6"/>
      <c r="I1004" s="6"/>
      <c r="J1004" s="2"/>
      <c r="K1004" s="2"/>
      <c r="L1004" s="2"/>
      <c r="M1004" s="2"/>
      <c r="N1004" s="2"/>
      <c r="O1004" s="56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</row>
    <row r="1005" spans="1:28" x14ac:dyDescent="0.25">
      <c r="A1005" s="2"/>
      <c r="B1005" s="8"/>
      <c r="C1005" s="8"/>
      <c r="D1005" s="8"/>
      <c r="E1005" s="8"/>
      <c r="F1005" s="13"/>
      <c r="G1005" s="59"/>
      <c r="H1005" s="6"/>
      <c r="I1005" s="6"/>
      <c r="J1005" s="2"/>
      <c r="K1005" s="2"/>
      <c r="L1005" s="2"/>
      <c r="M1005" s="2"/>
      <c r="N1005" s="2"/>
      <c r="O1005" s="56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</row>
    <row r="1006" spans="1:28" x14ac:dyDescent="0.25">
      <c r="A1006" s="2"/>
      <c r="B1006" s="8"/>
      <c r="C1006" s="8"/>
      <c r="D1006" s="8"/>
      <c r="E1006" s="8"/>
      <c r="F1006" s="13"/>
      <c r="G1006" s="59"/>
      <c r="H1006" s="6"/>
      <c r="I1006" s="6"/>
      <c r="J1006" s="2"/>
      <c r="K1006" s="2"/>
      <c r="L1006" s="2"/>
      <c r="M1006" s="2"/>
      <c r="N1006" s="2"/>
      <c r="O1006" s="56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</row>
    <row r="1007" spans="1:28" x14ac:dyDescent="0.25">
      <c r="A1007" s="2"/>
      <c r="B1007" s="8"/>
      <c r="C1007" s="8"/>
      <c r="D1007" s="8"/>
      <c r="E1007" s="8"/>
      <c r="F1007" s="13"/>
      <c r="G1007" s="59"/>
      <c r="H1007" s="6"/>
      <c r="I1007" s="6"/>
      <c r="J1007" s="2"/>
      <c r="K1007" s="2"/>
      <c r="L1007" s="2"/>
      <c r="M1007" s="2"/>
      <c r="N1007" s="2"/>
      <c r="O1007" s="56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</row>
    <row r="1008" spans="1:28" x14ac:dyDescent="0.25">
      <c r="A1008" s="2"/>
      <c r="B1008" s="8"/>
      <c r="C1008" s="8"/>
      <c r="D1008" s="8"/>
      <c r="E1008" s="8"/>
      <c r="F1008" s="13"/>
      <c r="G1008" s="59"/>
      <c r="H1008" s="6"/>
      <c r="I1008" s="6"/>
      <c r="J1008" s="2"/>
      <c r="K1008" s="2"/>
      <c r="L1008" s="2"/>
      <c r="M1008" s="2"/>
      <c r="N1008" s="2"/>
      <c r="O1008" s="56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</row>
    <row r="1009" spans="1:28" x14ac:dyDescent="0.25">
      <c r="A1009" s="2"/>
      <c r="B1009" s="8"/>
      <c r="C1009" s="8"/>
      <c r="D1009" s="8"/>
      <c r="E1009" s="8"/>
      <c r="F1009" s="13"/>
      <c r="G1009" s="59"/>
      <c r="H1009" s="6"/>
      <c r="I1009" s="6"/>
      <c r="J1009" s="2"/>
      <c r="K1009" s="2"/>
      <c r="L1009" s="2"/>
      <c r="M1009" s="2"/>
      <c r="N1009" s="2"/>
      <c r="O1009" s="56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</row>
    <row r="1010" spans="1:28" x14ac:dyDescent="0.25">
      <c r="A1010" s="2"/>
      <c r="B1010" s="8"/>
      <c r="C1010" s="8"/>
      <c r="D1010" s="8"/>
      <c r="E1010" s="8"/>
      <c r="F1010" s="13"/>
      <c r="G1010" s="59"/>
      <c r="H1010" s="6"/>
      <c r="I1010" s="6"/>
      <c r="J1010" s="2"/>
      <c r="K1010" s="2"/>
      <c r="L1010" s="2"/>
      <c r="M1010" s="2"/>
      <c r="N1010" s="2"/>
      <c r="O1010" s="56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</row>
    <row r="1011" spans="1:28" x14ac:dyDescent="0.25">
      <c r="A1011" s="2"/>
      <c r="B1011" s="8"/>
      <c r="C1011" s="8"/>
      <c r="D1011" s="8"/>
      <c r="E1011" s="8"/>
      <c r="F1011" s="13"/>
      <c r="G1011" s="59"/>
      <c r="H1011" s="6"/>
      <c r="I1011" s="6"/>
      <c r="J1011" s="2"/>
      <c r="K1011" s="2"/>
      <c r="L1011" s="2"/>
      <c r="M1011" s="2"/>
      <c r="N1011" s="2"/>
      <c r="O1011" s="56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</row>
    <row r="1012" spans="1:28" x14ac:dyDescent="0.25">
      <c r="A1012" s="2"/>
      <c r="B1012" s="8"/>
      <c r="C1012" s="8"/>
      <c r="D1012" s="8"/>
      <c r="E1012" s="8"/>
      <c r="F1012" s="13"/>
      <c r="G1012" s="59"/>
      <c r="H1012" s="6"/>
      <c r="I1012" s="6"/>
      <c r="J1012" s="2"/>
      <c r="K1012" s="2"/>
      <c r="L1012" s="2"/>
      <c r="M1012" s="2"/>
      <c r="N1012" s="2"/>
      <c r="O1012" s="56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</row>
    <row r="1013" spans="1:28" x14ac:dyDescent="0.25">
      <c r="A1013" s="2"/>
      <c r="B1013" s="8"/>
      <c r="C1013" s="8"/>
      <c r="D1013" s="8"/>
      <c r="E1013" s="8"/>
      <c r="F1013" s="13"/>
      <c r="G1013" s="59"/>
      <c r="H1013" s="6"/>
      <c r="I1013" s="6"/>
      <c r="J1013" s="2"/>
      <c r="K1013" s="2"/>
      <c r="L1013" s="2"/>
      <c r="M1013" s="2"/>
      <c r="N1013" s="2"/>
      <c r="O1013" s="56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</row>
    <row r="1014" spans="1:28" x14ac:dyDescent="0.25">
      <c r="A1014" s="2"/>
      <c r="B1014" s="8"/>
      <c r="C1014" s="8"/>
      <c r="D1014" s="8"/>
      <c r="E1014" s="8"/>
      <c r="F1014" s="13"/>
      <c r="G1014" s="59"/>
      <c r="H1014" s="6"/>
      <c r="I1014" s="6"/>
      <c r="J1014" s="2"/>
      <c r="K1014" s="2"/>
      <c r="L1014" s="2"/>
      <c r="M1014" s="2"/>
      <c r="N1014" s="2"/>
      <c r="O1014" s="56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</row>
    <row r="1015" spans="1:28" x14ac:dyDescent="0.25">
      <c r="A1015" s="2"/>
      <c r="B1015" s="8"/>
      <c r="C1015" s="8"/>
      <c r="D1015" s="8"/>
      <c r="E1015" s="8"/>
      <c r="F1015" s="13"/>
      <c r="G1015" s="59"/>
      <c r="H1015" s="6"/>
      <c r="I1015" s="6"/>
      <c r="J1015" s="2"/>
      <c r="K1015" s="2"/>
      <c r="L1015" s="2"/>
      <c r="M1015" s="2"/>
      <c r="N1015" s="2"/>
      <c r="O1015" s="56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</row>
    <row r="1016" spans="1:28" x14ac:dyDescent="0.25">
      <c r="A1016" s="2"/>
      <c r="B1016" s="8"/>
      <c r="C1016" s="8"/>
      <c r="D1016" s="8"/>
      <c r="E1016" s="8"/>
      <c r="F1016" s="13"/>
      <c r="G1016" s="59"/>
      <c r="H1016" s="6"/>
      <c r="I1016" s="6"/>
      <c r="J1016" s="2"/>
      <c r="K1016" s="2"/>
      <c r="L1016" s="2"/>
      <c r="M1016" s="2"/>
      <c r="N1016" s="2"/>
      <c r="O1016" s="56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</row>
    <row r="1017" spans="1:28" x14ac:dyDescent="0.25">
      <c r="A1017" s="2"/>
      <c r="B1017" s="8"/>
      <c r="C1017" s="8"/>
      <c r="D1017" s="8"/>
      <c r="E1017" s="8"/>
      <c r="F1017" s="13"/>
      <c r="G1017" s="59"/>
      <c r="H1017" s="6"/>
      <c r="I1017" s="6"/>
      <c r="J1017" s="2"/>
      <c r="K1017" s="2"/>
      <c r="L1017" s="2"/>
      <c r="M1017" s="2"/>
      <c r="N1017" s="2"/>
      <c r="O1017" s="56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</row>
    <row r="1018" spans="1:28" x14ac:dyDescent="0.25">
      <c r="A1018" s="2"/>
      <c r="B1018" s="8"/>
      <c r="C1018" s="8"/>
      <c r="D1018" s="8"/>
      <c r="E1018" s="8"/>
      <c r="F1018" s="13"/>
      <c r="G1018" s="59"/>
      <c r="H1018" s="6"/>
      <c r="I1018" s="6"/>
      <c r="J1018" s="2"/>
      <c r="K1018" s="2"/>
      <c r="L1018" s="2"/>
      <c r="M1018" s="2"/>
      <c r="N1018" s="2"/>
      <c r="O1018" s="56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</row>
    <row r="1019" spans="1:28" x14ac:dyDescent="0.25">
      <c r="A1019" s="2"/>
      <c r="B1019" s="8"/>
      <c r="C1019" s="8"/>
      <c r="D1019" s="8"/>
      <c r="E1019" s="8"/>
      <c r="F1019" s="13"/>
      <c r="G1019" s="59"/>
      <c r="H1019" s="6"/>
      <c r="I1019" s="6"/>
      <c r="J1019" s="2"/>
      <c r="K1019" s="2"/>
      <c r="L1019" s="2"/>
      <c r="M1019" s="2"/>
      <c r="N1019" s="2"/>
      <c r="O1019" s="56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</row>
    <row r="1020" spans="1:28" x14ac:dyDescent="0.25">
      <c r="A1020" s="2"/>
      <c r="B1020" s="8"/>
      <c r="C1020" s="8"/>
      <c r="D1020" s="8"/>
      <c r="E1020" s="8"/>
      <c r="F1020" s="13"/>
      <c r="G1020" s="59"/>
      <c r="H1020" s="6"/>
      <c r="I1020" s="6"/>
      <c r="J1020" s="2"/>
      <c r="K1020" s="2"/>
      <c r="L1020" s="2"/>
      <c r="M1020" s="2"/>
      <c r="N1020" s="2"/>
      <c r="O1020" s="56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</row>
    <row r="1021" spans="1:28" x14ac:dyDescent="0.25">
      <c r="A1021" s="2"/>
      <c r="B1021" s="8"/>
      <c r="C1021" s="8"/>
      <c r="D1021" s="8"/>
      <c r="E1021" s="8"/>
      <c r="F1021" s="13"/>
      <c r="G1021" s="59"/>
      <c r="H1021" s="6"/>
      <c r="I1021" s="6"/>
      <c r="J1021" s="2"/>
      <c r="K1021" s="2"/>
      <c r="L1021" s="2"/>
      <c r="M1021" s="2"/>
      <c r="N1021" s="2"/>
      <c r="O1021" s="56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</row>
    <row r="1022" spans="1:28" x14ac:dyDescent="0.25">
      <c r="A1022" s="2"/>
      <c r="B1022" s="8"/>
      <c r="C1022" s="8"/>
      <c r="D1022" s="8"/>
      <c r="E1022" s="8"/>
      <c r="F1022" s="13"/>
      <c r="G1022" s="59"/>
      <c r="H1022" s="6"/>
      <c r="I1022" s="6"/>
      <c r="J1022" s="2"/>
      <c r="K1022" s="2"/>
      <c r="L1022" s="2"/>
      <c r="M1022" s="2"/>
      <c r="N1022" s="2"/>
      <c r="O1022" s="56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</row>
    <row r="1023" spans="1:28" x14ac:dyDescent="0.25">
      <c r="A1023" s="2"/>
      <c r="B1023" s="8"/>
      <c r="C1023" s="8"/>
      <c r="D1023" s="8"/>
      <c r="E1023" s="8"/>
      <c r="F1023" s="13"/>
      <c r="G1023" s="59"/>
      <c r="H1023" s="6"/>
      <c r="I1023" s="6"/>
      <c r="J1023" s="2"/>
      <c r="K1023" s="2"/>
      <c r="L1023" s="2"/>
      <c r="M1023" s="2"/>
      <c r="N1023" s="2"/>
      <c r="O1023" s="56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</row>
    <row r="1024" spans="1:28" x14ac:dyDescent="0.25">
      <c r="A1024" s="2"/>
      <c r="B1024" s="8"/>
      <c r="C1024" s="8"/>
      <c r="D1024" s="8"/>
      <c r="E1024" s="8"/>
      <c r="F1024" s="13"/>
      <c r="G1024" s="59"/>
      <c r="H1024" s="6"/>
      <c r="I1024" s="6"/>
      <c r="J1024" s="2"/>
      <c r="K1024" s="2"/>
      <c r="L1024" s="2"/>
      <c r="M1024" s="2"/>
      <c r="N1024" s="2"/>
      <c r="O1024" s="56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</row>
    <row r="1025" spans="1:28" x14ac:dyDescent="0.25">
      <c r="A1025" s="2"/>
      <c r="B1025" s="8"/>
      <c r="C1025" s="8"/>
      <c r="D1025" s="8"/>
      <c r="E1025" s="8"/>
      <c r="F1025" s="13"/>
      <c r="G1025" s="59"/>
      <c r="H1025" s="6"/>
      <c r="I1025" s="6"/>
      <c r="J1025" s="2"/>
      <c r="K1025" s="2"/>
      <c r="L1025" s="2"/>
      <c r="M1025" s="2"/>
      <c r="N1025" s="2"/>
      <c r="O1025" s="56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</row>
    <row r="1026" spans="1:28" x14ac:dyDescent="0.25">
      <c r="A1026" s="2"/>
      <c r="B1026" s="8"/>
      <c r="C1026" s="8"/>
      <c r="D1026" s="8"/>
      <c r="E1026" s="8"/>
      <c r="F1026" s="13"/>
      <c r="G1026" s="59"/>
      <c r="H1026" s="6"/>
      <c r="I1026" s="6"/>
      <c r="J1026" s="2"/>
      <c r="K1026" s="2"/>
      <c r="L1026" s="2"/>
      <c r="M1026" s="2"/>
      <c r="N1026" s="2"/>
      <c r="O1026" s="56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</row>
    <row r="1027" spans="1:28" x14ac:dyDescent="0.25">
      <c r="A1027" s="2"/>
      <c r="B1027" s="8"/>
      <c r="C1027" s="8"/>
      <c r="D1027" s="8"/>
      <c r="E1027" s="8"/>
      <c r="F1027" s="13"/>
      <c r="G1027" s="59"/>
      <c r="H1027" s="6"/>
      <c r="I1027" s="6"/>
      <c r="J1027" s="2"/>
      <c r="K1027" s="2"/>
      <c r="L1027" s="2"/>
      <c r="M1027" s="2"/>
      <c r="N1027" s="2"/>
      <c r="O1027" s="56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</row>
    <row r="1028" spans="1:28" x14ac:dyDescent="0.25">
      <c r="A1028" s="2"/>
      <c r="B1028" s="8"/>
      <c r="C1028" s="8"/>
      <c r="D1028" s="8"/>
      <c r="E1028" s="8"/>
      <c r="F1028" s="13"/>
      <c r="G1028" s="59"/>
      <c r="H1028" s="6"/>
      <c r="I1028" s="6"/>
      <c r="J1028" s="2"/>
      <c r="K1028" s="2"/>
      <c r="L1028" s="2"/>
      <c r="M1028" s="2"/>
      <c r="N1028" s="2"/>
      <c r="O1028" s="56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</row>
    <row r="1029" spans="1:28" x14ac:dyDescent="0.25">
      <c r="A1029" s="2"/>
      <c r="B1029" s="8"/>
      <c r="C1029" s="8"/>
      <c r="D1029" s="8"/>
      <c r="E1029" s="8"/>
      <c r="F1029" s="13"/>
      <c r="G1029" s="59"/>
      <c r="H1029" s="6"/>
      <c r="I1029" s="6"/>
      <c r="J1029" s="2"/>
      <c r="K1029" s="2"/>
      <c r="L1029" s="2"/>
      <c r="M1029" s="2"/>
      <c r="N1029" s="2"/>
      <c r="O1029" s="56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</row>
    <row r="1030" spans="1:28" x14ac:dyDescent="0.25">
      <c r="A1030" s="2"/>
      <c r="B1030" s="8"/>
      <c r="C1030" s="8"/>
      <c r="D1030" s="8"/>
      <c r="E1030" s="8"/>
      <c r="F1030" s="13"/>
      <c r="G1030" s="59"/>
      <c r="H1030" s="6"/>
      <c r="I1030" s="6"/>
      <c r="J1030" s="2"/>
      <c r="K1030" s="2"/>
      <c r="L1030" s="2"/>
      <c r="M1030" s="2"/>
      <c r="N1030" s="2"/>
      <c r="O1030" s="56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</row>
    <row r="1031" spans="1:28" x14ac:dyDescent="0.25">
      <c r="A1031" s="2"/>
      <c r="B1031" s="8"/>
      <c r="C1031" s="8"/>
      <c r="D1031" s="8"/>
      <c r="E1031" s="8"/>
      <c r="F1031" s="13"/>
      <c r="G1031" s="59"/>
      <c r="H1031" s="6"/>
      <c r="I1031" s="6"/>
      <c r="J1031" s="2"/>
      <c r="K1031" s="2"/>
      <c r="L1031" s="2"/>
      <c r="M1031" s="2"/>
      <c r="N1031" s="2"/>
      <c r="O1031" s="56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</row>
    <row r="1032" spans="1:28" x14ac:dyDescent="0.25">
      <c r="A1032" s="2"/>
      <c r="B1032" s="8"/>
      <c r="C1032" s="8"/>
      <c r="D1032" s="8"/>
      <c r="E1032" s="8"/>
      <c r="F1032" s="13"/>
      <c r="G1032" s="59"/>
      <c r="H1032" s="6"/>
      <c r="I1032" s="6"/>
      <c r="J1032" s="2"/>
      <c r="K1032" s="2"/>
      <c r="L1032" s="2"/>
      <c r="M1032" s="2"/>
      <c r="N1032" s="2"/>
      <c r="O1032" s="56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</row>
    <row r="1033" spans="1:28" x14ac:dyDescent="0.25">
      <c r="A1033" s="2"/>
      <c r="B1033" s="8"/>
      <c r="C1033" s="8"/>
      <c r="D1033" s="8"/>
      <c r="E1033" s="8"/>
      <c r="F1033" s="13"/>
      <c r="G1033" s="59"/>
      <c r="H1033" s="6"/>
      <c r="I1033" s="6"/>
      <c r="J1033" s="2"/>
      <c r="K1033" s="2"/>
      <c r="L1033" s="2"/>
      <c r="M1033" s="2"/>
      <c r="N1033" s="2"/>
      <c r="O1033" s="56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</row>
    <row r="1034" spans="1:28" x14ac:dyDescent="0.25">
      <c r="A1034" s="2"/>
      <c r="B1034" s="8"/>
      <c r="C1034" s="8"/>
      <c r="D1034" s="8"/>
      <c r="E1034" s="8"/>
      <c r="F1034" s="13"/>
      <c r="G1034" s="59"/>
      <c r="H1034" s="6"/>
      <c r="I1034" s="6"/>
      <c r="J1034" s="2"/>
      <c r="K1034" s="2"/>
      <c r="L1034" s="2"/>
      <c r="M1034" s="2"/>
      <c r="N1034" s="2"/>
      <c r="O1034" s="56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</row>
    <row r="1035" spans="1:28" x14ac:dyDescent="0.25">
      <c r="A1035" s="2"/>
      <c r="B1035" s="8"/>
      <c r="C1035" s="8"/>
      <c r="D1035" s="8"/>
      <c r="E1035" s="8"/>
      <c r="F1035" s="13"/>
      <c r="G1035" s="59"/>
      <c r="H1035" s="6"/>
      <c r="I1035" s="6"/>
      <c r="J1035" s="2"/>
      <c r="K1035" s="2"/>
      <c r="L1035" s="2"/>
      <c r="M1035" s="2"/>
      <c r="N1035" s="2"/>
      <c r="O1035" s="56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</row>
    <row r="1036" spans="1:28" x14ac:dyDescent="0.25">
      <c r="A1036" s="2"/>
      <c r="B1036" s="8"/>
      <c r="C1036" s="8"/>
      <c r="D1036" s="8"/>
      <c r="E1036" s="8"/>
      <c r="F1036" s="13"/>
      <c r="G1036" s="59"/>
      <c r="H1036" s="6"/>
      <c r="I1036" s="6"/>
      <c r="J1036" s="2"/>
      <c r="K1036" s="2"/>
      <c r="L1036" s="2"/>
      <c r="M1036" s="2"/>
      <c r="N1036" s="2"/>
      <c r="O1036" s="56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</row>
    <row r="1037" spans="1:28" x14ac:dyDescent="0.25">
      <c r="A1037" s="2"/>
      <c r="B1037" s="8"/>
      <c r="C1037" s="8"/>
      <c r="D1037" s="8"/>
      <c r="E1037" s="8"/>
      <c r="F1037" s="13"/>
      <c r="G1037" s="59"/>
      <c r="H1037" s="6"/>
      <c r="I1037" s="6"/>
      <c r="J1037" s="2"/>
      <c r="K1037" s="2"/>
      <c r="L1037" s="2"/>
      <c r="M1037" s="2"/>
      <c r="N1037" s="2"/>
      <c r="O1037" s="56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</row>
    <row r="1038" spans="1:28" x14ac:dyDescent="0.25">
      <c r="A1038" s="2"/>
      <c r="B1038" s="8"/>
      <c r="C1038" s="8"/>
      <c r="D1038" s="8"/>
      <c r="E1038" s="8"/>
      <c r="F1038" s="13"/>
      <c r="G1038" s="59"/>
      <c r="H1038" s="6"/>
      <c r="I1038" s="6"/>
      <c r="J1038" s="2"/>
      <c r="K1038" s="2"/>
      <c r="L1038" s="2"/>
      <c r="M1038" s="2"/>
      <c r="N1038" s="2"/>
      <c r="O1038" s="56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</row>
    <row r="1039" spans="1:28" x14ac:dyDescent="0.25">
      <c r="A1039" s="2"/>
      <c r="B1039" s="8"/>
      <c r="C1039" s="8"/>
      <c r="D1039" s="8"/>
      <c r="E1039" s="8"/>
      <c r="F1039" s="13"/>
      <c r="G1039" s="59"/>
      <c r="H1039" s="6"/>
      <c r="I1039" s="6"/>
      <c r="J1039" s="2"/>
      <c r="K1039" s="2"/>
      <c r="L1039" s="2"/>
      <c r="M1039" s="2"/>
      <c r="N1039" s="2"/>
      <c r="O1039" s="56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</row>
    <row r="1040" spans="1:28" x14ac:dyDescent="0.25">
      <c r="A1040" s="2"/>
      <c r="B1040" s="8"/>
      <c r="C1040" s="8"/>
      <c r="D1040" s="8"/>
      <c r="E1040" s="8"/>
      <c r="F1040" s="13"/>
      <c r="G1040" s="59"/>
      <c r="H1040" s="6"/>
      <c r="I1040" s="6"/>
      <c r="J1040" s="2"/>
      <c r="K1040" s="2"/>
      <c r="L1040" s="2"/>
      <c r="M1040" s="2"/>
      <c r="N1040" s="2"/>
      <c r="O1040" s="56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</row>
    <row r="1041" spans="1:28" x14ac:dyDescent="0.25">
      <c r="A1041" s="2"/>
      <c r="B1041" s="8"/>
      <c r="C1041" s="8"/>
      <c r="D1041" s="8"/>
      <c r="E1041" s="8"/>
      <c r="F1041" s="13"/>
      <c r="G1041" s="59"/>
      <c r="H1041" s="6"/>
      <c r="I1041" s="6"/>
      <c r="J1041" s="2"/>
      <c r="K1041" s="2"/>
      <c r="L1041" s="2"/>
      <c r="M1041" s="2"/>
      <c r="N1041" s="2"/>
      <c r="O1041" s="56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</row>
    <row r="1042" spans="1:28" x14ac:dyDescent="0.25">
      <c r="A1042" s="2"/>
      <c r="B1042" s="8"/>
      <c r="C1042" s="8"/>
      <c r="D1042" s="8"/>
      <c r="E1042" s="8"/>
      <c r="F1042" s="13"/>
      <c r="G1042" s="59"/>
      <c r="H1042" s="6"/>
      <c r="I1042" s="6"/>
      <c r="J1042" s="2"/>
      <c r="K1042" s="2"/>
      <c r="L1042" s="2"/>
      <c r="M1042" s="2"/>
      <c r="N1042" s="2"/>
      <c r="O1042" s="56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</row>
    <row r="1043" spans="1:28" x14ac:dyDescent="0.25">
      <c r="A1043" s="2"/>
      <c r="B1043" s="8"/>
      <c r="C1043" s="8"/>
      <c r="D1043" s="8"/>
      <c r="E1043" s="8"/>
      <c r="F1043" s="13"/>
      <c r="G1043" s="59"/>
      <c r="H1043" s="6"/>
      <c r="I1043" s="6"/>
      <c r="J1043" s="2"/>
      <c r="K1043" s="2"/>
      <c r="L1043" s="2"/>
      <c r="M1043" s="2"/>
      <c r="N1043" s="2"/>
      <c r="O1043" s="56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</row>
    <row r="1044" spans="1:28" x14ac:dyDescent="0.25">
      <c r="A1044" s="2"/>
      <c r="B1044" s="8"/>
      <c r="C1044" s="8"/>
      <c r="D1044" s="8"/>
      <c r="E1044" s="8"/>
      <c r="F1044" s="13"/>
      <c r="G1044" s="59"/>
      <c r="H1044" s="6"/>
      <c r="I1044" s="6"/>
      <c r="J1044" s="2"/>
      <c r="K1044" s="2"/>
      <c r="L1044" s="2"/>
      <c r="M1044" s="2"/>
      <c r="N1044" s="2"/>
      <c r="O1044" s="56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</row>
    <row r="1045" spans="1:28" x14ac:dyDescent="0.25">
      <c r="A1045" s="2"/>
      <c r="B1045" s="8"/>
      <c r="C1045" s="8"/>
      <c r="D1045" s="8"/>
      <c r="E1045" s="8"/>
      <c r="F1045" s="13"/>
      <c r="G1045" s="59"/>
      <c r="H1045" s="6"/>
      <c r="I1045" s="6"/>
      <c r="J1045" s="2"/>
      <c r="K1045" s="2"/>
      <c r="L1045" s="2"/>
      <c r="M1045" s="2"/>
      <c r="N1045" s="2"/>
      <c r="O1045" s="56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</row>
    <row r="1046" spans="1:28" x14ac:dyDescent="0.25">
      <c r="A1046" s="2"/>
      <c r="B1046" s="8"/>
      <c r="C1046" s="8"/>
      <c r="D1046" s="8"/>
      <c r="E1046" s="8"/>
      <c r="F1046" s="13"/>
      <c r="G1046" s="59"/>
      <c r="H1046" s="6"/>
      <c r="I1046" s="6"/>
      <c r="J1046" s="2"/>
      <c r="K1046" s="2"/>
      <c r="L1046" s="2"/>
      <c r="M1046" s="2"/>
      <c r="N1046" s="2"/>
      <c r="O1046" s="56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</row>
    <row r="1047" spans="1:28" x14ac:dyDescent="0.25">
      <c r="A1047" s="2"/>
      <c r="B1047" s="8"/>
      <c r="C1047" s="8"/>
      <c r="D1047" s="8"/>
      <c r="E1047" s="8"/>
      <c r="F1047" s="13"/>
      <c r="G1047" s="59"/>
      <c r="H1047" s="6"/>
      <c r="I1047" s="6"/>
      <c r="J1047" s="2"/>
      <c r="K1047" s="2"/>
      <c r="L1047" s="2"/>
      <c r="M1047" s="2"/>
      <c r="N1047" s="2"/>
      <c r="O1047" s="56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</row>
    <row r="1048" spans="1:28" x14ac:dyDescent="0.25">
      <c r="A1048" s="2"/>
      <c r="B1048" s="8"/>
      <c r="C1048" s="8"/>
      <c r="D1048" s="8"/>
      <c r="E1048" s="8"/>
      <c r="F1048" s="13"/>
      <c r="G1048" s="59"/>
      <c r="H1048" s="6"/>
      <c r="I1048" s="6"/>
      <c r="J1048" s="2"/>
      <c r="K1048" s="2"/>
      <c r="L1048" s="2"/>
      <c r="M1048" s="2"/>
      <c r="N1048" s="2"/>
      <c r="O1048" s="56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</row>
    <row r="1049" spans="1:28" x14ac:dyDescent="0.25">
      <c r="A1049" s="2"/>
      <c r="B1049" s="8"/>
      <c r="C1049" s="8"/>
      <c r="D1049" s="8"/>
      <c r="E1049" s="8"/>
      <c r="F1049" s="13"/>
      <c r="G1049" s="59"/>
      <c r="H1049" s="6"/>
      <c r="I1049" s="6"/>
      <c r="J1049" s="2"/>
      <c r="K1049" s="2"/>
      <c r="L1049" s="2"/>
      <c r="M1049" s="2"/>
      <c r="N1049" s="2"/>
      <c r="O1049" s="56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</row>
    <row r="1050" spans="1:28" x14ac:dyDescent="0.25">
      <c r="A1050" s="2"/>
      <c r="B1050" s="8"/>
      <c r="C1050" s="8"/>
      <c r="D1050" s="8"/>
      <c r="E1050" s="8"/>
      <c r="F1050" s="13"/>
      <c r="G1050" s="59"/>
      <c r="H1050" s="6"/>
      <c r="I1050" s="6"/>
      <c r="J1050" s="2"/>
      <c r="K1050" s="2"/>
      <c r="L1050" s="2"/>
      <c r="M1050" s="2"/>
      <c r="N1050" s="2"/>
      <c r="O1050" s="56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</row>
    <row r="1051" spans="1:28" x14ac:dyDescent="0.25">
      <c r="A1051" s="2"/>
      <c r="B1051" s="8"/>
      <c r="C1051" s="8"/>
      <c r="D1051" s="8"/>
      <c r="E1051" s="8"/>
      <c r="F1051" s="13"/>
      <c r="G1051" s="59"/>
      <c r="H1051" s="6"/>
      <c r="I1051" s="6"/>
      <c r="J1051" s="2"/>
      <c r="K1051" s="2"/>
      <c r="L1051" s="2"/>
      <c r="M1051" s="2"/>
      <c r="N1051" s="2"/>
      <c r="O1051" s="56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</row>
    <row r="1052" spans="1:28" x14ac:dyDescent="0.25">
      <c r="A1052" s="2"/>
      <c r="B1052" s="8"/>
      <c r="C1052" s="8"/>
      <c r="D1052" s="8"/>
      <c r="E1052" s="8"/>
      <c r="F1052" s="13"/>
      <c r="G1052" s="59"/>
      <c r="H1052" s="6"/>
      <c r="I1052" s="6"/>
      <c r="J1052" s="2"/>
      <c r="K1052" s="2"/>
      <c r="L1052" s="2"/>
      <c r="M1052" s="2"/>
      <c r="N1052" s="2"/>
      <c r="O1052" s="56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</row>
    <row r="1053" spans="1:28" x14ac:dyDescent="0.25">
      <c r="A1053" s="2"/>
      <c r="B1053" s="8"/>
      <c r="C1053" s="8"/>
      <c r="D1053" s="8"/>
      <c r="E1053" s="8"/>
      <c r="F1053" s="13"/>
      <c r="G1053" s="59"/>
      <c r="H1053" s="6"/>
      <c r="I1053" s="6"/>
      <c r="J1053" s="2"/>
      <c r="K1053" s="2"/>
      <c r="L1053" s="2"/>
      <c r="M1053" s="2"/>
      <c r="N1053" s="2"/>
      <c r="O1053" s="56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</row>
    <row r="1054" spans="1:28" x14ac:dyDescent="0.25">
      <c r="A1054" s="2"/>
      <c r="B1054" s="8"/>
      <c r="C1054" s="8"/>
      <c r="D1054" s="8"/>
      <c r="E1054" s="8"/>
      <c r="F1054" s="13"/>
      <c r="G1054" s="59"/>
      <c r="H1054" s="6"/>
      <c r="I1054" s="6"/>
      <c r="J1054" s="2"/>
      <c r="K1054" s="2"/>
      <c r="L1054" s="2"/>
      <c r="M1054" s="2"/>
      <c r="N1054" s="2"/>
      <c r="O1054" s="56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</row>
    <row r="1055" spans="1:28" x14ac:dyDescent="0.25">
      <c r="A1055" s="2"/>
      <c r="B1055" s="8"/>
      <c r="C1055" s="8"/>
      <c r="D1055" s="8"/>
      <c r="E1055" s="8"/>
      <c r="F1055" s="13"/>
      <c r="G1055" s="59"/>
      <c r="H1055" s="6"/>
      <c r="I1055" s="6"/>
      <c r="J1055" s="2"/>
      <c r="K1055" s="2"/>
      <c r="L1055" s="2"/>
      <c r="M1055" s="2"/>
      <c r="N1055" s="2"/>
      <c r="O1055" s="56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</row>
    <row r="1056" spans="1:28" x14ac:dyDescent="0.25">
      <c r="A1056" s="2"/>
      <c r="B1056" s="8"/>
      <c r="C1056" s="8"/>
      <c r="D1056" s="8"/>
      <c r="E1056" s="8"/>
      <c r="F1056" s="13"/>
      <c r="G1056" s="59"/>
      <c r="H1056" s="6"/>
      <c r="I1056" s="6"/>
      <c r="J1056" s="2"/>
      <c r="K1056" s="2"/>
      <c r="L1056" s="2"/>
      <c r="M1056" s="2"/>
      <c r="N1056" s="2"/>
      <c r="O1056" s="56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</row>
    <row r="1057" spans="1:28" x14ac:dyDescent="0.25">
      <c r="A1057" s="2"/>
      <c r="B1057" s="8"/>
      <c r="C1057" s="8"/>
      <c r="D1057" s="8"/>
      <c r="E1057" s="8"/>
      <c r="F1057" s="13"/>
      <c r="G1057" s="59"/>
      <c r="H1057" s="6"/>
      <c r="I1057" s="6"/>
      <c r="J1057" s="2"/>
      <c r="K1057" s="2"/>
      <c r="L1057" s="2"/>
      <c r="M1057" s="2"/>
      <c r="N1057" s="2"/>
      <c r="O1057" s="56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</row>
    <row r="1058" spans="1:28" x14ac:dyDescent="0.25">
      <c r="A1058" s="2"/>
      <c r="B1058" s="8"/>
      <c r="C1058" s="8"/>
      <c r="D1058" s="8"/>
      <c r="E1058" s="8"/>
      <c r="F1058" s="13"/>
      <c r="G1058" s="59"/>
      <c r="H1058" s="6"/>
      <c r="I1058" s="6"/>
      <c r="J1058" s="2"/>
      <c r="K1058" s="2"/>
      <c r="L1058" s="2"/>
      <c r="M1058" s="2"/>
      <c r="N1058" s="2"/>
      <c r="O1058" s="56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</row>
    <row r="1059" spans="1:28" x14ac:dyDescent="0.25">
      <c r="A1059" s="2"/>
      <c r="B1059" s="8"/>
      <c r="C1059" s="8"/>
      <c r="D1059" s="8"/>
      <c r="E1059" s="8"/>
      <c r="F1059" s="13"/>
      <c r="G1059" s="59"/>
      <c r="H1059" s="6"/>
      <c r="I1059" s="6"/>
      <c r="J1059" s="2"/>
      <c r="K1059" s="2"/>
      <c r="L1059" s="2"/>
      <c r="M1059" s="2"/>
      <c r="N1059" s="2"/>
      <c r="O1059" s="56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</row>
    <row r="1060" spans="1:28" x14ac:dyDescent="0.25">
      <c r="A1060" s="2"/>
      <c r="B1060" s="8"/>
      <c r="C1060" s="8"/>
      <c r="D1060" s="8"/>
      <c r="E1060" s="8"/>
      <c r="F1060" s="13"/>
      <c r="G1060" s="59"/>
      <c r="H1060" s="6"/>
      <c r="I1060" s="6"/>
      <c r="J1060" s="2"/>
      <c r="K1060" s="2"/>
      <c r="L1060" s="2"/>
      <c r="M1060" s="2"/>
      <c r="N1060" s="2"/>
      <c r="O1060" s="56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</row>
    <row r="1061" spans="1:28" x14ac:dyDescent="0.25">
      <c r="A1061" s="2"/>
      <c r="B1061" s="8"/>
      <c r="C1061" s="8"/>
      <c r="D1061" s="8"/>
      <c r="E1061" s="8"/>
      <c r="F1061" s="13"/>
      <c r="G1061" s="59"/>
      <c r="H1061" s="6"/>
      <c r="I1061" s="6"/>
      <c r="J1061" s="2"/>
      <c r="K1061" s="2"/>
      <c r="L1061" s="2"/>
      <c r="M1061" s="2"/>
      <c r="N1061" s="2"/>
      <c r="O1061" s="56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</row>
    <row r="1062" spans="1:28" x14ac:dyDescent="0.25">
      <c r="A1062" s="2"/>
      <c r="B1062" s="8"/>
      <c r="C1062" s="8"/>
      <c r="D1062" s="8"/>
      <c r="E1062" s="8"/>
      <c r="F1062" s="13"/>
      <c r="G1062" s="59"/>
      <c r="H1062" s="6"/>
      <c r="I1062" s="6"/>
      <c r="J1062" s="2"/>
      <c r="K1062" s="2"/>
      <c r="L1062" s="2"/>
      <c r="M1062" s="2"/>
      <c r="N1062" s="2"/>
      <c r="O1062" s="56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</row>
    <row r="1063" spans="1:28" x14ac:dyDescent="0.25">
      <c r="A1063" s="2"/>
      <c r="B1063" s="8"/>
      <c r="C1063" s="8"/>
      <c r="D1063" s="8"/>
      <c r="E1063" s="8"/>
      <c r="F1063" s="13"/>
      <c r="G1063" s="59"/>
      <c r="H1063" s="6"/>
      <c r="I1063" s="6"/>
      <c r="J1063" s="2"/>
      <c r="K1063" s="2"/>
      <c r="L1063" s="2"/>
      <c r="M1063" s="2"/>
      <c r="N1063" s="2"/>
      <c r="O1063" s="56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</row>
    <row r="1064" spans="1:28" x14ac:dyDescent="0.25">
      <c r="A1064" s="2"/>
      <c r="B1064" s="8"/>
      <c r="C1064" s="8"/>
      <c r="D1064" s="8"/>
      <c r="E1064" s="8"/>
      <c r="F1064" s="13"/>
      <c r="G1064" s="59"/>
      <c r="H1064" s="6"/>
      <c r="I1064" s="6"/>
      <c r="J1064" s="2"/>
      <c r="K1064" s="2"/>
      <c r="L1064" s="2"/>
      <c r="M1064" s="2"/>
      <c r="N1064" s="2"/>
      <c r="O1064" s="56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</row>
    <row r="1065" spans="1:28" x14ac:dyDescent="0.25">
      <c r="A1065" s="2"/>
      <c r="B1065" s="8"/>
      <c r="C1065" s="8"/>
      <c r="D1065" s="8"/>
      <c r="E1065" s="8"/>
      <c r="F1065" s="13"/>
      <c r="G1065" s="59"/>
      <c r="H1065" s="6"/>
      <c r="I1065" s="6"/>
      <c r="J1065" s="2"/>
      <c r="K1065" s="2"/>
      <c r="L1065" s="2"/>
      <c r="M1065" s="2"/>
      <c r="N1065" s="2"/>
      <c r="O1065" s="56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</row>
    <row r="1066" spans="1:28" x14ac:dyDescent="0.25">
      <c r="A1066" s="2"/>
      <c r="B1066" s="8"/>
      <c r="C1066" s="8"/>
      <c r="D1066" s="8"/>
      <c r="E1066" s="8"/>
      <c r="F1066" s="13"/>
      <c r="G1066" s="59"/>
      <c r="H1066" s="6"/>
      <c r="I1066" s="6"/>
      <c r="J1066" s="2"/>
      <c r="K1066" s="2"/>
      <c r="L1066" s="2"/>
      <c r="M1066" s="2"/>
      <c r="N1066" s="2"/>
      <c r="O1066" s="56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</row>
    <row r="1067" spans="1:28" x14ac:dyDescent="0.25">
      <c r="A1067" s="2"/>
      <c r="B1067" s="8"/>
      <c r="C1067" s="8"/>
      <c r="D1067" s="8"/>
      <c r="E1067" s="8"/>
      <c r="F1067" s="13"/>
      <c r="G1067" s="59"/>
      <c r="H1067" s="6"/>
      <c r="I1067" s="6"/>
      <c r="J1067" s="2"/>
      <c r="K1067" s="2"/>
      <c r="L1067" s="2"/>
      <c r="M1067" s="2"/>
      <c r="N1067" s="2"/>
      <c r="O1067" s="56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</row>
    <row r="1068" spans="1:28" x14ac:dyDescent="0.25">
      <c r="A1068" s="2"/>
      <c r="B1068" s="8"/>
      <c r="C1068" s="8"/>
      <c r="D1068" s="8"/>
      <c r="E1068" s="8"/>
      <c r="F1068" s="13"/>
      <c r="G1068" s="59"/>
      <c r="H1068" s="6"/>
      <c r="I1068" s="6"/>
      <c r="J1068" s="2"/>
      <c r="K1068" s="2"/>
      <c r="L1068" s="2"/>
      <c r="M1068" s="2"/>
      <c r="N1068" s="2"/>
      <c r="O1068" s="56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</row>
    <row r="1069" spans="1:28" x14ac:dyDescent="0.25">
      <c r="A1069" s="2"/>
      <c r="B1069" s="8"/>
      <c r="C1069" s="8"/>
      <c r="D1069" s="8"/>
      <c r="E1069" s="8"/>
      <c r="F1069" s="13"/>
      <c r="G1069" s="59"/>
      <c r="H1069" s="6"/>
      <c r="I1069" s="6"/>
      <c r="J1069" s="2"/>
      <c r="K1069" s="2"/>
      <c r="L1069" s="2"/>
      <c r="M1069" s="2"/>
      <c r="N1069" s="2"/>
      <c r="O1069" s="56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</row>
    <row r="1070" spans="1:28" x14ac:dyDescent="0.25">
      <c r="A1070" s="2"/>
      <c r="B1070" s="8"/>
      <c r="C1070" s="8"/>
      <c r="D1070" s="8"/>
      <c r="E1070" s="8"/>
      <c r="F1070" s="13"/>
      <c r="G1070" s="59"/>
      <c r="H1070" s="6"/>
      <c r="I1070" s="6"/>
      <c r="J1070" s="2"/>
      <c r="K1070" s="2"/>
      <c r="L1070" s="2"/>
      <c r="M1070" s="2"/>
      <c r="N1070" s="2"/>
      <c r="O1070" s="56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</row>
    <row r="1071" spans="1:28" x14ac:dyDescent="0.25">
      <c r="A1071" s="2"/>
      <c r="B1071" s="8"/>
      <c r="C1071" s="8"/>
      <c r="D1071" s="8"/>
      <c r="E1071" s="8"/>
      <c r="F1071" s="13"/>
      <c r="G1071" s="59"/>
      <c r="H1071" s="6"/>
      <c r="I1071" s="6"/>
      <c r="J1071" s="2"/>
      <c r="K1071" s="2"/>
      <c r="L1071" s="2"/>
      <c r="M1071" s="2"/>
      <c r="N1071" s="2"/>
      <c r="O1071" s="56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</row>
    <row r="1072" spans="1:28" x14ac:dyDescent="0.25">
      <c r="A1072" s="2"/>
      <c r="B1072" s="8"/>
      <c r="C1072" s="8"/>
      <c r="D1072" s="8"/>
      <c r="E1072" s="8"/>
      <c r="F1072" s="13"/>
      <c r="G1072" s="59"/>
      <c r="H1072" s="6"/>
      <c r="I1072" s="6"/>
      <c r="J1072" s="2"/>
      <c r="K1072" s="2"/>
      <c r="L1072" s="2"/>
      <c r="M1072" s="2"/>
      <c r="N1072" s="2"/>
      <c r="O1072" s="56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</row>
    <row r="1073" spans="1:28" x14ac:dyDescent="0.25">
      <c r="A1073" s="2"/>
      <c r="B1073" s="8"/>
      <c r="C1073" s="8"/>
      <c r="D1073" s="8"/>
      <c r="E1073" s="8"/>
      <c r="F1073" s="13"/>
      <c r="G1073" s="59"/>
      <c r="H1073" s="6"/>
      <c r="I1073" s="6"/>
      <c r="J1073" s="2"/>
      <c r="K1073" s="2"/>
      <c r="L1073" s="2"/>
      <c r="M1073" s="2"/>
      <c r="N1073" s="2"/>
      <c r="O1073" s="56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</row>
    <row r="1074" spans="1:28" x14ac:dyDescent="0.25">
      <c r="A1074" s="2"/>
      <c r="B1074" s="8"/>
      <c r="C1074" s="8"/>
      <c r="D1074" s="8"/>
      <c r="E1074" s="8"/>
      <c r="F1074" s="13"/>
      <c r="G1074" s="59"/>
      <c r="H1074" s="6"/>
      <c r="I1074" s="6"/>
      <c r="J1074" s="2"/>
      <c r="K1074" s="2"/>
      <c r="L1074" s="2"/>
      <c r="M1074" s="2"/>
      <c r="N1074" s="2"/>
      <c r="O1074" s="56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</row>
    <row r="1075" spans="1:28" x14ac:dyDescent="0.25">
      <c r="A1075" s="2"/>
      <c r="B1075" s="8"/>
      <c r="C1075" s="8"/>
      <c r="D1075" s="8"/>
      <c r="E1075" s="8"/>
      <c r="F1075" s="13"/>
      <c r="G1075" s="59"/>
      <c r="H1075" s="6"/>
      <c r="I1075" s="6"/>
      <c r="J1075" s="2"/>
      <c r="K1075" s="2"/>
      <c r="L1075" s="2"/>
      <c r="M1075" s="2"/>
      <c r="N1075" s="2"/>
      <c r="O1075" s="56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</row>
    <row r="1076" spans="1:28" x14ac:dyDescent="0.25">
      <c r="A1076" s="2"/>
      <c r="B1076" s="8"/>
      <c r="C1076" s="8"/>
      <c r="D1076" s="8"/>
      <c r="E1076" s="8"/>
      <c r="F1076" s="13"/>
      <c r="G1076" s="59"/>
      <c r="H1076" s="6"/>
      <c r="I1076" s="6"/>
      <c r="J1076" s="2"/>
      <c r="K1076" s="2"/>
      <c r="L1076" s="2"/>
      <c r="M1076" s="2"/>
      <c r="N1076" s="2"/>
      <c r="O1076" s="56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</row>
    <row r="1077" spans="1:28" x14ac:dyDescent="0.25">
      <c r="A1077" s="2"/>
      <c r="B1077" s="8"/>
      <c r="C1077" s="8"/>
      <c r="D1077" s="8"/>
      <c r="E1077" s="8"/>
      <c r="F1077" s="13"/>
      <c r="G1077" s="59"/>
      <c r="H1077" s="6"/>
      <c r="I1077" s="6"/>
      <c r="J1077" s="2"/>
      <c r="K1077" s="2"/>
      <c r="L1077" s="2"/>
      <c r="M1077" s="2"/>
      <c r="N1077" s="2"/>
      <c r="O1077" s="56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</row>
    <row r="1078" spans="1:28" x14ac:dyDescent="0.25">
      <c r="A1078" s="2"/>
      <c r="B1078" s="8"/>
      <c r="C1078" s="8"/>
      <c r="D1078" s="8"/>
      <c r="E1078" s="8"/>
      <c r="F1078" s="13"/>
      <c r="G1078" s="59"/>
      <c r="H1078" s="6"/>
      <c r="I1078" s="6"/>
      <c r="J1078" s="2"/>
      <c r="K1078" s="2"/>
      <c r="L1078" s="2"/>
      <c r="M1078" s="2"/>
      <c r="N1078" s="2"/>
      <c r="O1078" s="56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</row>
    <row r="1079" spans="1:28" x14ac:dyDescent="0.25">
      <c r="A1079" s="2"/>
      <c r="B1079" s="8"/>
      <c r="C1079" s="8"/>
      <c r="D1079" s="8"/>
      <c r="E1079" s="8"/>
      <c r="F1079" s="13"/>
      <c r="G1079" s="59"/>
      <c r="H1079" s="6"/>
      <c r="I1079" s="6"/>
      <c r="J1079" s="2"/>
      <c r="K1079" s="2"/>
      <c r="L1079" s="2"/>
      <c r="M1079" s="2"/>
      <c r="N1079" s="2"/>
      <c r="O1079" s="56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</row>
    <row r="1080" spans="1:28" x14ac:dyDescent="0.25">
      <c r="A1080" s="2"/>
      <c r="B1080" s="8"/>
      <c r="C1080" s="8"/>
      <c r="D1080" s="8"/>
      <c r="E1080" s="8"/>
      <c r="F1080" s="13"/>
      <c r="G1080" s="59"/>
      <c r="H1080" s="6"/>
      <c r="I1080" s="6"/>
      <c r="J1080" s="2"/>
      <c r="K1080" s="2"/>
      <c r="L1080" s="2"/>
      <c r="M1080" s="2"/>
      <c r="N1080" s="2"/>
      <c r="O1080" s="56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</row>
    <row r="1081" spans="1:28" x14ac:dyDescent="0.25">
      <c r="A1081" s="2"/>
      <c r="B1081" s="8"/>
      <c r="C1081" s="8"/>
      <c r="D1081" s="8"/>
      <c r="E1081" s="8"/>
      <c r="F1081" s="13"/>
      <c r="G1081" s="59"/>
      <c r="H1081" s="6"/>
      <c r="I1081" s="6"/>
      <c r="J1081" s="2"/>
      <c r="K1081" s="2"/>
      <c r="L1081" s="2"/>
      <c r="M1081" s="2"/>
      <c r="N1081" s="2"/>
      <c r="O1081" s="56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</row>
    <row r="1082" spans="1:28" x14ac:dyDescent="0.25">
      <c r="A1082" s="2"/>
      <c r="B1082" s="8"/>
      <c r="C1082" s="8"/>
      <c r="D1082" s="8"/>
      <c r="E1082" s="8"/>
      <c r="F1082" s="13"/>
      <c r="G1082" s="59"/>
      <c r="H1082" s="6"/>
      <c r="I1082" s="6"/>
      <c r="J1082" s="2"/>
      <c r="K1082" s="2"/>
      <c r="L1082" s="2"/>
      <c r="M1082" s="2"/>
      <c r="N1082" s="2"/>
      <c r="O1082" s="56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</row>
    <row r="1083" spans="1:28" x14ac:dyDescent="0.25">
      <c r="A1083" s="2"/>
      <c r="B1083" s="8"/>
      <c r="C1083" s="8"/>
      <c r="D1083" s="8"/>
      <c r="E1083" s="8"/>
      <c r="F1083" s="13"/>
      <c r="G1083" s="59"/>
      <c r="H1083" s="6"/>
      <c r="I1083" s="6"/>
      <c r="J1083" s="2"/>
      <c r="K1083" s="2"/>
      <c r="L1083" s="2"/>
      <c r="M1083" s="2"/>
      <c r="N1083" s="2"/>
      <c r="O1083" s="56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</row>
    <row r="1084" spans="1:28" x14ac:dyDescent="0.25">
      <c r="A1084" s="2"/>
      <c r="B1084" s="8"/>
      <c r="C1084" s="8"/>
      <c r="D1084" s="8"/>
      <c r="E1084" s="8"/>
      <c r="F1084" s="13"/>
      <c r="G1084" s="59"/>
      <c r="H1084" s="6"/>
      <c r="I1084" s="6"/>
      <c r="J1084" s="2"/>
      <c r="K1084" s="2"/>
      <c r="L1084" s="2"/>
      <c r="M1084" s="2"/>
      <c r="N1084" s="2"/>
      <c r="O1084" s="56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</row>
    <row r="1085" spans="1:28" x14ac:dyDescent="0.25">
      <c r="A1085" s="2"/>
      <c r="B1085" s="8"/>
      <c r="C1085" s="8"/>
      <c r="D1085" s="8"/>
      <c r="E1085" s="8"/>
      <c r="F1085" s="13"/>
      <c r="G1085" s="59"/>
      <c r="H1085" s="6"/>
      <c r="I1085" s="6"/>
      <c r="J1085" s="2"/>
      <c r="K1085" s="2"/>
      <c r="L1085" s="2"/>
      <c r="M1085" s="2"/>
      <c r="N1085" s="2"/>
      <c r="O1085" s="56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</row>
    <row r="1086" spans="1:28" x14ac:dyDescent="0.25">
      <c r="A1086" s="2"/>
      <c r="B1086" s="8"/>
      <c r="C1086" s="8"/>
      <c r="D1086" s="8"/>
      <c r="E1086" s="8"/>
      <c r="F1086" s="13"/>
      <c r="G1086" s="59"/>
      <c r="H1086" s="6"/>
      <c r="I1086" s="6"/>
      <c r="J1086" s="2"/>
      <c r="K1086" s="2"/>
      <c r="L1086" s="2"/>
      <c r="M1086" s="2"/>
      <c r="N1086" s="2"/>
      <c r="O1086" s="56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</row>
    <row r="1087" spans="1:28" x14ac:dyDescent="0.25">
      <c r="A1087" s="2"/>
      <c r="B1087" s="8"/>
      <c r="C1087" s="8"/>
      <c r="D1087" s="8"/>
      <c r="E1087" s="8"/>
      <c r="F1087" s="13"/>
      <c r="G1087" s="59"/>
      <c r="H1087" s="6"/>
      <c r="I1087" s="6"/>
      <c r="J1087" s="2"/>
      <c r="K1087" s="2"/>
      <c r="L1087" s="2"/>
      <c r="M1087" s="2"/>
      <c r="N1087" s="2"/>
      <c r="O1087" s="56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</row>
    <row r="1088" spans="1:28" x14ac:dyDescent="0.25">
      <c r="A1088" s="2"/>
      <c r="B1088" s="8"/>
      <c r="C1088" s="8"/>
      <c r="D1088" s="8"/>
      <c r="E1088" s="8"/>
      <c r="F1088" s="13"/>
      <c r="G1088" s="59"/>
      <c r="H1088" s="6"/>
      <c r="I1088" s="6"/>
      <c r="J1088" s="2"/>
      <c r="K1088" s="2"/>
      <c r="L1088" s="2"/>
      <c r="M1088" s="2"/>
      <c r="N1088" s="2"/>
      <c r="O1088" s="56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</row>
    <row r="1089" spans="1:28" x14ac:dyDescent="0.25">
      <c r="A1089" s="2"/>
      <c r="B1089" s="8"/>
      <c r="C1089" s="8"/>
      <c r="D1089" s="8"/>
      <c r="E1089" s="8"/>
      <c r="F1089" s="13"/>
      <c r="G1089" s="59"/>
      <c r="H1089" s="6"/>
      <c r="I1089" s="6"/>
      <c r="J1089" s="2"/>
      <c r="K1089" s="2"/>
      <c r="L1089" s="2"/>
      <c r="M1089" s="2"/>
      <c r="N1089" s="2"/>
      <c r="O1089" s="56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</row>
    <row r="1090" spans="1:28" x14ac:dyDescent="0.25">
      <c r="A1090" s="2"/>
      <c r="B1090" s="8"/>
      <c r="C1090" s="8"/>
      <c r="D1090" s="8"/>
      <c r="E1090" s="8"/>
      <c r="F1090" s="13"/>
      <c r="G1090" s="59"/>
      <c r="H1090" s="6"/>
      <c r="I1090" s="6"/>
      <c r="J1090" s="2"/>
      <c r="K1090" s="2"/>
      <c r="L1090" s="2"/>
      <c r="M1090" s="2"/>
      <c r="N1090" s="2"/>
      <c r="O1090" s="56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</row>
    <row r="1091" spans="1:28" x14ac:dyDescent="0.25">
      <c r="A1091" s="2"/>
      <c r="B1091" s="8"/>
      <c r="C1091" s="8"/>
      <c r="D1091" s="8"/>
      <c r="E1091" s="8"/>
      <c r="F1091" s="13"/>
      <c r="G1091" s="59"/>
      <c r="H1091" s="6"/>
      <c r="I1091" s="6"/>
      <c r="J1091" s="2"/>
      <c r="K1091" s="2"/>
      <c r="L1091" s="2"/>
      <c r="M1091" s="2"/>
      <c r="N1091" s="2"/>
      <c r="O1091" s="56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</row>
    <row r="1092" spans="1:28" x14ac:dyDescent="0.25">
      <c r="A1092" s="2"/>
      <c r="B1092" s="8"/>
      <c r="C1092" s="8"/>
      <c r="D1092" s="8"/>
      <c r="E1092" s="8"/>
      <c r="F1092" s="13"/>
      <c r="G1092" s="59"/>
      <c r="H1092" s="6"/>
      <c r="I1092" s="6"/>
      <c r="J1092" s="2"/>
      <c r="K1092" s="2"/>
      <c r="L1092" s="2"/>
      <c r="M1092" s="2"/>
      <c r="N1092" s="2"/>
      <c r="O1092" s="56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</row>
    <row r="1093" spans="1:28" x14ac:dyDescent="0.25">
      <c r="A1093" s="2"/>
      <c r="B1093" s="8"/>
      <c r="C1093" s="8"/>
      <c r="D1093" s="8"/>
      <c r="E1093" s="8"/>
      <c r="F1093" s="13"/>
      <c r="G1093" s="59"/>
      <c r="H1093" s="6"/>
      <c r="I1093" s="6"/>
      <c r="J1093" s="2"/>
      <c r="K1093" s="2"/>
      <c r="L1093" s="2"/>
      <c r="M1093" s="2"/>
      <c r="N1093" s="2"/>
      <c r="O1093" s="56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</row>
    <row r="1094" spans="1:28" x14ac:dyDescent="0.25">
      <c r="A1094" s="2"/>
      <c r="B1094" s="8"/>
      <c r="C1094" s="8"/>
      <c r="D1094" s="8"/>
      <c r="E1094" s="8"/>
      <c r="F1094" s="13"/>
      <c r="G1094" s="59"/>
      <c r="H1094" s="6"/>
      <c r="I1094" s="6"/>
      <c r="J1094" s="2"/>
      <c r="K1094" s="2"/>
      <c r="L1094" s="2"/>
      <c r="M1094" s="2"/>
      <c r="N1094" s="2"/>
      <c r="O1094" s="56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</row>
    <row r="1095" spans="1:28" x14ac:dyDescent="0.25">
      <c r="A1095" s="2"/>
      <c r="B1095" s="8"/>
      <c r="C1095" s="8"/>
      <c r="D1095" s="8"/>
      <c r="E1095" s="8"/>
      <c r="F1095" s="13"/>
      <c r="G1095" s="59"/>
      <c r="H1095" s="6"/>
      <c r="I1095" s="6"/>
      <c r="J1095" s="2"/>
      <c r="K1095" s="2"/>
      <c r="L1095" s="2"/>
      <c r="M1095" s="2"/>
      <c r="N1095" s="2"/>
      <c r="O1095" s="56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</row>
    <row r="1096" spans="1:28" x14ac:dyDescent="0.25">
      <c r="A1096" s="2"/>
      <c r="B1096" s="8"/>
      <c r="C1096" s="8"/>
      <c r="D1096" s="8"/>
      <c r="E1096" s="8"/>
      <c r="F1096" s="13"/>
      <c r="G1096" s="59"/>
      <c r="H1096" s="6"/>
      <c r="I1096" s="6"/>
      <c r="J1096" s="2"/>
      <c r="K1096" s="2"/>
      <c r="L1096" s="2"/>
      <c r="M1096" s="2"/>
      <c r="N1096" s="2"/>
      <c r="O1096" s="56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</row>
    <row r="1097" spans="1:28" x14ac:dyDescent="0.25">
      <c r="A1097" s="2"/>
      <c r="B1097" s="8"/>
      <c r="C1097" s="8"/>
      <c r="D1097" s="8"/>
      <c r="E1097" s="8"/>
      <c r="F1097" s="13"/>
      <c r="G1097" s="59"/>
      <c r="H1097" s="6"/>
      <c r="I1097" s="6"/>
      <c r="J1097" s="2"/>
      <c r="K1097" s="2"/>
      <c r="L1097" s="2"/>
      <c r="M1097" s="2"/>
      <c r="N1097" s="2"/>
      <c r="O1097" s="56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</row>
    <row r="1098" spans="1:28" x14ac:dyDescent="0.25">
      <c r="A1098" s="2"/>
      <c r="B1098" s="8"/>
      <c r="C1098" s="8"/>
      <c r="D1098" s="8"/>
      <c r="E1098" s="8"/>
      <c r="F1098" s="13"/>
      <c r="G1098" s="59"/>
      <c r="H1098" s="6"/>
      <c r="I1098" s="6"/>
      <c r="J1098" s="2"/>
      <c r="K1098" s="2"/>
      <c r="L1098" s="2"/>
      <c r="M1098" s="2"/>
      <c r="N1098" s="2"/>
      <c r="O1098" s="56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</row>
    <row r="1099" spans="1:28" x14ac:dyDescent="0.25">
      <c r="A1099" s="2"/>
      <c r="B1099" s="8"/>
      <c r="C1099" s="8"/>
      <c r="D1099" s="8"/>
      <c r="E1099" s="8"/>
      <c r="F1099" s="13"/>
      <c r="G1099" s="59"/>
      <c r="H1099" s="6"/>
      <c r="I1099" s="6"/>
      <c r="J1099" s="2"/>
      <c r="K1099" s="2"/>
      <c r="L1099" s="2"/>
      <c r="M1099" s="2"/>
      <c r="N1099" s="2"/>
      <c r="O1099" s="56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</row>
    <row r="1100" spans="1:28" x14ac:dyDescent="0.25">
      <c r="A1100" s="2"/>
      <c r="B1100" s="8"/>
      <c r="C1100" s="8"/>
      <c r="D1100" s="8"/>
      <c r="E1100" s="8"/>
      <c r="F1100" s="13"/>
      <c r="G1100" s="59"/>
      <c r="H1100" s="6"/>
      <c r="I1100" s="6"/>
      <c r="J1100" s="2"/>
      <c r="K1100" s="2"/>
      <c r="L1100" s="2"/>
      <c r="M1100" s="2"/>
      <c r="N1100" s="2"/>
      <c r="O1100" s="56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</row>
    <row r="1101" spans="1:28" x14ac:dyDescent="0.25">
      <c r="A1101" s="2"/>
      <c r="B1101" s="8"/>
      <c r="C1101" s="8"/>
      <c r="D1101" s="8"/>
      <c r="E1101" s="8"/>
      <c r="F1101" s="13"/>
      <c r="G1101" s="59"/>
      <c r="H1101" s="6"/>
      <c r="I1101" s="6"/>
      <c r="J1101" s="2"/>
      <c r="K1101" s="2"/>
      <c r="L1101" s="2"/>
      <c r="M1101" s="2"/>
      <c r="N1101" s="2"/>
      <c r="O1101" s="56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</row>
    <row r="1102" spans="1:28" x14ac:dyDescent="0.25">
      <c r="A1102" s="2"/>
      <c r="B1102" s="8"/>
      <c r="C1102" s="8"/>
      <c r="D1102" s="8"/>
      <c r="E1102" s="8"/>
      <c r="F1102" s="13"/>
      <c r="G1102" s="59"/>
      <c r="H1102" s="6"/>
      <c r="I1102" s="6"/>
      <c r="J1102" s="2"/>
      <c r="K1102" s="2"/>
      <c r="L1102" s="2"/>
      <c r="M1102" s="2"/>
      <c r="N1102" s="2"/>
      <c r="O1102" s="56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</row>
    <row r="1103" spans="1:28" x14ac:dyDescent="0.25">
      <c r="A1103" s="2"/>
      <c r="B1103" s="8"/>
      <c r="C1103" s="8"/>
      <c r="D1103" s="8"/>
      <c r="E1103" s="8"/>
      <c r="F1103" s="13"/>
      <c r="G1103" s="59"/>
      <c r="H1103" s="6"/>
      <c r="I1103" s="6"/>
      <c r="J1103" s="2"/>
      <c r="K1103" s="2"/>
      <c r="L1103" s="2"/>
      <c r="M1103" s="2"/>
      <c r="N1103" s="2"/>
      <c r="O1103" s="56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</row>
    <row r="1104" spans="1:28" x14ac:dyDescent="0.25">
      <c r="A1104" s="2"/>
      <c r="B1104" s="8"/>
      <c r="C1104" s="8"/>
      <c r="D1104" s="8"/>
      <c r="E1104" s="8"/>
      <c r="F1104" s="13"/>
      <c r="G1104" s="59"/>
      <c r="H1104" s="6"/>
      <c r="I1104" s="6"/>
      <c r="J1104" s="2"/>
      <c r="K1104" s="2"/>
      <c r="L1104" s="2"/>
      <c r="M1104" s="2"/>
      <c r="N1104" s="2"/>
      <c r="O1104" s="56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</row>
    <row r="1105" spans="1:28" x14ac:dyDescent="0.25">
      <c r="A1105" s="2"/>
      <c r="B1105" s="8"/>
      <c r="C1105" s="8"/>
      <c r="D1105" s="8"/>
      <c r="E1105" s="8"/>
      <c r="F1105" s="13"/>
      <c r="G1105" s="59"/>
      <c r="H1105" s="6"/>
      <c r="I1105" s="6"/>
      <c r="J1105" s="2"/>
      <c r="K1105" s="2"/>
      <c r="L1105" s="2"/>
      <c r="M1105" s="2"/>
      <c r="N1105" s="2"/>
      <c r="O1105" s="56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</row>
    <row r="1106" spans="1:28" x14ac:dyDescent="0.25">
      <c r="A1106" s="2"/>
      <c r="B1106" s="8"/>
      <c r="C1106" s="8"/>
      <c r="D1106" s="8"/>
      <c r="E1106" s="8"/>
      <c r="F1106" s="13"/>
      <c r="G1106" s="59"/>
      <c r="H1106" s="6"/>
      <c r="I1106" s="6"/>
      <c r="J1106" s="2"/>
      <c r="K1106" s="2"/>
      <c r="L1106" s="2"/>
      <c r="M1106" s="2"/>
      <c r="N1106" s="2"/>
      <c r="O1106" s="56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</row>
    <row r="1107" spans="1:28" x14ac:dyDescent="0.25">
      <c r="A1107" s="2"/>
      <c r="B1107" s="8"/>
      <c r="C1107" s="8"/>
      <c r="D1107" s="8"/>
      <c r="E1107" s="8"/>
      <c r="F1107" s="13"/>
      <c r="G1107" s="59"/>
      <c r="H1107" s="6"/>
      <c r="I1107" s="6"/>
      <c r="J1107" s="2"/>
      <c r="K1107" s="2"/>
      <c r="L1107" s="2"/>
      <c r="M1107" s="2"/>
      <c r="N1107" s="2"/>
      <c r="O1107" s="56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</row>
    <row r="1108" spans="1:28" x14ac:dyDescent="0.25">
      <c r="A1108" s="2"/>
      <c r="B1108" s="8"/>
      <c r="C1108" s="8"/>
      <c r="D1108" s="8"/>
      <c r="E1108" s="8"/>
      <c r="F1108" s="13"/>
      <c r="G1108" s="59"/>
      <c r="H1108" s="6"/>
      <c r="I1108" s="6"/>
      <c r="J1108" s="2"/>
      <c r="K1108" s="2"/>
      <c r="L1108" s="2"/>
      <c r="M1108" s="2"/>
      <c r="N1108" s="2"/>
      <c r="O1108" s="56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</row>
    <row r="1109" spans="1:28" x14ac:dyDescent="0.25">
      <c r="A1109" s="2"/>
      <c r="B1109" s="8"/>
      <c r="C1109" s="8"/>
      <c r="D1109" s="8"/>
      <c r="E1109" s="8"/>
      <c r="F1109" s="13"/>
      <c r="G1109" s="59"/>
      <c r="H1109" s="6"/>
      <c r="I1109" s="6"/>
      <c r="J1109" s="2"/>
      <c r="K1109" s="2"/>
      <c r="L1109" s="2"/>
      <c r="M1109" s="2"/>
      <c r="N1109" s="2"/>
      <c r="O1109" s="56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</row>
    <row r="1110" spans="1:28" x14ac:dyDescent="0.25">
      <c r="A1110" s="2"/>
      <c r="B1110" s="8"/>
      <c r="C1110" s="8"/>
      <c r="D1110" s="8"/>
      <c r="E1110" s="8"/>
      <c r="F1110" s="13"/>
      <c r="G1110" s="59"/>
      <c r="H1110" s="6"/>
      <c r="I1110" s="6"/>
      <c r="J1110" s="2"/>
      <c r="K1110" s="2"/>
      <c r="L1110" s="2"/>
      <c r="M1110" s="2"/>
      <c r="N1110" s="2"/>
      <c r="O1110" s="56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</row>
    <row r="1111" spans="1:28" x14ac:dyDescent="0.25">
      <c r="A1111" s="2"/>
      <c r="B1111" s="8"/>
      <c r="C1111" s="8"/>
      <c r="D1111" s="8"/>
      <c r="E1111" s="8"/>
      <c r="F1111" s="13"/>
      <c r="G1111" s="59"/>
      <c r="H1111" s="6"/>
      <c r="I1111" s="6"/>
      <c r="J1111" s="2"/>
      <c r="K1111" s="2"/>
      <c r="L1111" s="2"/>
      <c r="M1111" s="2"/>
      <c r="N1111" s="2"/>
      <c r="O1111" s="56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</row>
    <row r="1112" spans="1:28" x14ac:dyDescent="0.25">
      <c r="A1112" s="2"/>
      <c r="B1112" s="8"/>
      <c r="C1112" s="8"/>
      <c r="D1112" s="8"/>
      <c r="E1112" s="8"/>
      <c r="F1112" s="13"/>
      <c r="G1112" s="59"/>
      <c r="H1112" s="6"/>
      <c r="I1112" s="6"/>
      <c r="J1112" s="2"/>
      <c r="K1112" s="2"/>
      <c r="L1112" s="2"/>
      <c r="M1112" s="2"/>
      <c r="N1112" s="2"/>
      <c r="O1112" s="56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</row>
    <row r="1113" spans="1:28" x14ac:dyDescent="0.25">
      <c r="A1113" s="2"/>
      <c r="B1113" s="8"/>
      <c r="C1113" s="8"/>
      <c r="D1113" s="8"/>
      <c r="E1113" s="8"/>
      <c r="F1113" s="13"/>
      <c r="G1113" s="59"/>
      <c r="H1113" s="6"/>
      <c r="I1113" s="6"/>
      <c r="J1113" s="2"/>
      <c r="K1113" s="2"/>
      <c r="L1113" s="2"/>
      <c r="M1113" s="2"/>
      <c r="N1113" s="2"/>
      <c r="O1113" s="56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</row>
    <row r="1114" spans="1:28" x14ac:dyDescent="0.25">
      <c r="A1114" s="2"/>
      <c r="B1114" s="8"/>
      <c r="C1114" s="8"/>
      <c r="D1114" s="8"/>
      <c r="E1114" s="8"/>
      <c r="F1114" s="13"/>
      <c r="G1114" s="59"/>
      <c r="H1114" s="6"/>
      <c r="I1114" s="6"/>
      <c r="J1114" s="2"/>
      <c r="K1114" s="2"/>
      <c r="L1114" s="2"/>
      <c r="M1114" s="2"/>
      <c r="N1114" s="2"/>
      <c r="O1114" s="56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</row>
    <row r="1115" spans="1:28" x14ac:dyDescent="0.25">
      <c r="A1115" s="2"/>
      <c r="B1115" s="8"/>
      <c r="C1115" s="8"/>
      <c r="D1115" s="8"/>
      <c r="E1115" s="8"/>
      <c r="F1115" s="13"/>
      <c r="G1115" s="59"/>
      <c r="H1115" s="6"/>
      <c r="I1115" s="6"/>
      <c r="J1115" s="2"/>
      <c r="K1115" s="2"/>
      <c r="L1115" s="2"/>
      <c r="M1115" s="2"/>
      <c r="N1115" s="2"/>
      <c r="O1115" s="56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</row>
    <row r="1116" spans="1:28" x14ac:dyDescent="0.25">
      <c r="A1116" s="2"/>
      <c r="B1116" s="8"/>
      <c r="C1116" s="8"/>
      <c r="D1116" s="8"/>
      <c r="E1116" s="8"/>
      <c r="F1116" s="13"/>
      <c r="G1116" s="59"/>
      <c r="H1116" s="6"/>
      <c r="I1116" s="6"/>
      <c r="J1116" s="2"/>
      <c r="K1116" s="2"/>
      <c r="L1116" s="2"/>
      <c r="M1116" s="2"/>
      <c r="N1116" s="2"/>
      <c r="O1116" s="56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</row>
    <row r="1117" spans="1:28" x14ac:dyDescent="0.25">
      <c r="A1117" s="2"/>
      <c r="B1117" s="8"/>
      <c r="C1117" s="8"/>
      <c r="D1117" s="8"/>
      <c r="E1117" s="8"/>
      <c r="F1117" s="13"/>
      <c r="G1117" s="59"/>
      <c r="H1117" s="6"/>
      <c r="I1117" s="6"/>
      <c r="J1117" s="2"/>
      <c r="K1117" s="2"/>
      <c r="L1117" s="2"/>
      <c r="M1117" s="2"/>
      <c r="N1117" s="2"/>
      <c r="O1117" s="56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</row>
    <row r="1118" spans="1:28" x14ac:dyDescent="0.25">
      <c r="A1118" s="2"/>
      <c r="B1118" s="8"/>
      <c r="C1118" s="8"/>
      <c r="D1118" s="8"/>
      <c r="E1118" s="8"/>
      <c r="F1118" s="13"/>
      <c r="G1118" s="59"/>
      <c r="H1118" s="6"/>
      <c r="I1118" s="6"/>
      <c r="J1118" s="2"/>
      <c r="K1118" s="2"/>
      <c r="L1118" s="2"/>
      <c r="M1118" s="2"/>
      <c r="N1118" s="2"/>
      <c r="O1118" s="56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</row>
    <row r="1119" spans="1:28" x14ac:dyDescent="0.25">
      <c r="A1119" s="2"/>
      <c r="B1119" s="8"/>
      <c r="C1119" s="8"/>
      <c r="D1119" s="8"/>
      <c r="E1119" s="8"/>
      <c r="F1119" s="13"/>
      <c r="G1119" s="59"/>
      <c r="H1119" s="6"/>
      <c r="I1119" s="6"/>
      <c r="J1119" s="2"/>
      <c r="K1119" s="2"/>
      <c r="L1119" s="2"/>
      <c r="M1119" s="2"/>
      <c r="N1119" s="2"/>
      <c r="O1119" s="56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</row>
    <row r="1120" spans="1:28" x14ac:dyDescent="0.25">
      <c r="A1120" s="2"/>
      <c r="B1120" s="8"/>
      <c r="C1120" s="8"/>
      <c r="D1120" s="8"/>
      <c r="E1120" s="8"/>
      <c r="F1120" s="13"/>
      <c r="G1120" s="59"/>
      <c r="H1120" s="6"/>
      <c r="I1120" s="6"/>
      <c r="J1120" s="2"/>
      <c r="K1120" s="2"/>
      <c r="L1120" s="2"/>
      <c r="M1120" s="2"/>
      <c r="N1120" s="2"/>
      <c r="O1120" s="56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</row>
    <row r="1121" spans="1:28" x14ac:dyDescent="0.25">
      <c r="A1121" s="2"/>
      <c r="B1121" s="8"/>
      <c r="C1121" s="8"/>
      <c r="D1121" s="8"/>
      <c r="E1121" s="8"/>
      <c r="F1121" s="13"/>
      <c r="G1121" s="59"/>
      <c r="H1121" s="6"/>
      <c r="I1121" s="6"/>
      <c r="J1121" s="2"/>
      <c r="K1121" s="2"/>
      <c r="L1121" s="2"/>
      <c r="M1121" s="2"/>
      <c r="N1121" s="2"/>
      <c r="O1121" s="56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</row>
    <row r="1122" spans="1:28" x14ac:dyDescent="0.25">
      <c r="A1122" s="2"/>
      <c r="B1122" s="8"/>
      <c r="C1122" s="8"/>
      <c r="D1122" s="8"/>
      <c r="E1122" s="8"/>
      <c r="F1122" s="13"/>
      <c r="G1122" s="59"/>
      <c r="H1122" s="6"/>
      <c r="I1122" s="6"/>
      <c r="J1122" s="2"/>
      <c r="K1122" s="2"/>
      <c r="L1122" s="2"/>
      <c r="M1122" s="2"/>
      <c r="N1122" s="2"/>
      <c r="O1122" s="56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</row>
    <row r="1123" spans="1:28" x14ac:dyDescent="0.25">
      <c r="A1123" s="2"/>
      <c r="B1123" s="8"/>
      <c r="C1123" s="8"/>
      <c r="D1123" s="8"/>
      <c r="E1123" s="8"/>
      <c r="F1123" s="13"/>
      <c r="G1123" s="59"/>
      <c r="H1123" s="6"/>
      <c r="I1123" s="6"/>
      <c r="J1123" s="2"/>
      <c r="K1123" s="2"/>
      <c r="L1123" s="2"/>
      <c r="M1123" s="2"/>
      <c r="N1123" s="2"/>
      <c r="O1123" s="56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</row>
    <row r="1124" spans="1:28" x14ac:dyDescent="0.25">
      <c r="A1124" s="2"/>
      <c r="B1124" s="8"/>
      <c r="C1124" s="8"/>
      <c r="D1124" s="8"/>
      <c r="E1124" s="8"/>
      <c r="F1124" s="13"/>
      <c r="G1124" s="59"/>
      <c r="H1124" s="6"/>
      <c r="I1124" s="6"/>
      <c r="J1124" s="2"/>
      <c r="K1124" s="2"/>
      <c r="L1124" s="2"/>
      <c r="M1124" s="2"/>
      <c r="N1124" s="2"/>
      <c r="O1124" s="56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</row>
    <row r="1125" spans="1:28" x14ac:dyDescent="0.25">
      <c r="A1125" s="2"/>
      <c r="B1125" s="8"/>
      <c r="C1125" s="8"/>
      <c r="D1125" s="8"/>
      <c r="E1125" s="8"/>
      <c r="F1125" s="13"/>
      <c r="G1125" s="59"/>
      <c r="H1125" s="6"/>
      <c r="I1125" s="6"/>
      <c r="J1125" s="2"/>
      <c r="K1125" s="2"/>
      <c r="L1125" s="2"/>
      <c r="M1125" s="2"/>
      <c r="N1125" s="2"/>
      <c r="O1125" s="56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</row>
    <row r="1126" spans="1:28" x14ac:dyDescent="0.25">
      <c r="A1126" s="2"/>
      <c r="B1126" s="8"/>
      <c r="C1126" s="8"/>
      <c r="D1126" s="8"/>
      <c r="E1126" s="8"/>
      <c r="F1126" s="13"/>
      <c r="G1126" s="59"/>
      <c r="H1126" s="6"/>
      <c r="I1126" s="6"/>
      <c r="J1126" s="2"/>
      <c r="K1126" s="2"/>
      <c r="L1126" s="2"/>
      <c r="M1126" s="2"/>
      <c r="N1126" s="2"/>
      <c r="O1126" s="56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</row>
    <row r="1127" spans="1:28" x14ac:dyDescent="0.25">
      <c r="A1127" s="2"/>
      <c r="B1127" s="8"/>
      <c r="C1127" s="8"/>
      <c r="D1127" s="8"/>
      <c r="E1127" s="8"/>
      <c r="F1127" s="13"/>
      <c r="G1127" s="59"/>
      <c r="H1127" s="6"/>
      <c r="I1127" s="6"/>
      <c r="J1127" s="2"/>
      <c r="K1127" s="2"/>
      <c r="L1127" s="2"/>
      <c r="M1127" s="2"/>
      <c r="N1127" s="2"/>
      <c r="O1127" s="56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</row>
    <row r="1128" spans="1:28" x14ac:dyDescent="0.25">
      <c r="A1128" s="2"/>
      <c r="B1128" s="8"/>
      <c r="C1128" s="8"/>
      <c r="D1128" s="8"/>
      <c r="E1128" s="8"/>
      <c r="F1128" s="13"/>
      <c r="G1128" s="59"/>
      <c r="H1128" s="6"/>
      <c r="I1128" s="6"/>
      <c r="J1128" s="2"/>
      <c r="K1128" s="2"/>
      <c r="L1128" s="2"/>
      <c r="M1128" s="2"/>
      <c r="N1128" s="2"/>
      <c r="O1128" s="56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</row>
    <row r="1129" spans="1:28" x14ac:dyDescent="0.25">
      <c r="A1129" s="2"/>
      <c r="B1129" s="8"/>
      <c r="C1129" s="8"/>
      <c r="D1129" s="8"/>
      <c r="E1129" s="8"/>
      <c r="F1129" s="13"/>
      <c r="G1129" s="59"/>
      <c r="H1129" s="6"/>
      <c r="I1129" s="6"/>
      <c r="J1129" s="2"/>
      <c r="K1129" s="2"/>
      <c r="L1129" s="2"/>
      <c r="M1129" s="2"/>
      <c r="N1129" s="2"/>
      <c r="O1129" s="56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</row>
    <row r="1130" spans="1:28" x14ac:dyDescent="0.25">
      <c r="A1130" s="2"/>
      <c r="B1130" s="8"/>
      <c r="C1130" s="8"/>
      <c r="D1130" s="8"/>
      <c r="E1130" s="8"/>
      <c r="F1130" s="13"/>
      <c r="G1130" s="59"/>
      <c r="H1130" s="6"/>
      <c r="I1130" s="6"/>
      <c r="J1130" s="2"/>
      <c r="K1130" s="2"/>
      <c r="L1130" s="2"/>
      <c r="M1130" s="2"/>
      <c r="N1130" s="2"/>
      <c r="O1130" s="56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</row>
    <row r="1131" spans="1:28" x14ac:dyDescent="0.25">
      <c r="A1131" s="2"/>
      <c r="B1131" s="8"/>
      <c r="C1131" s="8"/>
      <c r="D1131" s="8"/>
      <c r="E1131" s="8"/>
      <c r="F1131" s="13"/>
      <c r="G1131" s="59"/>
      <c r="H1131" s="6"/>
      <c r="I1131" s="6"/>
      <c r="J1131" s="2"/>
      <c r="K1131" s="2"/>
      <c r="L1131" s="2"/>
      <c r="M1131" s="2"/>
      <c r="N1131" s="2"/>
      <c r="O1131" s="56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</row>
    <row r="1132" spans="1:28" x14ac:dyDescent="0.25">
      <c r="A1132" s="2"/>
      <c r="B1132" s="8"/>
      <c r="C1132" s="8"/>
      <c r="D1132" s="8"/>
      <c r="E1132" s="8"/>
      <c r="F1132" s="13"/>
      <c r="G1132" s="59"/>
      <c r="H1132" s="6"/>
      <c r="I1132" s="6"/>
      <c r="J1132" s="2"/>
      <c r="K1132" s="2"/>
      <c r="L1132" s="2"/>
      <c r="M1132" s="2"/>
      <c r="N1132" s="2"/>
      <c r="O1132" s="56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</row>
    <row r="1133" spans="1:28" x14ac:dyDescent="0.25">
      <c r="A1133" s="2"/>
      <c r="B1133" s="8"/>
      <c r="C1133" s="8"/>
      <c r="D1133" s="8"/>
      <c r="E1133" s="8"/>
      <c r="F1133" s="13"/>
      <c r="G1133" s="59"/>
      <c r="H1133" s="6"/>
      <c r="I1133" s="6"/>
      <c r="J1133" s="2"/>
      <c r="K1133" s="2"/>
      <c r="L1133" s="2"/>
      <c r="M1133" s="2"/>
      <c r="N1133" s="2"/>
      <c r="O1133" s="56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</row>
    <row r="1134" spans="1:28" x14ac:dyDescent="0.25">
      <c r="A1134" s="2"/>
      <c r="B1134" s="8"/>
      <c r="C1134" s="8"/>
      <c r="D1134" s="8"/>
      <c r="E1134" s="8"/>
      <c r="F1134" s="13"/>
      <c r="G1134" s="59"/>
      <c r="H1134" s="6"/>
      <c r="I1134" s="6"/>
      <c r="J1134" s="2"/>
      <c r="K1134" s="2"/>
      <c r="L1134" s="2"/>
      <c r="M1134" s="2"/>
      <c r="N1134" s="2"/>
      <c r="O1134" s="56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</row>
    <row r="1135" spans="1:28" x14ac:dyDescent="0.25">
      <c r="A1135" s="2"/>
      <c r="B1135" s="8"/>
      <c r="C1135" s="8"/>
      <c r="D1135" s="8"/>
      <c r="E1135" s="8"/>
      <c r="F1135" s="13"/>
      <c r="G1135" s="59"/>
      <c r="H1135" s="6"/>
      <c r="I1135" s="6"/>
      <c r="J1135" s="2"/>
      <c r="K1135" s="2"/>
      <c r="L1135" s="2"/>
      <c r="M1135" s="2"/>
      <c r="N1135" s="2"/>
      <c r="O1135" s="56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</row>
    <row r="1136" spans="1:28" x14ac:dyDescent="0.25">
      <c r="A1136" s="2"/>
      <c r="B1136" s="8"/>
      <c r="C1136" s="8"/>
      <c r="D1136" s="8"/>
      <c r="E1136" s="8"/>
      <c r="F1136" s="13"/>
      <c r="G1136" s="59"/>
      <c r="H1136" s="6"/>
      <c r="I1136" s="6"/>
      <c r="J1136" s="2"/>
      <c r="K1136" s="2"/>
      <c r="L1136" s="2"/>
      <c r="M1136" s="2"/>
      <c r="N1136" s="2"/>
      <c r="O1136" s="56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</row>
    <row r="1137" spans="1:28" x14ac:dyDescent="0.25">
      <c r="A1137" s="2"/>
      <c r="B1137" s="8"/>
      <c r="C1137" s="8"/>
      <c r="D1137" s="8"/>
      <c r="E1137" s="8"/>
      <c r="F1137" s="13"/>
      <c r="G1137" s="59"/>
      <c r="H1137" s="6"/>
      <c r="I1137" s="6"/>
      <c r="J1137" s="2"/>
      <c r="K1137" s="2"/>
      <c r="L1137" s="2"/>
      <c r="M1137" s="2"/>
      <c r="N1137" s="2"/>
      <c r="O1137" s="56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</row>
    <row r="1138" spans="1:28" x14ac:dyDescent="0.25">
      <c r="A1138" s="2"/>
      <c r="B1138" s="8"/>
      <c r="C1138" s="8"/>
      <c r="D1138" s="8"/>
      <c r="E1138" s="8"/>
      <c r="F1138" s="13"/>
      <c r="G1138" s="59"/>
      <c r="H1138" s="6"/>
      <c r="I1138" s="6"/>
      <c r="J1138" s="2"/>
      <c r="K1138" s="2"/>
      <c r="L1138" s="2"/>
      <c r="M1138" s="2"/>
      <c r="N1138" s="2"/>
      <c r="O1138" s="56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</row>
    <row r="1139" spans="1:28" x14ac:dyDescent="0.25">
      <c r="A1139" s="2"/>
      <c r="B1139" s="8"/>
      <c r="C1139" s="8"/>
      <c r="D1139" s="8"/>
      <c r="E1139" s="8"/>
      <c r="F1139" s="13"/>
      <c r="G1139" s="59"/>
      <c r="H1139" s="6"/>
      <c r="I1139" s="6"/>
      <c r="J1139" s="2"/>
      <c r="K1139" s="2"/>
      <c r="L1139" s="2"/>
      <c r="M1139" s="2"/>
      <c r="N1139" s="2"/>
      <c r="O1139" s="56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</row>
    <row r="1140" spans="1:28" x14ac:dyDescent="0.25">
      <c r="A1140" s="2"/>
      <c r="B1140" s="8"/>
      <c r="C1140" s="8"/>
      <c r="D1140" s="8"/>
      <c r="E1140" s="8"/>
      <c r="F1140" s="13"/>
      <c r="G1140" s="59"/>
      <c r="H1140" s="6"/>
      <c r="I1140" s="6"/>
      <c r="J1140" s="2"/>
      <c r="K1140" s="2"/>
      <c r="L1140" s="2"/>
      <c r="M1140" s="2"/>
      <c r="N1140" s="2"/>
      <c r="O1140" s="56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</row>
    <row r="1141" spans="1:28" x14ac:dyDescent="0.25">
      <c r="A1141" s="2"/>
      <c r="B1141" s="8"/>
      <c r="C1141" s="8"/>
      <c r="D1141" s="8"/>
      <c r="E1141" s="8"/>
      <c r="F1141" s="13"/>
      <c r="G1141" s="59"/>
      <c r="H1141" s="6"/>
      <c r="I1141" s="6"/>
      <c r="J1141" s="2"/>
      <c r="K1141" s="2"/>
      <c r="L1141" s="2"/>
      <c r="M1141" s="2"/>
      <c r="N1141" s="2"/>
      <c r="O1141" s="56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</row>
    <row r="1142" spans="1:28" x14ac:dyDescent="0.25">
      <c r="A1142" s="2"/>
      <c r="B1142" s="8"/>
      <c r="C1142" s="8"/>
      <c r="D1142" s="8"/>
      <c r="E1142" s="8"/>
      <c r="F1142" s="13"/>
      <c r="G1142" s="59"/>
      <c r="H1142" s="6"/>
      <c r="I1142" s="6"/>
      <c r="J1142" s="2"/>
      <c r="K1142" s="2"/>
      <c r="L1142" s="2"/>
      <c r="M1142" s="2"/>
      <c r="N1142" s="2"/>
      <c r="O1142" s="56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</row>
    <row r="1143" spans="1:28" x14ac:dyDescent="0.25">
      <c r="A1143" s="2"/>
      <c r="B1143" s="8"/>
      <c r="C1143" s="8"/>
      <c r="D1143" s="8"/>
      <c r="E1143" s="8"/>
      <c r="F1143" s="13"/>
      <c r="G1143" s="59"/>
      <c r="H1143" s="6"/>
      <c r="I1143" s="6"/>
      <c r="J1143" s="2"/>
      <c r="K1143" s="2"/>
      <c r="L1143" s="2"/>
      <c r="M1143" s="2"/>
      <c r="N1143" s="2"/>
      <c r="O1143" s="56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</row>
    <row r="1144" spans="1:28" x14ac:dyDescent="0.25">
      <c r="A1144" s="2"/>
      <c r="B1144" s="8"/>
      <c r="C1144" s="8"/>
      <c r="D1144" s="8"/>
      <c r="E1144" s="8"/>
      <c r="F1144" s="13"/>
      <c r="G1144" s="59"/>
      <c r="H1144" s="6"/>
      <c r="I1144" s="6"/>
      <c r="J1144" s="2"/>
      <c r="K1144" s="2"/>
      <c r="L1144" s="2"/>
      <c r="M1144" s="2"/>
      <c r="N1144" s="2"/>
      <c r="O1144" s="56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</row>
    <row r="1145" spans="1:28" x14ac:dyDescent="0.25">
      <c r="A1145" s="2"/>
      <c r="B1145" s="8"/>
      <c r="C1145" s="8"/>
      <c r="D1145" s="8"/>
      <c r="E1145" s="8"/>
      <c r="F1145" s="13"/>
      <c r="G1145" s="59"/>
      <c r="H1145" s="6"/>
      <c r="I1145" s="6"/>
      <c r="J1145" s="2"/>
      <c r="K1145" s="2"/>
      <c r="L1145" s="2"/>
      <c r="M1145" s="2"/>
      <c r="N1145" s="2"/>
      <c r="O1145" s="56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</row>
    <row r="1146" spans="1:28" x14ac:dyDescent="0.25">
      <c r="A1146" s="2"/>
      <c r="B1146" s="8"/>
      <c r="C1146" s="8"/>
      <c r="D1146" s="8"/>
      <c r="E1146" s="8"/>
      <c r="F1146" s="13"/>
      <c r="G1146" s="59"/>
      <c r="H1146" s="6"/>
      <c r="I1146" s="6"/>
      <c r="J1146" s="2"/>
      <c r="K1146" s="2"/>
      <c r="L1146" s="2"/>
      <c r="M1146" s="2"/>
      <c r="N1146" s="2"/>
      <c r="O1146" s="56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</row>
    <row r="1147" spans="1:28" x14ac:dyDescent="0.25">
      <c r="A1147" s="2"/>
      <c r="B1147" s="8"/>
      <c r="C1147" s="8"/>
      <c r="D1147" s="8"/>
      <c r="E1147" s="8"/>
      <c r="F1147" s="13"/>
      <c r="G1147" s="59"/>
      <c r="H1147" s="6"/>
      <c r="I1147" s="6"/>
      <c r="J1147" s="2"/>
      <c r="K1147" s="2"/>
      <c r="L1147" s="2"/>
      <c r="M1147" s="2"/>
      <c r="N1147" s="2"/>
      <c r="O1147" s="56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</row>
    <row r="1148" spans="1:28" x14ac:dyDescent="0.25">
      <c r="A1148" s="2"/>
      <c r="B1148" s="8"/>
      <c r="C1148" s="8"/>
      <c r="D1148" s="8"/>
      <c r="E1148" s="8"/>
      <c r="F1148" s="13"/>
      <c r="G1148" s="59"/>
      <c r="H1148" s="6"/>
      <c r="I1148" s="6"/>
      <c r="J1148" s="2"/>
      <c r="K1148" s="2"/>
      <c r="L1148" s="2"/>
      <c r="M1148" s="2"/>
      <c r="N1148" s="2"/>
      <c r="O1148" s="56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</row>
    <row r="1149" spans="1:28" x14ac:dyDescent="0.25">
      <c r="A1149" s="2"/>
      <c r="B1149" s="8"/>
      <c r="C1149" s="8"/>
      <c r="D1149" s="8"/>
      <c r="E1149" s="8"/>
      <c r="F1149" s="13"/>
      <c r="G1149" s="59"/>
      <c r="H1149" s="6"/>
      <c r="I1149" s="6"/>
      <c r="J1149" s="2"/>
      <c r="K1149" s="2"/>
      <c r="L1149" s="2"/>
      <c r="M1149" s="2"/>
      <c r="N1149" s="2"/>
      <c r="O1149" s="56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</row>
    <row r="1150" spans="1:28" x14ac:dyDescent="0.25">
      <c r="A1150" s="2"/>
      <c r="B1150" s="8"/>
      <c r="C1150" s="8"/>
      <c r="D1150" s="8"/>
      <c r="E1150" s="8"/>
      <c r="F1150" s="13"/>
      <c r="G1150" s="59"/>
      <c r="H1150" s="6"/>
      <c r="I1150" s="6"/>
      <c r="J1150" s="2"/>
      <c r="K1150" s="2"/>
      <c r="L1150" s="2"/>
      <c r="M1150" s="2"/>
      <c r="N1150" s="2"/>
      <c r="O1150" s="56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</row>
    <row r="1151" spans="1:28" x14ac:dyDescent="0.25">
      <c r="A1151" s="2"/>
      <c r="B1151" s="8"/>
      <c r="C1151" s="8"/>
      <c r="D1151" s="8"/>
      <c r="E1151" s="8"/>
      <c r="F1151" s="13"/>
      <c r="G1151" s="59"/>
      <c r="H1151" s="6"/>
      <c r="I1151" s="6"/>
      <c r="J1151" s="2"/>
      <c r="K1151" s="2"/>
      <c r="L1151" s="2"/>
      <c r="M1151" s="2"/>
      <c r="N1151" s="2"/>
      <c r="O1151" s="56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</row>
    <row r="1152" spans="1:28" x14ac:dyDescent="0.25">
      <c r="A1152" s="2"/>
      <c r="B1152" s="8"/>
      <c r="C1152" s="8"/>
      <c r="D1152" s="8"/>
      <c r="E1152" s="8"/>
      <c r="F1152" s="13"/>
      <c r="G1152" s="59"/>
      <c r="H1152" s="6"/>
      <c r="I1152" s="6"/>
      <c r="J1152" s="2"/>
      <c r="K1152" s="2"/>
      <c r="L1152" s="2"/>
      <c r="M1152" s="2"/>
      <c r="N1152" s="2"/>
      <c r="O1152" s="56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</row>
    <row r="1153" spans="1:28" x14ac:dyDescent="0.25">
      <c r="A1153" s="2"/>
      <c r="B1153" s="8"/>
      <c r="C1153" s="8"/>
      <c r="D1153" s="8"/>
      <c r="E1153" s="8"/>
      <c r="F1153" s="13"/>
      <c r="G1153" s="59"/>
      <c r="H1153" s="6"/>
      <c r="I1153" s="6"/>
      <c r="J1153" s="2"/>
      <c r="K1153" s="2"/>
      <c r="L1153" s="2"/>
      <c r="M1153" s="2"/>
      <c r="N1153" s="2"/>
      <c r="O1153" s="56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</row>
    <row r="1154" spans="1:28" x14ac:dyDescent="0.25">
      <c r="A1154" s="2"/>
      <c r="B1154" s="8"/>
      <c r="C1154" s="8"/>
      <c r="D1154" s="8"/>
      <c r="E1154" s="8"/>
      <c r="F1154" s="13"/>
      <c r="G1154" s="59"/>
      <c r="H1154" s="6"/>
      <c r="I1154" s="6"/>
      <c r="J1154" s="2"/>
      <c r="K1154" s="2"/>
      <c r="L1154" s="2"/>
      <c r="M1154" s="2"/>
      <c r="N1154" s="2"/>
      <c r="O1154" s="56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</row>
    <row r="1155" spans="1:28" x14ac:dyDescent="0.25">
      <c r="A1155" s="2"/>
      <c r="B1155" s="8"/>
      <c r="C1155" s="8"/>
      <c r="D1155" s="8"/>
      <c r="E1155" s="8"/>
      <c r="F1155" s="13"/>
      <c r="G1155" s="59"/>
      <c r="H1155" s="6"/>
      <c r="I1155" s="6"/>
      <c r="J1155" s="2"/>
      <c r="K1155" s="2"/>
      <c r="L1155" s="2"/>
      <c r="M1155" s="2"/>
      <c r="N1155" s="2"/>
      <c r="O1155" s="56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</row>
    <row r="1156" spans="1:28" x14ac:dyDescent="0.25">
      <c r="A1156" s="2"/>
      <c r="B1156" s="8"/>
      <c r="C1156" s="8"/>
      <c r="D1156" s="8"/>
      <c r="E1156" s="8"/>
      <c r="F1156" s="13"/>
      <c r="G1156" s="59"/>
      <c r="H1156" s="6"/>
      <c r="I1156" s="6"/>
      <c r="J1156" s="2"/>
      <c r="K1156" s="2"/>
      <c r="L1156" s="2"/>
      <c r="M1156" s="2"/>
      <c r="N1156" s="2"/>
      <c r="O1156" s="56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</row>
    <row r="1157" spans="1:28" x14ac:dyDescent="0.25">
      <c r="A1157" s="2"/>
      <c r="B1157" s="8"/>
      <c r="C1157" s="8"/>
      <c r="D1157" s="8"/>
      <c r="E1157" s="8"/>
      <c r="F1157" s="13"/>
      <c r="G1157" s="59"/>
      <c r="H1157" s="6"/>
      <c r="I1157" s="6"/>
      <c r="J1157" s="2"/>
      <c r="K1157" s="2"/>
      <c r="L1157" s="2"/>
      <c r="M1157" s="2"/>
      <c r="N1157" s="2"/>
      <c r="O1157" s="56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</row>
    <row r="1158" spans="1:28" x14ac:dyDescent="0.25">
      <c r="A1158" s="2"/>
      <c r="B1158" s="8"/>
      <c r="C1158" s="8"/>
      <c r="D1158" s="8"/>
      <c r="E1158" s="8"/>
      <c r="F1158" s="13"/>
      <c r="G1158" s="59"/>
      <c r="H1158" s="6"/>
      <c r="I1158" s="6"/>
      <c r="J1158" s="2"/>
      <c r="K1158" s="2"/>
      <c r="L1158" s="2"/>
      <c r="M1158" s="2"/>
      <c r="N1158" s="2"/>
      <c r="O1158" s="56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</row>
    <row r="1159" spans="1:28" x14ac:dyDescent="0.25">
      <c r="A1159" s="2"/>
      <c r="B1159" s="8"/>
      <c r="C1159" s="8"/>
      <c r="D1159" s="8"/>
      <c r="E1159" s="8"/>
      <c r="F1159" s="13"/>
      <c r="G1159" s="59"/>
      <c r="H1159" s="6"/>
      <c r="I1159" s="6"/>
      <c r="J1159" s="2"/>
      <c r="K1159" s="2"/>
      <c r="L1159" s="2"/>
      <c r="M1159" s="2"/>
      <c r="N1159" s="2"/>
      <c r="O1159" s="56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</row>
    <row r="1160" spans="1:28" x14ac:dyDescent="0.25">
      <c r="A1160" s="2"/>
      <c r="B1160" s="8"/>
      <c r="C1160" s="8"/>
      <c r="D1160" s="8"/>
      <c r="E1160" s="8"/>
      <c r="F1160" s="13"/>
      <c r="G1160" s="59"/>
      <c r="H1160" s="6"/>
      <c r="I1160" s="6"/>
      <c r="J1160" s="2"/>
      <c r="K1160" s="2"/>
      <c r="L1160" s="2"/>
      <c r="M1160" s="2"/>
      <c r="N1160" s="2"/>
      <c r="O1160" s="56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</row>
    <row r="1161" spans="1:28" x14ac:dyDescent="0.25">
      <c r="A1161" s="2"/>
      <c r="B1161" s="8"/>
      <c r="C1161" s="8"/>
      <c r="D1161" s="8"/>
      <c r="E1161" s="8"/>
      <c r="F1161" s="13"/>
      <c r="G1161" s="59"/>
      <c r="H1161" s="6"/>
      <c r="I1161" s="6"/>
      <c r="J1161" s="2"/>
      <c r="K1161" s="2"/>
      <c r="L1161" s="2"/>
      <c r="M1161" s="2"/>
      <c r="N1161" s="2"/>
      <c r="O1161" s="56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</row>
    <row r="1162" spans="1:28" x14ac:dyDescent="0.25">
      <c r="A1162" s="2"/>
      <c r="B1162" s="8"/>
      <c r="C1162" s="8"/>
      <c r="D1162" s="8"/>
      <c r="E1162" s="8"/>
      <c r="F1162" s="13"/>
      <c r="G1162" s="59"/>
      <c r="H1162" s="6"/>
      <c r="I1162" s="6"/>
      <c r="J1162" s="2"/>
      <c r="K1162" s="2"/>
      <c r="L1162" s="2"/>
      <c r="M1162" s="2"/>
      <c r="N1162" s="2"/>
      <c r="O1162" s="56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  <c r="AA1162" s="2"/>
      <c r="AB1162" s="2"/>
    </row>
    <row r="1163" spans="1:28" x14ac:dyDescent="0.25">
      <c r="A1163" s="2"/>
      <c r="B1163" s="8"/>
      <c r="C1163" s="8"/>
      <c r="D1163" s="8"/>
      <c r="E1163" s="8"/>
      <c r="F1163" s="13"/>
      <c r="G1163" s="59"/>
      <c r="H1163" s="6"/>
      <c r="I1163" s="6"/>
      <c r="J1163" s="2"/>
      <c r="K1163" s="2"/>
      <c r="L1163" s="2"/>
      <c r="M1163" s="2"/>
      <c r="N1163" s="2"/>
      <c r="O1163" s="56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</row>
    <row r="1164" spans="1:28" x14ac:dyDescent="0.25">
      <c r="A1164" s="2"/>
      <c r="B1164" s="8"/>
      <c r="C1164" s="8"/>
      <c r="D1164" s="8"/>
      <c r="E1164" s="8"/>
      <c r="F1164" s="13"/>
      <c r="G1164" s="59"/>
      <c r="H1164" s="6"/>
      <c r="I1164" s="6"/>
      <c r="J1164" s="2"/>
      <c r="K1164" s="2"/>
      <c r="L1164" s="2"/>
      <c r="M1164" s="2"/>
      <c r="N1164" s="2"/>
      <c r="O1164" s="56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</row>
    <row r="1165" spans="1:28" x14ac:dyDescent="0.25">
      <c r="A1165" s="2"/>
      <c r="B1165" s="8"/>
      <c r="C1165" s="8"/>
      <c r="D1165" s="8"/>
      <c r="E1165" s="8"/>
      <c r="F1165" s="13"/>
      <c r="G1165" s="59"/>
      <c r="H1165" s="6"/>
      <c r="I1165" s="6"/>
      <c r="J1165" s="2"/>
      <c r="K1165" s="2"/>
      <c r="L1165" s="2"/>
      <c r="M1165" s="2"/>
      <c r="N1165" s="2"/>
      <c r="O1165" s="56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</row>
    <row r="1166" spans="1:28" x14ac:dyDescent="0.25">
      <c r="A1166" s="2"/>
      <c r="B1166" s="8"/>
      <c r="C1166" s="8"/>
      <c r="D1166" s="8"/>
      <c r="E1166" s="8"/>
      <c r="F1166" s="13"/>
      <c r="G1166" s="59"/>
      <c r="H1166" s="6"/>
      <c r="I1166" s="6"/>
      <c r="J1166" s="2"/>
      <c r="K1166" s="2"/>
      <c r="L1166" s="2"/>
      <c r="M1166" s="2"/>
      <c r="N1166" s="2"/>
      <c r="O1166" s="56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</row>
    <row r="1167" spans="1:28" x14ac:dyDescent="0.25">
      <c r="A1167" s="2"/>
      <c r="B1167" s="8"/>
      <c r="C1167" s="8"/>
      <c r="D1167" s="8"/>
      <c r="E1167" s="8"/>
      <c r="F1167" s="13"/>
      <c r="G1167" s="59"/>
      <c r="H1167" s="6"/>
      <c r="I1167" s="6"/>
      <c r="J1167" s="2"/>
      <c r="K1167" s="2"/>
      <c r="L1167" s="2"/>
      <c r="M1167" s="2"/>
      <c r="N1167" s="2"/>
      <c r="O1167" s="56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</row>
    <row r="1168" spans="1:28" x14ac:dyDescent="0.25">
      <c r="A1168" s="2"/>
      <c r="B1168" s="8"/>
      <c r="C1168" s="8"/>
      <c r="D1168" s="8"/>
      <c r="E1168" s="8"/>
      <c r="F1168" s="13"/>
      <c r="G1168" s="59"/>
      <c r="H1168" s="6"/>
      <c r="I1168" s="6"/>
      <c r="J1168" s="2"/>
      <c r="K1168" s="2"/>
      <c r="L1168" s="2"/>
      <c r="M1168" s="2"/>
      <c r="N1168" s="2"/>
      <c r="O1168" s="56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</row>
    <row r="1169" spans="1:28" x14ac:dyDescent="0.25">
      <c r="A1169" s="2"/>
      <c r="B1169" s="8"/>
      <c r="C1169" s="8"/>
      <c r="D1169" s="8"/>
      <c r="E1169" s="8"/>
      <c r="F1169" s="13"/>
      <c r="G1169" s="59"/>
      <c r="H1169" s="6"/>
      <c r="I1169" s="6"/>
      <c r="J1169" s="2"/>
      <c r="K1169" s="2"/>
      <c r="L1169" s="2"/>
      <c r="M1169" s="2"/>
      <c r="N1169" s="2"/>
      <c r="O1169" s="56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</row>
    <row r="1170" spans="1:28" x14ac:dyDescent="0.25">
      <c r="A1170" s="2"/>
      <c r="B1170" s="8"/>
      <c r="C1170" s="8"/>
      <c r="D1170" s="8"/>
      <c r="E1170" s="8"/>
      <c r="F1170" s="13"/>
      <c r="G1170" s="59"/>
      <c r="H1170" s="6"/>
      <c r="I1170" s="6"/>
      <c r="J1170" s="2"/>
      <c r="K1170" s="2"/>
      <c r="L1170" s="2"/>
      <c r="M1170" s="2"/>
      <c r="N1170" s="2"/>
      <c r="O1170" s="56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</row>
    <row r="1171" spans="1:28" x14ac:dyDescent="0.25">
      <c r="A1171" s="2"/>
      <c r="B1171" s="8"/>
      <c r="C1171" s="8"/>
      <c r="D1171" s="8"/>
      <c r="E1171" s="8"/>
      <c r="F1171" s="13"/>
      <c r="G1171" s="59"/>
      <c r="H1171" s="6"/>
      <c r="I1171" s="6"/>
      <c r="J1171" s="2"/>
      <c r="K1171" s="2"/>
      <c r="L1171" s="2"/>
      <c r="M1171" s="2"/>
      <c r="N1171" s="2"/>
      <c r="O1171" s="56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</row>
    <row r="1172" spans="1:28" x14ac:dyDescent="0.25">
      <c r="A1172" s="2"/>
      <c r="B1172" s="8"/>
      <c r="C1172" s="8"/>
      <c r="D1172" s="8"/>
      <c r="E1172" s="8"/>
      <c r="F1172" s="13"/>
      <c r="G1172" s="59"/>
      <c r="H1172" s="6"/>
      <c r="I1172" s="6"/>
      <c r="J1172" s="2"/>
      <c r="K1172" s="2"/>
      <c r="L1172" s="2"/>
      <c r="M1172" s="2"/>
      <c r="N1172" s="2"/>
      <c r="O1172" s="56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  <c r="AA1172" s="2"/>
      <c r="AB1172" s="2"/>
    </row>
    <row r="1173" spans="1:28" x14ac:dyDescent="0.25">
      <c r="A1173" s="2"/>
      <c r="B1173" s="8"/>
      <c r="C1173" s="8"/>
      <c r="D1173" s="8"/>
      <c r="E1173" s="8"/>
      <c r="F1173" s="13"/>
      <c r="G1173" s="59"/>
      <c r="H1173" s="6"/>
      <c r="I1173" s="6"/>
      <c r="J1173" s="2"/>
      <c r="K1173" s="2"/>
      <c r="L1173" s="2"/>
      <c r="M1173" s="2"/>
      <c r="N1173" s="2"/>
      <c r="O1173" s="56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</row>
    <row r="1174" spans="1:28" x14ac:dyDescent="0.25">
      <c r="A1174" s="2"/>
      <c r="B1174" s="8"/>
      <c r="C1174" s="8"/>
      <c r="D1174" s="8"/>
      <c r="E1174" s="8"/>
      <c r="F1174" s="13"/>
      <c r="G1174" s="59"/>
      <c r="H1174" s="6"/>
      <c r="I1174" s="6"/>
      <c r="J1174" s="2"/>
      <c r="K1174" s="2"/>
      <c r="L1174" s="2"/>
      <c r="M1174" s="2"/>
      <c r="N1174" s="2"/>
      <c r="O1174" s="56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</row>
    <row r="1175" spans="1:28" x14ac:dyDescent="0.25">
      <c r="A1175" s="2"/>
      <c r="B1175" s="8"/>
      <c r="C1175" s="8"/>
      <c r="D1175" s="8"/>
      <c r="E1175" s="8"/>
      <c r="F1175" s="13"/>
      <c r="G1175" s="59"/>
      <c r="H1175" s="6"/>
      <c r="I1175" s="6"/>
      <c r="J1175" s="2"/>
      <c r="K1175" s="2"/>
      <c r="L1175" s="2"/>
      <c r="M1175" s="2"/>
      <c r="N1175" s="2"/>
      <c r="O1175" s="56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</row>
    <row r="1176" spans="1:28" x14ac:dyDescent="0.25">
      <c r="A1176" s="2"/>
      <c r="B1176" s="8"/>
      <c r="C1176" s="8"/>
      <c r="D1176" s="8"/>
      <c r="E1176" s="8"/>
      <c r="F1176" s="13"/>
      <c r="G1176" s="59"/>
      <c r="H1176" s="6"/>
      <c r="I1176" s="6"/>
      <c r="J1176" s="2"/>
      <c r="K1176" s="2"/>
      <c r="L1176" s="2"/>
      <c r="M1176" s="2"/>
      <c r="N1176" s="2"/>
      <c r="O1176" s="56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</row>
    <row r="1177" spans="1:28" x14ac:dyDescent="0.25">
      <c r="A1177" s="2"/>
      <c r="B1177" s="8"/>
      <c r="C1177" s="8"/>
      <c r="D1177" s="8"/>
      <c r="E1177" s="8"/>
      <c r="F1177" s="13"/>
      <c r="G1177" s="59"/>
      <c r="H1177" s="6"/>
      <c r="I1177" s="6"/>
      <c r="J1177" s="2"/>
      <c r="K1177" s="2"/>
      <c r="L1177" s="2"/>
      <c r="M1177" s="2"/>
      <c r="N1177" s="2"/>
      <c r="O1177" s="56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</row>
    <row r="1178" spans="1:28" x14ac:dyDescent="0.25">
      <c r="A1178" s="2"/>
      <c r="B1178" s="8"/>
      <c r="C1178" s="8"/>
      <c r="D1178" s="8"/>
      <c r="E1178" s="8"/>
      <c r="F1178" s="13"/>
      <c r="G1178" s="59"/>
      <c r="H1178" s="6"/>
      <c r="I1178" s="6"/>
      <c r="J1178" s="2"/>
      <c r="K1178" s="2"/>
      <c r="L1178" s="2"/>
      <c r="M1178" s="2"/>
      <c r="N1178" s="2"/>
      <c r="O1178" s="56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</row>
    <row r="1179" spans="1:28" x14ac:dyDescent="0.25">
      <c r="A1179" s="2"/>
      <c r="B1179" s="8"/>
      <c r="C1179" s="8"/>
      <c r="D1179" s="8"/>
      <c r="E1179" s="8"/>
      <c r="F1179" s="13"/>
      <c r="G1179" s="59"/>
      <c r="H1179" s="6"/>
      <c r="I1179" s="6"/>
      <c r="J1179" s="2"/>
      <c r="K1179" s="2"/>
      <c r="L1179" s="2"/>
      <c r="M1179" s="2"/>
      <c r="N1179" s="2"/>
      <c r="O1179" s="56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</row>
    <row r="1180" spans="1:28" x14ac:dyDescent="0.25">
      <c r="A1180" s="2"/>
      <c r="B1180" s="8"/>
      <c r="C1180" s="8"/>
      <c r="D1180" s="8"/>
      <c r="E1180" s="8"/>
      <c r="F1180" s="13"/>
      <c r="G1180" s="59"/>
      <c r="H1180" s="6"/>
      <c r="I1180" s="6"/>
      <c r="J1180" s="2"/>
      <c r="K1180" s="2"/>
      <c r="L1180" s="2"/>
      <c r="M1180" s="2"/>
      <c r="N1180" s="2"/>
      <c r="O1180" s="56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</row>
    <row r="1181" spans="1:28" x14ac:dyDescent="0.25">
      <c r="A1181" s="2"/>
      <c r="B1181" s="8"/>
      <c r="C1181" s="8"/>
      <c r="D1181" s="8"/>
      <c r="E1181" s="8"/>
      <c r="F1181" s="13"/>
      <c r="G1181" s="59"/>
      <c r="H1181" s="6"/>
      <c r="I1181" s="6"/>
      <c r="J1181" s="2"/>
      <c r="K1181" s="2"/>
      <c r="L1181" s="2"/>
      <c r="M1181" s="2"/>
      <c r="N1181" s="2"/>
      <c r="O1181" s="56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</row>
    <row r="1182" spans="1:28" x14ac:dyDescent="0.25">
      <c r="A1182" s="2"/>
      <c r="B1182" s="8"/>
      <c r="C1182" s="8"/>
      <c r="D1182" s="8"/>
      <c r="E1182" s="8"/>
      <c r="F1182" s="13"/>
      <c r="G1182" s="59"/>
      <c r="H1182" s="6"/>
      <c r="I1182" s="6"/>
      <c r="J1182" s="2"/>
      <c r="K1182" s="2"/>
      <c r="L1182" s="2"/>
      <c r="M1182" s="2"/>
      <c r="N1182" s="2"/>
      <c r="O1182" s="56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</row>
    <row r="1183" spans="1:28" x14ac:dyDescent="0.25">
      <c r="A1183" s="2"/>
      <c r="B1183" s="8"/>
      <c r="C1183" s="8"/>
      <c r="D1183" s="8"/>
      <c r="E1183" s="8"/>
      <c r="F1183" s="13"/>
      <c r="G1183" s="59"/>
      <c r="H1183" s="6"/>
      <c r="I1183" s="6"/>
      <c r="J1183" s="2"/>
      <c r="K1183" s="2"/>
      <c r="L1183" s="2"/>
      <c r="M1183" s="2"/>
      <c r="N1183" s="2"/>
      <c r="O1183" s="56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</row>
    <row r="1184" spans="1:28" x14ac:dyDescent="0.25">
      <c r="A1184" s="2"/>
      <c r="B1184" s="8"/>
      <c r="C1184" s="8"/>
      <c r="D1184" s="8"/>
      <c r="E1184" s="8"/>
      <c r="F1184" s="13"/>
      <c r="G1184" s="59"/>
      <c r="H1184" s="6"/>
      <c r="I1184" s="6"/>
      <c r="J1184" s="2"/>
      <c r="K1184" s="2"/>
      <c r="L1184" s="2"/>
      <c r="M1184" s="2"/>
      <c r="N1184" s="2"/>
      <c r="O1184" s="56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  <c r="AA1184" s="2"/>
      <c r="AB1184" s="2"/>
    </row>
    <row r="1185" spans="1:28" x14ac:dyDescent="0.25">
      <c r="A1185" s="2"/>
      <c r="B1185" s="8"/>
      <c r="C1185" s="8"/>
      <c r="D1185" s="8"/>
      <c r="E1185" s="8"/>
      <c r="F1185" s="13"/>
      <c r="G1185" s="59"/>
      <c r="H1185" s="6"/>
      <c r="I1185" s="6"/>
      <c r="J1185" s="2"/>
      <c r="K1185" s="2"/>
      <c r="L1185" s="2"/>
      <c r="M1185" s="2"/>
      <c r="N1185" s="2"/>
      <c r="O1185" s="56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</row>
    <row r="1186" spans="1:28" x14ac:dyDescent="0.25">
      <c r="A1186" s="2"/>
      <c r="B1186" s="8"/>
      <c r="C1186" s="8"/>
      <c r="D1186" s="8"/>
      <c r="E1186" s="8"/>
      <c r="F1186" s="13"/>
      <c r="G1186" s="59"/>
      <c r="H1186" s="6"/>
      <c r="I1186" s="6"/>
      <c r="J1186" s="2"/>
      <c r="K1186" s="2"/>
      <c r="L1186" s="2"/>
      <c r="M1186" s="2"/>
      <c r="N1186" s="2"/>
      <c r="O1186" s="56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</row>
    <row r="1187" spans="1:28" x14ac:dyDescent="0.25">
      <c r="A1187" s="2"/>
      <c r="B1187" s="8"/>
      <c r="C1187" s="8"/>
      <c r="D1187" s="8"/>
      <c r="E1187" s="8"/>
      <c r="F1187" s="13"/>
      <c r="G1187" s="59"/>
      <c r="H1187" s="6"/>
      <c r="I1187" s="6"/>
      <c r="J1187" s="2"/>
      <c r="K1187" s="2"/>
      <c r="L1187" s="2"/>
      <c r="M1187" s="2"/>
      <c r="N1187" s="2"/>
      <c r="O1187" s="56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  <c r="AA1187" s="2"/>
      <c r="AB1187" s="2"/>
    </row>
    <row r="1188" spans="1:28" x14ac:dyDescent="0.25">
      <c r="A1188" s="2"/>
      <c r="B1188" s="8"/>
      <c r="C1188" s="8"/>
      <c r="D1188" s="8"/>
      <c r="E1188" s="8"/>
      <c r="F1188" s="13"/>
      <c r="G1188" s="59"/>
      <c r="H1188" s="6"/>
      <c r="I1188" s="6"/>
      <c r="J1188" s="2"/>
      <c r="K1188" s="2"/>
      <c r="L1188" s="2"/>
      <c r="M1188" s="2"/>
      <c r="N1188" s="2"/>
      <c r="O1188" s="56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  <c r="AA1188" s="2"/>
      <c r="AB1188" s="2"/>
    </row>
    <row r="1189" spans="1:28" x14ac:dyDescent="0.25">
      <c r="A1189" s="2"/>
      <c r="B1189" s="8"/>
      <c r="C1189" s="8"/>
      <c r="D1189" s="8"/>
      <c r="E1189" s="8"/>
      <c r="F1189" s="13"/>
      <c r="G1189" s="59"/>
      <c r="H1189" s="6"/>
      <c r="I1189" s="6"/>
      <c r="J1189" s="2"/>
      <c r="K1189" s="2"/>
      <c r="L1189" s="2"/>
      <c r="M1189" s="2"/>
      <c r="N1189" s="2"/>
      <c r="O1189" s="56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</row>
    <row r="1190" spans="1:28" x14ac:dyDescent="0.25">
      <c r="A1190" s="2"/>
      <c r="B1190" s="8"/>
      <c r="C1190" s="8"/>
      <c r="D1190" s="8"/>
      <c r="E1190" s="8"/>
      <c r="F1190" s="13"/>
      <c r="G1190" s="59"/>
      <c r="H1190" s="6"/>
      <c r="I1190" s="6"/>
      <c r="J1190" s="2"/>
      <c r="K1190" s="2"/>
      <c r="L1190" s="2"/>
      <c r="M1190" s="2"/>
      <c r="N1190" s="2"/>
      <c r="O1190" s="56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</row>
    <row r="1191" spans="1:28" x14ac:dyDescent="0.25">
      <c r="A1191" s="2"/>
      <c r="B1191" s="8"/>
      <c r="C1191" s="8"/>
      <c r="D1191" s="8"/>
      <c r="E1191" s="8"/>
      <c r="F1191" s="13"/>
      <c r="G1191" s="59"/>
      <c r="H1191" s="6"/>
      <c r="I1191" s="6"/>
      <c r="J1191" s="2"/>
      <c r="K1191" s="2"/>
      <c r="L1191" s="2"/>
      <c r="M1191" s="2"/>
      <c r="N1191" s="2"/>
      <c r="O1191" s="56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</row>
    <row r="1192" spans="1:28" x14ac:dyDescent="0.25">
      <c r="A1192" s="2"/>
      <c r="B1192" s="8"/>
      <c r="C1192" s="8"/>
      <c r="D1192" s="8"/>
      <c r="E1192" s="8"/>
      <c r="F1192" s="13"/>
      <c r="G1192" s="59"/>
      <c r="H1192" s="6"/>
      <c r="I1192" s="6"/>
      <c r="J1192" s="2"/>
      <c r="K1192" s="2"/>
      <c r="L1192" s="2"/>
      <c r="M1192" s="2"/>
      <c r="N1192" s="2"/>
      <c r="O1192" s="56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</row>
    <row r="1193" spans="1:28" x14ac:dyDescent="0.25">
      <c r="A1193" s="2"/>
      <c r="B1193" s="8"/>
      <c r="C1193" s="8"/>
      <c r="D1193" s="8"/>
      <c r="E1193" s="8"/>
      <c r="F1193" s="13"/>
      <c r="G1193" s="59"/>
      <c r="H1193" s="6"/>
      <c r="I1193" s="6"/>
      <c r="J1193" s="2"/>
      <c r="K1193" s="2"/>
      <c r="L1193" s="2"/>
      <c r="M1193" s="2"/>
      <c r="N1193" s="2"/>
      <c r="O1193" s="56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  <c r="AA1193" s="2"/>
      <c r="AB1193" s="2"/>
    </row>
    <row r="1194" spans="1:28" x14ac:dyDescent="0.25">
      <c r="A1194" s="2"/>
      <c r="B1194" s="8"/>
      <c r="C1194" s="8"/>
      <c r="D1194" s="8"/>
      <c r="E1194" s="8"/>
      <c r="F1194" s="13"/>
      <c r="G1194" s="59"/>
      <c r="H1194" s="6"/>
      <c r="I1194" s="6"/>
      <c r="J1194" s="2"/>
      <c r="K1194" s="2"/>
      <c r="L1194" s="2"/>
      <c r="M1194" s="2"/>
      <c r="N1194" s="2"/>
      <c r="O1194" s="56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</row>
    <row r="1195" spans="1:28" x14ac:dyDescent="0.25">
      <c r="A1195" s="2"/>
      <c r="B1195" s="8"/>
      <c r="C1195" s="8"/>
      <c r="D1195" s="8"/>
      <c r="E1195" s="8"/>
      <c r="F1195" s="13"/>
      <c r="G1195" s="59"/>
      <c r="H1195" s="6"/>
      <c r="I1195" s="6"/>
      <c r="J1195" s="2"/>
      <c r="K1195" s="2"/>
      <c r="L1195" s="2"/>
      <c r="M1195" s="2"/>
      <c r="N1195" s="2"/>
      <c r="O1195" s="56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  <c r="AA1195" s="2"/>
      <c r="AB1195" s="2"/>
    </row>
    <row r="1196" spans="1:28" x14ac:dyDescent="0.25">
      <c r="A1196" s="2"/>
      <c r="B1196" s="8"/>
      <c r="C1196" s="8"/>
      <c r="D1196" s="8"/>
      <c r="E1196" s="8"/>
      <c r="F1196" s="13"/>
      <c r="G1196" s="59"/>
      <c r="H1196" s="6"/>
      <c r="I1196" s="6"/>
      <c r="J1196" s="2"/>
      <c r="K1196" s="2"/>
      <c r="L1196" s="2"/>
      <c r="M1196" s="2"/>
      <c r="N1196" s="2"/>
      <c r="O1196" s="56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</row>
    <row r="1197" spans="1:28" x14ac:dyDescent="0.25">
      <c r="A1197" s="2"/>
      <c r="B1197" s="8"/>
      <c r="C1197" s="8"/>
      <c r="D1197" s="8"/>
      <c r="E1197" s="8"/>
      <c r="F1197" s="13"/>
      <c r="G1197" s="59"/>
      <c r="H1197" s="6"/>
      <c r="I1197" s="6"/>
      <c r="J1197" s="2"/>
      <c r="K1197" s="2"/>
      <c r="L1197" s="2"/>
      <c r="M1197" s="2"/>
      <c r="N1197" s="2"/>
      <c r="O1197" s="56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</row>
    <row r="1198" spans="1:28" x14ac:dyDescent="0.25">
      <c r="A1198" s="2"/>
      <c r="B1198" s="8"/>
      <c r="C1198" s="8"/>
      <c r="D1198" s="8"/>
      <c r="E1198" s="8"/>
      <c r="F1198" s="13"/>
      <c r="G1198" s="59"/>
      <c r="H1198" s="6"/>
      <c r="I1198" s="6"/>
      <c r="J1198" s="2"/>
      <c r="K1198" s="2"/>
      <c r="L1198" s="2"/>
      <c r="M1198" s="2"/>
      <c r="N1198" s="2"/>
      <c r="O1198" s="56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</row>
    <row r="1199" spans="1:28" x14ac:dyDescent="0.25">
      <c r="A1199" s="2"/>
      <c r="B1199" s="8"/>
      <c r="C1199" s="8"/>
      <c r="D1199" s="8"/>
      <c r="E1199" s="8"/>
      <c r="F1199" s="13"/>
      <c r="G1199" s="59"/>
      <c r="H1199" s="6"/>
      <c r="I1199" s="6"/>
      <c r="J1199" s="2"/>
      <c r="K1199" s="2"/>
      <c r="L1199" s="2"/>
      <c r="M1199" s="2"/>
      <c r="N1199" s="2"/>
      <c r="O1199" s="56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  <c r="AA1199" s="2"/>
      <c r="AB1199" s="2"/>
    </row>
    <row r="1200" spans="1:28" x14ac:dyDescent="0.25">
      <c r="A1200" s="2"/>
      <c r="B1200" s="8"/>
      <c r="C1200" s="8"/>
      <c r="D1200" s="8"/>
      <c r="E1200" s="8"/>
      <c r="F1200" s="13"/>
      <c r="G1200" s="59"/>
      <c r="H1200" s="6"/>
      <c r="I1200" s="6"/>
      <c r="J1200" s="2"/>
      <c r="K1200" s="2"/>
      <c r="L1200" s="2"/>
      <c r="M1200" s="2"/>
      <c r="N1200" s="2"/>
      <c r="O1200" s="56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</row>
    <row r="1201" spans="1:28" x14ac:dyDescent="0.25">
      <c r="A1201" s="2"/>
      <c r="B1201" s="8"/>
      <c r="C1201" s="8"/>
      <c r="D1201" s="8"/>
      <c r="E1201" s="8"/>
      <c r="F1201" s="13"/>
      <c r="G1201" s="59"/>
      <c r="H1201" s="6"/>
      <c r="I1201" s="6"/>
      <c r="J1201" s="2"/>
      <c r="K1201" s="2"/>
      <c r="L1201" s="2"/>
      <c r="M1201" s="2"/>
      <c r="N1201" s="2"/>
      <c r="O1201" s="56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</row>
    <row r="1202" spans="1:28" x14ac:dyDescent="0.25">
      <c r="A1202" s="2"/>
      <c r="B1202" s="8"/>
      <c r="C1202" s="8"/>
      <c r="D1202" s="8"/>
      <c r="E1202" s="8"/>
      <c r="F1202" s="13"/>
      <c r="G1202" s="59"/>
      <c r="H1202" s="6"/>
      <c r="I1202" s="6"/>
      <c r="J1202" s="2"/>
      <c r="K1202" s="2"/>
      <c r="L1202" s="2"/>
      <c r="M1202" s="2"/>
      <c r="N1202" s="2"/>
      <c r="O1202" s="56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</row>
    <row r="1203" spans="1:28" x14ac:dyDescent="0.25">
      <c r="A1203" s="2"/>
      <c r="B1203" s="8"/>
      <c r="C1203" s="8"/>
      <c r="D1203" s="8"/>
      <c r="E1203" s="8"/>
      <c r="F1203" s="13"/>
      <c r="G1203" s="59"/>
      <c r="H1203" s="6"/>
      <c r="I1203" s="6"/>
      <c r="J1203" s="2"/>
      <c r="K1203" s="2"/>
      <c r="L1203" s="2"/>
      <c r="M1203" s="2"/>
      <c r="N1203" s="2"/>
      <c r="O1203" s="56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</row>
    <row r="1204" spans="1:28" x14ac:dyDescent="0.25">
      <c r="A1204" s="2"/>
      <c r="B1204" s="8"/>
      <c r="C1204" s="8"/>
      <c r="D1204" s="8"/>
      <c r="E1204" s="8"/>
      <c r="F1204" s="13"/>
      <c r="G1204" s="59"/>
      <c r="H1204" s="6"/>
      <c r="I1204" s="6"/>
      <c r="J1204" s="2"/>
      <c r="K1204" s="2"/>
      <c r="L1204" s="2"/>
      <c r="M1204" s="2"/>
      <c r="N1204" s="2"/>
      <c r="O1204" s="56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  <c r="AA1204" s="2"/>
      <c r="AB1204" s="2"/>
    </row>
    <row r="1205" spans="1:28" x14ac:dyDescent="0.25">
      <c r="A1205" s="2"/>
      <c r="B1205" s="8"/>
      <c r="C1205" s="8"/>
      <c r="D1205" s="8"/>
      <c r="E1205" s="8"/>
      <c r="F1205" s="13"/>
      <c r="G1205" s="59"/>
      <c r="H1205" s="6"/>
      <c r="I1205" s="6"/>
      <c r="J1205" s="2"/>
      <c r="K1205" s="2"/>
      <c r="L1205" s="2"/>
      <c r="M1205" s="2"/>
      <c r="N1205" s="2"/>
      <c r="O1205" s="56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  <c r="AA1205" s="2"/>
      <c r="AB1205" s="2"/>
    </row>
    <row r="1206" spans="1:28" x14ac:dyDescent="0.25">
      <c r="A1206" s="2"/>
      <c r="B1206" s="8"/>
      <c r="C1206" s="8"/>
      <c r="D1206" s="8"/>
      <c r="E1206" s="8"/>
      <c r="F1206" s="13"/>
      <c r="G1206" s="59"/>
      <c r="H1206" s="6"/>
      <c r="I1206" s="6"/>
      <c r="J1206" s="2"/>
      <c r="K1206" s="2"/>
      <c r="L1206" s="2"/>
      <c r="M1206" s="2"/>
      <c r="N1206" s="2"/>
      <c r="O1206" s="56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</row>
    <row r="1207" spans="1:28" x14ac:dyDescent="0.25">
      <c r="A1207" s="2"/>
      <c r="B1207" s="8"/>
      <c r="C1207" s="8"/>
      <c r="D1207" s="8"/>
      <c r="E1207" s="8"/>
      <c r="F1207" s="13"/>
      <c r="G1207" s="59"/>
      <c r="H1207" s="6"/>
      <c r="I1207" s="6"/>
      <c r="J1207" s="2"/>
      <c r="K1207" s="2"/>
      <c r="L1207" s="2"/>
      <c r="M1207" s="2"/>
      <c r="N1207" s="2"/>
      <c r="O1207" s="56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</row>
    <row r="1208" spans="1:28" x14ac:dyDescent="0.25">
      <c r="A1208" s="2"/>
      <c r="B1208" s="8"/>
      <c r="C1208" s="8"/>
      <c r="D1208" s="8"/>
      <c r="E1208" s="8"/>
      <c r="F1208" s="13"/>
      <c r="G1208" s="59"/>
      <c r="H1208" s="6"/>
      <c r="I1208" s="6"/>
      <c r="J1208" s="2"/>
      <c r="K1208" s="2"/>
      <c r="L1208" s="2"/>
      <c r="M1208" s="2"/>
      <c r="N1208" s="2"/>
      <c r="O1208" s="56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  <c r="AA1208" s="2"/>
      <c r="AB1208" s="2"/>
    </row>
    <row r="1209" spans="1:28" x14ac:dyDescent="0.25">
      <c r="A1209" s="2"/>
      <c r="B1209" s="8"/>
      <c r="C1209" s="8"/>
      <c r="D1209" s="8"/>
      <c r="E1209" s="8"/>
      <c r="F1209" s="13"/>
      <c r="G1209" s="59"/>
      <c r="H1209" s="6"/>
      <c r="I1209" s="6"/>
      <c r="J1209" s="2"/>
      <c r="K1209" s="2"/>
      <c r="L1209" s="2"/>
      <c r="M1209" s="2"/>
      <c r="N1209" s="2"/>
      <c r="O1209" s="56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</row>
    <row r="1210" spans="1:28" x14ac:dyDescent="0.25">
      <c r="A1210" s="2"/>
      <c r="B1210" s="8"/>
      <c r="C1210" s="8"/>
      <c r="D1210" s="8"/>
      <c r="E1210" s="8"/>
      <c r="F1210" s="13"/>
      <c r="G1210" s="59"/>
      <c r="H1210" s="6"/>
      <c r="I1210" s="6"/>
      <c r="J1210" s="2"/>
      <c r="K1210" s="2"/>
      <c r="L1210" s="2"/>
      <c r="M1210" s="2"/>
      <c r="N1210" s="2"/>
      <c r="O1210" s="56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  <c r="AA1210" s="2"/>
      <c r="AB1210" s="2"/>
    </row>
    <row r="1211" spans="1:28" x14ac:dyDescent="0.25">
      <c r="A1211" s="2"/>
      <c r="B1211" s="8"/>
      <c r="C1211" s="8"/>
      <c r="D1211" s="8"/>
      <c r="E1211" s="8"/>
      <c r="F1211" s="13"/>
      <c r="G1211" s="59"/>
      <c r="H1211" s="6"/>
      <c r="I1211" s="6"/>
      <c r="J1211" s="2"/>
      <c r="K1211" s="2"/>
      <c r="L1211" s="2"/>
      <c r="M1211" s="2"/>
      <c r="N1211" s="2"/>
      <c r="O1211" s="56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  <c r="AA1211" s="2"/>
      <c r="AB1211" s="2"/>
    </row>
    <row r="1212" spans="1:28" x14ac:dyDescent="0.25">
      <c r="A1212" s="2"/>
      <c r="B1212" s="8"/>
      <c r="C1212" s="8"/>
      <c r="D1212" s="8"/>
      <c r="E1212" s="8"/>
      <c r="F1212" s="13"/>
      <c r="G1212" s="59"/>
      <c r="H1212" s="6"/>
      <c r="I1212" s="6"/>
      <c r="J1212" s="2"/>
      <c r="K1212" s="2"/>
      <c r="L1212" s="2"/>
      <c r="M1212" s="2"/>
      <c r="N1212" s="2"/>
      <c r="O1212" s="56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  <c r="AA1212" s="2"/>
      <c r="AB1212" s="2"/>
    </row>
    <row r="1213" spans="1:28" x14ac:dyDescent="0.25">
      <c r="A1213" s="2"/>
      <c r="B1213" s="8"/>
      <c r="C1213" s="8"/>
      <c r="D1213" s="8"/>
      <c r="E1213" s="8"/>
      <c r="F1213" s="13"/>
      <c r="G1213" s="59"/>
      <c r="H1213" s="6"/>
      <c r="I1213" s="6"/>
      <c r="J1213" s="2"/>
      <c r="K1213" s="2"/>
      <c r="L1213" s="2"/>
      <c r="M1213" s="2"/>
      <c r="N1213" s="2"/>
      <c r="O1213" s="56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  <c r="AA1213" s="2"/>
      <c r="AB1213" s="2"/>
    </row>
    <row r="1214" spans="1:28" x14ac:dyDescent="0.25">
      <c r="A1214" s="2"/>
      <c r="B1214" s="8"/>
      <c r="C1214" s="8"/>
      <c r="D1214" s="8"/>
      <c r="E1214" s="8"/>
      <c r="F1214" s="13"/>
      <c r="G1214" s="59"/>
      <c r="H1214" s="6"/>
      <c r="I1214" s="6"/>
      <c r="J1214" s="2"/>
      <c r="K1214" s="2"/>
      <c r="L1214" s="2"/>
      <c r="M1214" s="2"/>
      <c r="N1214" s="2"/>
      <c r="O1214" s="56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  <c r="AA1214" s="2"/>
      <c r="AB1214" s="2"/>
    </row>
    <row r="1215" spans="1:28" x14ac:dyDescent="0.25">
      <c r="A1215" s="2"/>
      <c r="B1215" s="8"/>
      <c r="C1215" s="8"/>
      <c r="D1215" s="8"/>
      <c r="E1215" s="8"/>
      <c r="F1215" s="13"/>
      <c r="G1215" s="59"/>
      <c r="H1215" s="6"/>
      <c r="I1215" s="6"/>
      <c r="J1215" s="2"/>
      <c r="K1215" s="2"/>
      <c r="L1215" s="2"/>
      <c r="M1215" s="2"/>
      <c r="N1215" s="2"/>
      <c r="O1215" s="56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</row>
    <row r="1216" spans="1:28" x14ac:dyDescent="0.25">
      <c r="A1216" s="2"/>
      <c r="B1216" s="8"/>
      <c r="C1216" s="8"/>
      <c r="D1216" s="8"/>
      <c r="E1216" s="8"/>
      <c r="F1216" s="13"/>
      <c r="G1216" s="59"/>
      <c r="H1216" s="6"/>
      <c r="I1216" s="6"/>
      <c r="J1216" s="2"/>
      <c r="K1216" s="2"/>
      <c r="L1216" s="2"/>
      <c r="M1216" s="2"/>
      <c r="N1216" s="2"/>
      <c r="O1216" s="56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</row>
    <row r="1217" spans="1:28" x14ac:dyDescent="0.25">
      <c r="A1217" s="2"/>
      <c r="B1217" s="8"/>
      <c r="C1217" s="8"/>
      <c r="D1217" s="8"/>
      <c r="E1217" s="8"/>
      <c r="F1217" s="13"/>
      <c r="G1217" s="59"/>
      <c r="H1217" s="6"/>
      <c r="I1217" s="6"/>
      <c r="J1217" s="2"/>
      <c r="K1217" s="2"/>
      <c r="L1217" s="2"/>
      <c r="M1217" s="2"/>
      <c r="N1217" s="2"/>
      <c r="O1217" s="56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  <c r="AA1217" s="2"/>
      <c r="AB1217" s="2"/>
    </row>
    <row r="1218" spans="1:28" x14ac:dyDescent="0.25">
      <c r="A1218" s="2"/>
      <c r="B1218" s="8"/>
      <c r="C1218" s="8"/>
      <c r="D1218" s="8"/>
      <c r="E1218" s="8"/>
      <c r="F1218" s="13"/>
      <c r="G1218" s="59"/>
      <c r="H1218" s="6"/>
      <c r="I1218" s="6"/>
      <c r="J1218" s="2"/>
      <c r="K1218" s="2"/>
      <c r="L1218" s="2"/>
      <c r="M1218" s="2"/>
      <c r="N1218" s="2"/>
      <c r="O1218" s="56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</row>
    <row r="1219" spans="1:28" x14ac:dyDescent="0.25">
      <c r="A1219" s="2"/>
      <c r="B1219" s="8"/>
      <c r="C1219" s="8"/>
      <c r="D1219" s="8"/>
      <c r="E1219" s="8"/>
      <c r="F1219" s="13"/>
      <c r="G1219" s="59"/>
      <c r="H1219" s="6"/>
      <c r="I1219" s="6"/>
      <c r="J1219" s="2"/>
      <c r="K1219" s="2"/>
      <c r="L1219" s="2"/>
      <c r="M1219" s="2"/>
      <c r="N1219" s="2"/>
      <c r="O1219" s="56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  <c r="AA1219" s="2"/>
      <c r="AB1219" s="2"/>
    </row>
    <row r="1220" spans="1:28" x14ac:dyDescent="0.25">
      <c r="A1220" s="2"/>
      <c r="B1220" s="8"/>
      <c r="C1220" s="8"/>
      <c r="D1220" s="8"/>
      <c r="E1220" s="8"/>
      <c r="F1220" s="13"/>
      <c r="G1220" s="59"/>
      <c r="H1220" s="6"/>
      <c r="I1220" s="6"/>
      <c r="J1220" s="2"/>
      <c r="K1220" s="2"/>
      <c r="L1220" s="2"/>
      <c r="M1220" s="2"/>
      <c r="N1220" s="2"/>
      <c r="O1220" s="56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</row>
    <row r="1221" spans="1:28" x14ac:dyDescent="0.25">
      <c r="A1221" s="2"/>
      <c r="B1221" s="8"/>
      <c r="C1221" s="8"/>
      <c r="D1221" s="8"/>
      <c r="E1221" s="8"/>
      <c r="F1221" s="13"/>
      <c r="G1221" s="59"/>
      <c r="H1221" s="6"/>
      <c r="I1221" s="6"/>
      <c r="J1221" s="2"/>
      <c r="K1221" s="2"/>
      <c r="L1221" s="2"/>
      <c r="M1221" s="2"/>
      <c r="N1221" s="2"/>
      <c r="O1221" s="56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  <c r="AA1221" s="2"/>
      <c r="AB1221" s="2"/>
    </row>
    <row r="1222" spans="1:28" x14ac:dyDescent="0.25">
      <c r="A1222" s="2"/>
      <c r="B1222" s="8"/>
      <c r="C1222" s="8"/>
      <c r="D1222" s="8"/>
      <c r="E1222" s="8"/>
      <c r="F1222" s="13"/>
      <c r="G1222" s="59"/>
      <c r="H1222" s="6"/>
      <c r="I1222" s="6"/>
      <c r="J1222" s="2"/>
      <c r="K1222" s="2"/>
      <c r="L1222" s="2"/>
      <c r="M1222" s="2"/>
      <c r="N1222" s="2"/>
      <c r="O1222" s="56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</row>
    <row r="1223" spans="1:28" x14ac:dyDescent="0.25">
      <c r="A1223" s="2"/>
      <c r="B1223" s="8"/>
      <c r="C1223" s="8"/>
      <c r="D1223" s="8"/>
      <c r="E1223" s="8"/>
      <c r="F1223" s="13"/>
      <c r="G1223" s="59"/>
      <c r="H1223" s="6"/>
      <c r="I1223" s="6"/>
      <c r="J1223" s="2"/>
      <c r="K1223" s="2"/>
      <c r="L1223" s="2"/>
      <c r="M1223" s="2"/>
      <c r="N1223" s="2"/>
      <c r="O1223" s="56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  <c r="AA1223" s="2"/>
      <c r="AB1223" s="2"/>
    </row>
    <row r="1224" spans="1:28" x14ac:dyDescent="0.25">
      <c r="A1224" s="2"/>
      <c r="B1224" s="8"/>
      <c r="C1224" s="8"/>
      <c r="D1224" s="8"/>
      <c r="E1224" s="8"/>
      <c r="F1224" s="13"/>
      <c r="G1224" s="59"/>
      <c r="H1224" s="6"/>
      <c r="I1224" s="6"/>
      <c r="J1224" s="2"/>
      <c r="K1224" s="2"/>
      <c r="L1224" s="2"/>
      <c r="M1224" s="2"/>
      <c r="N1224" s="2"/>
      <c r="O1224" s="56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</row>
    <row r="1225" spans="1:28" x14ac:dyDescent="0.25">
      <c r="A1225" s="2"/>
      <c r="B1225" s="8"/>
      <c r="C1225" s="8"/>
      <c r="D1225" s="8"/>
      <c r="E1225" s="8"/>
      <c r="F1225" s="13"/>
      <c r="G1225" s="59"/>
      <c r="H1225" s="6"/>
      <c r="I1225" s="6"/>
      <c r="J1225" s="2"/>
      <c r="K1225" s="2"/>
      <c r="L1225" s="2"/>
      <c r="M1225" s="2"/>
      <c r="N1225" s="2"/>
      <c r="O1225" s="56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  <c r="AA1225" s="2"/>
      <c r="AB1225" s="2"/>
    </row>
    <row r="1226" spans="1:28" x14ac:dyDescent="0.25">
      <c r="A1226" s="2"/>
      <c r="B1226" s="8"/>
      <c r="C1226" s="8"/>
      <c r="D1226" s="8"/>
      <c r="E1226" s="8"/>
      <c r="F1226" s="13"/>
      <c r="G1226" s="59"/>
      <c r="H1226" s="6"/>
      <c r="I1226" s="6"/>
      <c r="J1226" s="2"/>
      <c r="K1226" s="2"/>
      <c r="L1226" s="2"/>
      <c r="M1226" s="2"/>
      <c r="N1226" s="2"/>
      <c r="O1226" s="56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</row>
    <row r="1227" spans="1:28" x14ac:dyDescent="0.25">
      <c r="A1227" s="2"/>
      <c r="B1227" s="8"/>
      <c r="C1227" s="8"/>
      <c r="D1227" s="8"/>
      <c r="E1227" s="8"/>
      <c r="F1227" s="13"/>
      <c r="G1227" s="59"/>
      <c r="H1227" s="6"/>
      <c r="I1227" s="6"/>
      <c r="J1227" s="2"/>
      <c r="K1227" s="2"/>
      <c r="L1227" s="2"/>
      <c r="M1227" s="2"/>
      <c r="N1227" s="2"/>
      <c r="O1227" s="56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  <c r="AA1227" s="2"/>
      <c r="AB1227" s="2"/>
    </row>
    <row r="1228" spans="1:28" x14ac:dyDescent="0.25">
      <c r="A1228" s="2"/>
      <c r="B1228" s="8"/>
      <c r="C1228" s="8"/>
      <c r="D1228" s="8"/>
      <c r="E1228" s="8"/>
      <c r="F1228" s="13"/>
      <c r="G1228" s="59"/>
      <c r="H1228" s="6"/>
      <c r="I1228" s="6"/>
      <c r="J1228" s="2"/>
      <c r="K1228" s="2"/>
      <c r="L1228" s="2"/>
      <c r="M1228" s="2"/>
      <c r="N1228" s="2"/>
      <c r="O1228" s="56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</row>
    <row r="1229" spans="1:28" x14ac:dyDescent="0.25">
      <c r="A1229" s="2"/>
      <c r="B1229" s="8"/>
      <c r="C1229" s="8"/>
      <c r="D1229" s="8"/>
      <c r="E1229" s="8"/>
      <c r="F1229" s="13"/>
      <c r="G1229" s="59"/>
      <c r="H1229" s="6"/>
      <c r="I1229" s="6"/>
      <c r="J1229" s="2"/>
      <c r="K1229" s="2"/>
      <c r="L1229" s="2"/>
      <c r="M1229" s="2"/>
      <c r="N1229" s="2"/>
      <c r="O1229" s="56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</row>
    <row r="1230" spans="1:28" x14ac:dyDescent="0.25">
      <c r="A1230" s="2"/>
      <c r="B1230" s="8"/>
      <c r="C1230" s="8"/>
      <c r="D1230" s="8"/>
      <c r="E1230" s="8"/>
      <c r="F1230" s="13"/>
      <c r="G1230" s="59"/>
      <c r="H1230" s="6"/>
      <c r="I1230" s="6"/>
      <c r="J1230" s="2"/>
      <c r="K1230" s="2"/>
      <c r="L1230" s="2"/>
      <c r="M1230" s="2"/>
      <c r="N1230" s="2"/>
      <c r="O1230" s="56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</row>
    <row r="1231" spans="1:28" x14ac:dyDescent="0.25">
      <c r="A1231" s="2"/>
      <c r="B1231" s="8"/>
      <c r="C1231" s="8"/>
      <c r="D1231" s="8"/>
      <c r="E1231" s="8"/>
      <c r="F1231" s="13"/>
      <c r="G1231" s="59"/>
      <c r="H1231" s="6"/>
      <c r="I1231" s="6"/>
      <c r="J1231" s="2"/>
      <c r="K1231" s="2"/>
      <c r="L1231" s="2"/>
      <c r="M1231" s="2"/>
      <c r="N1231" s="2"/>
      <c r="O1231" s="56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  <c r="AA1231" s="2"/>
      <c r="AB1231" s="2"/>
    </row>
    <row r="1232" spans="1:28" x14ac:dyDescent="0.25">
      <c r="A1232" s="2"/>
      <c r="B1232" s="8"/>
      <c r="C1232" s="8"/>
      <c r="D1232" s="8"/>
      <c r="E1232" s="8"/>
      <c r="F1232" s="13"/>
      <c r="G1232" s="59"/>
      <c r="H1232" s="6"/>
      <c r="I1232" s="6"/>
      <c r="J1232" s="2"/>
      <c r="K1232" s="2"/>
      <c r="L1232" s="2"/>
      <c r="M1232" s="2"/>
      <c r="N1232" s="2"/>
      <c r="O1232" s="56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</row>
    <row r="1233" spans="1:28" x14ac:dyDescent="0.25">
      <c r="A1233" s="2"/>
      <c r="B1233" s="8"/>
      <c r="C1233" s="8"/>
      <c r="D1233" s="8"/>
      <c r="E1233" s="8"/>
      <c r="F1233" s="13"/>
      <c r="G1233" s="59"/>
      <c r="H1233" s="6"/>
      <c r="I1233" s="6"/>
      <c r="J1233" s="2"/>
      <c r="K1233" s="2"/>
      <c r="L1233" s="2"/>
      <c r="M1233" s="2"/>
      <c r="N1233" s="2"/>
      <c r="O1233" s="56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  <c r="AA1233" s="2"/>
      <c r="AB1233" s="2"/>
    </row>
    <row r="1234" spans="1:28" x14ac:dyDescent="0.25">
      <c r="A1234" s="2"/>
      <c r="B1234" s="8"/>
      <c r="C1234" s="8"/>
      <c r="D1234" s="8"/>
      <c r="E1234" s="8"/>
      <c r="F1234" s="13"/>
      <c r="G1234" s="59"/>
      <c r="H1234" s="6"/>
      <c r="I1234" s="6"/>
      <c r="J1234" s="2"/>
      <c r="K1234" s="2"/>
      <c r="L1234" s="2"/>
      <c r="M1234" s="2"/>
      <c r="N1234" s="2"/>
      <c r="O1234" s="56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</row>
    <row r="1235" spans="1:28" x14ac:dyDescent="0.25">
      <c r="A1235" s="2"/>
      <c r="B1235" s="8"/>
      <c r="C1235" s="8"/>
      <c r="D1235" s="8"/>
      <c r="E1235" s="8"/>
      <c r="F1235" s="13"/>
      <c r="G1235" s="59"/>
      <c r="H1235" s="6"/>
      <c r="I1235" s="6"/>
      <c r="J1235" s="2"/>
      <c r="K1235" s="2"/>
      <c r="L1235" s="2"/>
      <c r="M1235" s="2"/>
      <c r="N1235" s="2"/>
      <c r="O1235" s="56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  <c r="AA1235" s="2"/>
      <c r="AB1235" s="2"/>
    </row>
    <row r="1236" spans="1:28" x14ac:dyDescent="0.25">
      <c r="A1236" s="2"/>
      <c r="B1236" s="8"/>
      <c r="C1236" s="8"/>
      <c r="D1236" s="8"/>
      <c r="E1236" s="8"/>
      <c r="F1236" s="13"/>
      <c r="G1236" s="59"/>
      <c r="H1236" s="6"/>
      <c r="I1236" s="6"/>
      <c r="J1236" s="2"/>
      <c r="K1236" s="2"/>
      <c r="L1236" s="2"/>
      <c r="M1236" s="2"/>
      <c r="N1236" s="2"/>
      <c r="O1236" s="56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</row>
    <row r="1237" spans="1:28" x14ac:dyDescent="0.25">
      <c r="A1237" s="2"/>
      <c r="B1237" s="8"/>
      <c r="C1237" s="8"/>
      <c r="D1237" s="8"/>
      <c r="E1237" s="8"/>
      <c r="F1237" s="13"/>
      <c r="G1237" s="59"/>
      <c r="H1237" s="6"/>
      <c r="I1237" s="6"/>
      <c r="J1237" s="2"/>
      <c r="K1237" s="2"/>
      <c r="L1237" s="2"/>
      <c r="M1237" s="2"/>
      <c r="N1237" s="2"/>
      <c r="O1237" s="56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</row>
    <row r="1238" spans="1:28" x14ac:dyDescent="0.25">
      <c r="A1238" s="2"/>
      <c r="B1238" s="8"/>
      <c r="C1238" s="8"/>
      <c r="D1238" s="8"/>
      <c r="E1238" s="8"/>
      <c r="F1238" s="13"/>
      <c r="G1238" s="59"/>
      <c r="H1238" s="6"/>
      <c r="I1238" s="6"/>
      <c r="J1238" s="2"/>
      <c r="K1238" s="2"/>
      <c r="L1238" s="2"/>
      <c r="M1238" s="2"/>
      <c r="N1238" s="2"/>
      <c r="O1238" s="56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</row>
    <row r="1239" spans="1:28" x14ac:dyDescent="0.25">
      <c r="A1239" s="2"/>
      <c r="B1239" s="8"/>
      <c r="C1239" s="8"/>
      <c r="D1239" s="8"/>
      <c r="E1239" s="8"/>
      <c r="F1239" s="13"/>
      <c r="G1239" s="59"/>
      <c r="H1239" s="6"/>
      <c r="I1239" s="6"/>
      <c r="J1239" s="2"/>
      <c r="K1239" s="2"/>
      <c r="L1239" s="2"/>
      <c r="M1239" s="2"/>
      <c r="N1239" s="2"/>
      <c r="O1239" s="56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</row>
    <row r="1240" spans="1:28" x14ac:dyDescent="0.25">
      <c r="A1240" s="2"/>
      <c r="B1240" s="8"/>
      <c r="C1240" s="8"/>
      <c r="D1240" s="8"/>
      <c r="E1240" s="8"/>
      <c r="F1240" s="13"/>
      <c r="G1240" s="59"/>
      <c r="H1240" s="6"/>
      <c r="I1240" s="6"/>
      <c r="J1240" s="2"/>
      <c r="K1240" s="2"/>
      <c r="L1240" s="2"/>
      <c r="M1240" s="2"/>
      <c r="N1240" s="2"/>
      <c r="O1240" s="56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</row>
    <row r="1241" spans="1:28" x14ac:dyDescent="0.25">
      <c r="A1241" s="2"/>
      <c r="B1241" s="8"/>
      <c r="C1241" s="8"/>
      <c r="D1241" s="8"/>
      <c r="E1241" s="8"/>
      <c r="F1241" s="13"/>
      <c r="G1241" s="59"/>
      <c r="H1241" s="6"/>
      <c r="I1241" s="6"/>
      <c r="J1241" s="2"/>
      <c r="K1241" s="2"/>
      <c r="L1241" s="2"/>
      <c r="M1241" s="2"/>
      <c r="N1241" s="2"/>
      <c r="O1241" s="56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</row>
    <row r="1242" spans="1:28" x14ac:dyDescent="0.25">
      <c r="A1242" s="2"/>
      <c r="B1242" s="8"/>
      <c r="C1242" s="8"/>
      <c r="D1242" s="8"/>
      <c r="E1242" s="8"/>
      <c r="F1242" s="13"/>
      <c r="G1242" s="59"/>
      <c r="H1242" s="6"/>
      <c r="I1242" s="6"/>
      <c r="J1242" s="2"/>
      <c r="K1242" s="2"/>
      <c r="L1242" s="2"/>
      <c r="M1242" s="2"/>
      <c r="N1242" s="2"/>
      <c r="O1242" s="56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</row>
    <row r="1243" spans="1:28" x14ac:dyDescent="0.25">
      <c r="A1243" s="2"/>
      <c r="B1243" s="8"/>
      <c r="C1243" s="8"/>
      <c r="D1243" s="8"/>
      <c r="E1243" s="8"/>
      <c r="F1243" s="13"/>
      <c r="G1243" s="59"/>
      <c r="H1243" s="6"/>
      <c r="I1243" s="6"/>
      <c r="J1243" s="2"/>
      <c r="K1243" s="2"/>
      <c r="L1243" s="2"/>
      <c r="M1243" s="2"/>
      <c r="N1243" s="2"/>
      <c r="O1243" s="56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</row>
    <row r="1244" spans="1:28" x14ac:dyDescent="0.25">
      <c r="A1244" s="2"/>
      <c r="B1244" s="8"/>
      <c r="C1244" s="8"/>
      <c r="D1244" s="8"/>
      <c r="E1244" s="8"/>
      <c r="F1244" s="13"/>
      <c r="G1244" s="59"/>
      <c r="H1244" s="6"/>
      <c r="I1244" s="6"/>
      <c r="J1244" s="2"/>
      <c r="K1244" s="2"/>
      <c r="L1244" s="2"/>
      <c r="M1244" s="2"/>
      <c r="N1244" s="2"/>
      <c r="O1244" s="56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</row>
    <row r="1245" spans="1:28" x14ac:dyDescent="0.25">
      <c r="A1245" s="2"/>
      <c r="B1245" s="8"/>
      <c r="C1245" s="8"/>
      <c r="D1245" s="8"/>
      <c r="E1245" s="8"/>
      <c r="F1245" s="13"/>
      <c r="G1245" s="59"/>
      <c r="H1245" s="6"/>
      <c r="I1245" s="6"/>
      <c r="J1245" s="2"/>
      <c r="K1245" s="2"/>
      <c r="L1245" s="2"/>
      <c r="M1245" s="2"/>
      <c r="N1245" s="2"/>
      <c r="O1245" s="56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</row>
    <row r="1246" spans="1:28" x14ac:dyDescent="0.25">
      <c r="A1246" s="2"/>
      <c r="B1246" s="8"/>
      <c r="C1246" s="8"/>
      <c r="D1246" s="8"/>
      <c r="E1246" s="8"/>
      <c r="F1246" s="13"/>
      <c r="G1246" s="59"/>
      <c r="H1246" s="6"/>
      <c r="I1246" s="6"/>
      <c r="J1246" s="2"/>
      <c r="K1246" s="2"/>
      <c r="L1246" s="2"/>
      <c r="M1246" s="2"/>
      <c r="N1246" s="2"/>
      <c r="O1246" s="56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</row>
    <row r="1247" spans="1:28" x14ac:dyDescent="0.25">
      <c r="A1247" s="2"/>
      <c r="B1247" s="8"/>
      <c r="C1247" s="8"/>
      <c r="D1247" s="8"/>
      <c r="E1247" s="8"/>
      <c r="F1247" s="13"/>
      <c r="G1247" s="59"/>
      <c r="H1247" s="6"/>
      <c r="I1247" s="6"/>
      <c r="J1247" s="2"/>
      <c r="K1247" s="2"/>
      <c r="L1247" s="2"/>
      <c r="M1247" s="2"/>
      <c r="N1247" s="2"/>
      <c r="O1247" s="56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</row>
    <row r="1248" spans="1:28" x14ac:dyDescent="0.25">
      <c r="A1248" s="2"/>
      <c r="B1248" s="8"/>
      <c r="C1248" s="8"/>
      <c r="D1248" s="8"/>
      <c r="E1248" s="8"/>
      <c r="F1248" s="13"/>
      <c r="G1248" s="59"/>
      <c r="H1248" s="6"/>
      <c r="I1248" s="6"/>
      <c r="J1248" s="2"/>
      <c r="K1248" s="2"/>
      <c r="L1248" s="2"/>
      <c r="M1248" s="2"/>
      <c r="N1248" s="2"/>
      <c r="O1248" s="56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</row>
    <row r="1249" spans="1:28" x14ac:dyDescent="0.25">
      <c r="A1249" s="2"/>
      <c r="B1249" s="8"/>
      <c r="C1249" s="8"/>
      <c r="D1249" s="8"/>
      <c r="E1249" s="8"/>
      <c r="F1249" s="13"/>
      <c r="G1249" s="59"/>
      <c r="H1249" s="6"/>
      <c r="I1249" s="6"/>
      <c r="J1249" s="2"/>
      <c r="K1249" s="2"/>
      <c r="L1249" s="2"/>
      <c r="M1249" s="2"/>
      <c r="N1249" s="2"/>
      <c r="O1249" s="56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</row>
    <row r="1250" spans="1:28" x14ac:dyDescent="0.25">
      <c r="A1250" s="2"/>
      <c r="B1250" s="8"/>
      <c r="C1250" s="8"/>
      <c r="D1250" s="8"/>
      <c r="E1250" s="8"/>
      <c r="F1250" s="13"/>
      <c r="G1250" s="59"/>
      <c r="H1250" s="6"/>
      <c r="I1250" s="6"/>
      <c r="J1250" s="2"/>
      <c r="K1250" s="2"/>
      <c r="L1250" s="2"/>
      <c r="M1250" s="2"/>
      <c r="N1250" s="2"/>
      <c r="O1250" s="56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</row>
    <row r="1251" spans="1:28" x14ac:dyDescent="0.25">
      <c r="A1251" s="2"/>
      <c r="B1251" s="8"/>
      <c r="C1251" s="8"/>
      <c r="D1251" s="8"/>
      <c r="E1251" s="8"/>
      <c r="F1251" s="13"/>
      <c r="G1251" s="59"/>
      <c r="H1251" s="6"/>
      <c r="I1251" s="6"/>
      <c r="J1251" s="2"/>
      <c r="K1251" s="2"/>
      <c r="L1251" s="2"/>
      <c r="M1251" s="2"/>
      <c r="N1251" s="2"/>
      <c r="O1251" s="56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</row>
    <row r="1252" spans="1:28" x14ac:dyDescent="0.25">
      <c r="A1252" s="2"/>
      <c r="B1252" s="8"/>
      <c r="C1252" s="8"/>
      <c r="D1252" s="8"/>
      <c r="E1252" s="8"/>
      <c r="F1252" s="13"/>
      <c r="G1252" s="59"/>
      <c r="H1252" s="6"/>
      <c r="I1252" s="6"/>
      <c r="J1252" s="2"/>
      <c r="K1252" s="2"/>
      <c r="L1252" s="2"/>
      <c r="M1252" s="2"/>
      <c r="N1252" s="2"/>
      <c r="O1252" s="56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</row>
    <row r="1253" spans="1:28" x14ac:dyDescent="0.25">
      <c r="A1253" s="2"/>
      <c r="B1253" s="8"/>
      <c r="C1253" s="8"/>
      <c r="D1253" s="8"/>
      <c r="E1253" s="8"/>
      <c r="F1253" s="13"/>
      <c r="G1253" s="59"/>
      <c r="H1253" s="6"/>
      <c r="I1253" s="6"/>
      <c r="J1253" s="2"/>
      <c r="K1253" s="2"/>
      <c r="L1253" s="2"/>
      <c r="M1253" s="2"/>
      <c r="N1253" s="2"/>
      <c r="O1253" s="56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</row>
    <row r="1254" spans="1:28" x14ac:dyDescent="0.25">
      <c r="A1254" s="2"/>
      <c r="B1254" s="8"/>
      <c r="C1254" s="8"/>
      <c r="D1254" s="8"/>
      <c r="E1254" s="8"/>
      <c r="F1254" s="13"/>
      <c r="G1254" s="59"/>
      <c r="H1254" s="6"/>
      <c r="I1254" s="6"/>
      <c r="J1254" s="2"/>
      <c r="K1254" s="2"/>
      <c r="L1254" s="2"/>
      <c r="M1254" s="2"/>
      <c r="N1254" s="2"/>
      <c r="O1254" s="56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</row>
    <row r="1255" spans="1:28" x14ac:dyDescent="0.25">
      <c r="A1255" s="2"/>
      <c r="B1255" s="8"/>
      <c r="C1255" s="8"/>
      <c r="D1255" s="8"/>
      <c r="E1255" s="8"/>
      <c r="F1255" s="13"/>
      <c r="G1255" s="59"/>
      <c r="H1255" s="6"/>
      <c r="I1255" s="6"/>
      <c r="J1255" s="2"/>
      <c r="K1255" s="2"/>
      <c r="L1255" s="2"/>
      <c r="M1255" s="2"/>
      <c r="N1255" s="2"/>
      <c r="O1255" s="56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</row>
    <row r="1256" spans="1:28" x14ac:dyDescent="0.25">
      <c r="A1256" s="2"/>
      <c r="B1256" s="8"/>
      <c r="C1256" s="8"/>
      <c r="D1256" s="8"/>
      <c r="E1256" s="8"/>
      <c r="F1256" s="13"/>
      <c r="G1256" s="59"/>
      <c r="H1256" s="6"/>
      <c r="I1256" s="6"/>
      <c r="J1256" s="2"/>
      <c r="K1256" s="2"/>
      <c r="L1256" s="2"/>
      <c r="M1256" s="2"/>
      <c r="N1256" s="2"/>
      <c r="O1256" s="56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</row>
    <row r="1257" spans="1:28" x14ac:dyDescent="0.25">
      <c r="A1257" s="2"/>
      <c r="B1257" s="8"/>
      <c r="C1257" s="8"/>
      <c r="D1257" s="8"/>
      <c r="E1257" s="8"/>
      <c r="F1257" s="13"/>
      <c r="G1257" s="59"/>
      <c r="H1257" s="6"/>
      <c r="I1257" s="6"/>
      <c r="J1257" s="2"/>
      <c r="K1257" s="2"/>
      <c r="L1257" s="2"/>
      <c r="M1257" s="2"/>
      <c r="N1257" s="2"/>
      <c r="O1257" s="56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</row>
    <row r="1258" spans="1:28" x14ac:dyDescent="0.25">
      <c r="A1258" s="2"/>
      <c r="B1258" s="8"/>
      <c r="C1258" s="8"/>
      <c r="D1258" s="8"/>
      <c r="E1258" s="8"/>
      <c r="F1258" s="13"/>
      <c r="G1258" s="59"/>
      <c r="H1258" s="6"/>
      <c r="I1258" s="6"/>
      <c r="J1258" s="2"/>
      <c r="K1258" s="2"/>
      <c r="L1258" s="2"/>
      <c r="M1258" s="2"/>
      <c r="N1258" s="2"/>
      <c r="O1258" s="56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</row>
    <row r="1259" spans="1:28" x14ac:dyDescent="0.25">
      <c r="A1259" s="2"/>
      <c r="B1259" s="8"/>
      <c r="C1259" s="8"/>
      <c r="D1259" s="8"/>
      <c r="E1259" s="8"/>
      <c r="F1259" s="13"/>
      <c r="G1259" s="59"/>
      <c r="H1259" s="6"/>
      <c r="I1259" s="6"/>
      <c r="J1259" s="2"/>
      <c r="K1259" s="2"/>
      <c r="L1259" s="2"/>
      <c r="M1259" s="2"/>
      <c r="N1259" s="2"/>
      <c r="O1259" s="56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</row>
    <row r="1260" spans="1:28" x14ac:dyDescent="0.25">
      <c r="A1260" s="2"/>
      <c r="B1260" s="8"/>
      <c r="C1260" s="8"/>
      <c r="D1260" s="8"/>
      <c r="E1260" s="8"/>
      <c r="F1260" s="13"/>
      <c r="G1260" s="59"/>
      <c r="H1260" s="6"/>
      <c r="I1260" s="6"/>
      <c r="J1260" s="2"/>
      <c r="K1260" s="2"/>
      <c r="L1260" s="2"/>
      <c r="M1260" s="2"/>
      <c r="N1260" s="2"/>
      <c r="O1260" s="56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</row>
    <row r="1261" spans="1:28" x14ac:dyDescent="0.25">
      <c r="A1261" s="2"/>
      <c r="B1261" s="8"/>
      <c r="C1261" s="8"/>
      <c r="D1261" s="8"/>
      <c r="E1261" s="8"/>
      <c r="F1261" s="13"/>
      <c r="G1261" s="59"/>
      <c r="H1261" s="6"/>
      <c r="I1261" s="6"/>
      <c r="J1261" s="2"/>
      <c r="K1261" s="2"/>
      <c r="L1261" s="2"/>
      <c r="M1261" s="2"/>
      <c r="N1261" s="2"/>
      <c r="O1261" s="56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</row>
    <row r="1262" spans="1:28" x14ac:dyDescent="0.25">
      <c r="A1262" s="2"/>
      <c r="B1262" s="8"/>
      <c r="C1262" s="8"/>
      <c r="D1262" s="8"/>
      <c r="E1262" s="8"/>
      <c r="F1262" s="13"/>
      <c r="G1262" s="59"/>
      <c r="H1262" s="6"/>
      <c r="I1262" s="6"/>
      <c r="J1262" s="2"/>
      <c r="K1262" s="2"/>
      <c r="L1262" s="2"/>
      <c r="M1262" s="2"/>
      <c r="N1262" s="2"/>
      <c r="O1262" s="56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</row>
    <row r="1263" spans="1:28" x14ac:dyDescent="0.25">
      <c r="A1263" s="2"/>
      <c r="B1263" s="8"/>
      <c r="C1263" s="8"/>
      <c r="D1263" s="8"/>
      <c r="E1263" s="8"/>
      <c r="F1263" s="13"/>
      <c r="G1263" s="59"/>
      <c r="H1263" s="6"/>
      <c r="I1263" s="6"/>
      <c r="J1263" s="2"/>
      <c r="K1263" s="2"/>
      <c r="L1263" s="2"/>
      <c r="M1263" s="2"/>
      <c r="N1263" s="2"/>
      <c r="O1263" s="56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</row>
    <row r="1264" spans="1:28" x14ac:dyDescent="0.25">
      <c r="A1264" s="2"/>
      <c r="B1264" s="8"/>
      <c r="C1264" s="8"/>
      <c r="D1264" s="8"/>
      <c r="E1264" s="8"/>
      <c r="F1264" s="13"/>
      <c r="G1264" s="59"/>
      <c r="H1264" s="6"/>
      <c r="I1264" s="6"/>
      <c r="J1264" s="2"/>
      <c r="K1264" s="2"/>
      <c r="L1264" s="2"/>
      <c r="M1264" s="2"/>
      <c r="N1264" s="2"/>
      <c r="O1264" s="56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</row>
    <row r="1265" spans="1:28" x14ac:dyDescent="0.25">
      <c r="A1265" s="2"/>
      <c r="B1265" s="8"/>
      <c r="C1265" s="8"/>
      <c r="D1265" s="8"/>
      <c r="E1265" s="8"/>
      <c r="F1265" s="13"/>
      <c r="G1265" s="59"/>
      <c r="H1265" s="6"/>
      <c r="I1265" s="6"/>
      <c r="J1265" s="2"/>
      <c r="K1265" s="2"/>
      <c r="L1265" s="2"/>
      <c r="M1265" s="2"/>
      <c r="N1265" s="2"/>
      <c r="O1265" s="56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</row>
    <row r="1266" spans="1:28" x14ac:dyDescent="0.25">
      <c r="A1266" s="2"/>
      <c r="B1266" s="8"/>
      <c r="C1266" s="8"/>
      <c r="D1266" s="8"/>
      <c r="E1266" s="8"/>
      <c r="F1266" s="13"/>
      <c r="G1266" s="59"/>
      <c r="H1266" s="6"/>
      <c r="I1266" s="6"/>
      <c r="J1266" s="2"/>
      <c r="K1266" s="2"/>
      <c r="L1266" s="2"/>
      <c r="M1266" s="2"/>
      <c r="N1266" s="2"/>
      <c r="O1266" s="56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</row>
    <row r="1267" spans="1:28" x14ac:dyDescent="0.25">
      <c r="A1267" s="2"/>
      <c r="B1267" s="8"/>
      <c r="C1267" s="8"/>
      <c r="D1267" s="8"/>
      <c r="E1267" s="8"/>
      <c r="F1267" s="13"/>
      <c r="G1267" s="59"/>
      <c r="H1267" s="6"/>
      <c r="I1267" s="6"/>
      <c r="J1267" s="2"/>
      <c r="K1267" s="2"/>
      <c r="L1267" s="2"/>
      <c r="M1267" s="2"/>
      <c r="N1267" s="2"/>
      <c r="O1267" s="56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</row>
    <row r="1268" spans="1:28" x14ac:dyDescent="0.25">
      <c r="A1268" s="2"/>
      <c r="B1268" s="8"/>
      <c r="C1268" s="8"/>
      <c r="D1268" s="8"/>
      <c r="E1268" s="8"/>
      <c r="F1268" s="13"/>
      <c r="G1268" s="59"/>
      <c r="H1268" s="6"/>
      <c r="I1268" s="6"/>
      <c r="J1268" s="2"/>
      <c r="K1268" s="2"/>
      <c r="L1268" s="2"/>
      <c r="M1268" s="2"/>
      <c r="N1268" s="2"/>
      <c r="O1268" s="56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</row>
    <row r="1269" spans="1:28" x14ac:dyDescent="0.25">
      <c r="A1269" s="2"/>
      <c r="B1269" s="8"/>
      <c r="C1269" s="8"/>
      <c r="D1269" s="8"/>
      <c r="E1269" s="8"/>
      <c r="F1269" s="13"/>
      <c r="G1269" s="59"/>
      <c r="H1269" s="6"/>
      <c r="I1269" s="6"/>
      <c r="J1269" s="2"/>
      <c r="K1269" s="2"/>
      <c r="L1269" s="2"/>
      <c r="M1269" s="2"/>
      <c r="N1269" s="2"/>
      <c r="O1269" s="56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</row>
    <row r="1270" spans="1:28" x14ac:dyDescent="0.25">
      <c r="A1270" s="2"/>
      <c r="B1270" s="8"/>
      <c r="C1270" s="8"/>
      <c r="D1270" s="8"/>
      <c r="E1270" s="8"/>
      <c r="F1270" s="13"/>
      <c r="G1270" s="59"/>
      <c r="H1270" s="6"/>
      <c r="I1270" s="6"/>
      <c r="J1270" s="2"/>
      <c r="K1270" s="2"/>
      <c r="L1270" s="2"/>
      <c r="M1270" s="2"/>
      <c r="N1270" s="2"/>
      <c r="O1270" s="56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</row>
    <row r="1271" spans="1:28" x14ac:dyDescent="0.25">
      <c r="A1271" s="2"/>
      <c r="B1271" s="8"/>
      <c r="C1271" s="8"/>
      <c r="D1271" s="8"/>
      <c r="E1271" s="8"/>
      <c r="F1271" s="13"/>
      <c r="G1271" s="59"/>
      <c r="H1271" s="6"/>
      <c r="I1271" s="6"/>
      <c r="J1271" s="2"/>
      <c r="K1271" s="2"/>
      <c r="L1271" s="2"/>
      <c r="M1271" s="2"/>
      <c r="N1271" s="2"/>
      <c r="O1271" s="56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</row>
    <row r="1272" spans="1:28" x14ac:dyDescent="0.25">
      <c r="A1272" s="2"/>
      <c r="B1272" s="8"/>
      <c r="C1272" s="8"/>
      <c r="D1272" s="8"/>
      <c r="E1272" s="8"/>
      <c r="F1272" s="13"/>
      <c r="G1272" s="59"/>
      <c r="H1272" s="6"/>
      <c r="I1272" s="6"/>
      <c r="J1272" s="2"/>
      <c r="K1272" s="2"/>
      <c r="L1272" s="2"/>
      <c r="M1272" s="2"/>
      <c r="N1272" s="2"/>
      <c r="O1272" s="56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</row>
    <row r="1273" spans="1:28" x14ac:dyDescent="0.25">
      <c r="A1273" s="2"/>
      <c r="B1273" s="8"/>
      <c r="C1273" s="8"/>
      <c r="D1273" s="8"/>
      <c r="E1273" s="8"/>
      <c r="F1273" s="13"/>
      <c r="G1273" s="59"/>
      <c r="H1273" s="6"/>
      <c r="I1273" s="6"/>
      <c r="J1273" s="2"/>
      <c r="K1273" s="2"/>
      <c r="L1273" s="2"/>
      <c r="M1273" s="2"/>
      <c r="N1273" s="2"/>
      <c r="O1273" s="56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</row>
    <row r="1274" spans="1:28" x14ac:dyDescent="0.25">
      <c r="A1274" s="2"/>
      <c r="B1274" s="8"/>
      <c r="C1274" s="8"/>
      <c r="D1274" s="8"/>
      <c r="E1274" s="8"/>
      <c r="F1274" s="13"/>
      <c r="G1274" s="59"/>
      <c r="H1274" s="6"/>
      <c r="I1274" s="6"/>
      <c r="J1274" s="2"/>
      <c r="K1274" s="2"/>
      <c r="L1274" s="2"/>
      <c r="M1274" s="2"/>
      <c r="N1274" s="2"/>
      <c r="O1274" s="56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</row>
    <row r="1275" spans="1:28" x14ac:dyDescent="0.25">
      <c r="A1275" s="2"/>
      <c r="B1275" s="8"/>
      <c r="C1275" s="8"/>
      <c r="D1275" s="8"/>
      <c r="E1275" s="8"/>
      <c r="F1275" s="13"/>
      <c r="G1275" s="59"/>
      <c r="H1275" s="6"/>
      <c r="I1275" s="6"/>
      <c r="J1275" s="2"/>
      <c r="K1275" s="2"/>
      <c r="L1275" s="2"/>
      <c r="M1275" s="2"/>
      <c r="N1275" s="2"/>
      <c r="O1275" s="56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</row>
    <row r="1276" spans="1:28" x14ac:dyDescent="0.25">
      <c r="A1276" s="2"/>
      <c r="B1276" s="8"/>
      <c r="C1276" s="8"/>
      <c r="D1276" s="8"/>
      <c r="E1276" s="8"/>
      <c r="F1276" s="13"/>
      <c r="G1276" s="59"/>
      <c r="H1276" s="6"/>
      <c r="I1276" s="6"/>
      <c r="J1276" s="2"/>
      <c r="K1276" s="2"/>
      <c r="L1276" s="2"/>
      <c r="M1276" s="2"/>
      <c r="N1276" s="2"/>
      <c r="O1276" s="56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</row>
    <row r="1277" spans="1:28" x14ac:dyDescent="0.25">
      <c r="A1277" s="2"/>
      <c r="B1277" s="8"/>
      <c r="C1277" s="8"/>
      <c r="D1277" s="8"/>
      <c r="E1277" s="8"/>
      <c r="F1277" s="13"/>
      <c r="G1277" s="59"/>
      <c r="H1277" s="6"/>
      <c r="I1277" s="6"/>
      <c r="J1277" s="2"/>
      <c r="K1277" s="2"/>
      <c r="L1277" s="2"/>
      <c r="M1277" s="2"/>
      <c r="N1277" s="2"/>
      <c r="O1277" s="56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</row>
    <row r="1278" spans="1:28" x14ac:dyDescent="0.25">
      <c r="A1278" s="2"/>
      <c r="B1278" s="8"/>
      <c r="C1278" s="8"/>
      <c r="D1278" s="8"/>
      <c r="E1278" s="8"/>
      <c r="F1278" s="13"/>
      <c r="G1278" s="59"/>
      <c r="H1278" s="6"/>
      <c r="I1278" s="6"/>
      <c r="J1278" s="2"/>
      <c r="K1278" s="2"/>
      <c r="L1278" s="2"/>
      <c r="M1278" s="2"/>
      <c r="N1278" s="2"/>
      <c r="O1278" s="56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</row>
    <row r="1279" spans="1:28" x14ac:dyDescent="0.25">
      <c r="A1279" s="2"/>
      <c r="B1279" s="8"/>
      <c r="C1279" s="8"/>
      <c r="D1279" s="8"/>
      <c r="E1279" s="8"/>
      <c r="F1279" s="13"/>
      <c r="G1279" s="59"/>
      <c r="H1279" s="6"/>
      <c r="I1279" s="6"/>
      <c r="J1279" s="2"/>
      <c r="K1279" s="2"/>
      <c r="L1279" s="2"/>
      <c r="M1279" s="2"/>
      <c r="N1279" s="2"/>
      <c r="O1279" s="56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</row>
    <row r="1280" spans="1:28" x14ac:dyDescent="0.25">
      <c r="A1280" s="2"/>
      <c r="B1280" s="8"/>
      <c r="C1280" s="8"/>
      <c r="D1280" s="8"/>
      <c r="E1280" s="8"/>
      <c r="F1280" s="13"/>
      <c r="G1280" s="59"/>
      <c r="H1280" s="6"/>
      <c r="I1280" s="6"/>
      <c r="J1280" s="2"/>
      <c r="K1280" s="2"/>
      <c r="L1280" s="2"/>
      <c r="M1280" s="2"/>
      <c r="N1280" s="2"/>
      <c r="O1280" s="56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</row>
    <row r="1281" spans="1:28" x14ac:dyDescent="0.25">
      <c r="A1281" s="2"/>
      <c r="B1281" s="8"/>
      <c r="C1281" s="8"/>
      <c r="D1281" s="8"/>
      <c r="E1281" s="8"/>
      <c r="F1281" s="13"/>
      <c r="G1281" s="59"/>
      <c r="H1281" s="6"/>
      <c r="I1281" s="6"/>
      <c r="J1281" s="2"/>
      <c r="K1281" s="2"/>
      <c r="L1281" s="2"/>
      <c r="M1281" s="2"/>
      <c r="N1281" s="2"/>
      <c r="O1281" s="56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</row>
    <row r="1282" spans="1:28" x14ac:dyDescent="0.25">
      <c r="A1282" s="2"/>
      <c r="B1282" s="8"/>
      <c r="C1282" s="8"/>
      <c r="D1282" s="8"/>
      <c r="E1282" s="8"/>
      <c r="F1282" s="13"/>
      <c r="G1282" s="59"/>
      <c r="H1282" s="6"/>
      <c r="I1282" s="6"/>
      <c r="J1282" s="2"/>
      <c r="K1282" s="2"/>
      <c r="L1282" s="2"/>
      <c r="M1282" s="2"/>
      <c r="N1282" s="2"/>
      <c r="O1282" s="56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</row>
    <row r="1283" spans="1:28" x14ac:dyDescent="0.25">
      <c r="A1283" s="2"/>
      <c r="B1283" s="8"/>
      <c r="C1283" s="8"/>
      <c r="D1283" s="8"/>
      <c r="E1283" s="8"/>
      <c r="F1283" s="13"/>
      <c r="G1283" s="59"/>
      <c r="H1283" s="6"/>
      <c r="I1283" s="6"/>
      <c r="J1283" s="2"/>
      <c r="K1283" s="2"/>
      <c r="L1283" s="2"/>
      <c r="M1283" s="2"/>
      <c r="N1283" s="2"/>
      <c r="O1283" s="56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</row>
    <row r="1284" spans="1:28" x14ac:dyDescent="0.25">
      <c r="A1284" s="2"/>
      <c r="B1284" s="8"/>
      <c r="C1284" s="8"/>
      <c r="D1284" s="8"/>
      <c r="E1284" s="8"/>
      <c r="F1284" s="13"/>
      <c r="G1284" s="59"/>
      <c r="H1284" s="6"/>
      <c r="I1284" s="6"/>
      <c r="J1284" s="2"/>
      <c r="K1284" s="2"/>
      <c r="L1284" s="2"/>
      <c r="M1284" s="2"/>
      <c r="N1284" s="2"/>
      <c r="O1284" s="56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</row>
    <row r="1285" spans="1:28" x14ac:dyDescent="0.25">
      <c r="A1285" s="2"/>
      <c r="B1285" s="8"/>
      <c r="C1285" s="8"/>
      <c r="D1285" s="8"/>
      <c r="E1285" s="8"/>
      <c r="F1285" s="13"/>
      <c r="G1285" s="59"/>
      <c r="H1285" s="6"/>
      <c r="I1285" s="6"/>
      <c r="J1285" s="2"/>
      <c r="K1285" s="2"/>
      <c r="L1285" s="2"/>
      <c r="M1285" s="2"/>
      <c r="N1285" s="2"/>
      <c r="O1285" s="56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</row>
    <row r="1286" spans="1:28" x14ac:dyDescent="0.25">
      <c r="A1286" s="2"/>
      <c r="B1286" s="8"/>
      <c r="C1286" s="8"/>
      <c r="D1286" s="8"/>
      <c r="E1286" s="8"/>
      <c r="F1286" s="13"/>
      <c r="G1286" s="59"/>
      <c r="H1286" s="6"/>
      <c r="I1286" s="6"/>
      <c r="J1286" s="2"/>
      <c r="K1286" s="2"/>
      <c r="L1286" s="2"/>
      <c r="M1286" s="2"/>
      <c r="N1286" s="2"/>
      <c r="O1286" s="56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</row>
    <row r="1287" spans="1:28" x14ac:dyDescent="0.25">
      <c r="A1287" s="2"/>
      <c r="B1287" s="8"/>
      <c r="C1287" s="8"/>
      <c r="D1287" s="8"/>
      <c r="E1287" s="8"/>
      <c r="F1287" s="13"/>
      <c r="G1287" s="59"/>
      <c r="H1287" s="6"/>
      <c r="I1287" s="6"/>
      <c r="J1287" s="2"/>
      <c r="K1287" s="2"/>
      <c r="L1287" s="2"/>
      <c r="M1287" s="2"/>
      <c r="N1287" s="2"/>
      <c r="O1287" s="56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</row>
    <row r="1288" spans="1:28" x14ac:dyDescent="0.25">
      <c r="A1288" s="2"/>
      <c r="B1288" s="8"/>
      <c r="C1288" s="8"/>
      <c r="D1288" s="8"/>
      <c r="E1288" s="8"/>
      <c r="F1288" s="13"/>
      <c r="G1288" s="59"/>
      <c r="H1288" s="6"/>
      <c r="I1288" s="6"/>
      <c r="J1288" s="2"/>
      <c r="K1288" s="2"/>
      <c r="L1288" s="2"/>
      <c r="M1288" s="2"/>
      <c r="N1288" s="2"/>
      <c r="O1288" s="56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</row>
    <row r="1289" spans="1:28" x14ac:dyDescent="0.25">
      <c r="A1289" s="2"/>
      <c r="B1289" s="8"/>
      <c r="C1289" s="8"/>
      <c r="D1289" s="8"/>
      <c r="E1289" s="8"/>
      <c r="F1289" s="13"/>
      <c r="G1289" s="59"/>
      <c r="H1289" s="6"/>
      <c r="I1289" s="6"/>
      <c r="J1289" s="2"/>
      <c r="K1289" s="2"/>
      <c r="L1289" s="2"/>
      <c r="M1289" s="2"/>
      <c r="N1289" s="2"/>
      <c r="O1289" s="56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</row>
    <row r="1290" spans="1:28" x14ac:dyDescent="0.25">
      <c r="A1290" s="2"/>
      <c r="B1290" s="8"/>
      <c r="C1290" s="8"/>
      <c r="D1290" s="8"/>
      <c r="E1290" s="8"/>
      <c r="F1290" s="13"/>
      <c r="G1290" s="59"/>
      <c r="H1290" s="6"/>
      <c r="I1290" s="6"/>
      <c r="J1290" s="2"/>
      <c r="K1290" s="2"/>
      <c r="L1290" s="2"/>
      <c r="M1290" s="2"/>
      <c r="N1290" s="2"/>
      <c r="O1290" s="56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</row>
    <row r="1291" spans="1:28" x14ac:dyDescent="0.25">
      <c r="A1291" s="2"/>
      <c r="B1291" s="8"/>
      <c r="C1291" s="8"/>
      <c r="D1291" s="8"/>
      <c r="E1291" s="8"/>
      <c r="F1291" s="13"/>
      <c r="G1291" s="59"/>
      <c r="H1291" s="6"/>
      <c r="I1291" s="6"/>
      <c r="J1291" s="2"/>
      <c r="K1291" s="2"/>
      <c r="L1291" s="2"/>
      <c r="M1291" s="2"/>
      <c r="N1291" s="2"/>
      <c r="O1291" s="56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</row>
    <row r="1292" spans="1:28" x14ac:dyDescent="0.25">
      <c r="A1292" s="2"/>
      <c r="B1292" s="8"/>
      <c r="C1292" s="8"/>
      <c r="D1292" s="8"/>
      <c r="E1292" s="8"/>
      <c r="F1292" s="13"/>
      <c r="G1292" s="59"/>
      <c r="H1292" s="6"/>
      <c r="I1292" s="6"/>
      <c r="J1292" s="2"/>
      <c r="K1292" s="2"/>
      <c r="L1292" s="2"/>
      <c r="M1292" s="2"/>
      <c r="N1292" s="2"/>
      <c r="O1292" s="56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</row>
    <row r="1293" spans="1:28" x14ac:dyDescent="0.25">
      <c r="A1293" s="2"/>
      <c r="B1293" s="8"/>
      <c r="C1293" s="8"/>
      <c r="D1293" s="8"/>
      <c r="E1293" s="8"/>
      <c r="F1293" s="13"/>
      <c r="G1293" s="59"/>
      <c r="H1293" s="6"/>
      <c r="I1293" s="6"/>
      <c r="J1293" s="2"/>
      <c r="K1293" s="2"/>
      <c r="L1293" s="2"/>
      <c r="M1293" s="2"/>
      <c r="N1293" s="2"/>
      <c r="O1293" s="56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</row>
    <row r="1294" spans="1:28" x14ac:dyDescent="0.25">
      <c r="A1294" s="2"/>
      <c r="B1294" s="8"/>
      <c r="C1294" s="8"/>
      <c r="D1294" s="8"/>
      <c r="E1294" s="8"/>
      <c r="F1294" s="13"/>
      <c r="G1294" s="59"/>
      <c r="H1294" s="6"/>
      <c r="I1294" s="6"/>
      <c r="J1294" s="2"/>
      <c r="K1294" s="2"/>
      <c r="L1294" s="2"/>
      <c r="M1294" s="2"/>
      <c r="N1294" s="2"/>
      <c r="O1294" s="56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</row>
    <row r="1295" spans="1:28" x14ac:dyDescent="0.25">
      <c r="A1295" s="2"/>
      <c r="B1295" s="8"/>
      <c r="C1295" s="8"/>
      <c r="D1295" s="8"/>
      <c r="E1295" s="8"/>
      <c r="F1295" s="13"/>
      <c r="G1295" s="59"/>
      <c r="H1295" s="6"/>
      <c r="I1295" s="6"/>
      <c r="J1295" s="2"/>
      <c r="K1295" s="2"/>
      <c r="L1295" s="2"/>
      <c r="M1295" s="2"/>
      <c r="N1295" s="2"/>
      <c r="O1295" s="56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</row>
    <row r="1296" spans="1:28" x14ac:dyDescent="0.25">
      <c r="A1296" s="2"/>
      <c r="B1296" s="8"/>
      <c r="C1296" s="8"/>
      <c r="D1296" s="8"/>
      <c r="E1296" s="8"/>
      <c r="F1296" s="13"/>
      <c r="G1296" s="59"/>
      <c r="H1296" s="6"/>
      <c r="I1296" s="6"/>
      <c r="J1296" s="2"/>
      <c r="K1296" s="2"/>
      <c r="L1296" s="2"/>
      <c r="M1296" s="2"/>
      <c r="N1296" s="2"/>
      <c r="O1296" s="56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</row>
    <row r="1297" spans="1:28" x14ac:dyDescent="0.25">
      <c r="A1297" s="2"/>
      <c r="B1297" s="8"/>
      <c r="C1297" s="8"/>
      <c r="D1297" s="8"/>
      <c r="E1297" s="8"/>
      <c r="F1297" s="13"/>
      <c r="G1297" s="59"/>
      <c r="H1297" s="6"/>
      <c r="I1297" s="6"/>
      <c r="J1297" s="2"/>
      <c r="K1297" s="2"/>
      <c r="L1297" s="2"/>
      <c r="M1297" s="2"/>
      <c r="N1297" s="2"/>
      <c r="O1297" s="56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</row>
    <row r="1298" spans="1:28" x14ac:dyDescent="0.25">
      <c r="A1298" s="2"/>
      <c r="B1298" s="8"/>
      <c r="C1298" s="8"/>
      <c r="D1298" s="8"/>
      <c r="E1298" s="8"/>
      <c r="F1298" s="13"/>
      <c r="G1298" s="59"/>
      <c r="H1298" s="6"/>
      <c r="I1298" s="6"/>
      <c r="J1298" s="2"/>
      <c r="K1298" s="2"/>
      <c r="L1298" s="2"/>
      <c r="M1298" s="2"/>
      <c r="N1298" s="2"/>
      <c r="O1298" s="56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</row>
    <row r="1299" spans="1:28" x14ac:dyDescent="0.25">
      <c r="A1299" s="2"/>
      <c r="B1299" s="8"/>
      <c r="C1299" s="8"/>
      <c r="D1299" s="8"/>
      <c r="E1299" s="8"/>
      <c r="F1299" s="13"/>
      <c r="G1299" s="59"/>
      <c r="H1299" s="6"/>
      <c r="I1299" s="6"/>
      <c r="J1299" s="2"/>
      <c r="K1299" s="2"/>
      <c r="L1299" s="2"/>
      <c r="M1299" s="2"/>
      <c r="N1299" s="2"/>
      <c r="O1299" s="56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</row>
    <row r="1300" spans="1:28" x14ac:dyDescent="0.25">
      <c r="A1300" s="2"/>
      <c r="B1300" s="8"/>
      <c r="C1300" s="8"/>
      <c r="D1300" s="8"/>
      <c r="E1300" s="8"/>
      <c r="F1300" s="13"/>
      <c r="G1300" s="59"/>
      <c r="H1300" s="6"/>
      <c r="I1300" s="6"/>
      <c r="J1300" s="2"/>
      <c r="K1300" s="2"/>
      <c r="L1300" s="2"/>
      <c r="M1300" s="2"/>
      <c r="N1300" s="2"/>
      <c r="O1300" s="56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</row>
    <row r="1301" spans="1:28" x14ac:dyDescent="0.25">
      <c r="A1301" s="2"/>
      <c r="B1301" s="8"/>
      <c r="C1301" s="8"/>
      <c r="D1301" s="8"/>
      <c r="E1301" s="8"/>
      <c r="F1301" s="13"/>
      <c r="G1301" s="59"/>
      <c r="H1301" s="6"/>
      <c r="I1301" s="6"/>
      <c r="J1301" s="2"/>
      <c r="K1301" s="2"/>
      <c r="L1301" s="2"/>
      <c r="M1301" s="2"/>
      <c r="N1301" s="2"/>
      <c r="O1301" s="56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  <c r="AA1301" s="2"/>
      <c r="AB1301" s="2"/>
    </row>
    <row r="1302" spans="1:28" x14ac:dyDescent="0.25">
      <c r="A1302" s="2"/>
      <c r="B1302" s="8"/>
      <c r="C1302" s="8"/>
      <c r="D1302" s="8"/>
      <c r="E1302" s="8"/>
      <c r="F1302" s="13"/>
      <c r="G1302" s="59"/>
      <c r="H1302" s="6"/>
      <c r="I1302" s="6"/>
      <c r="J1302" s="2"/>
      <c r="K1302" s="2"/>
      <c r="L1302" s="2"/>
      <c r="M1302" s="2"/>
      <c r="N1302" s="2"/>
      <c r="O1302" s="56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  <c r="AA1302" s="2"/>
      <c r="AB1302" s="2"/>
    </row>
    <row r="1303" spans="1:28" x14ac:dyDescent="0.25">
      <c r="A1303" s="2"/>
      <c r="B1303" s="8"/>
      <c r="C1303" s="8"/>
      <c r="D1303" s="8"/>
      <c r="E1303" s="8"/>
      <c r="F1303" s="13"/>
      <c r="G1303" s="59"/>
      <c r="H1303" s="6"/>
      <c r="I1303" s="6"/>
      <c r="J1303" s="2"/>
      <c r="K1303" s="2"/>
      <c r="L1303" s="2"/>
      <c r="M1303" s="2"/>
      <c r="N1303" s="2"/>
      <c r="O1303" s="56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  <c r="AA1303" s="2"/>
      <c r="AB1303" s="2"/>
    </row>
    <row r="1304" spans="1:28" x14ac:dyDescent="0.25">
      <c r="A1304" s="2"/>
      <c r="B1304" s="8"/>
      <c r="C1304" s="8"/>
      <c r="D1304" s="8"/>
      <c r="E1304" s="8"/>
      <c r="F1304" s="13"/>
      <c r="G1304" s="59"/>
      <c r="H1304" s="6"/>
      <c r="I1304" s="6"/>
      <c r="J1304" s="2"/>
      <c r="K1304" s="2"/>
      <c r="L1304" s="2"/>
      <c r="M1304" s="2"/>
      <c r="N1304" s="2"/>
      <c r="O1304" s="56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  <c r="AA1304" s="2"/>
      <c r="AB1304" s="2"/>
    </row>
    <row r="1305" spans="1:28" x14ac:dyDescent="0.25">
      <c r="A1305" s="2"/>
      <c r="B1305" s="8"/>
      <c r="C1305" s="8"/>
      <c r="D1305" s="8"/>
      <c r="E1305" s="8"/>
      <c r="F1305" s="13"/>
      <c r="G1305" s="59"/>
      <c r="H1305" s="6"/>
      <c r="I1305" s="6"/>
      <c r="J1305" s="2"/>
      <c r="K1305" s="2"/>
      <c r="L1305" s="2"/>
      <c r="M1305" s="2"/>
      <c r="N1305" s="2"/>
      <c r="O1305" s="56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  <c r="AA1305" s="2"/>
      <c r="AB1305" s="2"/>
    </row>
    <row r="1306" spans="1:28" x14ac:dyDescent="0.25">
      <c r="A1306" s="2"/>
      <c r="B1306" s="8"/>
      <c r="C1306" s="8"/>
      <c r="D1306" s="8"/>
      <c r="E1306" s="8"/>
      <c r="F1306" s="13"/>
      <c r="G1306" s="59"/>
      <c r="H1306" s="6"/>
      <c r="I1306" s="6"/>
      <c r="J1306" s="2"/>
      <c r="K1306" s="2"/>
      <c r="L1306" s="2"/>
      <c r="M1306" s="2"/>
      <c r="N1306" s="2"/>
      <c r="O1306" s="56"/>
      <c r="P1306" s="2"/>
      <c r="Q1306" s="2"/>
      <c r="R1306" s="2"/>
      <c r="S1306" s="2"/>
      <c r="T1306" s="2"/>
      <c r="U1306" s="2"/>
      <c r="V1306" s="2"/>
      <c r="W1306" s="2"/>
      <c r="X1306" s="2"/>
      <c r="Y1306" s="2"/>
      <c r="Z1306" s="2"/>
      <c r="AA1306" s="2"/>
      <c r="AB1306" s="2"/>
    </row>
    <row r="1307" spans="1:28" x14ac:dyDescent="0.25">
      <c r="A1307" s="2"/>
      <c r="B1307" s="8"/>
      <c r="C1307" s="8"/>
      <c r="D1307" s="8"/>
      <c r="E1307" s="8"/>
      <c r="F1307" s="13"/>
      <c r="G1307" s="59"/>
      <c r="H1307" s="6"/>
      <c r="I1307" s="6"/>
      <c r="J1307" s="2"/>
      <c r="K1307" s="2"/>
      <c r="L1307" s="2"/>
      <c r="M1307" s="2"/>
      <c r="N1307" s="2"/>
      <c r="O1307" s="56"/>
      <c r="P1307" s="2"/>
      <c r="Q1307" s="2"/>
      <c r="R1307" s="2"/>
      <c r="S1307" s="2"/>
      <c r="T1307" s="2"/>
      <c r="U1307" s="2"/>
      <c r="V1307" s="2"/>
      <c r="W1307" s="2"/>
      <c r="X1307" s="2"/>
      <c r="Y1307" s="2"/>
      <c r="Z1307" s="2"/>
      <c r="AA1307" s="2"/>
      <c r="AB1307" s="2"/>
    </row>
    <row r="1308" spans="1:28" x14ac:dyDescent="0.25">
      <c r="A1308" s="2"/>
      <c r="B1308" s="8"/>
      <c r="C1308" s="8"/>
      <c r="D1308" s="8"/>
      <c r="E1308" s="8"/>
      <c r="F1308" s="13"/>
      <c r="G1308" s="59"/>
      <c r="H1308" s="6"/>
      <c r="I1308" s="6"/>
      <c r="J1308" s="2"/>
      <c r="K1308" s="2"/>
      <c r="L1308" s="2"/>
      <c r="M1308" s="2"/>
      <c r="N1308" s="2"/>
      <c r="O1308" s="56"/>
      <c r="P1308" s="2"/>
      <c r="Q1308" s="2"/>
      <c r="R1308" s="2"/>
      <c r="S1308" s="2"/>
      <c r="T1308" s="2"/>
      <c r="U1308" s="2"/>
      <c r="V1308" s="2"/>
      <c r="W1308" s="2"/>
      <c r="X1308" s="2"/>
      <c r="Y1308" s="2"/>
      <c r="Z1308" s="2"/>
      <c r="AA1308" s="2"/>
      <c r="AB1308" s="2"/>
    </row>
    <row r="1309" spans="1:28" x14ac:dyDescent="0.25">
      <c r="A1309" s="2"/>
      <c r="B1309" s="8"/>
      <c r="C1309" s="8"/>
      <c r="D1309" s="8"/>
      <c r="E1309" s="8"/>
      <c r="F1309" s="13"/>
      <c r="G1309" s="59"/>
      <c r="H1309" s="6"/>
      <c r="I1309" s="6"/>
      <c r="J1309" s="2"/>
      <c r="K1309" s="2"/>
      <c r="L1309" s="2"/>
      <c r="M1309" s="2"/>
      <c r="N1309" s="2"/>
      <c r="O1309" s="56"/>
      <c r="P1309" s="2"/>
      <c r="Q1309" s="2"/>
      <c r="R1309" s="2"/>
      <c r="S1309" s="2"/>
      <c r="T1309" s="2"/>
      <c r="U1309" s="2"/>
      <c r="V1309" s="2"/>
      <c r="W1309" s="2"/>
      <c r="X1309" s="2"/>
      <c r="Y1309" s="2"/>
      <c r="Z1309" s="2"/>
      <c r="AA1309" s="2"/>
      <c r="AB1309" s="2"/>
    </row>
    <row r="1310" spans="1:28" x14ac:dyDescent="0.25">
      <c r="A1310" s="2"/>
      <c r="B1310" s="8"/>
      <c r="C1310" s="8"/>
      <c r="D1310" s="8"/>
      <c r="E1310" s="8"/>
      <c r="F1310" s="13"/>
      <c r="G1310" s="59"/>
      <c r="H1310" s="6"/>
      <c r="I1310" s="6"/>
      <c r="J1310" s="2"/>
      <c r="K1310" s="2"/>
      <c r="L1310" s="2"/>
      <c r="M1310" s="2"/>
      <c r="N1310" s="2"/>
      <c r="O1310" s="56"/>
      <c r="P1310" s="2"/>
      <c r="Q1310" s="2"/>
      <c r="R1310" s="2"/>
      <c r="S1310" s="2"/>
      <c r="T1310" s="2"/>
      <c r="U1310" s="2"/>
      <c r="V1310" s="2"/>
      <c r="W1310" s="2"/>
      <c r="X1310" s="2"/>
      <c r="Y1310" s="2"/>
      <c r="Z1310" s="2"/>
      <c r="AA1310" s="2"/>
      <c r="AB1310" s="2"/>
    </row>
    <row r="1311" spans="1:28" x14ac:dyDescent="0.25">
      <c r="A1311" s="2"/>
      <c r="B1311" s="8"/>
      <c r="C1311" s="8"/>
      <c r="D1311" s="8"/>
      <c r="E1311" s="8"/>
      <c r="F1311" s="13"/>
      <c r="G1311" s="59"/>
      <c r="H1311" s="6"/>
      <c r="I1311" s="6"/>
      <c r="J1311" s="2"/>
      <c r="K1311" s="2"/>
      <c r="L1311" s="2"/>
      <c r="M1311" s="2"/>
      <c r="N1311" s="2"/>
      <c r="O1311" s="56"/>
      <c r="P1311" s="2"/>
      <c r="Q1311" s="2"/>
      <c r="R1311" s="2"/>
      <c r="S1311" s="2"/>
      <c r="T1311" s="2"/>
      <c r="U1311" s="2"/>
      <c r="V1311" s="2"/>
      <c r="W1311" s="2"/>
      <c r="X1311" s="2"/>
      <c r="Y1311" s="2"/>
      <c r="Z1311" s="2"/>
      <c r="AA1311" s="2"/>
      <c r="AB1311" s="2"/>
    </row>
    <row r="1312" spans="1:28" x14ac:dyDescent="0.25">
      <c r="A1312" s="2"/>
      <c r="B1312" s="8"/>
      <c r="C1312" s="8"/>
      <c r="D1312" s="8"/>
      <c r="E1312" s="8"/>
      <c r="F1312" s="13"/>
      <c r="G1312" s="59"/>
      <c r="H1312" s="6"/>
      <c r="I1312" s="6"/>
      <c r="J1312" s="2"/>
      <c r="K1312" s="2"/>
      <c r="L1312" s="2"/>
      <c r="M1312" s="2"/>
      <c r="N1312" s="2"/>
      <c r="O1312" s="56"/>
      <c r="P1312" s="2"/>
      <c r="Q1312" s="2"/>
      <c r="R1312" s="2"/>
      <c r="S1312" s="2"/>
      <c r="T1312" s="2"/>
      <c r="U1312" s="2"/>
      <c r="V1312" s="2"/>
      <c r="W1312" s="2"/>
      <c r="X1312" s="2"/>
      <c r="Y1312" s="2"/>
      <c r="Z1312" s="2"/>
      <c r="AA1312" s="2"/>
      <c r="AB1312" s="2"/>
    </row>
    <row r="1313" spans="1:28" x14ac:dyDescent="0.25">
      <c r="A1313" s="2"/>
      <c r="B1313" s="8"/>
      <c r="C1313" s="8"/>
      <c r="D1313" s="8"/>
      <c r="E1313" s="8"/>
      <c r="F1313" s="13"/>
      <c r="G1313" s="59"/>
      <c r="H1313" s="6"/>
      <c r="I1313" s="6"/>
      <c r="J1313" s="2"/>
      <c r="K1313" s="2"/>
      <c r="L1313" s="2"/>
      <c r="M1313" s="2"/>
      <c r="N1313" s="2"/>
      <c r="O1313" s="56"/>
      <c r="P1313" s="2"/>
      <c r="Q1313" s="2"/>
      <c r="R1313" s="2"/>
      <c r="S1313" s="2"/>
      <c r="T1313" s="2"/>
      <c r="U1313" s="2"/>
      <c r="V1313" s="2"/>
      <c r="W1313" s="2"/>
      <c r="X1313" s="2"/>
      <c r="Y1313" s="2"/>
      <c r="Z1313" s="2"/>
      <c r="AA1313" s="2"/>
      <c r="AB1313" s="2"/>
    </row>
    <row r="1314" spans="1:28" x14ac:dyDescent="0.25">
      <c r="A1314" s="2"/>
      <c r="B1314" s="8"/>
      <c r="C1314" s="8"/>
      <c r="D1314" s="8"/>
      <c r="E1314" s="8"/>
      <c r="F1314" s="13"/>
      <c r="G1314" s="59"/>
      <c r="H1314" s="6"/>
      <c r="I1314" s="6"/>
      <c r="J1314" s="2"/>
      <c r="K1314" s="2"/>
      <c r="L1314" s="2"/>
      <c r="M1314" s="2"/>
      <c r="N1314" s="2"/>
      <c r="O1314" s="56"/>
      <c r="P1314" s="2"/>
      <c r="Q1314" s="2"/>
      <c r="R1314" s="2"/>
      <c r="S1314" s="2"/>
      <c r="T1314" s="2"/>
      <c r="U1314" s="2"/>
      <c r="V1314" s="2"/>
      <c r="W1314" s="2"/>
      <c r="X1314" s="2"/>
      <c r="Y1314" s="2"/>
      <c r="Z1314" s="2"/>
      <c r="AA1314" s="2"/>
      <c r="AB1314" s="2"/>
    </row>
    <row r="1315" spans="1:28" x14ac:dyDescent="0.25">
      <c r="A1315" s="2"/>
      <c r="B1315" s="8"/>
      <c r="C1315" s="8"/>
      <c r="D1315" s="8"/>
      <c r="E1315" s="8"/>
      <c r="F1315" s="13"/>
      <c r="G1315" s="59"/>
      <c r="H1315" s="6"/>
      <c r="I1315" s="6"/>
      <c r="J1315" s="2"/>
      <c r="K1315" s="2"/>
      <c r="L1315" s="2"/>
      <c r="M1315" s="2"/>
      <c r="N1315" s="2"/>
      <c r="O1315" s="56"/>
      <c r="P1315" s="2"/>
      <c r="Q1315" s="2"/>
      <c r="R1315" s="2"/>
      <c r="S1315" s="2"/>
      <c r="T1315" s="2"/>
      <c r="U1315" s="2"/>
      <c r="V1315" s="2"/>
      <c r="W1315" s="2"/>
      <c r="X1315" s="2"/>
      <c r="Y1315" s="2"/>
      <c r="Z1315" s="2"/>
      <c r="AA1315" s="2"/>
      <c r="AB1315" s="2"/>
    </row>
    <row r="1316" spans="1:28" x14ac:dyDescent="0.25">
      <c r="A1316" s="2"/>
      <c r="B1316" s="8"/>
      <c r="C1316" s="8"/>
      <c r="D1316" s="8"/>
      <c r="E1316" s="8"/>
      <c r="F1316" s="13"/>
      <c r="G1316" s="59"/>
      <c r="H1316" s="6"/>
      <c r="I1316" s="6"/>
      <c r="J1316" s="2"/>
      <c r="K1316" s="2"/>
      <c r="L1316" s="2"/>
      <c r="M1316" s="2"/>
      <c r="N1316" s="2"/>
      <c r="O1316" s="56"/>
      <c r="P1316" s="2"/>
      <c r="Q1316" s="2"/>
      <c r="R1316" s="2"/>
      <c r="S1316" s="2"/>
      <c r="T1316" s="2"/>
      <c r="U1316" s="2"/>
      <c r="V1316" s="2"/>
      <c r="W1316" s="2"/>
      <c r="X1316" s="2"/>
      <c r="Y1316" s="2"/>
      <c r="Z1316" s="2"/>
      <c r="AA1316" s="2"/>
      <c r="AB1316" s="2"/>
    </row>
    <row r="1317" spans="1:28" x14ac:dyDescent="0.25">
      <c r="A1317" s="2"/>
      <c r="B1317" s="8"/>
      <c r="C1317" s="8"/>
      <c r="D1317" s="8"/>
      <c r="E1317" s="8"/>
      <c r="F1317" s="13"/>
      <c r="G1317" s="59"/>
      <c r="H1317" s="6"/>
      <c r="I1317" s="6"/>
      <c r="J1317" s="2"/>
      <c r="K1317" s="2"/>
      <c r="L1317" s="2"/>
      <c r="M1317" s="2"/>
      <c r="N1317" s="2"/>
      <c r="O1317" s="56"/>
      <c r="P1317" s="2"/>
      <c r="Q1317" s="2"/>
      <c r="R1317" s="2"/>
      <c r="S1317" s="2"/>
      <c r="T1317" s="2"/>
      <c r="U1317" s="2"/>
      <c r="V1317" s="2"/>
      <c r="W1317" s="2"/>
      <c r="X1317" s="2"/>
      <c r="Y1317" s="2"/>
      <c r="Z1317" s="2"/>
      <c r="AA1317" s="2"/>
      <c r="AB1317" s="2"/>
    </row>
    <row r="1318" spans="1:28" x14ac:dyDescent="0.25">
      <c r="A1318" s="2"/>
      <c r="B1318" s="8"/>
      <c r="C1318" s="8"/>
      <c r="D1318" s="8"/>
      <c r="E1318" s="8"/>
      <c r="F1318" s="13"/>
      <c r="G1318" s="59"/>
      <c r="H1318" s="6"/>
      <c r="I1318" s="6"/>
      <c r="J1318" s="2"/>
      <c r="K1318" s="2"/>
      <c r="L1318" s="2"/>
      <c r="M1318" s="2"/>
      <c r="N1318" s="2"/>
      <c r="O1318" s="56"/>
      <c r="P1318" s="2"/>
      <c r="Q1318" s="2"/>
      <c r="R1318" s="2"/>
      <c r="S1318" s="2"/>
      <c r="T1318" s="2"/>
      <c r="U1318" s="2"/>
      <c r="V1318" s="2"/>
      <c r="W1318" s="2"/>
      <c r="X1318" s="2"/>
      <c r="Y1318" s="2"/>
      <c r="Z1318" s="2"/>
      <c r="AA1318" s="2"/>
      <c r="AB1318" s="2"/>
    </row>
    <row r="1319" spans="1:28" x14ac:dyDescent="0.25">
      <c r="A1319" s="2"/>
      <c r="B1319" s="8"/>
      <c r="C1319" s="8"/>
      <c r="D1319" s="8"/>
      <c r="E1319" s="8"/>
      <c r="F1319" s="13"/>
      <c r="G1319" s="59"/>
      <c r="H1319" s="6"/>
      <c r="I1319" s="6"/>
      <c r="J1319" s="2"/>
      <c r="K1319" s="2"/>
      <c r="L1319" s="2"/>
      <c r="M1319" s="2"/>
      <c r="N1319" s="2"/>
      <c r="O1319" s="56"/>
      <c r="P1319" s="2"/>
      <c r="Q1319" s="2"/>
      <c r="R1319" s="2"/>
      <c r="S1319" s="2"/>
      <c r="T1319" s="2"/>
      <c r="U1319" s="2"/>
      <c r="V1319" s="2"/>
      <c r="W1319" s="2"/>
      <c r="X1319" s="2"/>
      <c r="Y1319" s="2"/>
      <c r="Z1319" s="2"/>
      <c r="AA1319" s="2"/>
      <c r="AB1319" s="2"/>
    </row>
    <row r="1320" spans="1:28" x14ac:dyDescent="0.25">
      <c r="A1320" s="2"/>
      <c r="B1320" s="8"/>
      <c r="C1320" s="8"/>
      <c r="D1320" s="8"/>
      <c r="E1320" s="8"/>
      <c r="F1320" s="13"/>
      <c r="G1320" s="59"/>
      <c r="H1320" s="6"/>
      <c r="I1320" s="6"/>
      <c r="J1320" s="2"/>
      <c r="K1320" s="2"/>
      <c r="L1320" s="2"/>
      <c r="M1320" s="2"/>
      <c r="N1320" s="2"/>
      <c r="O1320" s="56"/>
      <c r="P1320" s="2"/>
      <c r="Q1320" s="2"/>
      <c r="R1320" s="2"/>
      <c r="S1320" s="2"/>
      <c r="T1320" s="2"/>
      <c r="U1320" s="2"/>
      <c r="V1320" s="2"/>
      <c r="W1320" s="2"/>
      <c r="X1320" s="2"/>
      <c r="Y1320" s="2"/>
      <c r="Z1320" s="2"/>
      <c r="AA1320" s="2"/>
      <c r="AB1320" s="2"/>
    </row>
    <row r="1321" spans="1:28" x14ac:dyDescent="0.25">
      <c r="A1321" s="2"/>
      <c r="B1321" s="8"/>
      <c r="C1321" s="8"/>
      <c r="D1321" s="8"/>
      <c r="E1321" s="8"/>
      <c r="F1321" s="13"/>
      <c r="G1321" s="59"/>
      <c r="H1321" s="6"/>
      <c r="I1321" s="6"/>
      <c r="J1321" s="2"/>
      <c r="K1321" s="2"/>
      <c r="L1321" s="2"/>
      <c r="M1321" s="2"/>
      <c r="N1321" s="2"/>
      <c r="O1321" s="56"/>
      <c r="P1321" s="2"/>
      <c r="Q1321" s="2"/>
      <c r="R1321" s="2"/>
      <c r="S1321" s="2"/>
      <c r="T1321" s="2"/>
      <c r="U1321" s="2"/>
      <c r="V1321" s="2"/>
      <c r="W1321" s="2"/>
      <c r="X1321" s="2"/>
      <c r="Y1321" s="2"/>
      <c r="Z1321" s="2"/>
      <c r="AA1321" s="2"/>
      <c r="AB1321" s="2"/>
    </row>
    <row r="1322" spans="1:28" x14ac:dyDescent="0.25">
      <c r="A1322" s="2"/>
      <c r="B1322" s="8"/>
      <c r="C1322" s="8"/>
      <c r="D1322" s="8"/>
      <c r="E1322" s="8"/>
      <c r="F1322" s="13"/>
      <c r="G1322" s="59"/>
      <c r="H1322" s="6"/>
      <c r="I1322" s="6"/>
      <c r="J1322" s="2"/>
      <c r="K1322" s="2"/>
      <c r="L1322" s="2"/>
      <c r="M1322" s="2"/>
      <c r="N1322" s="2"/>
      <c r="O1322" s="56"/>
      <c r="P1322" s="2"/>
      <c r="Q1322" s="2"/>
      <c r="R1322" s="2"/>
      <c r="S1322" s="2"/>
      <c r="T1322" s="2"/>
      <c r="U1322" s="2"/>
      <c r="V1322" s="2"/>
      <c r="W1322" s="2"/>
      <c r="X1322" s="2"/>
      <c r="Y1322" s="2"/>
      <c r="Z1322" s="2"/>
      <c r="AA1322" s="2"/>
      <c r="AB1322" s="2"/>
    </row>
    <row r="1323" spans="1:28" x14ac:dyDescent="0.25">
      <c r="A1323" s="2"/>
      <c r="B1323" s="8"/>
      <c r="C1323" s="8"/>
      <c r="D1323" s="8"/>
      <c r="E1323" s="8"/>
      <c r="F1323" s="13"/>
      <c r="G1323" s="59"/>
      <c r="H1323" s="6"/>
      <c r="I1323" s="6"/>
      <c r="J1323" s="2"/>
      <c r="K1323" s="2"/>
      <c r="L1323" s="2"/>
      <c r="M1323" s="2"/>
      <c r="N1323" s="2"/>
      <c r="O1323" s="56"/>
      <c r="P1323" s="2"/>
      <c r="Q1323" s="2"/>
      <c r="R1323" s="2"/>
      <c r="S1323" s="2"/>
      <c r="T1323" s="2"/>
      <c r="U1323" s="2"/>
      <c r="V1323" s="2"/>
      <c r="W1323" s="2"/>
      <c r="X1323" s="2"/>
      <c r="Y1323" s="2"/>
      <c r="Z1323" s="2"/>
      <c r="AA1323" s="2"/>
      <c r="AB1323" s="2"/>
    </row>
    <row r="1324" spans="1:28" x14ac:dyDescent="0.25">
      <c r="A1324" s="2"/>
      <c r="B1324" s="8"/>
      <c r="C1324" s="8"/>
      <c r="D1324" s="8"/>
      <c r="E1324" s="8"/>
      <c r="F1324" s="13"/>
      <c r="G1324" s="59"/>
      <c r="H1324" s="6"/>
      <c r="I1324" s="6"/>
      <c r="J1324" s="2"/>
      <c r="K1324" s="2"/>
      <c r="L1324" s="2"/>
      <c r="M1324" s="2"/>
      <c r="N1324" s="2"/>
      <c r="O1324" s="56"/>
      <c r="P1324" s="2"/>
      <c r="Q1324" s="2"/>
      <c r="R1324" s="2"/>
      <c r="S1324" s="2"/>
      <c r="T1324" s="2"/>
      <c r="U1324" s="2"/>
      <c r="V1324" s="2"/>
      <c r="W1324" s="2"/>
      <c r="X1324" s="2"/>
      <c r="Y1324" s="2"/>
      <c r="Z1324" s="2"/>
      <c r="AA1324" s="2"/>
      <c r="AB1324" s="2"/>
    </row>
    <row r="1325" spans="1:28" x14ac:dyDescent="0.25">
      <c r="A1325" s="2"/>
      <c r="B1325" s="8"/>
      <c r="C1325" s="8"/>
      <c r="D1325" s="8"/>
      <c r="E1325" s="8"/>
      <c r="F1325" s="13"/>
      <c r="G1325" s="59"/>
      <c r="H1325" s="6"/>
      <c r="I1325" s="6"/>
      <c r="J1325" s="2"/>
      <c r="K1325" s="2"/>
      <c r="L1325" s="2"/>
      <c r="M1325" s="2"/>
      <c r="N1325" s="2"/>
      <c r="O1325" s="56"/>
      <c r="P1325" s="2"/>
      <c r="Q1325" s="2"/>
      <c r="R1325" s="2"/>
      <c r="S1325" s="2"/>
      <c r="T1325" s="2"/>
      <c r="U1325" s="2"/>
      <c r="V1325" s="2"/>
      <c r="W1325" s="2"/>
      <c r="X1325" s="2"/>
      <c r="Y1325" s="2"/>
      <c r="Z1325" s="2"/>
      <c r="AA1325" s="2"/>
      <c r="AB1325" s="2"/>
    </row>
    <row r="1326" spans="1:28" x14ac:dyDescent="0.25">
      <c r="A1326" s="2"/>
      <c r="B1326" s="8"/>
      <c r="C1326" s="8"/>
      <c r="D1326" s="8"/>
      <c r="E1326" s="8"/>
      <c r="F1326" s="13"/>
      <c r="G1326" s="59"/>
      <c r="H1326" s="6"/>
      <c r="I1326" s="6"/>
      <c r="J1326" s="2"/>
      <c r="K1326" s="2"/>
      <c r="L1326" s="2"/>
      <c r="M1326" s="2"/>
      <c r="N1326" s="2"/>
      <c r="O1326" s="56"/>
      <c r="P1326" s="2"/>
      <c r="Q1326" s="2"/>
      <c r="R1326" s="2"/>
      <c r="S1326" s="2"/>
      <c r="T1326" s="2"/>
      <c r="U1326" s="2"/>
      <c r="V1326" s="2"/>
      <c r="W1326" s="2"/>
      <c r="X1326" s="2"/>
      <c r="Y1326" s="2"/>
      <c r="Z1326" s="2"/>
      <c r="AA1326" s="2"/>
      <c r="AB1326" s="2"/>
    </row>
    <row r="1327" spans="1:28" x14ac:dyDescent="0.25">
      <c r="A1327" s="2"/>
      <c r="B1327" s="8"/>
      <c r="C1327" s="8"/>
      <c r="D1327" s="8"/>
      <c r="E1327" s="8"/>
      <c r="F1327" s="13"/>
      <c r="G1327" s="59"/>
      <c r="H1327" s="6"/>
      <c r="I1327" s="6"/>
      <c r="J1327" s="2"/>
      <c r="K1327" s="2"/>
      <c r="L1327" s="2"/>
      <c r="M1327" s="2"/>
      <c r="N1327" s="2"/>
      <c r="O1327" s="56"/>
      <c r="P1327" s="2"/>
      <c r="Q1327" s="2"/>
      <c r="R1327" s="2"/>
      <c r="S1327" s="2"/>
      <c r="T1327" s="2"/>
      <c r="U1327" s="2"/>
      <c r="V1327" s="2"/>
      <c r="W1327" s="2"/>
      <c r="X1327" s="2"/>
      <c r="Y1327" s="2"/>
      <c r="Z1327" s="2"/>
      <c r="AA1327" s="2"/>
      <c r="AB1327" s="2"/>
    </row>
    <row r="1328" spans="1:28" x14ac:dyDescent="0.25">
      <c r="A1328" s="2"/>
      <c r="B1328" s="8"/>
      <c r="C1328" s="8"/>
      <c r="D1328" s="8"/>
      <c r="E1328" s="8"/>
      <c r="F1328" s="13"/>
      <c r="G1328" s="59"/>
      <c r="H1328" s="6"/>
      <c r="I1328" s="6"/>
      <c r="J1328" s="2"/>
      <c r="K1328" s="2"/>
      <c r="L1328" s="2"/>
      <c r="M1328" s="2"/>
      <c r="N1328" s="2"/>
      <c r="O1328" s="56"/>
      <c r="P1328" s="2"/>
      <c r="Q1328" s="2"/>
      <c r="R1328" s="2"/>
      <c r="S1328" s="2"/>
      <c r="T1328" s="2"/>
      <c r="U1328" s="2"/>
      <c r="V1328" s="2"/>
      <c r="W1328" s="2"/>
      <c r="X1328" s="2"/>
      <c r="Y1328" s="2"/>
      <c r="Z1328" s="2"/>
      <c r="AA1328" s="2"/>
      <c r="AB1328" s="2"/>
    </row>
    <row r="1329" spans="1:28" x14ac:dyDescent="0.25">
      <c r="A1329" s="2"/>
      <c r="B1329" s="8"/>
      <c r="C1329" s="8"/>
      <c r="D1329" s="8"/>
      <c r="E1329" s="8"/>
      <c r="F1329" s="13"/>
      <c r="G1329" s="59"/>
      <c r="H1329" s="6"/>
      <c r="I1329" s="6"/>
      <c r="J1329" s="2"/>
      <c r="K1329" s="2"/>
      <c r="L1329" s="2"/>
      <c r="M1329" s="2"/>
      <c r="N1329" s="2"/>
      <c r="O1329" s="56"/>
      <c r="P1329" s="2"/>
      <c r="Q1329" s="2"/>
      <c r="R1329" s="2"/>
      <c r="S1329" s="2"/>
      <c r="T1329" s="2"/>
      <c r="U1329" s="2"/>
      <c r="V1329" s="2"/>
      <c r="W1329" s="2"/>
      <c r="X1329" s="2"/>
      <c r="Y1329" s="2"/>
      <c r="Z1329" s="2"/>
      <c r="AA1329" s="2"/>
      <c r="AB1329" s="2"/>
    </row>
    <row r="1330" spans="1:28" x14ac:dyDescent="0.25">
      <c r="A1330" s="2"/>
      <c r="B1330" s="8"/>
      <c r="C1330" s="8"/>
      <c r="D1330" s="8"/>
      <c r="E1330" s="8"/>
      <c r="F1330" s="13"/>
      <c r="G1330" s="59"/>
      <c r="H1330" s="6"/>
      <c r="I1330" s="6"/>
      <c r="J1330" s="2"/>
      <c r="K1330" s="2"/>
      <c r="L1330" s="2"/>
      <c r="M1330" s="2"/>
      <c r="N1330" s="2"/>
      <c r="O1330" s="56"/>
      <c r="P1330" s="2"/>
      <c r="Q1330" s="2"/>
      <c r="R1330" s="2"/>
      <c r="S1330" s="2"/>
      <c r="T1330" s="2"/>
      <c r="U1330" s="2"/>
      <c r="V1330" s="2"/>
      <c r="W1330" s="2"/>
      <c r="X1330" s="2"/>
      <c r="Y1330" s="2"/>
      <c r="Z1330" s="2"/>
      <c r="AA1330" s="2"/>
      <c r="AB1330" s="2"/>
    </row>
    <row r="1331" spans="1:28" x14ac:dyDescent="0.25">
      <c r="A1331" s="2"/>
      <c r="B1331" s="8"/>
      <c r="C1331" s="8"/>
      <c r="D1331" s="8"/>
      <c r="E1331" s="8"/>
      <c r="F1331" s="13"/>
      <c r="G1331" s="59"/>
      <c r="H1331" s="6"/>
      <c r="I1331" s="6"/>
      <c r="J1331" s="2"/>
      <c r="K1331" s="2"/>
      <c r="L1331" s="2"/>
      <c r="M1331" s="2"/>
      <c r="N1331" s="2"/>
      <c r="O1331" s="56"/>
      <c r="P1331" s="2"/>
      <c r="Q1331" s="2"/>
      <c r="R1331" s="2"/>
      <c r="S1331" s="2"/>
      <c r="T1331" s="2"/>
      <c r="U1331" s="2"/>
      <c r="V1331" s="2"/>
      <c r="W1331" s="2"/>
      <c r="X1331" s="2"/>
      <c r="Y1331" s="2"/>
      <c r="Z1331" s="2"/>
      <c r="AA1331" s="2"/>
      <c r="AB1331" s="2"/>
    </row>
    <row r="1332" spans="1:28" x14ac:dyDescent="0.25">
      <c r="A1332" s="2"/>
      <c r="B1332" s="8"/>
      <c r="C1332" s="8"/>
      <c r="D1332" s="8"/>
      <c r="E1332" s="8"/>
      <c r="F1332" s="13"/>
      <c r="G1332" s="59"/>
      <c r="H1332" s="6"/>
      <c r="I1332" s="6"/>
      <c r="J1332" s="2"/>
      <c r="K1332" s="2"/>
      <c r="L1332" s="2"/>
      <c r="M1332" s="2"/>
      <c r="N1332" s="2"/>
      <c r="O1332" s="56"/>
      <c r="P1332" s="2"/>
      <c r="Q1332" s="2"/>
      <c r="R1332" s="2"/>
      <c r="S1332" s="2"/>
      <c r="T1332" s="2"/>
      <c r="U1332" s="2"/>
      <c r="V1332" s="2"/>
      <c r="W1332" s="2"/>
      <c r="X1332" s="2"/>
      <c r="Y1332" s="2"/>
      <c r="Z1332" s="2"/>
      <c r="AA1332" s="2"/>
      <c r="AB1332" s="2"/>
    </row>
    <row r="1333" spans="1:28" x14ac:dyDescent="0.25">
      <c r="A1333" s="2"/>
      <c r="B1333" s="8"/>
      <c r="C1333" s="8"/>
      <c r="D1333" s="8"/>
      <c r="E1333" s="8"/>
      <c r="F1333" s="13"/>
      <c r="G1333" s="59"/>
      <c r="H1333" s="6"/>
      <c r="I1333" s="6"/>
      <c r="J1333" s="2"/>
      <c r="K1333" s="2"/>
      <c r="L1333" s="2"/>
      <c r="M1333" s="2"/>
      <c r="N1333" s="2"/>
      <c r="O1333" s="56"/>
      <c r="P1333" s="2"/>
      <c r="Q1333" s="2"/>
      <c r="R1333" s="2"/>
      <c r="S1333" s="2"/>
      <c r="T1333" s="2"/>
      <c r="U1333" s="2"/>
      <c r="V1333" s="2"/>
      <c r="W1333" s="2"/>
      <c r="X1333" s="2"/>
      <c r="Y1333" s="2"/>
      <c r="Z1333" s="2"/>
      <c r="AA1333" s="2"/>
      <c r="AB1333" s="2"/>
    </row>
    <row r="1334" spans="1:28" x14ac:dyDescent="0.25">
      <c r="A1334" s="2"/>
      <c r="B1334" s="8"/>
      <c r="C1334" s="8"/>
      <c r="D1334" s="8"/>
      <c r="E1334" s="8"/>
      <c r="F1334" s="13"/>
      <c r="G1334" s="59"/>
      <c r="H1334" s="6"/>
      <c r="I1334" s="6"/>
      <c r="J1334" s="2"/>
      <c r="K1334" s="2"/>
      <c r="L1334" s="2"/>
      <c r="M1334" s="2"/>
      <c r="N1334" s="2"/>
      <c r="O1334" s="56"/>
      <c r="P1334" s="2"/>
      <c r="Q1334" s="2"/>
      <c r="R1334" s="2"/>
      <c r="S1334" s="2"/>
      <c r="T1334" s="2"/>
      <c r="U1334" s="2"/>
      <c r="V1334" s="2"/>
      <c r="W1334" s="2"/>
      <c r="X1334" s="2"/>
      <c r="Y1334" s="2"/>
      <c r="Z1334" s="2"/>
      <c r="AA1334" s="2"/>
      <c r="AB1334" s="2"/>
    </row>
    <row r="1335" spans="1:28" x14ac:dyDescent="0.25">
      <c r="A1335" s="2"/>
      <c r="B1335" s="8"/>
      <c r="C1335" s="8"/>
      <c r="D1335" s="8"/>
      <c r="E1335" s="8"/>
      <c r="F1335" s="13"/>
      <c r="G1335" s="59"/>
      <c r="H1335" s="6"/>
      <c r="I1335" s="6"/>
      <c r="J1335" s="2"/>
      <c r="K1335" s="2"/>
      <c r="L1335" s="2"/>
      <c r="M1335" s="2"/>
      <c r="N1335" s="2"/>
      <c r="O1335" s="56"/>
      <c r="P1335" s="2"/>
      <c r="Q1335" s="2"/>
      <c r="R1335" s="2"/>
      <c r="S1335" s="2"/>
      <c r="T1335" s="2"/>
      <c r="U1335" s="2"/>
      <c r="V1335" s="2"/>
      <c r="W1335" s="2"/>
      <c r="X1335" s="2"/>
      <c r="Y1335" s="2"/>
      <c r="Z1335" s="2"/>
      <c r="AA1335" s="2"/>
      <c r="AB1335" s="2"/>
    </row>
    <row r="1336" spans="1:28" x14ac:dyDescent="0.25">
      <c r="A1336" s="2"/>
      <c r="B1336" s="8"/>
      <c r="C1336" s="8"/>
      <c r="D1336" s="8"/>
      <c r="E1336" s="8"/>
      <c r="F1336" s="13"/>
      <c r="G1336" s="59"/>
      <c r="H1336" s="6"/>
      <c r="I1336" s="6"/>
      <c r="J1336" s="2"/>
      <c r="K1336" s="2"/>
      <c r="L1336" s="2"/>
      <c r="M1336" s="2"/>
      <c r="N1336" s="2"/>
      <c r="O1336" s="56"/>
      <c r="P1336" s="2"/>
      <c r="Q1336" s="2"/>
      <c r="R1336" s="2"/>
      <c r="S1336" s="2"/>
      <c r="T1336" s="2"/>
      <c r="U1336" s="2"/>
      <c r="V1336" s="2"/>
      <c r="W1336" s="2"/>
      <c r="X1336" s="2"/>
      <c r="Y1336" s="2"/>
      <c r="Z1336" s="2"/>
      <c r="AA1336" s="2"/>
      <c r="AB1336" s="2"/>
    </row>
    <row r="1337" spans="1:28" x14ac:dyDescent="0.25">
      <c r="A1337" s="2"/>
      <c r="B1337" s="8"/>
      <c r="C1337" s="8"/>
      <c r="D1337" s="8"/>
      <c r="E1337" s="8"/>
      <c r="F1337" s="13"/>
      <c r="G1337" s="59"/>
      <c r="H1337" s="6"/>
      <c r="I1337" s="6"/>
      <c r="J1337" s="2"/>
      <c r="K1337" s="2"/>
      <c r="L1337" s="2"/>
      <c r="M1337" s="2"/>
      <c r="N1337" s="2"/>
      <c r="O1337" s="56"/>
      <c r="P1337" s="2"/>
      <c r="Q1337" s="2"/>
      <c r="R1337" s="2"/>
      <c r="S1337" s="2"/>
      <c r="T1337" s="2"/>
      <c r="U1337" s="2"/>
      <c r="V1337" s="2"/>
      <c r="W1337" s="2"/>
      <c r="X1337" s="2"/>
      <c r="Y1337" s="2"/>
      <c r="Z1337" s="2"/>
      <c r="AA1337" s="2"/>
      <c r="AB1337" s="2"/>
    </row>
    <row r="1338" spans="1:28" x14ac:dyDescent="0.25">
      <c r="A1338" s="2"/>
      <c r="B1338" s="8"/>
      <c r="C1338" s="8"/>
      <c r="D1338" s="8"/>
      <c r="E1338" s="8"/>
      <c r="F1338" s="13"/>
      <c r="G1338" s="59"/>
      <c r="H1338" s="6"/>
      <c r="I1338" s="6"/>
      <c r="J1338" s="2"/>
      <c r="K1338" s="2"/>
      <c r="L1338" s="2"/>
      <c r="M1338" s="2"/>
      <c r="N1338" s="2"/>
      <c r="O1338" s="56"/>
      <c r="P1338" s="2"/>
      <c r="Q1338" s="2"/>
      <c r="R1338" s="2"/>
      <c r="S1338" s="2"/>
      <c r="T1338" s="2"/>
      <c r="U1338" s="2"/>
      <c r="V1338" s="2"/>
      <c r="W1338" s="2"/>
      <c r="X1338" s="2"/>
      <c r="Y1338" s="2"/>
      <c r="Z1338" s="2"/>
      <c r="AA1338" s="2"/>
      <c r="AB1338" s="2"/>
    </row>
    <row r="1339" spans="1:28" x14ac:dyDescent="0.25">
      <c r="A1339" s="2"/>
      <c r="B1339" s="8"/>
      <c r="C1339" s="8"/>
      <c r="D1339" s="8"/>
      <c r="E1339" s="8"/>
      <c r="F1339" s="13"/>
      <c r="G1339" s="59"/>
      <c r="H1339" s="6"/>
      <c r="I1339" s="6"/>
      <c r="J1339" s="2"/>
      <c r="K1339" s="2"/>
      <c r="L1339" s="2"/>
      <c r="M1339" s="2"/>
      <c r="N1339" s="2"/>
      <c r="O1339" s="56"/>
      <c r="P1339" s="2"/>
      <c r="Q1339" s="2"/>
      <c r="R1339" s="2"/>
      <c r="S1339" s="2"/>
      <c r="T1339" s="2"/>
      <c r="U1339" s="2"/>
      <c r="V1339" s="2"/>
      <c r="W1339" s="2"/>
      <c r="X1339" s="2"/>
      <c r="Y1339" s="2"/>
      <c r="Z1339" s="2"/>
      <c r="AA1339" s="2"/>
      <c r="AB1339" s="2"/>
    </row>
    <row r="1340" spans="1:28" x14ac:dyDescent="0.25">
      <c r="A1340" s="2"/>
      <c r="B1340" s="8"/>
      <c r="C1340" s="8"/>
      <c r="D1340" s="8"/>
      <c r="E1340" s="8"/>
      <c r="F1340" s="13"/>
      <c r="G1340" s="59"/>
      <c r="H1340" s="6"/>
      <c r="I1340" s="6"/>
      <c r="J1340" s="2"/>
      <c r="K1340" s="2"/>
      <c r="L1340" s="2"/>
      <c r="M1340" s="2"/>
      <c r="N1340" s="2"/>
      <c r="O1340" s="56"/>
      <c r="P1340" s="2"/>
      <c r="Q1340" s="2"/>
      <c r="R1340" s="2"/>
      <c r="S1340" s="2"/>
      <c r="T1340" s="2"/>
      <c r="U1340" s="2"/>
      <c r="V1340" s="2"/>
      <c r="W1340" s="2"/>
      <c r="X1340" s="2"/>
      <c r="Y1340" s="2"/>
      <c r="Z1340" s="2"/>
      <c r="AA1340" s="2"/>
      <c r="AB1340" s="2"/>
    </row>
    <row r="1341" spans="1:28" x14ac:dyDescent="0.25">
      <c r="A1341" s="2"/>
      <c r="B1341" s="8"/>
      <c r="C1341" s="8"/>
      <c r="D1341" s="8"/>
      <c r="E1341" s="8"/>
      <c r="F1341" s="13"/>
      <c r="G1341" s="59"/>
      <c r="H1341" s="6"/>
      <c r="I1341" s="6"/>
      <c r="J1341" s="2"/>
      <c r="K1341" s="2"/>
      <c r="L1341" s="2"/>
      <c r="M1341" s="2"/>
      <c r="N1341" s="2"/>
      <c r="O1341" s="56"/>
      <c r="P1341" s="2"/>
      <c r="Q1341" s="2"/>
      <c r="R1341" s="2"/>
      <c r="S1341" s="2"/>
      <c r="T1341" s="2"/>
      <c r="U1341" s="2"/>
      <c r="V1341" s="2"/>
      <c r="W1341" s="2"/>
      <c r="X1341" s="2"/>
      <c r="Y1341" s="2"/>
      <c r="Z1341" s="2"/>
      <c r="AA1341" s="2"/>
      <c r="AB1341" s="2"/>
    </row>
    <row r="1342" spans="1:28" x14ac:dyDescent="0.25">
      <c r="A1342" s="2"/>
      <c r="B1342" s="8"/>
      <c r="C1342" s="8"/>
      <c r="D1342" s="8"/>
      <c r="E1342" s="8"/>
      <c r="F1342" s="13"/>
      <c r="G1342" s="59"/>
      <c r="H1342" s="6"/>
      <c r="I1342" s="6"/>
      <c r="J1342" s="2"/>
      <c r="K1342" s="2"/>
      <c r="L1342" s="2"/>
      <c r="M1342" s="2"/>
      <c r="N1342" s="2"/>
      <c r="O1342" s="56"/>
      <c r="P1342" s="2"/>
      <c r="Q1342" s="2"/>
      <c r="R1342" s="2"/>
      <c r="S1342" s="2"/>
      <c r="T1342" s="2"/>
      <c r="U1342" s="2"/>
      <c r="V1342" s="2"/>
      <c r="W1342" s="2"/>
      <c r="X1342" s="2"/>
      <c r="Y1342" s="2"/>
      <c r="Z1342" s="2"/>
      <c r="AA1342" s="2"/>
      <c r="AB1342" s="2"/>
    </row>
    <row r="1343" spans="1:28" x14ac:dyDescent="0.25">
      <c r="A1343" s="2"/>
      <c r="B1343" s="8"/>
      <c r="C1343" s="8"/>
      <c r="D1343" s="8"/>
      <c r="E1343" s="8"/>
      <c r="F1343" s="13"/>
      <c r="G1343" s="59"/>
      <c r="H1343" s="6"/>
      <c r="I1343" s="6"/>
      <c r="J1343" s="2"/>
      <c r="K1343" s="2"/>
      <c r="L1343" s="2"/>
      <c r="M1343" s="2"/>
      <c r="N1343" s="2"/>
      <c r="O1343" s="56"/>
      <c r="P1343" s="2"/>
      <c r="Q1343" s="2"/>
      <c r="R1343" s="2"/>
      <c r="S1343" s="2"/>
      <c r="T1343" s="2"/>
      <c r="U1343" s="2"/>
      <c r="V1343" s="2"/>
      <c r="W1343" s="2"/>
      <c r="X1343" s="2"/>
      <c r="Y1343" s="2"/>
      <c r="Z1343" s="2"/>
      <c r="AA1343" s="2"/>
      <c r="AB1343" s="2"/>
    </row>
    <row r="1344" spans="1:28" x14ac:dyDescent="0.25">
      <c r="A1344" s="2"/>
      <c r="B1344" s="8"/>
      <c r="C1344" s="8"/>
      <c r="D1344" s="8"/>
      <c r="E1344" s="8"/>
      <c r="F1344" s="13"/>
      <c r="G1344" s="59"/>
      <c r="H1344" s="6"/>
      <c r="I1344" s="6"/>
      <c r="J1344" s="2"/>
      <c r="K1344" s="2"/>
      <c r="L1344" s="2"/>
      <c r="M1344" s="2"/>
      <c r="N1344" s="2"/>
      <c r="O1344" s="56"/>
      <c r="P1344" s="2"/>
      <c r="Q1344" s="2"/>
      <c r="R1344" s="2"/>
      <c r="S1344" s="2"/>
      <c r="T1344" s="2"/>
      <c r="U1344" s="2"/>
      <c r="V1344" s="2"/>
      <c r="W1344" s="2"/>
      <c r="X1344" s="2"/>
      <c r="Y1344" s="2"/>
      <c r="Z1344" s="2"/>
      <c r="AA1344" s="2"/>
      <c r="AB1344" s="2"/>
    </row>
    <row r="1345" spans="1:28" x14ac:dyDescent="0.25">
      <c r="A1345" s="2"/>
      <c r="B1345" s="8"/>
      <c r="C1345" s="8"/>
      <c r="D1345" s="8"/>
      <c r="E1345" s="8"/>
      <c r="F1345" s="13"/>
      <c r="G1345" s="59"/>
      <c r="H1345" s="6"/>
      <c r="I1345" s="6"/>
      <c r="J1345" s="2"/>
      <c r="K1345" s="2"/>
      <c r="L1345" s="2"/>
      <c r="M1345" s="2"/>
      <c r="N1345" s="2"/>
      <c r="O1345" s="56"/>
      <c r="P1345" s="2"/>
      <c r="Q1345" s="2"/>
      <c r="R1345" s="2"/>
      <c r="S1345" s="2"/>
      <c r="T1345" s="2"/>
      <c r="U1345" s="2"/>
      <c r="V1345" s="2"/>
      <c r="W1345" s="2"/>
      <c r="X1345" s="2"/>
      <c r="Y1345" s="2"/>
      <c r="Z1345" s="2"/>
      <c r="AA1345" s="2"/>
      <c r="AB1345" s="2"/>
    </row>
    <row r="1346" spans="1:28" x14ac:dyDescent="0.25">
      <c r="A1346" s="2"/>
      <c r="B1346" s="8"/>
      <c r="C1346" s="8"/>
      <c r="D1346" s="8"/>
      <c r="E1346" s="8"/>
      <c r="F1346" s="13"/>
      <c r="G1346" s="59"/>
      <c r="H1346" s="6"/>
      <c r="I1346" s="6"/>
      <c r="J1346" s="2"/>
      <c r="K1346" s="2"/>
      <c r="L1346" s="2"/>
      <c r="M1346" s="2"/>
      <c r="N1346" s="2"/>
      <c r="O1346" s="56"/>
      <c r="P1346" s="2"/>
      <c r="Q1346" s="2"/>
      <c r="R1346" s="2"/>
      <c r="S1346" s="2"/>
      <c r="T1346" s="2"/>
      <c r="U1346" s="2"/>
      <c r="V1346" s="2"/>
      <c r="W1346" s="2"/>
      <c r="X1346" s="2"/>
      <c r="Y1346" s="2"/>
      <c r="Z1346" s="2"/>
      <c r="AA1346" s="2"/>
      <c r="AB1346" s="2"/>
    </row>
    <row r="1347" spans="1:28" x14ac:dyDescent="0.25">
      <c r="A1347" s="2"/>
      <c r="B1347" s="8"/>
      <c r="C1347" s="8"/>
      <c r="D1347" s="8"/>
      <c r="E1347" s="8"/>
      <c r="F1347" s="13"/>
      <c r="G1347" s="59"/>
      <c r="H1347" s="6"/>
      <c r="I1347" s="6"/>
      <c r="J1347" s="2"/>
      <c r="K1347" s="2"/>
      <c r="L1347" s="2"/>
      <c r="M1347" s="2"/>
      <c r="N1347" s="2"/>
      <c r="O1347" s="56"/>
      <c r="P1347" s="2"/>
      <c r="Q1347" s="2"/>
      <c r="R1347" s="2"/>
      <c r="S1347" s="2"/>
      <c r="T1347" s="2"/>
      <c r="U1347" s="2"/>
      <c r="V1347" s="2"/>
      <c r="W1347" s="2"/>
      <c r="X1347" s="2"/>
      <c r="Y1347" s="2"/>
      <c r="Z1347" s="2"/>
      <c r="AA1347" s="2"/>
      <c r="AB1347" s="2"/>
    </row>
    <row r="1348" spans="1:28" x14ac:dyDescent="0.25">
      <c r="A1348" s="2"/>
      <c r="B1348" s="8"/>
      <c r="C1348" s="8"/>
      <c r="D1348" s="8"/>
      <c r="E1348" s="8"/>
      <c r="F1348" s="13"/>
      <c r="G1348" s="59"/>
      <c r="H1348" s="6"/>
      <c r="I1348" s="6"/>
      <c r="J1348" s="2"/>
      <c r="K1348" s="2"/>
      <c r="L1348" s="2"/>
      <c r="M1348" s="2"/>
      <c r="N1348" s="2"/>
      <c r="O1348" s="56"/>
      <c r="P1348" s="2"/>
      <c r="Q1348" s="2"/>
      <c r="R1348" s="2"/>
      <c r="S1348" s="2"/>
      <c r="T1348" s="2"/>
      <c r="U1348" s="2"/>
      <c r="V1348" s="2"/>
      <c r="W1348" s="2"/>
      <c r="X1348" s="2"/>
      <c r="Y1348" s="2"/>
      <c r="Z1348" s="2"/>
      <c r="AA1348" s="2"/>
      <c r="AB1348" s="2"/>
    </row>
    <row r="1349" spans="1:28" x14ac:dyDescent="0.25">
      <c r="A1349" s="2"/>
      <c r="B1349" s="8"/>
      <c r="C1349" s="8"/>
      <c r="D1349" s="8"/>
      <c r="E1349" s="8"/>
      <c r="F1349" s="13"/>
      <c r="G1349" s="59"/>
      <c r="H1349" s="6"/>
      <c r="I1349" s="6"/>
      <c r="J1349" s="2"/>
      <c r="K1349" s="2"/>
      <c r="L1349" s="2"/>
      <c r="M1349" s="2"/>
      <c r="N1349" s="2"/>
      <c r="O1349" s="56"/>
      <c r="P1349" s="2"/>
      <c r="Q1349" s="2"/>
      <c r="R1349" s="2"/>
      <c r="S1349" s="2"/>
      <c r="T1349" s="2"/>
      <c r="U1349" s="2"/>
      <c r="V1349" s="2"/>
      <c r="W1349" s="2"/>
      <c r="X1349" s="2"/>
      <c r="Y1349" s="2"/>
      <c r="Z1349" s="2"/>
      <c r="AA1349" s="2"/>
      <c r="AB1349" s="2"/>
    </row>
    <row r="1350" spans="1:28" x14ac:dyDescent="0.25">
      <c r="A1350" s="2"/>
      <c r="B1350" s="8"/>
      <c r="C1350" s="8"/>
      <c r="D1350" s="8"/>
      <c r="E1350" s="8"/>
      <c r="F1350" s="13"/>
      <c r="G1350" s="59"/>
      <c r="H1350" s="6"/>
      <c r="I1350" s="6"/>
      <c r="J1350" s="2"/>
      <c r="K1350" s="2"/>
      <c r="L1350" s="2"/>
      <c r="M1350" s="2"/>
      <c r="N1350" s="2"/>
      <c r="O1350" s="56"/>
      <c r="P1350" s="2"/>
      <c r="Q1350" s="2"/>
      <c r="R1350" s="2"/>
      <c r="S1350" s="2"/>
      <c r="T1350" s="2"/>
      <c r="U1350" s="2"/>
      <c r="V1350" s="2"/>
      <c r="W1350" s="2"/>
      <c r="X1350" s="2"/>
      <c r="Y1350" s="2"/>
      <c r="Z1350" s="2"/>
      <c r="AA1350" s="2"/>
      <c r="AB1350" s="2"/>
    </row>
    <row r="1351" spans="1:28" x14ac:dyDescent="0.25">
      <c r="A1351" s="2"/>
      <c r="B1351" s="8"/>
      <c r="C1351" s="8"/>
      <c r="D1351" s="8"/>
      <c r="E1351" s="8"/>
      <c r="F1351" s="13"/>
      <c r="G1351" s="59"/>
      <c r="H1351" s="6"/>
      <c r="I1351" s="6"/>
      <c r="J1351" s="2"/>
      <c r="K1351" s="2"/>
      <c r="L1351" s="2"/>
      <c r="M1351" s="2"/>
      <c r="N1351" s="2"/>
      <c r="O1351" s="56"/>
      <c r="P1351" s="2"/>
      <c r="Q1351" s="2"/>
      <c r="R1351" s="2"/>
      <c r="S1351" s="2"/>
      <c r="T1351" s="2"/>
      <c r="U1351" s="2"/>
      <c r="V1351" s="2"/>
      <c r="W1351" s="2"/>
      <c r="X1351" s="2"/>
      <c r="Y1351" s="2"/>
      <c r="Z1351" s="2"/>
      <c r="AA1351" s="2"/>
      <c r="AB1351" s="2"/>
    </row>
    <row r="1352" spans="1:28" x14ac:dyDescent="0.25">
      <c r="A1352" s="2"/>
      <c r="B1352" s="8"/>
      <c r="C1352" s="8"/>
      <c r="D1352" s="8"/>
      <c r="E1352" s="8"/>
      <c r="F1352" s="13"/>
      <c r="G1352" s="59"/>
      <c r="H1352" s="6"/>
      <c r="I1352" s="6"/>
      <c r="J1352" s="2"/>
      <c r="K1352" s="2"/>
      <c r="L1352" s="2"/>
      <c r="M1352" s="2"/>
      <c r="N1352" s="2"/>
      <c r="O1352" s="56"/>
      <c r="P1352" s="2"/>
      <c r="Q1352" s="2"/>
      <c r="R1352" s="2"/>
      <c r="S1352" s="2"/>
      <c r="T1352" s="2"/>
      <c r="U1352" s="2"/>
      <c r="V1352" s="2"/>
      <c r="W1352" s="2"/>
      <c r="X1352" s="2"/>
      <c r="Y1352" s="2"/>
      <c r="Z1352" s="2"/>
      <c r="AA1352" s="2"/>
      <c r="AB1352" s="2"/>
    </row>
    <row r="1353" spans="1:28" x14ac:dyDescent="0.25">
      <c r="A1353" s="2"/>
      <c r="B1353" s="8"/>
      <c r="C1353" s="8"/>
      <c r="D1353" s="8"/>
      <c r="E1353" s="8"/>
      <c r="F1353" s="13"/>
      <c r="G1353" s="59"/>
      <c r="H1353" s="6"/>
      <c r="I1353" s="6"/>
      <c r="J1353" s="2"/>
      <c r="K1353" s="2"/>
      <c r="L1353" s="2"/>
      <c r="M1353" s="2"/>
      <c r="N1353" s="2"/>
      <c r="O1353" s="56"/>
      <c r="P1353" s="2"/>
      <c r="Q1353" s="2"/>
      <c r="R1353" s="2"/>
      <c r="S1353" s="2"/>
      <c r="T1353" s="2"/>
      <c r="U1353" s="2"/>
      <c r="V1353" s="2"/>
      <c r="W1353" s="2"/>
      <c r="X1353" s="2"/>
      <c r="Y1353" s="2"/>
      <c r="Z1353" s="2"/>
      <c r="AA1353" s="2"/>
      <c r="AB1353" s="2"/>
    </row>
    <row r="1354" spans="1:28" x14ac:dyDescent="0.25">
      <c r="A1354" s="2"/>
      <c r="B1354" s="8"/>
      <c r="C1354" s="8"/>
      <c r="D1354" s="8"/>
      <c r="E1354" s="8"/>
      <c r="F1354" s="13"/>
      <c r="G1354" s="59"/>
      <c r="H1354" s="6"/>
      <c r="I1354" s="6"/>
      <c r="J1354" s="2"/>
      <c r="K1354" s="2"/>
      <c r="L1354" s="2"/>
      <c r="M1354" s="2"/>
      <c r="N1354" s="2"/>
      <c r="O1354" s="56"/>
      <c r="P1354" s="2"/>
      <c r="Q1354" s="2"/>
      <c r="R1354" s="2"/>
      <c r="S1354" s="2"/>
      <c r="T1354" s="2"/>
      <c r="U1354" s="2"/>
      <c r="V1354" s="2"/>
      <c r="W1354" s="2"/>
      <c r="X1354" s="2"/>
      <c r="Y1354" s="2"/>
      <c r="Z1354" s="2"/>
      <c r="AA1354" s="2"/>
      <c r="AB1354" s="2"/>
    </row>
    <row r="1355" spans="1:28" x14ac:dyDescent="0.25">
      <c r="A1355" s="2"/>
      <c r="B1355" s="8"/>
      <c r="C1355" s="8"/>
      <c r="D1355" s="8"/>
      <c r="E1355" s="8"/>
      <c r="F1355" s="13"/>
      <c r="G1355" s="59"/>
      <c r="H1355" s="6"/>
      <c r="I1355" s="6"/>
      <c r="J1355" s="2"/>
      <c r="K1355" s="2"/>
      <c r="L1355" s="2"/>
      <c r="M1355" s="2"/>
      <c r="N1355" s="2"/>
      <c r="O1355" s="56"/>
      <c r="P1355" s="2"/>
      <c r="Q1355" s="2"/>
      <c r="R1355" s="2"/>
      <c r="S1355" s="2"/>
      <c r="T1355" s="2"/>
      <c r="U1355" s="2"/>
      <c r="V1355" s="2"/>
      <c r="W1355" s="2"/>
      <c r="X1355" s="2"/>
      <c r="Y1355" s="2"/>
      <c r="Z1355" s="2"/>
      <c r="AA1355" s="2"/>
      <c r="AB1355" s="2"/>
    </row>
    <row r="1356" spans="1:28" x14ac:dyDescent="0.25">
      <c r="A1356" s="2"/>
      <c r="B1356" s="8"/>
      <c r="C1356" s="8"/>
      <c r="D1356" s="8"/>
      <c r="E1356" s="8"/>
      <c r="F1356" s="13"/>
      <c r="G1356" s="59"/>
      <c r="H1356" s="6"/>
      <c r="I1356" s="6"/>
      <c r="J1356" s="2"/>
      <c r="K1356" s="2"/>
      <c r="L1356" s="2"/>
      <c r="M1356" s="2"/>
      <c r="N1356" s="2"/>
      <c r="O1356" s="56"/>
      <c r="P1356" s="2"/>
      <c r="Q1356" s="2"/>
      <c r="R1356" s="2"/>
      <c r="S1356" s="2"/>
      <c r="T1356" s="2"/>
      <c r="U1356" s="2"/>
      <c r="V1356" s="2"/>
      <c r="W1356" s="2"/>
      <c r="X1356" s="2"/>
      <c r="Y1356" s="2"/>
      <c r="Z1356" s="2"/>
      <c r="AA1356" s="2"/>
      <c r="AB1356" s="2"/>
    </row>
    <row r="1357" spans="1:28" x14ac:dyDescent="0.25">
      <c r="A1357" s="2"/>
      <c r="B1357" s="8"/>
      <c r="C1357" s="8"/>
      <c r="D1357" s="8"/>
      <c r="E1357" s="8"/>
      <c r="F1357" s="13"/>
      <c r="G1357" s="59"/>
      <c r="H1357" s="6"/>
      <c r="I1357" s="6"/>
      <c r="J1357" s="2"/>
      <c r="K1357" s="2"/>
      <c r="L1357" s="2"/>
      <c r="M1357" s="2"/>
      <c r="N1357" s="2"/>
      <c r="O1357" s="56"/>
      <c r="P1357" s="2"/>
      <c r="Q1357" s="2"/>
      <c r="R1357" s="2"/>
      <c r="S1357" s="2"/>
      <c r="T1357" s="2"/>
      <c r="U1357" s="2"/>
      <c r="V1357" s="2"/>
      <c r="W1357" s="2"/>
      <c r="X1357" s="2"/>
      <c r="Y1357" s="2"/>
      <c r="Z1357" s="2"/>
      <c r="AA1357" s="2"/>
      <c r="AB1357" s="2"/>
    </row>
    <row r="1358" spans="1:28" x14ac:dyDescent="0.25">
      <c r="A1358" s="2"/>
      <c r="B1358" s="8"/>
      <c r="C1358" s="8"/>
      <c r="D1358" s="8"/>
      <c r="E1358" s="8"/>
      <c r="F1358" s="13"/>
      <c r="G1358" s="59"/>
      <c r="H1358" s="6"/>
      <c r="I1358" s="6"/>
      <c r="J1358" s="2"/>
      <c r="K1358" s="2"/>
      <c r="L1358" s="2"/>
      <c r="M1358" s="2"/>
      <c r="N1358" s="2"/>
      <c r="O1358" s="56"/>
      <c r="P1358" s="2"/>
      <c r="Q1358" s="2"/>
      <c r="R1358" s="2"/>
      <c r="S1358" s="2"/>
      <c r="T1358" s="2"/>
      <c r="U1358" s="2"/>
      <c r="V1358" s="2"/>
      <c r="W1358" s="2"/>
      <c r="X1358" s="2"/>
      <c r="Y1358" s="2"/>
      <c r="Z1358" s="2"/>
      <c r="AA1358" s="2"/>
      <c r="AB1358" s="2"/>
    </row>
    <row r="1359" spans="1:28" x14ac:dyDescent="0.25">
      <c r="A1359" s="2"/>
      <c r="B1359" s="8"/>
      <c r="C1359" s="8"/>
      <c r="D1359" s="8"/>
      <c r="E1359" s="8"/>
      <c r="F1359" s="13"/>
      <c r="G1359" s="59"/>
      <c r="H1359" s="6"/>
      <c r="I1359" s="6"/>
      <c r="J1359" s="2"/>
      <c r="K1359" s="2"/>
      <c r="L1359" s="2"/>
      <c r="M1359" s="2"/>
      <c r="N1359" s="2"/>
      <c r="O1359" s="56"/>
      <c r="P1359" s="2"/>
      <c r="Q1359" s="2"/>
      <c r="R1359" s="2"/>
      <c r="S1359" s="2"/>
      <c r="T1359" s="2"/>
      <c r="U1359" s="2"/>
      <c r="V1359" s="2"/>
      <c r="W1359" s="2"/>
      <c r="X1359" s="2"/>
      <c r="Y1359" s="2"/>
      <c r="Z1359" s="2"/>
      <c r="AA1359" s="2"/>
      <c r="AB1359" s="2"/>
    </row>
    <row r="1360" spans="1:28" x14ac:dyDescent="0.25">
      <c r="A1360" s="2"/>
      <c r="B1360" s="8"/>
      <c r="C1360" s="8"/>
      <c r="D1360" s="8"/>
      <c r="E1360" s="8"/>
      <c r="F1360" s="13"/>
      <c r="G1360" s="59"/>
      <c r="H1360" s="6"/>
      <c r="I1360" s="6"/>
      <c r="J1360" s="2"/>
      <c r="K1360" s="2"/>
      <c r="L1360" s="2"/>
      <c r="M1360" s="2"/>
      <c r="N1360" s="2"/>
      <c r="O1360" s="56"/>
      <c r="P1360" s="2"/>
      <c r="Q1360" s="2"/>
      <c r="R1360" s="2"/>
      <c r="S1360" s="2"/>
      <c r="T1360" s="2"/>
      <c r="U1360" s="2"/>
      <c r="V1360" s="2"/>
      <c r="W1360" s="2"/>
      <c r="X1360" s="2"/>
      <c r="Y1360" s="2"/>
      <c r="Z1360" s="2"/>
      <c r="AA1360" s="2"/>
      <c r="AB1360" s="2"/>
    </row>
    <row r="1361" spans="1:28" x14ac:dyDescent="0.25">
      <c r="A1361" s="2"/>
      <c r="B1361" s="8"/>
      <c r="C1361" s="8"/>
      <c r="D1361" s="8"/>
      <c r="E1361" s="8"/>
      <c r="F1361" s="13"/>
      <c r="G1361" s="59"/>
      <c r="H1361" s="6"/>
      <c r="I1361" s="6"/>
      <c r="J1361" s="2"/>
      <c r="K1361" s="2"/>
      <c r="L1361" s="2"/>
      <c r="M1361" s="2"/>
      <c r="N1361" s="2"/>
      <c r="O1361" s="56"/>
      <c r="P1361" s="2"/>
      <c r="Q1361" s="2"/>
      <c r="R1361" s="2"/>
      <c r="S1361" s="2"/>
      <c r="T1361" s="2"/>
      <c r="U1361" s="2"/>
      <c r="V1361" s="2"/>
      <c r="W1361" s="2"/>
      <c r="X1361" s="2"/>
      <c r="Y1361" s="2"/>
      <c r="Z1361" s="2"/>
      <c r="AA1361" s="2"/>
      <c r="AB1361" s="2"/>
    </row>
    <row r="1362" spans="1:28" x14ac:dyDescent="0.25">
      <c r="A1362" s="2"/>
      <c r="B1362" s="8"/>
      <c r="C1362" s="8"/>
      <c r="D1362" s="8"/>
      <c r="E1362" s="8"/>
      <c r="F1362" s="13"/>
      <c r="G1362" s="59"/>
      <c r="H1362" s="6"/>
      <c r="I1362" s="6"/>
      <c r="J1362" s="2"/>
      <c r="K1362" s="2"/>
      <c r="L1362" s="2"/>
      <c r="M1362" s="2"/>
      <c r="N1362" s="2"/>
      <c r="O1362" s="56"/>
      <c r="P1362" s="2"/>
      <c r="Q1362" s="2"/>
      <c r="R1362" s="2"/>
      <c r="S1362" s="2"/>
      <c r="T1362" s="2"/>
      <c r="U1362" s="2"/>
      <c r="V1362" s="2"/>
      <c r="W1362" s="2"/>
      <c r="X1362" s="2"/>
      <c r="Y1362" s="2"/>
      <c r="Z1362" s="2"/>
      <c r="AA1362" s="2"/>
      <c r="AB1362" s="2"/>
    </row>
    <row r="1363" spans="1:28" x14ac:dyDescent="0.25">
      <c r="A1363" s="2"/>
      <c r="B1363" s="8"/>
      <c r="C1363" s="8"/>
      <c r="D1363" s="8"/>
      <c r="E1363" s="8"/>
      <c r="F1363" s="13"/>
      <c r="G1363" s="59"/>
      <c r="H1363" s="6"/>
      <c r="I1363" s="6"/>
      <c r="J1363" s="2"/>
      <c r="K1363" s="2"/>
      <c r="L1363" s="2"/>
      <c r="M1363" s="2"/>
      <c r="N1363" s="2"/>
      <c r="O1363" s="56"/>
      <c r="P1363" s="2"/>
      <c r="Q1363" s="2"/>
      <c r="R1363" s="2"/>
      <c r="S1363" s="2"/>
      <c r="T1363" s="2"/>
      <c r="U1363" s="2"/>
      <c r="V1363" s="2"/>
      <c r="W1363" s="2"/>
      <c r="X1363" s="2"/>
      <c r="Y1363" s="2"/>
      <c r="Z1363" s="2"/>
      <c r="AA1363" s="2"/>
      <c r="AB1363" s="2"/>
    </row>
    <row r="1364" spans="1:28" x14ac:dyDescent="0.25">
      <c r="A1364" s="2"/>
      <c r="B1364" s="8"/>
      <c r="C1364" s="8"/>
      <c r="D1364" s="8"/>
      <c r="E1364" s="8"/>
      <c r="F1364" s="13"/>
      <c r="G1364" s="59"/>
      <c r="H1364" s="6"/>
      <c r="I1364" s="6"/>
      <c r="J1364" s="2"/>
      <c r="K1364" s="2"/>
      <c r="L1364" s="2"/>
      <c r="M1364" s="2"/>
      <c r="N1364" s="2"/>
      <c r="O1364" s="56"/>
      <c r="P1364" s="2"/>
      <c r="Q1364" s="2"/>
      <c r="R1364" s="2"/>
      <c r="S1364" s="2"/>
      <c r="T1364" s="2"/>
      <c r="U1364" s="2"/>
      <c r="V1364" s="2"/>
      <c r="W1364" s="2"/>
      <c r="X1364" s="2"/>
      <c r="Y1364" s="2"/>
      <c r="Z1364" s="2"/>
      <c r="AA1364" s="2"/>
      <c r="AB1364" s="2"/>
    </row>
    <row r="1365" spans="1:28" x14ac:dyDescent="0.25">
      <c r="A1365" s="2"/>
      <c r="B1365" s="8"/>
      <c r="C1365" s="8"/>
      <c r="D1365" s="8"/>
      <c r="E1365" s="8"/>
      <c r="F1365" s="13"/>
      <c r="G1365" s="59"/>
      <c r="H1365" s="6"/>
      <c r="I1365" s="6"/>
      <c r="J1365" s="2"/>
      <c r="K1365" s="2"/>
      <c r="L1365" s="2"/>
      <c r="M1365" s="2"/>
      <c r="N1365" s="2"/>
      <c r="O1365" s="56"/>
      <c r="P1365" s="2"/>
      <c r="Q1365" s="2"/>
      <c r="R1365" s="2"/>
      <c r="S1365" s="2"/>
      <c r="T1365" s="2"/>
      <c r="U1365" s="2"/>
      <c r="V1365" s="2"/>
      <c r="W1365" s="2"/>
      <c r="X1365" s="2"/>
      <c r="Y1365" s="2"/>
      <c r="Z1365" s="2"/>
      <c r="AA1365" s="2"/>
      <c r="AB1365" s="2"/>
    </row>
    <row r="1366" spans="1:28" x14ac:dyDescent="0.25">
      <c r="A1366" s="2"/>
      <c r="B1366" s="8"/>
      <c r="C1366" s="8"/>
      <c r="D1366" s="8"/>
      <c r="E1366" s="8"/>
      <c r="F1366" s="13"/>
      <c r="G1366" s="59"/>
      <c r="H1366" s="6"/>
      <c r="I1366" s="6"/>
      <c r="J1366" s="2"/>
      <c r="K1366" s="2"/>
      <c r="L1366" s="2"/>
      <c r="M1366" s="2"/>
      <c r="N1366" s="2"/>
      <c r="O1366" s="56"/>
      <c r="P1366" s="2"/>
      <c r="Q1366" s="2"/>
      <c r="R1366" s="2"/>
      <c r="S1366" s="2"/>
      <c r="T1366" s="2"/>
      <c r="U1366" s="2"/>
      <c r="V1366" s="2"/>
      <c r="W1366" s="2"/>
      <c r="X1366" s="2"/>
      <c r="Y1366" s="2"/>
      <c r="Z1366" s="2"/>
      <c r="AA1366" s="2"/>
      <c r="AB1366" s="2"/>
    </row>
    <row r="1367" spans="1:28" x14ac:dyDescent="0.25">
      <c r="A1367" s="2"/>
      <c r="B1367" s="8"/>
      <c r="C1367" s="8"/>
      <c r="D1367" s="8"/>
      <c r="E1367" s="8"/>
      <c r="F1367" s="13"/>
      <c r="G1367" s="59"/>
      <c r="H1367" s="6"/>
      <c r="I1367" s="6"/>
      <c r="J1367" s="2"/>
      <c r="K1367" s="2"/>
      <c r="L1367" s="2"/>
      <c r="M1367" s="2"/>
      <c r="N1367" s="2"/>
      <c r="O1367" s="56"/>
      <c r="P1367" s="2"/>
      <c r="Q1367" s="2"/>
      <c r="R1367" s="2"/>
      <c r="S1367" s="2"/>
      <c r="T1367" s="2"/>
      <c r="U1367" s="2"/>
      <c r="V1367" s="2"/>
      <c r="W1367" s="2"/>
      <c r="X1367" s="2"/>
      <c r="Y1367" s="2"/>
      <c r="Z1367" s="2"/>
      <c r="AA1367" s="2"/>
      <c r="AB1367" s="2"/>
    </row>
    <row r="1368" spans="1:28" x14ac:dyDescent="0.25">
      <c r="A1368" s="2"/>
      <c r="B1368" s="8"/>
      <c r="C1368" s="8"/>
      <c r="D1368" s="8"/>
      <c r="E1368" s="8"/>
      <c r="F1368" s="13"/>
      <c r="G1368" s="59"/>
      <c r="H1368" s="6"/>
      <c r="I1368" s="6"/>
      <c r="J1368" s="2"/>
      <c r="K1368" s="2"/>
      <c r="L1368" s="2"/>
      <c r="M1368" s="2"/>
      <c r="N1368" s="2"/>
      <c r="O1368" s="56"/>
      <c r="P1368" s="2"/>
      <c r="Q1368" s="2"/>
      <c r="R1368" s="2"/>
      <c r="S1368" s="2"/>
      <c r="T1368" s="2"/>
      <c r="U1368" s="2"/>
      <c r="V1368" s="2"/>
      <c r="W1368" s="2"/>
      <c r="X1368" s="2"/>
      <c r="Y1368" s="2"/>
      <c r="Z1368" s="2"/>
      <c r="AA1368" s="2"/>
      <c r="AB1368" s="2"/>
    </row>
    <row r="1369" spans="1:28" x14ac:dyDescent="0.25">
      <c r="A1369" s="2"/>
      <c r="B1369" s="8"/>
      <c r="C1369" s="8"/>
      <c r="D1369" s="8"/>
      <c r="E1369" s="8"/>
      <c r="F1369" s="13"/>
      <c r="G1369" s="59"/>
      <c r="H1369" s="6"/>
      <c r="I1369" s="6"/>
      <c r="J1369" s="2"/>
      <c r="K1369" s="2"/>
      <c r="L1369" s="2"/>
      <c r="M1369" s="2"/>
      <c r="N1369" s="2"/>
      <c r="O1369" s="56"/>
      <c r="P1369" s="2"/>
      <c r="Q1369" s="2"/>
      <c r="R1369" s="2"/>
      <c r="S1369" s="2"/>
      <c r="T1369" s="2"/>
      <c r="U1369" s="2"/>
      <c r="V1369" s="2"/>
      <c r="W1369" s="2"/>
      <c r="X1369" s="2"/>
      <c r="Y1369" s="2"/>
      <c r="Z1369" s="2"/>
      <c r="AA1369" s="2"/>
      <c r="AB1369" s="2"/>
    </row>
    <row r="1370" spans="1:28" x14ac:dyDescent="0.25">
      <c r="A1370" s="2"/>
      <c r="B1370" s="8"/>
      <c r="C1370" s="8"/>
      <c r="D1370" s="8"/>
      <c r="E1370" s="8"/>
      <c r="F1370" s="13"/>
      <c r="G1370" s="59"/>
      <c r="H1370" s="6"/>
      <c r="I1370" s="6"/>
      <c r="J1370" s="2"/>
      <c r="K1370" s="2"/>
      <c r="L1370" s="2"/>
      <c r="M1370" s="2"/>
      <c r="N1370" s="2"/>
      <c r="O1370" s="56"/>
      <c r="P1370" s="2"/>
      <c r="Q1370" s="2"/>
      <c r="R1370" s="2"/>
      <c r="S1370" s="2"/>
      <c r="T1370" s="2"/>
      <c r="U1370" s="2"/>
      <c r="V1370" s="2"/>
      <c r="W1370" s="2"/>
      <c r="X1370" s="2"/>
      <c r="Y1370" s="2"/>
      <c r="Z1370" s="2"/>
      <c r="AA1370" s="2"/>
      <c r="AB1370" s="2"/>
    </row>
    <row r="1371" spans="1:28" x14ac:dyDescent="0.25">
      <c r="A1371" s="2"/>
      <c r="B1371" s="8"/>
      <c r="C1371" s="8"/>
      <c r="D1371" s="8"/>
      <c r="E1371" s="8"/>
      <c r="F1371" s="13"/>
      <c r="G1371" s="59"/>
      <c r="H1371" s="6"/>
      <c r="I1371" s="6"/>
      <c r="J1371" s="2"/>
      <c r="K1371" s="2"/>
      <c r="L1371" s="2"/>
      <c r="M1371" s="2"/>
      <c r="N1371" s="2"/>
      <c r="O1371" s="56"/>
      <c r="P1371" s="2"/>
      <c r="Q1371" s="2"/>
      <c r="R1371" s="2"/>
      <c r="S1371" s="2"/>
      <c r="T1371" s="2"/>
      <c r="U1371" s="2"/>
      <c r="V1371" s="2"/>
      <c r="W1371" s="2"/>
      <c r="X1371" s="2"/>
      <c r="Y1371" s="2"/>
      <c r="Z1371" s="2"/>
      <c r="AA1371" s="2"/>
      <c r="AB1371" s="2"/>
    </row>
    <row r="1372" spans="1:28" x14ac:dyDescent="0.25">
      <c r="A1372" s="2"/>
      <c r="B1372" s="8"/>
      <c r="C1372" s="8"/>
      <c r="D1372" s="8"/>
      <c r="E1372" s="8"/>
      <c r="F1372" s="13"/>
      <c r="G1372" s="59"/>
      <c r="H1372" s="6"/>
      <c r="I1372" s="6"/>
      <c r="J1372" s="2"/>
      <c r="K1372" s="2"/>
      <c r="L1372" s="2"/>
      <c r="M1372" s="2"/>
      <c r="N1372" s="2"/>
      <c r="O1372" s="56"/>
      <c r="P1372" s="2"/>
      <c r="Q1372" s="2"/>
      <c r="R1372" s="2"/>
      <c r="S1372" s="2"/>
      <c r="T1372" s="2"/>
      <c r="U1372" s="2"/>
      <c r="V1372" s="2"/>
      <c r="W1372" s="2"/>
      <c r="X1372" s="2"/>
      <c r="Y1372" s="2"/>
      <c r="Z1372" s="2"/>
      <c r="AA1372" s="2"/>
      <c r="AB1372" s="2"/>
    </row>
    <row r="1373" spans="1:28" x14ac:dyDescent="0.25">
      <c r="A1373" s="2"/>
      <c r="B1373" s="8"/>
      <c r="C1373" s="8"/>
      <c r="D1373" s="8"/>
      <c r="E1373" s="8"/>
      <c r="F1373" s="13"/>
      <c r="G1373" s="59"/>
      <c r="H1373" s="6"/>
      <c r="I1373" s="6"/>
      <c r="J1373" s="2"/>
      <c r="K1373" s="2"/>
      <c r="L1373" s="2"/>
      <c r="M1373" s="2"/>
      <c r="N1373" s="2"/>
      <c r="O1373" s="56"/>
      <c r="P1373" s="2"/>
      <c r="Q1373" s="2"/>
      <c r="R1373" s="2"/>
      <c r="S1373" s="2"/>
      <c r="T1373" s="2"/>
      <c r="U1373" s="2"/>
      <c r="V1373" s="2"/>
      <c r="W1373" s="2"/>
      <c r="X1373" s="2"/>
      <c r="Y1373" s="2"/>
      <c r="Z1373" s="2"/>
      <c r="AA1373" s="2"/>
      <c r="AB1373" s="2"/>
    </row>
    <row r="1374" spans="1:28" x14ac:dyDescent="0.25">
      <c r="A1374" s="2"/>
      <c r="B1374" s="8"/>
      <c r="C1374" s="8"/>
      <c r="D1374" s="8"/>
      <c r="E1374" s="8"/>
      <c r="F1374" s="13"/>
      <c r="G1374" s="59"/>
      <c r="H1374" s="6"/>
      <c r="I1374" s="6"/>
      <c r="J1374" s="2"/>
      <c r="K1374" s="2"/>
      <c r="L1374" s="2"/>
      <c r="M1374" s="2"/>
      <c r="N1374" s="2"/>
      <c r="O1374" s="56"/>
      <c r="P1374" s="2"/>
      <c r="Q1374" s="2"/>
      <c r="R1374" s="2"/>
      <c r="S1374" s="2"/>
      <c r="T1374" s="2"/>
      <c r="U1374" s="2"/>
      <c r="V1374" s="2"/>
      <c r="W1374" s="2"/>
      <c r="X1374" s="2"/>
      <c r="Y1374" s="2"/>
      <c r="Z1374" s="2"/>
      <c r="AA1374" s="2"/>
      <c r="AB1374" s="2"/>
    </row>
    <row r="1375" spans="1:28" x14ac:dyDescent="0.25">
      <c r="A1375" s="2"/>
      <c r="B1375" s="8"/>
      <c r="C1375" s="8"/>
      <c r="D1375" s="8"/>
      <c r="E1375" s="8"/>
      <c r="F1375" s="13"/>
      <c r="G1375" s="59"/>
      <c r="H1375" s="6"/>
      <c r="I1375" s="6"/>
      <c r="J1375" s="2"/>
      <c r="K1375" s="2"/>
      <c r="L1375" s="2"/>
      <c r="M1375" s="2"/>
      <c r="N1375" s="2"/>
      <c r="O1375" s="56"/>
      <c r="P1375" s="2"/>
      <c r="Q1375" s="2"/>
      <c r="R1375" s="2"/>
      <c r="S1375" s="2"/>
      <c r="T1375" s="2"/>
      <c r="U1375" s="2"/>
      <c r="V1375" s="2"/>
      <c r="W1375" s="2"/>
      <c r="X1375" s="2"/>
      <c r="Y1375" s="2"/>
      <c r="Z1375" s="2"/>
      <c r="AA1375" s="2"/>
      <c r="AB1375" s="2"/>
    </row>
    <row r="1376" spans="1:28" x14ac:dyDescent="0.25">
      <c r="A1376" s="2"/>
      <c r="B1376" s="8"/>
      <c r="C1376" s="8"/>
      <c r="D1376" s="8"/>
      <c r="E1376" s="8"/>
      <c r="F1376" s="13"/>
      <c r="G1376" s="59"/>
      <c r="H1376" s="6"/>
      <c r="I1376" s="6"/>
      <c r="J1376" s="2"/>
      <c r="K1376" s="2"/>
      <c r="L1376" s="2"/>
      <c r="M1376" s="2"/>
      <c r="N1376" s="2"/>
      <c r="O1376" s="56"/>
      <c r="P1376" s="2"/>
      <c r="Q1376" s="2"/>
      <c r="R1376" s="2"/>
      <c r="S1376" s="2"/>
      <c r="T1376" s="2"/>
      <c r="U1376" s="2"/>
      <c r="V1376" s="2"/>
      <c r="W1376" s="2"/>
      <c r="X1376" s="2"/>
      <c r="Y1376" s="2"/>
      <c r="Z1376" s="2"/>
      <c r="AA1376" s="2"/>
      <c r="AB1376" s="2"/>
    </row>
    <row r="1377" spans="1:28" x14ac:dyDescent="0.25">
      <c r="A1377" s="2"/>
      <c r="B1377" s="8"/>
      <c r="C1377" s="8"/>
      <c r="D1377" s="8"/>
      <c r="E1377" s="8"/>
      <c r="F1377" s="13"/>
      <c r="G1377" s="59"/>
      <c r="H1377" s="6"/>
      <c r="I1377" s="6"/>
      <c r="J1377" s="2"/>
      <c r="K1377" s="2"/>
      <c r="L1377" s="2"/>
      <c r="M1377" s="2"/>
      <c r="N1377" s="2"/>
      <c r="O1377" s="56"/>
      <c r="P1377" s="2"/>
      <c r="Q1377" s="2"/>
      <c r="R1377" s="2"/>
      <c r="S1377" s="2"/>
      <c r="T1377" s="2"/>
      <c r="U1377" s="2"/>
      <c r="V1377" s="2"/>
      <c r="W1377" s="2"/>
      <c r="X1377" s="2"/>
      <c r="Y1377" s="2"/>
      <c r="Z1377" s="2"/>
      <c r="AA1377" s="2"/>
      <c r="AB1377" s="2"/>
    </row>
    <row r="1378" spans="1:28" x14ac:dyDescent="0.25">
      <c r="A1378" s="2"/>
      <c r="B1378" s="8"/>
      <c r="C1378" s="8"/>
      <c r="D1378" s="8"/>
      <c r="E1378" s="8"/>
      <c r="F1378" s="13"/>
      <c r="G1378" s="59"/>
      <c r="H1378" s="6"/>
      <c r="I1378" s="6"/>
      <c r="J1378" s="2"/>
      <c r="K1378" s="2"/>
      <c r="L1378" s="2"/>
      <c r="M1378" s="2"/>
      <c r="N1378" s="2"/>
      <c r="O1378" s="56"/>
      <c r="P1378" s="2"/>
      <c r="Q1378" s="2"/>
      <c r="R1378" s="2"/>
      <c r="S1378" s="2"/>
      <c r="T1378" s="2"/>
      <c r="U1378" s="2"/>
      <c r="V1378" s="2"/>
      <c r="W1378" s="2"/>
      <c r="X1378" s="2"/>
      <c r="Y1378" s="2"/>
      <c r="Z1378" s="2"/>
      <c r="AA1378" s="2"/>
      <c r="AB1378" s="2"/>
    </row>
    <row r="1379" spans="1:28" x14ac:dyDescent="0.25">
      <c r="A1379" s="2"/>
      <c r="B1379" s="8"/>
      <c r="C1379" s="8"/>
      <c r="D1379" s="8"/>
      <c r="E1379" s="8"/>
      <c r="F1379" s="13"/>
      <c r="G1379" s="59"/>
      <c r="H1379" s="6"/>
      <c r="I1379" s="6"/>
      <c r="J1379" s="2"/>
      <c r="K1379" s="2"/>
      <c r="L1379" s="2"/>
      <c r="M1379" s="2"/>
      <c r="N1379" s="2"/>
      <c r="O1379" s="56"/>
      <c r="P1379" s="2"/>
      <c r="Q1379" s="2"/>
      <c r="R1379" s="2"/>
      <c r="S1379" s="2"/>
      <c r="T1379" s="2"/>
      <c r="U1379" s="2"/>
      <c r="V1379" s="2"/>
      <c r="W1379" s="2"/>
      <c r="X1379" s="2"/>
      <c r="Y1379" s="2"/>
      <c r="Z1379" s="2"/>
      <c r="AA1379" s="2"/>
      <c r="AB1379" s="2"/>
    </row>
    <row r="1380" spans="1:28" x14ac:dyDescent="0.25">
      <c r="A1380" s="2"/>
      <c r="B1380" s="8"/>
      <c r="C1380" s="8"/>
      <c r="D1380" s="8"/>
      <c r="E1380" s="8"/>
      <c r="F1380" s="13"/>
      <c r="G1380" s="59"/>
      <c r="H1380" s="6"/>
      <c r="I1380" s="6"/>
      <c r="J1380" s="2"/>
      <c r="K1380" s="2"/>
      <c r="L1380" s="2"/>
      <c r="M1380" s="2"/>
      <c r="N1380" s="2"/>
      <c r="O1380" s="56"/>
      <c r="P1380" s="2"/>
      <c r="Q1380" s="2"/>
      <c r="R1380" s="2"/>
      <c r="S1380" s="2"/>
      <c r="T1380" s="2"/>
      <c r="U1380" s="2"/>
      <c r="V1380" s="2"/>
      <c r="W1380" s="2"/>
      <c r="X1380" s="2"/>
      <c r="Y1380" s="2"/>
      <c r="Z1380" s="2"/>
      <c r="AA1380" s="2"/>
      <c r="AB1380" s="2"/>
    </row>
    <row r="1381" spans="1:28" x14ac:dyDescent="0.25">
      <c r="A1381" s="2"/>
      <c r="B1381" s="8"/>
      <c r="C1381" s="8"/>
      <c r="D1381" s="8"/>
      <c r="E1381" s="8"/>
      <c r="F1381" s="13"/>
      <c r="G1381" s="59"/>
      <c r="H1381" s="6"/>
      <c r="I1381" s="6"/>
      <c r="J1381" s="2"/>
      <c r="K1381" s="2"/>
      <c r="L1381" s="2"/>
      <c r="M1381" s="2"/>
      <c r="N1381" s="2"/>
      <c r="O1381" s="56"/>
      <c r="P1381" s="2"/>
      <c r="Q1381" s="2"/>
      <c r="R1381" s="2"/>
      <c r="S1381" s="2"/>
      <c r="T1381" s="2"/>
      <c r="U1381" s="2"/>
      <c r="V1381" s="2"/>
      <c r="W1381" s="2"/>
      <c r="X1381" s="2"/>
      <c r="Y1381" s="2"/>
      <c r="Z1381" s="2"/>
      <c r="AA1381" s="2"/>
      <c r="AB1381" s="2"/>
    </row>
    <row r="1382" spans="1:28" x14ac:dyDescent="0.25">
      <c r="A1382" s="2"/>
      <c r="B1382" s="8"/>
      <c r="C1382" s="8"/>
      <c r="D1382" s="8"/>
      <c r="E1382" s="8"/>
      <c r="F1382" s="13"/>
      <c r="G1382" s="59"/>
      <c r="H1382" s="6"/>
      <c r="I1382" s="6"/>
      <c r="J1382" s="2"/>
      <c r="K1382" s="2"/>
      <c r="L1382" s="2"/>
      <c r="M1382" s="2"/>
      <c r="N1382" s="2"/>
      <c r="O1382" s="56"/>
      <c r="P1382" s="2"/>
      <c r="Q1382" s="2"/>
      <c r="R1382" s="2"/>
      <c r="S1382" s="2"/>
      <c r="T1382" s="2"/>
      <c r="U1382" s="2"/>
      <c r="V1382" s="2"/>
      <c r="W1382" s="2"/>
      <c r="X1382" s="2"/>
      <c r="Y1382" s="2"/>
      <c r="Z1382" s="2"/>
      <c r="AA1382" s="2"/>
      <c r="AB1382" s="2"/>
    </row>
    <row r="1383" spans="1:28" x14ac:dyDescent="0.25">
      <c r="A1383" s="2"/>
      <c r="B1383" s="8"/>
      <c r="C1383" s="8"/>
      <c r="D1383" s="8"/>
      <c r="E1383" s="8"/>
      <c r="F1383" s="13"/>
      <c r="G1383" s="59"/>
      <c r="H1383" s="6"/>
      <c r="I1383" s="6"/>
      <c r="J1383" s="2"/>
      <c r="K1383" s="2"/>
      <c r="L1383" s="2"/>
      <c r="M1383" s="2"/>
      <c r="N1383" s="2"/>
      <c r="O1383" s="56"/>
      <c r="P1383" s="2"/>
      <c r="Q1383" s="2"/>
      <c r="R1383" s="2"/>
      <c r="S1383" s="2"/>
      <c r="T1383" s="2"/>
      <c r="U1383" s="2"/>
      <c r="V1383" s="2"/>
      <c r="W1383" s="2"/>
      <c r="X1383" s="2"/>
      <c r="Y1383" s="2"/>
      <c r="Z1383" s="2"/>
      <c r="AA1383" s="2"/>
      <c r="AB1383" s="2"/>
    </row>
    <row r="1384" spans="1:28" x14ac:dyDescent="0.25">
      <c r="A1384" s="2"/>
      <c r="B1384" s="8"/>
      <c r="C1384" s="8"/>
      <c r="D1384" s="8"/>
      <c r="E1384" s="8"/>
      <c r="F1384" s="13"/>
      <c r="G1384" s="59"/>
      <c r="H1384" s="6"/>
      <c r="I1384" s="6"/>
      <c r="J1384" s="2"/>
      <c r="K1384" s="2"/>
      <c r="L1384" s="2"/>
      <c r="M1384" s="2"/>
      <c r="N1384" s="2"/>
      <c r="O1384" s="56"/>
      <c r="P1384" s="2"/>
      <c r="Q1384" s="2"/>
      <c r="R1384" s="2"/>
      <c r="S1384" s="2"/>
      <c r="T1384" s="2"/>
      <c r="U1384" s="2"/>
      <c r="V1384" s="2"/>
      <c r="W1384" s="2"/>
      <c r="X1384" s="2"/>
      <c r="Y1384" s="2"/>
      <c r="Z1384" s="2"/>
      <c r="AA1384" s="2"/>
      <c r="AB1384" s="2"/>
    </row>
    <row r="1385" spans="1:28" x14ac:dyDescent="0.25">
      <c r="A1385" s="2"/>
      <c r="B1385" s="8"/>
      <c r="C1385" s="8"/>
      <c r="D1385" s="8"/>
      <c r="E1385" s="8"/>
      <c r="F1385" s="13"/>
      <c r="G1385" s="59"/>
      <c r="H1385" s="6"/>
      <c r="I1385" s="6"/>
      <c r="J1385" s="2"/>
      <c r="K1385" s="2"/>
      <c r="L1385" s="2"/>
      <c r="M1385" s="2"/>
      <c r="N1385" s="2"/>
      <c r="O1385" s="56"/>
      <c r="P1385" s="2"/>
      <c r="Q1385" s="2"/>
      <c r="R1385" s="2"/>
      <c r="S1385" s="2"/>
      <c r="T1385" s="2"/>
      <c r="U1385" s="2"/>
      <c r="V1385" s="2"/>
      <c r="W1385" s="2"/>
      <c r="X1385" s="2"/>
      <c r="Y1385" s="2"/>
      <c r="Z1385" s="2"/>
      <c r="AA1385" s="2"/>
      <c r="AB1385" s="2"/>
    </row>
    <row r="1386" spans="1:28" x14ac:dyDescent="0.25">
      <c r="A1386" s="2"/>
      <c r="B1386" s="8"/>
      <c r="C1386" s="8"/>
      <c r="D1386" s="8"/>
      <c r="E1386" s="8"/>
      <c r="F1386" s="13"/>
      <c r="G1386" s="59"/>
      <c r="H1386" s="6"/>
      <c r="I1386" s="6"/>
      <c r="J1386" s="2"/>
      <c r="K1386" s="2"/>
      <c r="L1386" s="2"/>
      <c r="M1386" s="2"/>
      <c r="N1386" s="2"/>
      <c r="O1386" s="56"/>
      <c r="P1386" s="2"/>
      <c r="Q1386" s="2"/>
      <c r="R1386" s="2"/>
      <c r="S1386" s="2"/>
      <c r="T1386" s="2"/>
      <c r="U1386" s="2"/>
      <c r="V1386" s="2"/>
      <c r="W1386" s="2"/>
      <c r="X1386" s="2"/>
      <c r="Y1386" s="2"/>
      <c r="Z1386" s="2"/>
      <c r="AA1386" s="2"/>
      <c r="AB1386" s="2"/>
    </row>
    <row r="1387" spans="1:28" x14ac:dyDescent="0.25">
      <c r="A1387" s="2"/>
      <c r="B1387" s="8"/>
      <c r="C1387" s="8"/>
      <c r="D1387" s="8"/>
      <c r="E1387" s="8"/>
      <c r="F1387" s="13"/>
      <c r="G1387" s="59"/>
      <c r="H1387" s="6"/>
      <c r="I1387" s="6"/>
      <c r="J1387" s="2"/>
      <c r="K1387" s="2"/>
      <c r="L1387" s="2"/>
      <c r="M1387" s="2"/>
      <c r="N1387" s="2"/>
      <c r="O1387" s="56"/>
      <c r="P1387" s="2"/>
      <c r="Q1387" s="2"/>
      <c r="R1387" s="2"/>
      <c r="S1387" s="2"/>
      <c r="T1387" s="2"/>
      <c r="U1387" s="2"/>
      <c r="V1387" s="2"/>
      <c r="W1387" s="2"/>
      <c r="X1387" s="2"/>
      <c r="Y1387" s="2"/>
      <c r="Z1387" s="2"/>
      <c r="AA1387" s="2"/>
      <c r="AB1387" s="2"/>
    </row>
    <row r="1388" spans="1:28" x14ac:dyDescent="0.25">
      <c r="A1388" s="2"/>
      <c r="B1388" s="8"/>
      <c r="C1388" s="8"/>
      <c r="D1388" s="8"/>
      <c r="E1388" s="8"/>
      <c r="F1388" s="13"/>
      <c r="G1388" s="59"/>
      <c r="H1388" s="6"/>
      <c r="I1388" s="6"/>
      <c r="J1388" s="2"/>
      <c r="K1388" s="2"/>
      <c r="L1388" s="2"/>
      <c r="M1388" s="2"/>
      <c r="N1388" s="2"/>
      <c r="O1388" s="56"/>
      <c r="P1388" s="2"/>
      <c r="Q1388" s="2"/>
      <c r="R1388" s="2"/>
      <c r="S1388" s="2"/>
      <c r="T1388" s="2"/>
      <c r="U1388" s="2"/>
      <c r="V1388" s="2"/>
      <c r="W1388" s="2"/>
      <c r="X1388" s="2"/>
      <c r="Y1388" s="2"/>
      <c r="Z1388" s="2"/>
      <c r="AA1388" s="2"/>
      <c r="AB1388" s="2"/>
    </row>
    <row r="1389" spans="1:28" x14ac:dyDescent="0.25">
      <c r="A1389" s="2"/>
      <c r="B1389" s="8"/>
      <c r="C1389" s="8"/>
      <c r="D1389" s="8"/>
      <c r="E1389" s="8"/>
      <c r="F1389" s="13"/>
      <c r="G1389" s="59"/>
      <c r="H1389" s="6"/>
      <c r="I1389" s="6"/>
      <c r="J1389" s="2"/>
      <c r="K1389" s="2"/>
      <c r="L1389" s="2"/>
      <c r="M1389" s="2"/>
      <c r="N1389" s="2"/>
      <c r="O1389" s="56"/>
      <c r="P1389" s="2"/>
      <c r="Q1389" s="2"/>
      <c r="R1389" s="2"/>
      <c r="S1389" s="2"/>
      <c r="T1389" s="2"/>
      <c r="U1389" s="2"/>
      <c r="V1389" s="2"/>
      <c r="W1389" s="2"/>
      <c r="X1389" s="2"/>
      <c r="Y1389" s="2"/>
      <c r="Z1389" s="2"/>
      <c r="AA1389" s="2"/>
      <c r="AB1389" s="2"/>
    </row>
    <row r="1390" spans="1:28" x14ac:dyDescent="0.25">
      <c r="A1390" s="2"/>
      <c r="B1390" s="8"/>
      <c r="C1390" s="8"/>
      <c r="D1390" s="8"/>
      <c r="E1390" s="8"/>
      <c r="F1390" s="13"/>
      <c r="G1390" s="59"/>
      <c r="H1390" s="6"/>
      <c r="I1390" s="6"/>
      <c r="J1390" s="2"/>
      <c r="K1390" s="2"/>
      <c r="L1390" s="2"/>
      <c r="M1390" s="2"/>
      <c r="N1390" s="2"/>
      <c r="O1390" s="56"/>
      <c r="P1390" s="2"/>
      <c r="Q1390" s="2"/>
      <c r="R1390" s="2"/>
      <c r="S1390" s="2"/>
      <c r="T1390" s="2"/>
      <c r="U1390" s="2"/>
      <c r="V1390" s="2"/>
      <c r="W1390" s="2"/>
      <c r="X1390" s="2"/>
      <c r="Y1390" s="2"/>
      <c r="Z1390" s="2"/>
      <c r="AA1390" s="2"/>
      <c r="AB1390" s="2"/>
    </row>
    <row r="1391" spans="1:28" x14ac:dyDescent="0.25">
      <c r="A1391" s="2"/>
      <c r="B1391" s="8"/>
      <c r="C1391" s="8"/>
      <c r="D1391" s="8"/>
      <c r="E1391" s="8"/>
      <c r="F1391" s="13"/>
      <c r="G1391" s="59"/>
      <c r="H1391" s="6"/>
      <c r="I1391" s="6"/>
      <c r="J1391" s="2"/>
      <c r="K1391" s="2"/>
      <c r="L1391" s="2"/>
      <c r="M1391" s="2"/>
      <c r="N1391" s="2"/>
      <c r="O1391" s="56"/>
      <c r="P1391" s="2"/>
      <c r="Q1391" s="2"/>
      <c r="R1391" s="2"/>
      <c r="S1391" s="2"/>
      <c r="T1391" s="2"/>
      <c r="U1391" s="2"/>
      <c r="V1391" s="2"/>
      <c r="W1391" s="2"/>
      <c r="X1391" s="2"/>
      <c r="Y1391" s="2"/>
      <c r="Z1391" s="2"/>
      <c r="AA1391" s="2"/>
      <c r="AB1391" s="2"/>
    </row>
    <row r="1392" spans="1:28" x14ac:dyDescent="0.25">
      <c r="A1392" s="2"/>
      <c r="B1392" s="8"/>
      <c r="C1392" s="8"/>
      <c r="D1392" s="8"/>
      <c r="E1392" s="8"/>
      <c r="F1392" s="13"/>
      <c r="G1392" s="59"/>
      <c r="H1392" s="6"/>
      <c r="I1392" s="6"/>
      <c r="J1392" s="2"/>
      <c r="K1392" s="2"/>
      <c r="L1392" s="2"/>
      <c r="M1392" s="2"/>
      <c r="N1392" s="2"/>
      <c r="O1392" s="56"/>
      <c r="P1392" s="2"/>
      <c r="Q1392" s="2"/>
      <c r="R1392" s="2"/>
      <c r="S1392" s="2"/>
      <c r="T1392" s="2"/>
      <c r="U1392" s="2"/>
      <c r="V1392" s="2"/>
      <c r="W1392" s="2"/>
      <c r="X1392" s="2"/>
      <c r="Y1392" s="2"/>
      <c r="Z1392" s="2"/>
      <c r="AA1392" s="2"/>
      <c r="AB1392" s="2"/>
    </row>
    <row r="1393" spans="1:28" x14ac:dyDescent="0.25">
      <c r="A1393" s="2"/>
      <c r="B1393" s="8"/>
      <c r="C1393" s="8"/>
      <c r="D1393" s="8"/>
      <c r="E1393" s="8"/>
      <c r="F1393" s="13"/>
      <c r="G1393" s="59"/>
      <c r="H1393" s="6"/>
      <c r="I1393" s="6"/>
      <c r="J1393" s="2"/>
      <c r="K1393" s="2"/>
      <c r="L1393" s="2"/>
      <c r="M1393" s="2"/>
      <c r="N1393" s="2"/>
      <c r="O1393" s="56"/>
      <c r="P1393" s="2"/>
      <c r="Q1393" s="2"/>
      <c r="R1393" s="2"/>
      <c r="S1393" s="2"/>
      <c r="T1393" s="2"/>
      <c r="U1393" s="2"/>
      <c r="V1393" s="2"/>
      <c r="W1393" s="2"/>
      <c r="X1393" s="2"/>
      <c r="Y1393" s="2"/>
      <c r="Z1393" s="2"/>
      <c r="AA1393" s="2"/>
      <c r="AB1393" s="2"/>
    </row>
    <row r="1394" spans="1:28" x14ac:dyDescent="0.25">
      <c r="A1394" s="2"/>
      <c r="B1394" s="8"/>
      <c r="C1394" s="8"/>
      <c r="D1394" s="8"/>
      <c r="E1394" s="8"/>
      <c r="F1394" s="13"/>
      <c r="G1394" s="59"/>
      <c r="H1394" s="6"/>
      <c r="I1394" s="6"/>
      <c r="J1394" s="2"/>
      <c r="K1394" s="2"/>
      <c r="L1394" s="2"/>
      <c r="M1394" s="2"/>
      <c r="N1394" s="2"/>
      <c r="O1394" s="56"/>
      <c r="P1394" s="2"/>
      <c r="Q1394" s="2"/>
      <c r="R1394" s="2"/>
      <c r="S1394" s="2"/>
      <c r="T1394" s="2"/>
      <c r="U1394" s="2"/>
      <c r="V1394" s="2"/>
      <c r="W1394" s="2"/>
      <c r="X1394" s="2"/>
      <c r="Y1394" s="2"/>
      <c r="Z1394" s="2"/>
      <c r="AA1394" s="2"/>
      <c r="AB1394" s="2"/>
    </row>
    <row r="1395" spans="1:28" x14ac:dyDescent="0.25">
      <c r="A1395" s="2"/>
      <c r="B1395" s="8"/>
      <c r="C1395" s="8"/>
      <c r="D1395" s="8"/>
      <c r="E1395" s="8"/>
      <c r="F1395" s="13"/>
      <c r="G1395" s="59"/>
      <c r="H1395" s="6"/>
      <c r="I1395" s="6"/>
      <c r="J1395" s="2"/>
      <c r="K1395" s="2"/>
      <c r="L1395" s="2"/>
      <c r="M1395" s="2"/>
      <c r="N1395" s="2"/>
      <c r="O1395" s="56"/>
      <c r="P1395" s="2"/>
      <c r="Q1395" s="2"/>
      <c r="R1395" s="2"/>
      <c r="S1395" s="2"/>
      <c r="T1395" s="2"/>
      <c r="U1395" s="2"/>
      <c r="V1395" s="2"/>
      <c r="W1395" s="2"/>
      <c r="X1395" s="2"/>
      <c r="Y1395" s="2"/>
      <c r="Z1395" s="2"/>
      <c r="AA1395" s="2"/>
      <c r="AB1395" s="2"/>
    </row>
    <row r="1396" spans="1:28" x14ac:dyDescent="0.25">
      <c r="A1396" s="2"/>
      <c r="B1396" s="8"/>
      <c r="C1396" s="8"/>
      <c r="D1396" s="8"/>
      <c r="E1396" s="8"/>
      <c r="F1396" s="13"/>
      <c r="G1396" s="59"/>
      <c r="H1396" s="6"/>
      <c r="I1396" s="6"/>
      <c r="J1396" s="2"/>
      <c r="K1396" s="2"/>
      <c r="L1396" s="2"/>
      <c r="M1396" s="2"/>
      <c r="N1396" s="2"/>
      <c r="O1396" s="56"/>
      <c r="P1396" s="2"/>
      <c r="Q1396" s="2"/>
      <c r="R1396" s="2"/>
      <c r="S1396" s="2"/>
      <c r="T1396" s="2"/>
      <c r="U1396" s="2"/>
      <c r="V1396" s="2"/>
      <c r="W1396" s="2"/>
      <c r="X1396" s="2"/>
      <c r="Y1396" s="2"/>
      <c r="Z1396" s="2"/>
      <c r="AA1396" s="2"/>
      <c r="AB1396" s="2"/>
    </row>
    <row r="1397" spans="1:28" x14ac:dyDescent="0.25">
      <c r="A1397" s="2"/>
      <c r="B1397" s="8"/>
      <c r="C1397" s="8"/>
      <c r="D1397" s="8"/>
      <c r="E1397" s="8"/>
      <c r="F1397" s="13"/>
      <c r="G1397" s="59"/>
      <c r="H1397" s="6"/>
      <c r="I1397" s="6"/>
      <c r="J1397" s="2"/>
      <c r="K1397" s="2"/>
      <c r="L1397" s="2"/>
      <c r="M1397" s="2"/>
      <c r="N1397" s="2"/>
      <c r="O1397" s="56"/>
      <c r="P1397" s="2"/>
      <c r="Q1397" s="2"/>
      <c r="R1397" s="2"/>
      <c r="S1397" s="2"/>
      <c r="T1397" s="2"/>
      <c r="U1397" s="2"/>
      <c r="V1397" s="2"/>
      <c r="W1397" s="2"/>
      <c r="X1397" s="2"/>
      <c r="Y1397" s="2"/>
      <c r="Z1397" s="2"/>
      <c r="AA1397" s="2"/>
      <c r="AB1397" s="2"/>
    </row>
    <row r="1398" spans="1:28" x14ac:dyDescent="0.25">
      <c r="A1398" s="2"/>
      <c r="B1398" s="8"/>
      <c r="C1398" s="8"/>
      <c r="D1398" s="8"/>
      <c r="E1398" s="8"/>
      <c r="F1398" s="13"/>
      <c r="G1398" s="59"/>
      <c r="H1398" s="6"/>
      <c r="I1398" s="6"/>
      <c r="J1398" s="2"/>
      <c r="K1398" s="2"/>
      <c r="L1398" s="2"/>
      <c r="M1398" s="2"/>
      <c r="N1398" s="2"/>
      <c r="O1398" s="56"/>
      <c r="P1398" s="2"/>
      <c r="Q1398" s="2"/>
      <c r="R1398" s="2"/>
      <c r="S1398" s="2"/>
      <c r="T1398" s="2"/>
      <c r="U1398" s="2"/>
      <c r="V1398" s="2"/>
      <c r="W1398" s="2"/>
      <c r="X1398" s="2"/>
      <c r="Y1398" s="2"/>
      <c r="Z1398" s="2"/>
      <c r="AA1398" s="2"/>
      <c r="AB1398" s="2"/>
    </row>
    <row r="1399" spans="1:28" x14ac:dyDescent="0.25">
      <c r="A1399" s="2"/>
      <c r="B1399" s="8"/>
      <c r="C1399" s="8"/>
      <c r="D1399" s="8"/>
      <c r="E1399" s="8"/>
      <c r="F1399" s="13"/>
      <c r="G1399" s="59"/>
      <c r="H1399" s="6"/>
      <c r="I1399" s="6"/>
      <c r="J1399" s="2"/>
      <c r="K1399" s="2"/>
      <c r="L1399" s="2"/>
      <c r="M1399" s="2"/>
      <c r="N1399" s="2"/>
      <c r="O1399" s="56"/>
      <c r="P1399" s="2"/>
      <c r="Q1399" s="2"/>
      <c r="R1399" s="2"/>
      <c r="S1399" s="2"/>
      <c r="T1399" s="2"/>
      <c r="U1399" s="2"/>
      <c r="V1399" s="2"/>
      <c r="W1399" s="2"/>
      <c r="X1399" s="2"/>
      <c r="Y1399" s="2"/>
      <c r="Z1399" s="2"/>
      <c r="AA1399" s="2"/>
      <c r="AB1399" s="2"/>
    </row>
    <row r="1400" spans="1:28" x14ac:dyDescent="0.25">
      <c r="A1400" s="2"/>
      <c r="B1400" s="8"/>
      <c r="C1400" s="8"/>
      <c r="D1400" s="8"/>
      <c r="E1400" s="8"/>
      <c r="F1400" s="13"/>
      <c r="G1400" s="59"/>
      <c r="H1400" s="6"/>
      <c r="I1400" s="6"/>
      <c r="J1400" s="2"/>
      <c r="K1400" s="2"/>
      <c r="L1400" s="2"/>
      <c r="M1400" s="2"/>
      <c r="N1400" s="2"/>
      <c r="O1400" s="56"/>
      <c r="P1400" s="2"/>
      <c r="Q1400" s="2"/>
      <c r="R1400" s="2"/>
      <c r="S1400" s="2"/>
      <c r="T1400" s="2"/>
      <c r="U1400" s="2"/>
      <c r="V1400" s="2"/>
      <c r="W1400" s="2"/>
      <c r="X1400" s="2"/>
      <c r="Y1400" s="2"/>
      <c r="Z1400" s="2"/>
      <c r="AA1400" s="2"/>
      <c r="AB1400" s="2"/>
    </row>
    <row r="1401" spans="1:28" x14ac:dyDescent="0.25">
      <c r="A1401" s="2"/>
      <c r="B1401" s="8"/>
      <c r="C1401" s="8"/>
      <c r="D1401" s="8"/>
      <c r="E1401" s="8"/>
      <c r="F1401" s="13"/>
      <c r="G1401" s="59"/>
      <c r="H1401" s="6"/>
      <c r="I1401" s="6"/>
      <c r="J1401" s="2"/>
      <c r="K1401" s="2"/>
      <c r="L1401" s="2"/>
      <c r="M1401" s="2"/>
      <c r="N1401" s="2"/>
      <c r="O1401" s="56"/>
      <c r="P1401" s="2"/>
      <c r="Q1401" s="2"/>
      <c r="R1401" s="2"/>
      <c r="S1401" s="2"/>
      <c r="T1401" s="2"/>
      <c r="U1401" s="2"/>
      <c r="V1401" s="2"/>
      <c r="W1401" s="2"/>
      <c r="X1401" s="2"/>
      <c r="Y1401" s="2"/>
      <c r="Z1401" s="2"/>
      <c r="AA1401" s="2"/>
      <c r="AB1401" s="2"/>
    </row>
    <row r="1402" spans="1:28" x14ac:dyDescent="0.25">
      <c r="A1402" s="2"/>
      <c r="B1402" s="8"/>
      <c r="C1402" s="8"/>
      <c r="D1402" s="8"/>
      <c r="E1402" s="8"/>
      <c r="F1402" s="13"/>
      <c r="G1402" s="59"/>
      <c r="H1402" s="6"/>
      <c r="I1402" s="6"/>
      <c r="J1402" s="2"/>
      <c r="K1402" s="2"/>
      <c r="L1402" s="2"/>
      <c r="M1402" s="2"/>
      <c r="N1402" s="2"/>
      <c r="O1402" s="56"/>
      <c r="P1402" s="2"/>
      <c r="Q1402" s="2"/>
      <c r="R1402" s="2"/>
      <c r="S1402" s="2"/>
      <c r="T1402" s="2"/>
      <c r="U1402" s="2"/>
      <c r="V1402" s="2"/>
      <c r="W1402" s="2"/>
      <c r="X1402" s="2"/>
      <c r="Y1402" s="2"/>
      <c r="Z1402" s="2"/>
      <c r="AA1402" s="2"/>
      <c r="AB1402" s="2"/>
    </row>
    <row r="1403" spans="1:28" x14ac:dyDescent="0.25">
      <c r="A1403" s="2"/>
      <c r="B1403" s="8"/>
      <c r="C1403" s="8"/>
      <c r="D1403" s="8"/>
      <c r="E1403" s="8"/>
      <c r="F1403" s="13"/>
      <c r="G1403" s="59"/>
      <c r="H1403" s="6"/>
      <c r="I1403" s="6"/>
      <c r="J1403" s="2"/>
      <c r="K1403" s="2"/>
      <c r="L1403" s="2"/>
      <c r="M1403" s="2"/>
      <c r="N1403" s="2"/>
      <c r="O1403" s="56"/>
      <c r="P1403" s="2"/>
      <c r="Q1403" s="2"/>
      <c r="R1403" s="2"/>
      <c r="S1403" s="2"/>
      <c r="T1403" s="2"/>
      <c r="U1403" s="2"/>
      <c r="V1403" s="2"/>
      <c r="W1403" s="2"/>
      <c r="X1403" s="2"/>
      <c r="Y1403" s="2"/>
      <c r="Z1403" s="2"/>
      <c r="AA1403" s="2"/>
      <c r="AB1403" s="2"/>
    </row>
    <row r="1404" spans="1:28" x14ac:dyDescent="0.25">
      <c r="A1404" s="2"/>
      <c r="B1404" s="8"/>
      <c r="C1404" s="8"/>
      <c r="D1404" s="8"/>
      <c r="E1404" s="8"/>
      <c r="F1404" s="13"/>
      <c r="G1404" s="59"/>
      <c r="H1404" s="6"/>
      <c r="I1404" s="6"/>
      <c r="J1404" s="2"/>
      <c r="K1404" s="2"/>
      <c r="L1404" s="2"/>
      <c r="M1404" s="2"/>
      <c r="N1404" s="2"/>
      <c r="O1404" s="56"/>
      <c r="P1404" s="2"/>
      <c r="Q1404" s="2"/>
      <c r="R1404" s="2"/>
      <c r="S1404" s="2"/>
      <c r="T1404" s="2"/>
      <c r="U1404" s="2"/>
      <c r="V1404" s="2"/>
      <c r="W1404" s="2"/>
      <c r="X1404" s="2"/>
      <c r="Y1404" s="2"/>
      <c r="Z1404" s="2"/>
      <c r="AA1404" s="2"/>
      <c r="AB1404" s="2"/>
    </row>
    <row r="1405" spans="1:28" x14ac:dyDescent="0.25">
      <c r="A1405" s="2"/>
      <c r="B1405" s="8"/>
      <c r="C1405" s="8"/>
      <c r="D1405" s="8"/>
      <c r="E1405" s="8"/>
      <c r="F1405" s="13"/>
      <c r="G1405" s="59"/>
      <c r="H1405" s="6"/>
      <c r="I1405" s="6"/>
      <c r="J1405" s="2"/>
      <c r="K1405" s="2"/>
      <c r="L1405" s="2"/>
      <c r="M1405" s="2"/>
      <c r="N1405" s="2"/>
      <c r="O1405" s="56"/>
      <c r="P1405" s="2"/>
      <c r="Q1405" s="2"/>
      <c r="R1405" s="2"/>
      <c r="S1405" s="2"/>
      <c r="T1405" s="2"/>
      <c r="U1405" s="2"/>
      <c r="V1405" s="2"/>
      <c r="W1405" s="2"/>
      <c r="X1405" s="2"/>
      <c r="Y1405" s="2"/>
      <c r="Z1405" s="2"/>
      <c r="AA1405" s="2"/>
      <c r="AB1405" s="2"/>
    </row>
    <row r="1406" spans="1:28" x14ac:dyDescent="0.25">
      <c r="A1406" s="2"/>
      <c r="B1406" s="8"/>
      <c r="C1406" s="8"/>
      <c r="D1406" s="8"/>
      <c r="E1406" s="8"/>
      <c r="F1406" s="13"/>
      <c r="G1406" s="59"/>
      <c r="H1406" s="6"/>
      <c r="I1406" s="6"/>
      <c r="J1406" s="2"/>
      <c r="K1406" s="2"/>
      <c r="L1406" s="2"/>
      <c r="M1406" s="2"/>
      <c r="N1406" s="2"/>
      <c r="O1406" s="56"/>
      <c r="P1406" s="2"/>
      <c r="Q1406" s="2"/>
      <c r="R1406" s="2"/>
      <c r="S1406" s="2"/>
      <c r="T1406" s="2"/>
      <c r="U1406" s="2"/>
      <c r="V1406" s="2"/>
      <c r="W1406" s="2"/>
      <c r="X1406" s="2"/>
      <c r="Y1406" s="2"/>
      <c r="Z1406" s="2"/>
      <c r="AA1406" s="2"/>
      <c r="AB1406" s="2"/>
    </row>
    <row r="1407" spans="1:28" x14ac:dyDescent="0.25">
      <c r="A1407" s="2"/>
      <c r="B1407" s="8"/>
      <c r="C1407" s="8"/>
      <c r="D1407" s="8"/>
      <c r="E1407" s="8"/>
      <c r="F1407" s="13"/>
      <c r="G1407" s="59"/>
      <c r="H1407" s="6"/>
      <c r="I1407" s="6"/>
      <c r="J1407" s="2"/>
      <c r="K1407" s="2"/>
      <c r="L1407" s="2"/>
      <c r="M1407" s="2"/>
      <c r="N1407" s="2"/>
      <c r="O1407" s="56"/>
      <c r="P1407" s="2"/>
      <c r="Q1407" s="2"/>
      <c r="R1407" s="2"/>
      <c r="S1407" s="2"/>
      <c r="T1407" s="2"/>
      <c r="U1407" s="2"/>
      <c r="V1407" s="2"/>
      <c r="W1407" s="2"/>
      <c r="X1407" s="2"/>
      <c r="Y1407" s="2"/>
      <c r="Z1407" s="2"/>
      <c r="AA1407" s="2"/>
      <c r="AB1407" s="2"/>
    </row>
    <row r="1408" spans="1:28" x14ac:dyDescent="0.25">
      <c r="A1408" s="2"/>
      <c r="B1408" s="8"/>
      <c r="C1408" s="8"/>
      <c r="D1408" s="8"/>
      <c r="E1408" s="8"/>
      <c r="F1408" s="13"/>
      <c r="G1408" s="59"/>
      <c r="H1408" s="6"/>
      <c r="I1408" s="6"/>
      <c r="J1408" s="2"/>
      <c r="K1408" s="2"/>
      <c r="L1408" s="2"/>
      <c r="M1408" s="2"/>
      <c r="N1408" s="2"/>
      <c r="O1408" s="56"/>
      <c r="P1408" s="2"/>
      <c r="Q1408" s="2"/>
      <c r="R1408" s="2"/>
      <c r="S1408" s="2"/>
      <c r="T1408" s="2"/>
      <c r="U1408" s="2"/>
      <c r="V1408" s="2"/>
      <c r="W1408" s="2"/>
      <c r="X1408" s="2"/>
      <c r="Y1408" s="2"/>
      <c r="Z1408" s="2"/>
      <c r="AA1408" s="2"/>
      <c r="AB1408" s="2"/>
    </row>
    <row r="1409" spans="1:28" x14ac:dyDescent="0.25">
      <c r="A1409" s="2"/>
      <c r="B1409" s="8"/>
      <c r="C1409" s="8"/>
      <c r="D1409" s="8"/>
      <c r="E1409" s="8"/>
      <c r="F1409" s="13"/>
      <c r="G1409" s="59"/>
      <c r="H1409" s="6"/>
      <c r="I1409" s="6"/>
      <c r="J1409" s="2"/>
      <c r="K1409" s="2"/>
      <c r="L1409" s="2"/>
      <c r="M1409" s="2"/>
      <c r="N1409" s="2"/>
      <c r="O1409" s="56"/>
      <c r="P1409" s="2"/>
      <c r="Q1409" s="2"/>
      <c r="R1409" s="2"/>
      <c r="S1409" s="2"/>
      <c r="T1409" s="2"/>
      <c r="U1409" s="2"/>
      <c r="V1409" s="2"/>
      <c r="W1409" s="2"/>
      <c r="X1409" s="2"/>
      <c r="Y1409" s="2"/>
      <c r="Z1409" s="2"/>
      <c r="AA1409" s="2"/>
      <c r="AB1409" s="2"/>
    </row>
    <row r="1410" spans="1:28" x14ac:dyDescent="0.25">
      <c r="A1410" s="2"/>
      <c r="B1410" s="8"/>
      <c r="C1410" s="8"/>
      <c r="D1410" s="8"/>
      <c r="E1410" s="8"/>
      <c r="F1410" s="13"/>
      <c r="G1410" s="59"/>
      <c r="H1410" s="6"/>
      <c r="I1410" s="6"/>
      <c r="J1410" s="2"/>
      <c r="K1410" s="2"/>
      <c r="L1410" s="2"/>
      <c r="M1410" s="2"/>
      <c r="N1410" s="2"/>
      <c r="O1410" s="56"/>
      <c r="P1410" s="2"/>
      <c r="Q1410" s="2"/>
      <c r="R1410" s="2"/>
      <c r="S1410" s="2"/>
      <c r="T1410" s="2"/>
      <c r="U1410" s="2"/>
      <c r="V1410" s="2"/>
      <c r="W1410" s="2"/>
      <c r="X1410" s="2"/>
      <c r="Y1410" s="2"/>
      <c r="Z1410" s="2"/>
      <c r="AA1410" s="2"/>
      <c r="AB1410" s="2"/>
    </row>
    <row r="1411" spans="1:28" x14ac:dyDescent="0.25">
      <c r="A1411" s="2"/>
      <c r="B1411" s="8"/>
      <c r="C1411" s="8"/>
      <c r="D1411" s="8"/>
      <c r="E1411" s="8"/>
      <c r="F1411" s="13"/>
      <c r="G1411" s="59"/>
      <c r="H1411" s="6"/>
      <c r="I1411" s="6"/>
      <c r="J1411" s="2"/>
      <c r="K1411" s="2"/>
      <c r="L1411" s="2"/>
      <c r="M1411" s="2"/>
      <c r="N1411" s="2"/>
      <c r="O1411" s="56"/>
      <c r="P1411" s="2"/>
      <c r="Q1411" s="2"/>
      <c r="R1411" s="2"/>
      <c r="S1411" s="2"/>
      <c r="T1411" s="2"/>
      <c r="U1411" s="2"/>
      <c r="V1411" s="2"/>
      <c r="W1411" s="2"/>
      <c r="X1411" s="2"/>
      <c r="Y1411" s="2"/>
      <c r="Z1411" s="2"/>
      <c r="AA1411" s="2"/>
      <c r="AB1411" s="2"/>
    </row>
    <row r="1412" spans="1:28" x14ac:dyDescent="0.25">
      <c r="A1412" s="2"/>
      <c r="B1412" s="8"/>
      <c r="C1412" s="8"/>
      <c r="D1412" s="8"/>
      <c r="E1412" s="8"/>
      <c r="F1412" s="13"/>
      <c r="G1412" s="59"/>
      <c r="H1412" s="6"/>
      <c r="I1412" s="6"/>
      <c r="J1412" s="2"/>
      <c r="K1412" s="2"/>
      <c r="L1412" s="2"/>
      <c r="M1412" s="2"/>
      <c r="N1412" s="2"/>
      <c r="O1412" s="56"/>
      <c r="P1412" s="2"/>
      <c r="Q1412" s="2"/>
      <c r="R1412" s="2"/>
      <c r="S1412" s="2"/>
      <c r="T1412" s="2"/>
      <c r="U1412" s="2"/>
      <c r="V1412" s="2"/>
      <c r="W1412" s="2"/>
      <c r="X1412" s="2"/>
      <c r="Y1412" s="2"/>
      <c r="Z1412" s="2"/>
      <c r="AA1412" s="2"/>
      <c r="AB1412" s="2"/>
    </row>
    <row r="1413" spans="1:28" x14ac:dyDescent="0.25">
      <c r="A1413" s="2"/>
      <c r="B1413" s="8"/>
      <c r="C1413" s="8"/>
      <c r="D1413" s="8"/>
      <c r="E1413" s="8"/>
      <c r="F1413" s="13"/>
      <c r="G1413" s="59"/>
      <c r="H1413" s="6"/>
      <c r="I1413" s="6"/>
      <c r="J1413" s="2"/>
      <c r="K1413" s="2"/>
      <c r="L1413" s="2"/>
      <c r="M1413" s="2"/>
      <c r="N1413" s="2"/>
      <c r="O1413" s="56"/>
      <c r="P1413" s="2"/>
      <c r="Q1413" s="2"/>
      <c r="R1413" s="2"/>
      <c r="S1413" s="2"/>
      <c r="T1413" s="2"/>
      <c r="U1413" s="2"/>
      <c r="V1413" s="2"/>
      <c r="W1413" s="2"/>
      <c r="X1413" s="2"/>
      <c r="Y1413" s="2"/>
      <c r="Z1413" s="2"/>
      <c r="AA1413" s="2"/>
      <c r="AB1413" s="2"/>
    </row>
    <row r="1414" spans="1:28" x14ac:dyDescent="0.25">
      <c r="A1414" s="2"/>
      <c r="B1414" s="8"/>
      <c r="C1414" s="8"/>
      <c r="D1414" s="8"/>
      <c r="E1414" s="8"/>
      <c r="F1414" s="13"/>
      <c r="G1414" s="59"/>
      <c r="H1414" s="6"/>
      <c r="I1414" s="6"/>
      <c r="J1414" s="2"/>
      <c r="K1414" s="2"/>
      <c r="L1414" s="2"/>
      <c r="M1414" s="2"/>
      <c r="N1414" s="2"/>
      <c r="O1414" s="56"/>
      <c r="P1414" s="2"/>
      <c r="Q1414" s="2"/>
      <c r="R1414" s="2"/>
      <c r="S1414" s="2"/>
      <c r="T1414" s="2"/>
      <c r="U1414" s="2"/>
      <c r="V1414" s="2"/>
      <c r="W1414" s="2"/>
      <c r="X1414" s="2"/>
      <c r="Y1414" s="2"/>
      <c r="Z1414" s="2"/>
      <c r="AA1414" s="2"/>
      <c r="AB1414" s="2"/>
    </row>
    <row r="1415" spans="1:28" x14ac:dyDescent="0.25">
      <c r="A1415" s="2"/>
      <c r="B1415" s="8"/>
      <c r="C1415" s="8"/>
      <c r="D1415" s="8"/>
      <c r="E1415" s="8"/>
      <c r="F1415" s="13"/>
      <c r="G1415" s="59"/>
      <c r="H1415" s="6"/>
      <c r="I1415" s="6"/>
      <c r="J1415" s="2"/>
      <c r="K1415" s="2"/>
      <c r="L1415" s="2"/>
      <c r="M1415" s="2"/>
      <c r="N1415" s="2"/>
      <c r="O1415" s="56"/>
      <c r="P1415" s="2"/>
      <c r="Q1415" s="2"/>
      <c r="R1415" s="2"/>
      <c r="S1415" s="2"/>
      <c r="T1415" s="2"/>
      <c r="U1415" s="2"/>
      <c r="V1415" s="2"/>
      <c r="W1415" s="2"/>
      <c r="X1415" s="2"/>
      <c r="Y1415" s="2"/>
      <c r="Z1415" s="2"/>
      <c r="AA1415" s="2"/>
      <c r="AB1415" s="2"/>
    </row>
    <row r="1416" spans="1:28" x14ac:dyDescent="0.25">
      <c r="A1416" s="2"/>
      <c r="B1416" s="8"/>
      <c r="C1416" s="8"/>
      <c r="D1416" s="8"/>
      <c r="E1416" s="8"/>
      <c r="F1416" s="13"/>
      <c r="G1416" s="59"/>
      <c r="H1416" s="6"/>
      <c r="I1416" s="6"/>
      <c r="J1416" s="2"/>
      <c r="K1416" s="2"/>
      <c r="L1416" s="2"/>
      <c r="M1416" s="2"/>
      <c r="N1416" s="2"/>
      <c r="O1416" s="56"/>
      <c r="P1416" s="2"/>
      <c r="Q1416" s="2"/>
      <c r="R1416" s="2"/>
      <c r="S1416" s="2"/>
      <c r="T1416" s="2"/>
      <c r="U1416" s="2"/>
      <c r="V1416" s="2"/>
      <c r="W1416" s="2"/>
      <c r="X1416" s="2"/>
      <c r="Y1416" s="2"/>
      <c r="Z1416" s="2"/>
      <c r="AA1416" s="2"/>
      <c r="AB1416" s="2"/>
    </row>
    <row r="1417" spans="1:28" x14ac:dyDescent="0.25">
      <c r="A1417" s="2"/>
      <c r="B1417" s="8"/>
      <c r="C1417" s="8"/>
      <c r="D1417" s="8"/>
      <c r="E1417" s="8"/>
      <c r="F1417" s="13"/>
      <c r="G1417" s="59"/>
      <c r="H1417" s="6"/>
      <c r="I1417" s="6"/>
      <c r="J1417" s="2"/>
      <c r="K1417" s="2"/>
      <c r="L1417" s="2"/>
      <c r="M1417" s="2"/>
      <c r="N1417" s="2"/>
      <c r="O1417" s="56"/>
      <c r="P1417" s="2"/>
      <c r="Q1417" s="2"/>
      <c r="R1417" s="2"/>
      <c r="S1417" s="2"/>
      <c r="T1417" s="2"/>
      <c r="U1417" s="2"/>
      <c r="V1417" s="2"/>
      <c r="W1417" s="2"/>
      <c r="X1417" s="2"/>
      <c r="Y1417" s="2"/>
      <c r="Z1417" s="2"/>
      <c r="AA1417" s="2"/>
      <c r="AB1417" s="2"/>
    </row>
    <row r="1418" spans="1:28" x14ac:dyDescent="0.25">
      <c r="A1418" s="2"/>
      <c r="B1418" s="8"/>
      <c r="C1418" s="8"/>
      <c r="D1418" s="8"/>
      <c r="E1418" s="8"/>
      <c r="F1418" s="13"/>
      <c r="G1418" s="59"/>
      <c r="H1418" s="6"/>
      <c r="I1418" s="6"/>
      <c r="J1418" s="2"/>
      <c r="K1418" s="2"/>
      <c r="L1418" s="2"/>
      <c r="M1418" s="2"/>
      <c r="N1418" s="2"/>
      <c r="O1418" s="56"/>
      <c r="P1418" s="2"/>
      <c r="Q1418" s="2"/>
      <c r="R1418" s="2"/>
      <c r="S1418" s="2"/>
      <c r="T1418" s="2"/>
      <c r="U1418" s="2"/>
      <c r="V1418" s="2"/>
      <c r="W1418" s="2"/>
      <c r="X1418" s="2"/>
      <c r="Y1418" s="2"/>
      <c r="Z1418" s="2"/>
      <c r="AA1418" s="2"/>
      <c r="AB1418" s="2"/>
    </row>
    <row r="1419" spans="1:28" x14ac:dyDescent="0.25">
      <c r="A1419" s="2"/>
      <c r="B1419" s="8"/>
      <c r="C1419" s="8"/>
      <c r="D1419" s="8"/>
      <c r="E1419" s="8"/>
      <c r="F1419" s="13"/>
      <c r="G1419" s="59"/>
      <c r="H1419" s="6"/>
      <c r="I1419" s="6"/>
      <c r="J1419" s="2"/>
      <c r="K1419" s="2"/>
      <c r="L1419" s="2"/>
      <c r="M1419" s="2"/>
      <c r="N1419" s="2"/>
      <c r="O1419" s="56"/>
      <c r="P1419" s="2"/>
      <c r="Q1419" s="2"/>
      <c r="R1419" s="2"/>
      <c r="S1419" s="2"/>
      <c r="T1419" s="2"/>
      <c r="U1419" s="2"/>
      <c r="V1419" s="2"/>
      <c r="W1419" s="2"/>
      <c r="X1419" s="2"/>
      <c r="Y1419" s="2"/>
      <c r="Z1419" s="2"/>
      <c r="AA1419" s="2"/>
      <c r="AB1419" s="2"/>
    </row>
    <row r="1420" spans="1:28" x14ac:dyDescent="0.25">
      <c r="A1420" s="2"/>
      <c r="B1420" s="8"/>
      <c r="C1420" s="8"/>
      <c r="D1420" s="8"/>
      <c r="E1420" s="8"/>
      <c r="F1420" s="13"/>
      <c r="G1420" s="59"/>
      <c r="H1420" s="6"/>
      <c r="I1420" s="6"/>
      <c r="J1420" s="2"/>
      <c r="K1420" s="2"/>
      <c r="L1420" s="2"/>
      <c r="M1420" s="2"/>
      <c r="N1420" s="2"/>
      <c r="O1420" s="56"/>
      <c r="P1420" s="2"/>
      <c r="Q1420" s="2"/>
      <c r="R1420" s="2"/>
      <c r="S1420" s="2"/>
      <c r="T1420" s="2"/>
      <c r="U1420" s="2"/>
      <c r="V1420" s="2"/>
      <c r="W1420" s="2"/>
      <c r="X1420" s="2"/>
      <c r="Y1420" s="2"/>
      <c r="Z1420" s="2"/>
      <c r="AA1420" s="2"/>
      <c r="AB1420" s="2"/>
    </row>
    <row r="1421" spans="1:28" x14ac:dyDescent="0.25">
      <c r="A1421" s="2"/>
      <c r="B1421" s="8"/>
      <c r="C1421" s="8"/>
      <c r="D1421" s="8"/>
      <c r="E1421" s="8"/>
      <c r="F1421" s="13"/>
      <c r="G1421" s="59"/>
      <c r="H1421" s="6"/>
      <c r="I1421" s="6"/>
      <c r="J1421" s="2"/>
      <c r="K1421" s="2"/>
      <c r="L1421" s="2"/>
      <c r="M1421" s="2"/>
      <c r="N1421" s="2"/>
      <c r="O1421" s="56"/>
      <c r="P1421" s="2"/>
      <c r="Q1421" s="2"/>
      <c r="R1421" s="2"/>
      <c r="S1421" s="2"/>
      <c r="T1421" s="2"/>
      <c r="U1421" s="2"/>
      <c r="V1421" s="2"/>
      <c r="W1421" s="2"/>
      <c r="X1421" s="2"/>
      <c r="Y1421" s="2"/>
      <c r="Z1421" s="2"/>
      <c r="AA1421" s="2"/>
      <c r="AB1421" s="2"/>
    </row>
    <row r="1422" spans="1:28" x14ac:dyDescent="0.25">
      <c r="A1422" s="2"/>
      <c r="B1422" s="8"/>
      <c r="C1422" s="8"/>
      <c r="D1422" s="8"/>
      <c r="E1422" s="8"/>
      <c r="F1422" s="13"/>
      <c r="G1422" s="59"/>
      <c r="H1422" s="6"/>
      <c r="I1422" s="6"/>
      <c r="J1422" s="2"/>
      <c r="K1422" s="2"/>
      <c r="L1422" s="2"/>
      <c r="M1422" s="2"/>
      <c r="N1422" s="2"/>
      <c r="O1422" s="56"/>
      <c r="P1422" s="2"/>
      <c r="Q1422" s="2"/>
      <c r="R1422" s="2"/>
      <c r="S1422" s="2"/>
      <c r="T1422" s="2"/>
      <c r="U1422" s="2"/>
      <c r="V1422" s="2"/>
      <c r="W1422" s="2"/>
      <c r="X1422" s="2"/>
      <c r="Y1422" s="2"/>
      <c r="Z1422" s="2"/>
      <c r="AA1422" s="2"/>
      <c r="AB1422" s="2"/>
    </row>
    <row r="1423" spans="1:28" x14ac:dyDescent="0.25">
      <c r="A1423" s="2"/>
      <c r="B1423" s="8"/>
      <c r="C1423" s="8"/>
      <c r="D1423" s="8"/>
      <c r="E1423" s="8"/>
      <c r="F1423" s="13"/>
      <c r="G1423" s="59"/>
      <c r="H1423" s="6"/>
      <c r="I1423" s="6"/>
      <c r="J1423" s="2"/>
      <c r="K1423" s="2"/>
      <c r="L1423" s="2"/>
      <c r="M1423" s="2"/>
      <c r="N1423" s="2"/>
      <c r="O1423" s="56"/>
      <c r="P1423" s="2"/>
      <c r="Q1423" s="2"/>
      <c r="R1423" s="2"/>
      <c r="S1423" s="2"/>
      <c r="T1423" s="2"/>
      <c r="U1423" s="2"/>
      <c r="V1423" s="2"/>
      <c r="W1423" s="2"/>
      <c r="X1423" s="2"/>
      <c r="Y1423" s="2"/>
      <c r="Z1423" s="2"/>
      <c r="AA1423" s="2"/>
      <c r="AB1423" s="2"/>
    </row>
    <row r="1424" spans="1:28" x14ac:dyDescent="0.25">
      <c r="A1424" s="2"/>
      <c r="B1424" s="8"/>
      <c r="C1424" s="8"/>
      <c r="D1424" s="8"/>
      <c r="E1424" s="8"/>
      <c r="F1424" s="13"/>
      <c r="G1424" s="59"/>
      <c r="H1424" s="6"/>
      <c r="I1424" s="6"/>
      <c r="J1424" s="2"/>
      <c r="K1424" s="2"/>
      <c r="L1424" s="2"/>
      <c r="M1424" s="2"/>
      <c r="N1424" s="2"/>
      <c r="O1424" s="56"/>
      <c r="P1424" s="2"/>
      <c r="Q1424" s="2"/>
      <c r="R1424" s="2"/>
      <c r="S1424" s="2"/>
      <c r="T1424" s="2"/>
      <c r="U1424" s="2"/>
      <c r="V1424" s="2"/>
      <c r="W1424" s="2"/>
      <c r="X1424" s="2"/>
      <c r="Y1424" s="2"/>
      <c r="Z1424" s="2"/>
      <c r="AA1424" s="2"/>
      <c r="AB1424" s="2"/>
    </row>
    <row r="1425" spans="1:28" x14ac:dyDescent="0.25">
      <c r="A1425" s="2"/>
      <c r="B1425" s="8"/>
      <c r="C1425" s="8"/>
      <c r="D1425" s="8"/>
      <c r="E1425" s="8"/>
      <c r="F1425" s="13"/>
      <c r="G1425" s="59"/>
      <c r="H1425" s="6"/>
      <c r="I1425" s="6"/>
      <c r="J1425" s="2"/>
      <c r="K1425" s="2"/>
      <c r="L1425" s="2"/>
      <c r="M1425" s="2"/>
      <c r="N1425" s="2"/>
      <c r="O1425" s="56"/>
      <c r="P1425" s="2"/>
      <c r="Q1425" s="2"/>
      <c r="R1425" s="2"/>
      <c r="S1425" s="2"/>
      <c r="T1425" s="2"/>
      <c r="U1425" s="2"/>
      <c r="V1425" s="2"/>
      <c r="W1425" s="2"/>
      <c r="X1425" s="2"/>
      <c r="Y1425" s="2"/>
      <c r="Z1425" s="2"/>
      <c r="AA1425" s="2"/>
      <c r="AB1425" s="2"/>
    </row>
    <row r="1426" spans="1:28" x14ac:dyDescent="0.25">
      <c r="A1426" s="2"/>
      <c r="B1426" s="8"/>
      <c r="C1426" s="8"/>
      <c r="D1426" s="8"/>
      <c r="E1426" s="8"/>
      <c r="F1426" s="13"/>
      <c r="G1426" s="59"/>
      <c r="H1426" s="6"/>
      <c r="I1426" s="6"/>
      <c r="J1426" s="2"/>
      <c r="K1426" s="2"/>
      <c r="L1426" s="2"/>
      <c r="M1426" s="2"/>
      <c r="N1426" s="2"/>
      <c r="O1426" s="56"/>
      <c r="P1426" s="2"/>
      <c r="Q1426" s="2"/>
      <c r="R1426" s="2"/>
      <c r="S1426" s="2"/>
      <c r="T1426" s="2"/>
      <c r="U1426" s="2"/>
      <c r="V1426" s="2"/>
      <c r="W1426" s="2"/>
      <c r="X1426" s="2"/>
      <c r="Y1426" s="2"/>
      <c r="Z1426" s="2"/>
      <c r="AA1426" s="2"/>
      <c r="AB1426" s="2"/>
    </row>
    <row r="1427" spans="1:28" x14ac:dyDescent="0.25">
      <c r="A1427" s="2"/>
      <c r="B1427" s="8"/>
      <c r="C1427" s="8"/>
      <c r="D1427" s="8"/>
      <c r="E1427" s="8"/>
      <c r="F1427" s="13"/>
      <c r="G1427" s="59"/>
      <c r="H1427" s="6"/>
      <c r="I1427" s="6"/>
      <c r="J1427" s="2"/>
      <c r="K1427" s="2"/>
      <c r="L1427" s="2"/>
      <c r="M1427" s="2"/>
      <c r="N1427" s="2"/>
      <c r="O1427" s="56"/>
      <c r="P1427" s="2"/>
      <c r="Q1427" s="2"/>
      <c r="R1427" s="2"/>
      <c r="S1427" s="2"/>
      <c r="T1427" s="2"/>
      <c r="U1427" s="2"/>
      <c r="V1427" s="2"/>
      <c r="W1427" s="2"/>
      <c r="X1427" s="2"/>
      <c r="Y1427" s="2"/>
      <c r="Z1427" s="2"/>
      <c r="AA1427" s="2"/>
      <c r="AB1427" s="2"/>
    </row>
    <row r="1428" spans="1:28" x14ac:dyDescent="0.25">
      <c r="A1428" s="2"/>
      <c r="B1428" s="8"/>
      <c r="C1428" s="8"/>
      <c r="D1428" s="8"/>
      <c r="E1428" s="8"/>
      <c r="F1428" s="13"/>
      <c r="G1428" s="59"/>
      <c r="H1428" s="6"/>
      <c r="I1428" s="6"/>
      <c r="J1428" s="2"/>
      <c r="K1428" s="2"/>
      <c r="L1428" s="2"/>
      <c r="M1428" s="2"/>
      <c r="N1428" s="2"/>
      <c r="O1428" s="56"/>
      <c r="P1428" s="2"/>
      <c r="Q1428" s="2"/>
      <c r="R1428" s="2"/>
      <c r="S1428" s="2"/>
      <c r="T1428" s="2"/>
      <c r="U1428" s="2"/>
      <c r="V1428" s="2"/>
      <c r="W1428" s="2"/>
      <c r="X1428" s="2"/>
      <c r="Y1428" s="2"/>
      <c r="Z1428" s="2"/>
      <c r="AA1428" s="2"/>
      <c r="AB1428" s="2"/>
    </row>
    <row r="1429" spans="1:28" x14ac:dyDescent="0.25">
      <c r="A1429" s="2"/>
      <c r="B1429" s="8"/>
      <c r="C1429" s="8"/>
      <c r="D1429" s="8"/>
      <c r="E1429" s="8"/>
      <c r="F1429" s="13"/>
      <c r="G1429" s="59"/>
      <c r="H1429" s="6"/>
      <c r="I1429" s="6"/>
      <c r="J1429" s="2"/>
      <c r="K1429" s="2"/>
      <c r="L1429" s="2"/>
      <c r="M1429" s="2"/>
      <c r="N1429" s="2"/>
      <c r="O1429" s="56"/>
      <c r="P1429" s="2"/>
      <c r="Q1429" s="2"/>
      <c r="R1429" s="2"/>
      <c r="S1429" s="2"/>
      <c r="T1429" s="2"/>
      <c r="U1429" s="2"/>
      <c r="V1429" s="2"/>
      <c r="W1429" s="2"/>
      <c r="X1429" s="2"/>
      <c r="Y1429" s="2"/>
      <c r="Z1429" s="2"/>
      <c r="AA1429" s="2"/>
      <c r="AB1429" s="2"/>
    </row>
    <row r="1430" spans="1:28" x14ac:dyDescent="0.25">
      <c r="A1430" s="2"/>
      <c r="B1430" s="8"/>
      <c r="C1430" s="8"/>
      <c r="D1430" s="8"/>
      <c r="E1430" s="8"/>
      <c r="F1430" s="13"/>
      <c r="G1430" s="59"/>
      <c r="H1430" s="6"/>
      <c r="I1430" s="6"/>
      <c r="J1430" s="2"/>
      <c r="K1430" s="2"/>
      <c r="L1430" s="2"/>
      <c r="M1430" s="2"/>
      <c r="N1430" s="2"/>
      <c r="O1430" s="56"/>
      <c r="P1430" s="2"/>
      <c r="Q1430" s="2"/>
      <c r="R1430" s="2"/>
      <c r="S1430" s="2"/>
      <c r="T1430" s="2"/>
      <c r="U1430" s="2"/>
      <c r="V1430" s="2"/>
      <c r="W1430" s="2"/>
      <c r="X1430" s="2"/>
      <c r="Y1430" s="2"/>
      <c r="Z1430" s="2"/>
      <c r="AA1430" s="2"/>
      <c r="AB1430" s="2"/>
    </row>
    <row r="1431" spans="1:28" x14ac:dyDescent="0.25">
      <c r="A1431" s="2"/>
      <c r="B1431" s="8"/>
      <c r="C1431" s="8"/>
      <c r="D1431" s="8"/>
      <c r="E1431" s="8"/>
      <c r="F1431" s="13"/>
      <c r="G1431" s="59"/>
      <c r="H1431" s="6"/>
      <c r="I1431" s="6"/>
      <c r="J1431" s="2"/>
      <c r="K1431" s="2"/>
      <c r="L1431" s="2"/>
      <c r="M1431" s="2"/>
      <c r="N1431" s="2"/>
      <c r="O1431" s="56"/>
      <c r="P1431" s="2"/>
      <c r="Q1431" s="2"/>
      <c r="R1431" s="2"/>
      <c r="S1431" s="2"/>
      <c r="T1431" s="2"/>
      <c r="U1431" s="2"/>
      <c r="V1431" s="2"/>
      <c r="W1431" s="2"/>
      <c r="X1431" s="2"/>
      <c r="Y1431" s="2"/>
      <c r="Z1431" s="2"/>
      <c r="AA1431" s="2"/>
      <c r="AB1431" s="2"/>
    </row>
    <row r="1432" spans="1:28" x14ac:dyDescent="0.25">
      <c r="A1432" s="2"/>
      <c r="B1432" s="8"/>
      <c r="C1432" s="8"/>
      <c r="D1432" s="8"/>
      <c r="E1432" s="8"/>
      <c r="F1432" s="13"/>
      <c r="G1432" s="59"/>
      <c r="H1432" s="6"/>
      <c r="I1432" s="6"/>
      <c r="J1432" s="2"/>
      <c r="K1432" s="2"/>
      <c r="L1432" s="2"/>
      <c r="M1432" s="2"/>
      <c r="N1432" s="2"/>
      <c r="O1432" s="56"/>
      <c r="P1432" s="2"/>
      <c r="Q1432" s="2"/>
      <c r="R1432" s="2"/>
      <c r="S1432" s="2"/>
      <c r="T1432" s="2"/>
      <c r="U1432" s="2"/>
      <c r="V1432" s="2"/>
      <c r="W1432" s="2"/>
      <c r="X1432" s="2"/>
      <c r="Y1432" s="2"/>
      <c r="Z1432" s="2"/>
      <c r="AA1432" s="2"/>
      <c r="AB1432" s="2"/>
    </row>
    <row r="1433" spans="1:28" x14ac:dyDescent="0.25">
      <c r="A1433" s="2"/>
      <c r="B1433" s="8"/>
      <c r="C1433" s="8"/>
      <c r="D1433" s="8"/>
      <c r="E1433" s="8"/>
      <c r="F1433" s="13"/>
      <c r="G1433" s="59"/>
      <c r="H1433" s="6"/>
      <c r="I1433" s="6"/>
      <c r="J1433" s="2"/>
      <c r="K1433" s="2"/>
      <c r="L1433" s="2"/>
      <c r="M1433" s="2"/>
      <c r="N1433" s="2"/>
      <c r="O1433" s="56"/>
      <c r="P1433" s="2"/>
      <c r="Q1433" s="2"/>
      <c r="R1433" s="2"/>
      <c r="S1433" s="2"/>
      <c r="T1433" s="2"/>
      <c r="U1433" s="2"/>
      <c r="V1433" s="2"/>
      <c r="W1433" s="2"/>
      <c r="X1433" s="2"/>
      <c r="Y1433" s="2"/>
      <c r="Z1433" s="2"/>
      <c r="AA1433" s="2"/>
      <c r="AB1433" s="2"/>
    </row>
    <row r="1434" spans="1:28" x14ac:dyDescent="0.25">
      <c r="A1434" s="2"/>
      <c r="B1434" s="8"/>
      <c r="C1434" s="8"/>
      <c r="D1434" s="8"/>
      <c r="E1434" s="8"/>
      <c r="F1434" s="13"/>
      <c r="G1434" s="59"/>
      <c r="H1434" s="6"/>
      <c r="I1434" s="6"/>
      <c r="J1434" s="2"/>
      <c r="K1434" s="2"/>
      <c r="L1434" s="2"/>
      <c r="M1434" s="2"/>
      <c r="N1434" s="2"/>
      <c r="O1434" s="56"/>
      <c r="P1434" s="2"/>
      <c r="Q1434" s="2"/>
      <c r="R1434" s="2"/>
      <c r="S1434" s="2"/>
      <c r="T1434" s="2"/>
      <c r="U1434" s="2"/>
      <c r="V1434" s="2"/>
      <c r="W1434" s="2"/>
      <c r="X1434" s="2"/>
      <c r="Y1434" s="2"/>
      <c r="Z1434" s="2"/>
      <c r="AA1434" s="2"/>
      <c r="AB1434" s="2"/>
    </row>
    <row r="1435" spans="1:28" x14ac:dyDescent="0.25">
      <c r="A1435" s="2"/>
      <c r="B1435" s="8"/>
      <c r="C1435" s="8"/>
      <c r="D1435" s="8"/>
      <c r="E1435" s="8"/>
      <c r="F1435" s="13"/>
      <c r="G1435" s="59"/>
      <c r="H1435" s="6"/>
      <c r="I1435" s="6"/>
      <c r="J1435" s="2"/>
      <c r="K1435" s="2"/>
      <c r="L1435" s="2"/>
      <c r="M1435" s="2"/>
      <c r="N1435" s="2"/>
      <c r="O1435" s="56"/>
      <c r="P1435" s="2"/>
      <c r="Q1435" s="2"/>
      <c r="R1435" s="2"/>
      <c r="S1435" s="2"/>
      <c r="T1435" s="2"/>
      <c r="U1435" s="2"/>
      <c r="V1435" s="2"/>
      <c r="W1435" s="2"/>
      <c r="X1435" s="2"/>
      <c r="Y1435" s="2"/>
      <c r="Z1435" s="2"/>
      <c r="AA1435" s="2"/>
      <c r="AB1435" s="2"/>
    </row>
    <row r="1436" spans="1:28" x14ac:dyDescent="0.25">
      <c r="A1436" s="2"/>
      <c r="B1436" s="8"/>
      <c r="C1436" s="8"/>
      <c r="D1436" s="8"/>
      <c r="E1436" s="8"/>
      <c r="F1436" s="13"/>
      <c r="G1436" s="59"/>
      <c r="H1436" s="6"/>
      <c r="I1436" s="6"/>
      <c r="J1436" s="2"/>
      <c r="K1436" s="2"/>
      <c r="L1436" s="2"/>
      <c r="M1436" s="2"/>
      <c r="N1436" s="2"/>
      <c r="O1436" s="56"/>
      <c r="P1436" s="2"/>
      <c r="Q1436" s="2"/>
      <c r="R1436" s="2"/>
      <c r="S1436" s="2"/>
      <c r="T1436" s="2"/>
      <c r="U1436" s="2"/>
      <c r="V1436" s="2"/>
      <c r="W1436" s="2"/>
      <c r="X1436" s="2"/>
      <c r="Y1436" s="2"/>
      <c r="Z1436" s="2"/>
      <c r="AA1436" s="2"/>
      <c r="AB1436" s="2"/>
    </row>
    <row r="1437" spans="1:28" x14ac:dyDescent="0.25">
      <c r="A1437" s="2"/>
      <c r="B1437" s="8"/>
      <c r="C1437" s="8"/>
      <c r="D1437" s="8"/>
      <c r="E1437" s="8"/>
      <c r="F1437" s="13"/>
      <c r="G1437" s="59"/>
      <c r="H1437" s="6"/>
      <c r="I1437" s="6"/>
      <c r="J1437" s="2"/>
      <c r="K1437" s="2"/>
      <c r="L1437" s="2"/>
      <c r="M1437" s="2"/>
      <c r="N1437" s="2"/>
      <c r="O1437" s="56"/>
      <c r="P1437" s="2"/>
      <c r="Q1437" s="2"/>
      <c r="R1437" s="2"/>
      <c r="S1437" s="2"/>
      <c r="T1437" s="2"/>
      <c r="U1437" s="2"/>
      <c r="V1437" s="2"/>
      <c r="W1437" s="2"/>
      <c r="X1437" s="2"/>
      <c r="Y1437" s="2"/>
      <c r="Z1437" s="2"/>
      <c r="AA1437" s="2"/>
      <c r="AB1437" s="2"/>
    </row>
    <row r="1438" spans="1:28" x14ac:dyDescent="0.25">
      <c r="A1438" s="2"/>
      <c r="B1438" s="8"/>
      <c r="C1438" s="8"/>
      <c r="D1438" s="8"/>
      <c r="E1438" s="8"/>
      <c r="F1438" s="13"/>
      <c r="G1438" s="59"/>
      <c r="H1438" s="6"/>
      <c r="I1438" s="6"/>
      <c r="J1438" s="2"/>
      <c r="K1438" s="2"/>
      <c r="L1438" s="2"/>
      <c r="M1438" s="2"/>
      <c r="N1438" s="2"/>
      <c r="O1438" s="56"/>
      <c r="P1438" s="2"/>
      <c r="Q1438" s="2"/>
      <c r="R1438" s="2"/>
      <c r="S1438" s="2"/>
      <c r="T1438" s="2"/>
      <c r="U1438" s="2"/>
      <c r="V1438" s="2"/>
      <c r="W1438" s="2"/>
      <c r="X1438" s="2"/>
      <c r="Y1438" s="2"/>
      <c r="Z1438" s="2"/>
      <c r="AA1438" s="2"/>
      <c r="AB1438" s="2"/>
    </row>
    <row r="1439" spans="1:28" x14ac:dyDescent="0.25">
      <c r="A1439" s="2"/>
      <c r="B1439" s="8"/>
      <c r="C1439" s="8"/>
      <c r="D1439" s="8"/>
      <c r="E1439" s="8"/>
      <c r="F1439" s="13"/>
      <c r="G1439" s="59"/>
      <c r="H1439" s="6"/>
      <c r="I1439" s="6"/>
      <c r="J1439" s="2"/>
      <c r="K1439" s="2"/>
      <c r="L1439" s="2"/>
      <c r="M1439" s="2"/>
      <c r="N1439" s="2"/>
      <c r="O1439" s="56"/>
      <c r="P1439" s="2"/>
      <c r="Q1439" s="2"/>
      <c r="R1439" s="2"/>
      <c r="S1439" s="2"/>
      <c r="T1439" s="2"/>
      <c r="U1439" s="2"/>
      <c r="V1439" s="2"/>
      <c r="W1439" s="2"/>
      <c r="X1439" s="2"/>
      <c r="Y1439" s="2"/>
      <c r="Z1439" s="2"/>
      <c r="AA1439" s="2"/>
      <c r="AB1439" s="2"/>
    </row>
    <row r="1440" spans="1:28" x14ac:dyDescent="0.25">
      <c r="A1440" s="2"/>
      <c r="B1440" s="8"/>
      <c r="C1440" s="8"/>
      <c r="D1440" s="8"/>
      <c r="E1440" s="8"/>
      <c r="F1440" s="13"/>
      <c r="G1440" s="59"/>
      <c r="H1440" s="6"/>
      <c r="I1440" s="6"/>
      <c r="J1440" s="2"/>
      <c r="K1440" s="2"/>
      <c r="L1440" s="2"/>
      <c r="M1440" s="2"/>
      <c r="N1440" s="2"/>
      <c r="O1440" s="56"/>
      <c r="P1440" s="2"/>
      <c r="Q1440" s="2"/>
      <c r="R1440" s="2"/>
      <c r="S1440" s="2"/>
      <c r="T1440" s="2"/>
      <c r="U1440" s="2"/>
      <c r="V1440" s="2"/>
      <c r="W1440" s="2"/>
      <c r="X1440" s="2"/>
      <c r="Y1440" s="2"/>
      <c r="Z1440" s="2"/>
      <c r="AA1440" s="2"/>
      <c r="AB1440" s="2"/>
    </row>
    <row r="1441" spans="1:28" x14ac:dyDescent="0.25">
      <c r="A1441" s="2"/>
      <c r="B1441" s="8"/>
      <c r="C1441" s="8"/>
      <c r="D1441" s="8"/>
      <c r="E1441" s="8"/>
      <c r="F1441" s="13"/>
      <c r="G1441" s="59"/>
      <c r="H1441" s="6"/>
      <c r="I1441" s="6"/>
      <c r="J1441" s="2"/>
      <c r="K1441" s="2"/>
      <c r="L1441" s="2"/>
      <c r="M1441" s="2"/>
      <c r="N1441" s="2"/>
      <c r="O1441" s="56"/>
      <c r="P1441" s="2"/>
      <c r="Q1441" s="2"/>
      <c r="R1441" s="2"/>
      <c r="S1441" s="2"/>
      <c r="T1441" s="2"/>
      <c r="U1441" s="2"/>
      <c r="V1441" s="2"/>
      <c r="W1441" s="2"/>
      <c r="X1441" s="2"/>
      <c r="Y1441" s="2"/>
      <c r="Z1441" s="2"/>
      <c r="AA1441" s="2"/>
      <c r="AB1441" s="2"/>
    </row>
    <row r="1442" spans="1:28" x14ac:dyDescent="0.25">
      <c r="A1442" s="2"/>
      <c r="B1442" s="8"/>
      <c r="C1442" s="8"/>
      <c r="D1442" s="8"/>
      <c r="E1442" s="8"/>
      <c r="F1442" s="13"/>
      <c r="G1442" s="59"/>
      <c r="H1442" s="6"/>
      <c r="I1442" s="6"/>
      <c r="J1442" s="2"/>
      <c r="K1442" s="2"/>
      <c r="L1442" s="2"/>
      <c r="M1442" s="2"/>
      <c r="N1442" s="2"/>
      <c r="O1442" s="56"/>
      <c r="P1442" s="2"/>
      <c r="Q1442" s="2"/>
      <c r="R1442" s="2"/>
      <c r="S1442" s="2"/>
      <c r="T1442" s="2"/>
      <c r="U1442" s="2"/>
      <c r="V1442" s="2"/>
      <c r="W1442" s="2"/>
      <c r="X1442" s="2"/>
      <c r="Y1442" s="2"/>
      <c r="Z1442" s="2"/>
      <c r="AA1442" s="2"/>
      <c r="AB1442" s="2"/>
    </row>
    <row r="1443" spans="1:28" x14ac:dyDescent="0.25">
      <c r="A1443" s="2"/>
      <c r="B1443" s="8"/>
      <c r="C1443" s="8"/>
      <c r="D1443" s="8"/>
      <c r="E1443" s="8"/>
      <c r="F1443" s="13"/>
      <c r="G1443" s="59"/>
      <c r="H1443" s="6"/>
      <c r="I1443" s="6"/>
      <c r="J1443" s="2"/>
      <c r="K1443" s="2"/>
      <c r="L1443" s="2"/>
      <c r="M1443" s="2"/>
      <c r="N1443" s="2"/>
      <c r="O1443" s="56"/>
      <c r="P1443" s="2"/>
      <c r="Q1443" s="2"/>
      <c r="R1443" s="2"/>
      <c r="S1443" s="2"/>
      <c r="T1443" s="2"/>
      <c r="U1443" s="2"/>
      <c r="V1443" s="2"/>
      <c r="W1443" s="2"/>
      <c r="X1443" s="2"/>
      <c r="Y1443" s="2"/>
      <c r="Z1443" s="2"/>
      <c r="AA1443" s="2"/>
      <c r="AB1443" s="2"/>
    </row>
    <row r="1444" spans="1:28" x14ac:dyDescent="0.25">
      <c r="A1444" s="2"/>
      <c r="B1444" s="8"/>
      <c r="C1444" s="8"/>
      <c r="D1444" s="8"/>
      <c r="E1444" s="8"/>
      <c r="F1444" s="13"/>
      <c r="G1444" s="59"/>
      <c r="H1444" s="6"/>
      <c r="I1444" s="6"/>
      <c r="J1444" s="2"/>
      <c r="K1444" s="2"/>
      <c r="L1444" s="2"/>
      <c r="M1444" s="2"/>
      <c r="N1444" s="2"/>
      <c r="O1444" s="56"/>
      <c r="P1444" s="2"/>
      <c r="Q1444" s="2"/>
      <c r="R1444" s="2"/>
      <c r="S1444" s="2"/>
      <c r="T1444" s="2"/>
      <c r="U1444" s="2"/>
      <c r="V1444" s="2"/>
      <c r="W1444" s="2"/>
      <c r="X1444" s="2"/>
      <c r="Y1444" s="2"/>
      <c r="Z1444" s="2"/>
      <c r="AA1444" s="2"/>
      <c r="AB1444" s="2"/>
    </row>
    <row r="1445" spans="1:28" x14ac:dyDescent="0.25">
      <c r="A1445" s="2"/>
      <c r="B1445" s="8"/>
      <c r="C1445" s="8"/>
      <c r="D1445" s="8"/>
      <c r="E1445" s="8"/>
      <c r="F1445" s="13"/>
      <c r="G1445" s="59"/>
      <c r="H1445" s="6"/>
      <c r="I1445" s="6"/>
      <c r="J1445" s="2"/>
      <c r="K1445" s="2"/>
      <c r="L1445" s="2"/>
      <c r="M1445" s="2"/>
      <c r="N1445" s="2"/>
      <c r="O1445" s="56"/>
      <c r="P1445" s="2"/>
      <c r="Q1445" s="2"/>
      <c r="R1445" s="2"/>
      <c r="S1445" s="2"/>
      <c r="T1445" s="2"/>
      <c r="U1445" s="2"/>
      <c r="V1445" s="2"/>
      <c r="W1445" s="2"/>
      <c r="X1445" s="2"/>
      <c r="Y1445" s="2"/>
      <c r="Z1445" s="2"/>
      <c r="AA1445" s="2"/>
      <c r="AB1445" s="2"/>
    </row>
    <row r="1446" spans="1:28" x14ac:dyDescent="0.25">
      <c r="A1446" s="2"/>
      <c r="B1446" s="8"/>
      <c r="C1446" s="8"/>
      <c r="D1446" s="8"/>
      <c r="E1446" s="8"/>
      <c r="F1446" s="13"/>
      <c r="G1446" s="59"/>
      <c r="H1446" s="6"/>
      <c r="I1446" s="6"/>
      <c r="J1446" s="2"/>
      <c r="K1446" s="2"/>
      <c r="L1446" s="2"/>
      <c r="M1446" s="2"/>
      <c r="N1446" s="2"/>
      <c r="O1446" s="56"/>
      <c r="P1446" s="2"/>
      <c r="Q1446" s="2"/>
      <c r="R1446" s="2"/>
      <c r="S1446" s="2"/>
      <c r="T1446" s="2"/>
      <c r="U1446" s="2"/>
      <c r="V1446" s="2"/>
      <c r="W1446" s="2"/>
      <c r="X1446" s="2"/>
      <c r="Y1446" s="2"/>
      <c r="Z1446" s="2"/>
      <c r="AA1446" s="2"/>
      <c r="AB1446" s="2"/>
    </row>
    <row r="1447" spans="1:28" x14ac:dyDescent="0.25">
      <c r="A1447" s="2"/>
      <c r="B1447" s="8"/>
      <c r="C1447" s="8"/>
      <c r="D1447" s="8"/>
      <c r="E1447" s="8"/>
      <c r="F1447" s="13"/>
      <c r="G1447" s="59"/>
      <c r="H1447" s="6"/>
      <c r="I1447" s="6"/>
      <c r="J1447" s="2"/>
      <c r="K1447" s="2"/>
      <c r="L1447" s="2"/>
      <c r="M1447" s="2"/>
      <c r="N1447" s="2"/>
      <c r="O1447" s="56"/>
      <c r="P1447" s="2"/>
      <c r="Q1447" s="2"/>
      <c r="R1447" s="2"/>
      <c r="S1447" s="2"/>
      <c r="T1447" s="2"/>
      <c r="U1447" s="2"/>
      <c r="V1447" s="2"/>
      <c r="W1447" s="2"/>
      <c r="X1447" s="2"/>
      <c r="Y1447" s="2"/>
      <c r="Z1447" s="2"/>
      <c r="AA1447" s="2"/>
      <c r="AB1447" s="2"/>
    </row>
    <row r="1448" spans="1:28" x14ac:dyDescent="0.25">
      <c r="A1448" s="2"/>
      <c r="B1448" s="8"/>
      <c r="C1448" s="8"/>
      <c r="D1448" s="8"/>
      <c r="E1448" s="8"/>
      <c r="F1448" s="13"/>
      <c r="G1448" s="59"/>
      <c r="H1448" s="6"/>
      <c r="I1448" s="6"/>
      <c r="J1448" s="2"/>
      <c r="K1448" s="2"/>
      <c r="L1448" s="2"/>
      <c r="M1448" s="2"/>
      <c r="N1448" s="2"/>
      <c r="O1448" s="56"/>
      <c r="P1448" s="2"/>
      <c r="Q1448" s="2"/>
      <c r="R1448" s="2"/>
      <c r="S1448" s="2"/>
      <c r="T1448" s="2"/>
      <c r="U1448" s="2"/>
      <c r="V1448" s="2"/>
      <c r="W1448" s="2"/>
      <c r="X1448" s="2"/>
      <c r="Y1448" s="2"/>
      <c r="Z1448" s="2"/>
      <c r="AA1448" s="2"/>
      <c r="AB1448" s="2"/>
    </row>
    <row r="1449" spans="1:28" x14ac:dyDescent="0.25">
      <c r="A1449" s="2"/>
      <c r="B1449" s="8"/>
      <c r="C1449" s="8"/>
      <c r="D1449" s="8"/>
      <c r="E1449" s="8"/>
      <c r="F1449" s="13"/>
      <c r="G1449" s="59"/>
      <c r="H1449" s="6"/>
      <c r="I1449" s="6"/>
      <c r="J1449" s="2"/>
      <c r="K1449" s="2"/>
      <c r="L1449" s="2"/>
      <c r="M1449" s="2"/>
      <c r="N1449" s="2"/>
      <c r="O1449" s="56"/>
      <c r="P1449" s="2"/>
      <c r="Q1449" s="2"/>
      <c r="R1449" s="2"/>
      <c r="S1449" s="2"/>
      <c r="T1449" s="2"/>
      <c r="U1449" s="2"/>
      <c r="V1449" s="2"/>
      <c r="W1449" s="2"/>
      <c r="X1449" s="2"/>
      <c r="Y1449" s="2"/>
      <c r="Z1449" s="2"/>
      <c r="AA1449" s="2"/>
      <c r="AB1449" s="2"/>
    </row>
    <row r="1450" spans="1:28" x14ac:dyDescent="0.25">
      <c r="A1450" s="2"/>
      <c r="B1450" s="8"/>
      <c r="C1450" s="8"/>
      <c r="D1450" s="8"/>
      <c r="E1450" s="8"/>
      <c r="F1450" s="13"/>
      <c r="G1450" s="59"/>
      <c r="H1450" s="6"/>
      <c r="I1450" s="6"/>
      <c r="J1450" s="2"/>
      <c r="K1450" s="2"/>
      <c r="L1450" s="2"/>
      <c r="M1450" s="2"/>
      <c r="N1450" s="2"/>
      <c r="O1450" s="56"/>
      <c r="P1450" s="2"/>
      <c r="Q1450" s="2"/>
      <c r="R1450" s="2"/>
      <c r="S1450" s="2"/>
      <c r="T1450" s="2"/>
      <c r="U1450" s="2"/>
      <c r="V1450" s="2"/>
      <c r="W1450" s="2"/>
      <c r="X1450" s="2"/>
      <c r="Y1450" s="2"/>
      <c r="Z1450" s="2"/>
      <c r="AA1450" s="2"/>
      <c r="AB1450" s="2"/>
    </row>
    <row r="1451" spans="1:28" x14ac:dyDescent="0.25">
      <c r="A1451" s="2"/>
      <c r="B1451" s="8"/>
      <c r="C1451" s="8"/>
      <c r="D1451" s="8"/>
      <c r="E1451" s="8"/>
      <c r="F1451" s="13"/>
      <c r="G1451" s="59"/>
      <c r="H1451" s="6"/>
      <c r="I1451" s="6"/>
      <c r="J1451" s="2"/>
      <c r="K1451" s="2"/>
      <c r="L1451" s="2"/>
      <c r="M1451" s="2"/>
      <c r="N1451" s="2"/>
      <c r="O1451" s="56"/>
      <c r="P1451" s="2"/>
      <c r="Q1451" s="2"/>
      <c r="R1451" s="2"/>
      <c r="S1451" s="2"/>
      <c r="T1451" s="2"/>
      <c r="U1451" s="2"/>
      <c r="V1451" s="2"/>
      <c r="W1451" s="2"/>
      <c r="X1451" s="2"/>
      <c r="Y1451" s="2"/>
      <c r="Z1451" s="2"/>
      <c r="AA1451" s="2"/>
      <c r="AB1451" s="2"/>
    </row>
    <row r="1452" spans="1:28" x14ac:dyDescent="0.25">
      <c r="A1452" s="2"/>
      <c r="B1452" s="8"/>
      <c r="C1452" s="8"/>
      <c r="D1452" s="8"/>
      <c r="E1452" s="8"/>
      <c r="F1452" s="13"/>
      <c r="G1452" s="59"/>
      <c r="H1452" s="6"/>
      <c r="I1452" s="6"/>
      <c r="J1452" s="2"/>
      <c r="K1452" s="2"/>
      <c r="L1452" s="2"/>
      <c r="M1452" s="2"/>
      <c r="N1452" s="2"/>
      <c r="O1452" s="56"/>
      <c r="P1452" s="2"/>
      <c r="Q1452" s="2"/>
      <c r="R1452" s="2"/>
      <c r="S1452" s="2"/>
      <c r="T1452" s="2"/>
      <c r="U1452" s="2"/>
      <c r="V1452" s="2"/>
      <c r="W1452" s="2"/>
      <c r="X1452" s="2"/>
      <c r="Y1452" s="2"/>
      <c r="Z1452" s="2"/>
      <c r="AA1452" s="2"/>
      <c r="AB1452" s="2"/>
    </row>
    <row r="1453" spans="1:28" x14ac:dyDescent="0.25">
      <c r="A1453" s="2"/>
      <c r="B1453" s="8"/>
      <c r="C1453" s="8"/>
      <c r="D1453" s="8"/>
      <c r="E1453" s="8"/>
      <c r="F1453" s="13"/>
      <c r="G1453" s="59"/>
      <c r="H1453" s="6"/>
      <c r="I1453" s="6"/>
      <c r="J1453" s="2"/>
      <c r="K1453" s="2"/>
      <c r="L1453" s="2"/>
      <c r="M1453" s="2"/>
      <c r="N1453" s="2"/>
      <c r="O1453" s="56"/>
      <c r="P1453" s="2"/>
      <c r="Q1453" s="2"/>
      <c r="R1453" s="2"/>
      <c r="S1453" s="2"/>
      <c r="T1453" s="2"/>
      <c r="U1453" s="2"/>
      <c r="V1453" s="2"/>
      <c r="W1453" s="2"/>
      <c r="X1453" s="2"/>
      <c r="Y1453" s="2"/>
      <c r="Z1453" s="2"/>
      <c r="AA1453" s="2"/>
      <c r="AB1453" s="2"/>
    </row>
    <row r="1454" spans="1:28" x14ac:dyDescent="0.25">
      <c r="A1454" s="2"/>
      <c r="B1454" s="8"/>
      <c r="C1454" s="8"/>
      <c r="D1454" s="8"/>
      <c r="E1454" s="8"/>
      <c r="F1454" s="13"/>
      <c r="G1454" s="59"/>
      <c r="H1454" s="6"/>
      <c r="I1454" s="6"/>
      <c r="J1454" s="2"/>
      <c r="K1454" s="2"/>
      <c r="L1454" s="2"/>
      <c r="M1454" s="2"/>
      <c r="N1454" s="2"/>
      <c r="O1454" s="56"/>
      <c r="P1454" s="2"/>
      <c r="Q1454" s="2"/>
      <c r="R1454" s="2"/>
      <c r="S1454" s="2"/>
      <c r="T1454" s="2"/>
      <c r="U1454" s="2"/>
      <c r="V1454" s="2"/>
      <c r="W1454" s="2"/>
      <c r="X1454" s="2"/>
      <c r="Y1454" s="2"/>
      <c r="Z1454" s="2"/>
      <c r="AA1454" s="2"/>
      <c r="AB1454" s="2"/>
    </row>
    <row r="1455" spans="1:28" x14ac:dyDescent="0.25">
      <c r="A1455" s="2"/>
      <c r="B1455" s="8"/>
      <c r="C1455" s="8"/>
      <c r="D1455" s="8"/>
      <c r="E1455" s="8"/>
      <c r="F1455" s="13"/>
      <c r="G1455" s="59"/>
      <c r="H1455" s="6"/>
      <c r="I1455" s="6"/>
      <c r="J1455" s="2"/>
      <c r="K1455" s="2"/>
      <c r="L1455" s="2"/>
      <c r="M1455" s="2"/>
      <c r="N1455" s="2"/>
      <c r="O1455" s="56"/>
      <c r="P1455" s="2"/>
      <c r="Q1455" s="2"/>
      <c r="R1455" s="2"/>
      <c r="S1455" s="2"/>
      <c r="T1455" s="2"/>
      <c r="U1455" s="2"/>
      <c r="V1455" s="2"/>
      <c r="W1455" s="2"/>
      <c r="X1455" s="2"/>
      <c r="Y1455" s="2"/>
      <c r="Z1455" s="2"/>
      <c r="AA1455" s="2"/>
      <c r="AB1455" s="2"/>
    </row>
    <row r="1456" spans="1:28" x14ac:dyDescent="0.25">
      <c r="A1456" s="2"/>
      <c r="B1456" s="8"/>
      <c r="C1456" s="8"/>
      <c r="D1456" s="8"/>
      <c r="E1456" s="8"/>
      <c r="F1456" s="13"/>
      <c r="G1456" s="59"/>
      <c r="H1456" s="6"/>
      <c r="I1456" s="6"/>
      <c r="J1456" s="2"/>
      <c r="K1456" s="2"/>
      <c r="L1456" s="2"/>
      <c r="M1456" s="2"/>
      <c r="N1456" s="2"/>
      <c r="O1456" s="56"/>
      <c r="P1456" s="2"/>
      <c r="Q1456" s="2"/>
      <c r="R1456" s="2"/>
      <c r="S1456" s="2"/>
      <c r="T1456" s="2"/>
      <c r="U1456" s="2"/>
      <c r="V1456" s="2"/>
      <c r="W1456" s="2"/>
      <c r="X1456" s="2"/>
      <c r="Y1456" s="2"/>
      <c r="Z1456" s="2"/>
      <c r="AA1456" s="2"/>
      <c r="AB1456" s="2"/>
    </row>
    <row r="1457" spans="1:28" x14ac:dyDescent="0.25">
      <c r="A1457" s="2"/>
      <c r="B1457" s="8"/>
      <c r="C1457" s="8"/>
      <c r="D1457" s="8"/>
      <c r="E1457" s="8"/>
      <c r="F1457" s="13"/>
      <c r="G1457" s="59"/>
      <c r="H1457" s="6"/>
      <c r="I1457" s="6"/>
      <c r="J1457" s="2"/>
      <c r="K1457" s="2"/>
      <c r="L1457" s="2"/>
      <c r="M1457" s="2"/>
      <c r="N1457" s="2"/>
      <c r="O1457" s="56"/>
      <c r="P1457" s="2"/>
      <c r="Q1457" s="2"/>
      <c r="R1457" s="2"/>
      <c r="S1457" s="2"/>
      <c r="T1457" s="2"/>
      <c r="U1457" s="2"/>
      <c r="V1457" s="2"/>
      <c r="W1457" s="2"/>
      <c r="X1457" s="2"/>
      <c r="Y1457" s="2"/>
      <c r="Z1457" s="2"/>
      <c r="AA1457" s="2"/>
      <c r="AB1457" s="2"/>
    </row>
    <row r="1458" spans="1:28" x14ac:dyDescent="0.25">
      <c r="A1458" s="2"/>
      <c r="B1458" s="8"/>
      <c r="C1458" s="8"/>
      <c r="D1458" s="8"/>
      <c r="E1458" s="8"/>
      <c r="F1458" s="13"/>
      <c r="G1458" s="59"/>
      <c r="H1458" s="6"/>
      <c r="I1458" s="6"/>
      <c r="J1458" s="2"/>
      <c r="K1458" s="2"/>
      <c r="L1458" s="2"/>
      <c r="M1458" s="2"/>
      <c r="N1458" s="2"/>
      <c r="O1458" s="56"/>
      <c r="P1458" s="2"/>
      <c r="Q1458" s="2"/>
      <c r="R1458" s="2"/>
      <c r="S1458" s="2"/>
      <c r="T1458" s="2"/>
      <c r="U1458" s="2"/>
      <c r="V1458" s="2"/>
      <c r="W1458" s="2"/>
      <c r="X1458" s="2"/>
      <c r="Y1458" s="2"/>
      <c r="Z1458" s="2"/>
      <c r="AA1458" s="2"/>
      <c r="AB1458" s="2"/>
    </row>
    <row r="1459" spans="1:28" x14ac:dyDescent="0.25">
      <c r="A1459" s="2"/>
      <c r="B1459" s="8"/>
      <c r="C1459" s="8"/>
      <c r="D1459" s="8"/>
      <c r="E1459" s="8"/>
      <c r="F1459" s="13"/>
      <c r="G1459" s="59"/>
      <c r="H1459" s="6"/>
      <c r="I1459" s="6"/>
      <c r="J1459" s="2"/>
      <c r="K1459" s="2"/>
      <c r="L1459" s="2"/>
      <c r="M1459" s="2"/>
      <c r="N1459" s="2"/>
      <c r="O1459" s="56"/>
      <c r="P1459" s="2"/>
      <c r="Q1459" s="2"/>
      <c r="R1459" s="2"/>
      <c r="S1459" s="2"/>
      <c r="T1459" s="2"/>
      <c r="U1459" s="2"/>
      <c r="V1459" s="2"/>
      <c r="W1459" s="2"/>
      <c r="X1459" s="2"/>
      <c r="Y1459" s="2"/>
      <c r="Z1459" s="2"/>
      <c r="AA1459" s="2"/>
      <c r="AB1459" s="2"/>
    </row>
    <row r="1460" spans="1:28" x14ac:dyDescent="0.25">
      <c r="A1460" s="2"/>
      <c r="B1460" s="8"/>
      <c r="C1460" s="8"/>
      <c r="D1460" s="8"/>
      <c r="E1460" s="8"/>
      <c r="F1460" s="13"/>
      <c r="G1460" s="59"/>
      <c r="H1460" s="6"/>
      <c r="I1460" s="6"/>
      <c r="J1460" s="2"/>
      <c r="K1460" s="2"/>
      <c r="L1460" s="2"/>
      <c r="M1460" s="2"/>
      <c r="N1460" s="2"/>
      <c r="O1460" s="56"/>
      <c r="P1460" s="2"/>
      <c r="Q1460" s="2"/>
      <c r="R1460" s="2"/>
      <c r="S1460" s="2"/>
      <c r="T1460" s="2"/>
      <c r="U1460" s="2"/>
      <c r="V1460" s="2"/>
      <c r="W1460" s="2"/>
      <c r="X1460" s="2"/>
      <c r="Y1460" s="2"/>
      <c r="Z1460" s="2"/>
      <c r="AA1460" s="2"/>
      <c r="AB1460" s="2"/>
    </row>
    <row r="1461" spans="1:28" x14ac:dyDescent="0.25">
      <c r="A1461" s="2"/>
      <c r="B1461" s="8"/>
      <c r="C1461" s="8"/>
      <c r="D1461" s="8"/>
      <c r="E1461" s="8"/>
      <c r="F1461" s="13"/>
      <c r="G1461" s="59"/>
      <c r="H1461" s="6"/>
      <c r="I1461" s="6"/>
      <c r="J1461" s="2"/>
      <c r="K1461" s="2"/>
      <c r="L1461" s="2"/>
      <c r="M1461" s="2"/>
      <c r="N1461" s="2"/>
      <c r="O1461" s="56"/>
      <c r="P1461" s="2"/>
      <c r="Q1461" s="2"/>
      <c r="R1461" s="2"/>
      <c r="S1461" s="2"/>
      <c r="T1461" s="2"/>
      <c r="U1461" s="2"/>
      <c r="V1461" s="2"/>
      <c r="W1461" s="2"/>
      <c r="X1461" s="2"/>
      <c r="Y1461" s="2"/>
      <c r="Z1461" s="2"/>
      <c r="AA1461" s="2"/>
      <c r="AB1461" s="2"/>
    </row>
    <row r="1462" spans="1:28" x14ac:dyDescent="0.25">
      <c r="A1462" s="2"/>
      <c r="B1462" s="8"/>
      <c r="C1462" s="8"/>
      <c r="D1462" s="8"/>
      <c r="E1462" s="8"/>
      <c r="F1462" s="13"/>
      <c r="G1462" s="59"/>
      <c r="H1462" s="6"/>
      <c r="I1462" s="6"/>
      <c r="J1462" s="2"/>
      <c r="K1462" s="2"/>
      <c r="L1462" s="2"/>
      <c r="M1462" s="2"/>
      <c r="N1462" s="2"/>
      <c r="O1462" s="56"/>
      <c r="P1462" s="2"/>
      <c r="Q1462" s="2"/>
      <c r="R1462" s="2"/>
      <c r="S1462" s="2"/>
      <c r="T1462" s="2"/>
      <c r="U1462" s="2"/>
      <c r="V1462" s="2"/>
      <c r="W1462" s="2"/>
      <c r="X1462" s="2"/>
      <c r="Y1462" s="2"/>
      <c r="Z1462" s="2"/>
      <c r="AA1462" s="2"/>
      <c r="AB1462" s="2"/>
    </row>
    <row r="1463" spans="1:28" x14ac:dyDescent="0.25">
      <c r="A1463" s="2"/>
      <c r="B1463" s="8"/>
      <c r="C1463" s="8"/>
      <c r="D1463" s="8"/>
      <c r="E1463" s="8"/>
      <c r="F1463" s="13"/>
      <c r="G1463" s="59"/>
      <c r="H1463" s="6"/>
      <c r="I1463" s="6"/>
      <c r="J1463" s="2"/>
      <c r="K1463" s="2"/>
      <c r="L1463" s="2"/>
      <c r="M1463" s="2"/>
      <c r="N1463" s="2"/>
      <c r="O1463" s="56"/>
      <c r="P1463" s="2"/>
      <c r="Q1463" s="2"/>
      <c r="R1463" s="2"/>
      <c r="S1463" s="2"/>
      <c r="T1463" s="2"/>
      <c r="U1463" s="2"/>
      <c r="V1463" s="2"/>
      <c r="W1463" s="2"/>
      <c r="X1463" s="2"/>
      <c r="Y1463" s="2"/>
      <c r="Z1463" s="2"/>
      <c r="AA1463" s="2"/>
      <c r="AB1463" s="2"/>
    </row>
    <row r="1464" spans="1:28" x14ac:dyDescent="0.25">
      <c r="A1464" s="2"/>
      <c r="B1464" s="8"/>
      <c r="C1464" s="8"/>
      <c r="D1464" s="8"/>
      <c r="E1464" s="8"/>
      <c r="F1464" s="13"/>
      <c r="G1464" s="59"/>
      <c r="H1464" s="6"/>
      <c r="I1464" s="6"/>
      <c r="J1464" s="2"/>
      <c r="K1464" s="2"/>
      <c r="L1464" s="2"/>
      <c r="M1464" s="2"/>
      <c r="N1464" s="2"/>
      <c r="O1464" s="56"/>
      <c r="P1464" s="2"/>
      <c r="Q1464" s="2"/>
      <c r="R1464" s="2"/>
      <c r="S1464" s="2"/>
      <c r="T1464" s="2"/>
      <c r="U1464" s="2"/>
      <c r="V1464" s="2"/>
      <c r="W1464" s="2"/>
      <c r="X1464" s="2"/>
      <c r="Y1464" s="2"/>
      <c r="Z1464" s="2"/>
      <c r="AA1464" s="2"/>
      <c r="AB1464" s="2"/>
    </row>
    <row r="1465" spans="1:28" x14ac:dyDescent="0.25">
      <c r="A1465" s="2"/>
      <c r="B1465" s="8"/>
      <c r="C1465" s="8"/>
      <c r="D1465" s="8"/>
      <c r="E1465" s="8"/>
      <c r="F1465" s="13"/>
      <c r="G1465" s="59"/>
      <c r="H1465" s="6"/>
      <c r="I1465" s="6"/>
      <c r="J1465" s="2"/>
      <c r="K1465" s="2"/>
      <c r="L1465" s="2"/>
      <c r="M1465" s="2"/>
      <c r="N1465" s="2"/>
      <c r="O1465" s="56"/>
      <c r="P1465" s="2"/>
      <c r="Q1465" s="2"/>
      <c r="R1465" s="2"/>
      <c r="S1465" s="2"/>
      <c r="T1465" s="2"/>
      <c r="U1465" s="2"/>
      <c r="V1465" s="2"/>
      <c r="W1465" s="2"/>
      <c r="X1465" s="2"/>
      <c r="Y1465" s="2"/>
      <c r="Z1465" s="2"/>
      <c r="AA1465" s="2"/>
      <c r="AB1465" s="2"/>
    </row>
    <row r="1466" spans="1:28" x14ac:dyDescent="0.25">
      <c r="A1466" s="2"/>
      <c r="B1466" s="8"/>
      <c r="C1466" s="8"/>
      <c r="D1466" s="8"/>
      <c r="E1466" s="8"/>
      <c r="F1466" s="13"/>
      <c r="G1466" s="59"/>
      <c r="H1466" s="6"/>
      <c r="I1466" s="6"/>
      <c r="J1466" s="2"/>
      <c r="K1466" s="2"/>
      <c r="L1466" s="2"/>
      <c r="M1466" s="2"/>
      <c r="N1466" s="2"/>
      <c r="O1466" s="56"/>
      <c r="P1466" s="2"/>
      <c r="Q1466" s="2"/>
      <c r="R1466" s="2"/>
      <c r="S1466" s="2"/>
      <c r="T1466" s="2"/>
      <c r="U1466" s="2"/>
      <c r="V1466" s="2"/>
      <c r="W1466" s="2"/>
      <c r="X1466" s="2"/>
      <c r="Y1466" s="2"/>
      <c r="Z1466" s="2"/>
      <c r="AA1466" s="2"/>
      <c r="AB1466" s="2"/>
    </row>
    <row r="1467" spans="1:28" x14ac:dyDescent="0.25">
      <c r="A1467" s="2"/>
      <c r="B1467" s="8"/>
      <c r="C1467" s="8"/>
      <c r="D1467" s="8"/>
      <c r="E1467" s="8"/>
      <c r="F1467" s="13"/>
      <c r="G1467" s="59"/>
      <c r="H1467" s="6"/>
      <c r="I1467" s="6"/>
      <c r="J1467" s="2"/>
      <c r="K1467" s="2"/>
      <c r="L1467" s="2"/>
      <c r="M1467" s="2"/>
      <c r="N1467" s="2"/>
      <c r="O1467" s="56"/>
      <c r="P1467" s="2"/>
      <c r="Q1467" s="2"/>
      <c r="R1467" s="2"/>
      <c r="S1467" s="2"/>
      <c r="T1467" s="2"/>
      <c r="U1467" s="2"/>
      <c r="V1467" s="2"/>
      <c r="W1467" s="2"/>
      <c r="X1467" s="2"/>
      <c r="Y1467" s="2"/>
      <c r="Z1467" s="2"/>
      <c r="AA1467" s="2"/>
      <c r="AB1467" s="2"/>
    </row>
    <row r="1468" spans="1:28" x14ac:dyDescent="0.25">
      <c r="A1468" s="2"/>
      <c r="B1468" s="8"/>
      <c r="C1468" s="8"/>
      <c r="D1468" s="8"/>
      <c r="E1468" s="8"/>
      <c r="F1468" s="13"/>
      <c r="G1468" s="59"/>
      <c r="H1468" s="6"/>
      <c r="I1468" s="6"/>
      <c r="J1468" s="2"/>
      <c r="K1468" s="2"/>
      <c r="L1468" s="2"/>
      <c r="M1468" s="2"/>
      <c r="N1468" s="2"/>
      <c r="O1468" s="56"/>
      <c r="P1468" s="2"/>
      <c r="Q1468" s="2"/>
      <c r="R1468" s="2"/>
      <c r="S1468" s="2"/>
      <c r="T1468" s="2"/>
      <c r="U1468" s="2"/>
      <c r="V1468" s="2"/>
      <c r="W1468" s="2"/>
      <c r="X1468" s="2"/>
      <c r="Y1468" s="2"/>
      <c r="Z1468" s="2"/>
      <c r="AA1468" s="2"/>
      <c r="AB1468" s="2"/>
    </row>
    <row r="1469" spans="1:28" x14ac:dyDescent="0.25">
      <c r="A1469" s="2"/>
      <c r="B1469" s="8"/>
      <c r="C1469" s="8"/>
      <c r="D1469" s="8"/>
      <c r="E1469" s="8"/>
      <c r="F1469" s="13"/>
      <c r="G1469" s="59"/>
      <c r="H1469" s="6"/>
      <c r="I1469" s="6"/>
      <c r="J1469" s="2"/>
      <c r="K1469" s="2"/>
      <c r="L1469" s="2"/>
      <c r="M1469" s="2"/>
      <c r="N1469" s="2"/>
      <c r="O1469" s="56"/>
      <c r="P1469" s="2"/>
      <c r="Q1469" s="2"/>
      <c r="R1469" s="2"/>
      <c r="S1469" s="2"/>
      <c r="T1469" s="2"/>
      <c r="U1469" s="2"/>
      <c r="V1469" s="2"/>
      <c r="W1469" s="2"/>
      <c r="X1469" s="2"/>
      <c r="Y1469" s="2"/>
      <c r="Z1469" s="2"/>
      <c r="AA1469" s="2"/>
      <c r="AB1469" s="2"/>
    </row>
    <row r="1470" spans="1:28" x14ac:dyDescent="0.25">
      <c r="A1470" s="2"/>
      <c r="B1470" s="8"/>
      <c r="C1470" s="8"/>
      <c r="D1470" s="8"/>
      <c r="E1470" s="8"/>
      <c r="F1470" s="13"/>
      <c r="G1470" s="59"/>
      <c r="H1470" s="6"/>
      <c r="I1470" s="6"/>
      <c r="J1470" s="2"/>
      <c r="K1470" s="2"/>
      <c r="L1470" s="2"/>
      <c r="M1470" s="2"/>
      <c r="N1470" s="2"/>
      <c r="O1470" s="56"/>
      <c r="P1470" s="2"/>
      <c r="Q1470" s="2"/>
      <c r="R1470" s="2"/>
      <c r="S1470" s="2"/>
      <c r="T1470" s="2"/>
      <c r="U1470" s="2"/>
      <c r="V1470" s="2"/>
      <c r="W1470" s="2"/>
      <c r="X1470" s="2"/>
      <c r="Y1470" s="2"/>
      <c r="Z1470" s="2"/>
      <c r="AA1470" s="2"/>
      <c r="AB1470" s="2"/>
    </row>
    <row r="1471" spans="1:28" x14ac:dyDescent="0.25">
      <c r="A1471" s="2"/>
      <c r="B1471" s="8"/>
      <c r="C1471" s="8"/>
      <c r="D1471" s="8"/>
      <c r="E1471" s="8"/>
      <c r="F1471" s="13"/>
      <c r="G1471" s="59"/>
      <c r="H1471" s="6"/>
      <c r="I1471" s="6"/>
      <c r="J1471" s="2"/>
      <c r="K1471" s="2"/>
      <c r="L1471" s="2"/>
      <c r="M1471" s="2"/>
      <c r="N1471" s="2"/>
      <c r="O1471" s="56"/>
      <c r="P1471" s="2"/>
      <c r="Q1471" s="2"/>
      <c r="R1471" s="2"/>
      <c r="S1471" s="2"/>
      <c r="T1471" s="2"/>
      <c r="U1471" s="2"/>
      <c r="V1471" s="2"/>
      <c r="W1471" s="2"/>
      <c r="X1471" s="2"/>
      <c r="Y1471" s="2"/>
      <c r="Z1471" s="2"/>
      <c r="AA1471" s="2"/>
      <c r="AB1471" s="2"/>
    </row>
    <row r="1472" spans="1:28" x14ac:dyDescent="0.25">
      <c r="A1472" s="2"/>
      <c r="B1472" s="8"/>
      <c r="C1472" s="8"/>
      <c r="D1472" s="8"/>
      <c r="E1472" s="8"/>
      <c r="F1472" s="13"/>
      <c r="G1472" s="59"/>
      <c r="H1472" s="6"/>
      <c r="I1472" s="6"/>
      <c r="J1472" s="2"/>
      <c r="K1472" s="2"/>
      <c r="L1472" s="2"/>
      <c r="M1472" s="2"/>
      <c r="N1472" s="2"/>
      <c r="O1472" s="56"/>
      <c r="P1472" s="2"/>
      <c r="Q1472" s="2"/>
      <c r="R1472" s="2"/>
      <c r="S1472" s="2"/>
      <c r="T1472" s="2"/>
      <c r="U1472" s="2"/>
      <c r="V1472" s="2"/>
      <c r="W1472" s="2"/>
      <c r="X1472" s="2"/>
      <c r="Y1472" s="2"/>
      <c r="Z1472" s="2"/>
      <c r="AA1472" s="2"/>
      <c r="AB1472" s="2"/>
    </row>
    <row r="1473" spans="1:28" x14ac:dyDescent="0.25">
      <c r="A1473" s="2"/>
      <c r="B1473" s="8"/>
      <c r="C1473" s="8"/>
      <c r="D1473" s="8"/>
      <c r="E1473" s="8"/>
      <c r="F1473" s="13"/>
      <c r="G1473" s="59"/>
      <c r="H1473" s="6"/>
      <c r="I1473" s="6"/>
      <c r="J1473" s="2"/>
      <c r="K1473" s="2"/>
      <c r="L1473" s="2"/>
      <c r="M1473" s="2"/>
      <c r="N1473" s="2"/>
      <c r="O1473" s="56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/>
      <c r="AA1473" s="2"/>
      <c r="AB1473" s="2"/>
    </row>
    <row r="1474" spans="1:28" x14ac:dyDescent="0.25">
      <c r="A1474" s="2"/>
      <c r="B1474" s="8"/>
      <c r="C1474" s="8"/>
      <c r="D1474" s="8"/>
      <c r="E1474" s="8"/>
      <c r="F1474" s="13"/>
      <c r="G1474" s="59"/>
      <c r="H1474" s="6"/>
      <c r="I1474" s="6"/>
      <c r="J1474" s="2"/>
      <c r="K1474" s="2"/>
      <c r="L1474" s="2"/>
      <c r="M1474" s="2"/>
      <c r="N1474" s="2"/>
      <c r="O1474" s="56"/>
      <c r="P1474" s="2"/>
      <c r="Q1474" s="2"/>
      <c r="R1474" s="2"/>
      <c r="S1474" s="2"/>
      <c r="T1474" s="2"/>
      <c r="U1474" s="2"/>
      <c r="V1474" s="2"/>
      <c r="W1474" s="2"/>
      <c r="X1474" s="2"/>
      <c r="Y1474" s="2"/>
      <c r="Z1474" s="2"/>
      <c r="AA1474" s="2"/>
      <c r="AB1474" s="2"/>
    </row>
    <row r="1475" spans="1:28" x14ac:dyDescent="0.25">
      <c r="A1475" s="2"/>
      <c r="B1475" s="8"/>
      <c r="C1475" s="8"/>
      <c r="D1475" s="8"/>
      <c r="E1475" s="8"/>
      <c r="F1475" s="13"/>
      <c r="G1475" s="59"/>
      <c r="H1475" s="6"/>
      <c r="I1475" s="6"/>
      <c r="J1475" s="2"/>
      <c r="K1475" s="2"/>
      <c r="L1475" s="2"/>
      <c r="M1475" s="2"/>
      <c r="N1475" s="2"/>
      <c r="O1475" s="56"/>
      <c r="P1475" s="2"/>
      <c r="Q1475" s="2"/>
      <c r="R1475" s="2"/>
      <c r="S1475" s="2"/>
      <c r="T1475" s="2"/>
      <c r="U1475" s="2"/>
      <c r="V1475" s="2"/>
      <c r="W1475" s="2"/>
      <c r="X1475" s="2"/>
      <c r="Y1475" s="2"/>
      <c r="Z1475" s="2"/>
      <c r="AA1475" s="2"/>
      <c r="AB1475" s="2"/>
    </row>
    <row r="1476" spans="1:28" x14ac:dyDescent="0.25">
      <c r="A1476" s="2"/>
      <c r="B1476" s="8"/>
      <c r="C1476" s="8"/>
      <c r="D1476" s="8"/>
      <c r="E1476" s="8"/>
      <c r="F1476" s="13"/>
      <c r="G1476" s="59"/>
      <c r="H1476" s="6"/>
      <c r="I1476" s="6"/>
      <c r="J1476" s="2"/>
      <c r="K1476" s="2"/>
      <c r="L1476" s="2"/>
      <c r="M1476" s="2"/>
      <c r="N1476" s="2"/>
      <c r="O1476" s="56"/>
      <c r="P1476" s="2"/>
      <c r="Q1476" s="2"/>
      <c r="R1476" s="2"/>
      <c r="S1476" s="2"/>
      <c r="T1476" s="2"/>
      <c r="U1476" s="2"/>
      <c r="V1476" s="2"/>
      <c r="W1476" s="2"/>
      <c r="X1476" s="2"/>
      <c r="Y1476" s="2"/>
      <c r="Z1476" s="2"/>
      <c r="AA1476" s="2"/>
      <c r="AB1476" s="2"/>
    </row>
    <row r="1477" spans="1:28" x14ac:dyDescent="0.25">
      <c r="A1477" s="2"/>
      <c r="B1477" s="8"/>
      <c r="C1477" s="8"/>
      <c r="D1477" s="8"/>
      <c r="E1477" s="8"/>
      <c r="F1477" s="13"/>
      <c r="G1477" s="59"/>
      <c r="H1477" s="6"/>
      <c r="I1477" s="6"/>
      <c r="J1477" s="2"/>
      <c r="K1477" s="2"/>
      <c r="L1477" s="2"/>
      <c r="M1477" s="2"/>
      <c r="N1477" s="2"/>
      <c r="O1477" s="56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  <c r="AA1477" s="2"/>
      <c r="AB1477" s="2"/>
    </row>
    <row r="1478" spans="1:28" x14ac:dyDescent="0.25">
      <c r="A1478" s="2"/>
      <c r="B1478" s="8"/>
      <c r="C1478" s="8"/>
      <c r="D1478" s="8"/>
      <c r="E1478" s="8"/>
      <c r="F1478" s="13"/>
      <c r="G1478" s="59"/>
      <c r="H1478" s="6"/>
      <c r="I1478" s="6"/>
      <c r="J1478" s="2"/>
      <c r="K1478" s="2"/>
      <c r="L1478" s="2"/>
      <c r="M1478" s="2"/>
      <c r="N1478" s="2"/>
      <c r="O1478" s="56"/>
      <c r="P1478" s="2"/>
      <c r="Q1478" s="2"/>
      <c r="R1478" s="2"/>
      <c r="S1478" s="2"/>
      <c r="T1478" s="2"/>
      <c r="U1478" s="2"/>
      <c r="V1478" s="2"/>
      <c r="W1478" s="2"/>
      <c r="X1478" s="2"/>
      <c r="Y1478" s="2"/>
      <c r="Z1478" s="2"/>
      <c r="AA1478" s="2"/>
      <c r="AB1478" s="2"/>
    </row>
    <row r="1479" spans="1:28" x14ac:dyDescent="0.25">
      <c r="A1479" s="2"/>
      <c r="B1479" s="8"/>
      <c r="C1479" s="8"/>
      <c r="D1479" s="8"/>
      <c r="E1479" s="8"/>
      <c r="F1479" s="13"/>
      <c r="G1479" s="59"/>
      <c r="H1479" s="6"/>
      <c r="I1479" s="6"/>
      <c r="J1479" s="2"/>
      <c r="K1479" s="2"/>
      <c r="L1479" s="2"/>
      <c r="M1479" s="2"/>
      <c r="N1479" s="2"/>
      <c r="O1479" s="56"/>
      <c r="P1479" s="2"/>
      <c r="Q1479" s="2"/>
      <c r="R1479" s="2"/>
      <c r="S1479" s="2"/>
      <c r="T1479" s="2"/>
      <c r="U1479" s="2"/>
      <c r="V1479" s="2"/>
      <c r="W1479" s="2"/>
      <c r="X1479" s="2"/>
      <c r="Y1479" s="2"/>
      <c r="Z1479" s="2"/>
      <c r="AA1479" s="2"/>
      <c r="AB1479" s="2"/>
    </row>
    <row r="1480" spans="1:28" x14ac:dyDescent="0.25">
      <c r="A1480" s="2"/>
      <c r="B1480" s="8"/>
      <c r="C1480" s="8"/>
      <c r="D1480" s="8"/>
      <c r="E1480" s="8"/>
      <c r="F1480" s="13"/>
      <c r="G1480" s="59"/>
      <c r="H1480" s="6"/>
      <c r="I1480" s="6"/>
      <c r="J1480" s="2"/>
      <c r="K1480" s="2"/>
      <c r="L1480" s="2"/>
      <c r="M1480" s="2"/>
      <c r="N1480" s="2"/>
      <c r="O1480" s="56"/>
      <c r="P1480" s="2"/>
      <c r="Q1480" s="2"/>
      <c r="R1480" s="2"/>
      <c r="S1480" s="2"/>
      <c r="T1480" s="2"/>
      <c r="U1480" s="2"/>
      <c r="V1480" s="2"/>
      <c r="W1480" s="2"/>
      <c r="X1480" s="2"/>
      <c r="Y1480" s="2"/>
      <c r="Z1480" s="2"/>
      <c r="AA1480" s="2"/>
      <c r="AB1480" s="2"/>
    </row>
    <row r="1481" spans="1:28" x14ac:dyDescent="0.25">
      <c r="A1481" s="2"/>
      <c r="B1481" s="8"/>
      <c r="C1481" s="8"/>
      <c r="D1481" s="8"/>
      <c r="E1481" s="8"/>
      <c r="F1481" s="13"/>
      <c r="G1481" s="59"/>
      <c r="H1481" s="6"/>
      <c r="I1481" s="6"/>
      <c r="J1481" s="2"/>
      <c r="K1481" s="2"/>
      <c r="L1481" s="2"/>
      <c r="M1481" s="2"/>
      <c r="N1481" s="2"/>
      <c r="O1481" s="56"/>
      <c r="P1481" s="2"/>
      <c r="Q1481" s="2"/>
      <c r="R1481" s="2"/>
      <c r="S1481" s="2"/>
      <c r="T1481" s="2"/>
      <c r="U1481" s="2"/>
      <c r="V1481" s="2"/>
      <c r="W1481" s="2"/>
      <c r="X1481" s="2"/>
      <c r="Y1481" s="2"/>
      <c r="Z1481" s="2"/>
      <c r="AA1481" s="2"/>
      <c r="AB1481" s="2"/>
    </row>
    <row r="1482" spans="1:28" x14ac:dyDescent="0.25">
      <c r="A1482" s="2"/>
      <c r="B1482" s="8"/>
      <c r="C1482" s="8"/>
      <c r="D1482" s="8"/>
      <c r="E1482" s="8"/>
      <c r="F1482" s="13"/>
      <c r="G1482" s="59"/>
      <c r="H1482" s="6"/>
      <c r="I1482" s="6"/>
      <c r="J1482" s="2"/>
      <c r="K1482" s="2"/>
      <c r="L1482" s="2"/>
      <c r="M1482" s="2"/>
      <c r="N1482" s="2"/>
      <c r="O1482" s="56"/>
      <c r="P1482" s="2"/>
      <c r="Q1482" s="2"/>
      <c r="R1482" s="2"/>
      <c r="S1482" s="2"/>
      <c r="T1482" s="2"/>
      <c r="U1482" s="2"/>
      <c r="V1482" s="2"/>
      <c r="W1482" s="2"/>
      <c r="X1482" s="2"/>
      <c r="Y1482" s="2"/>
      <c r="Z1482" s="2"/>
      <c r="AA1482" s="2"/>
      <c r="AB1482" s="2"/>
    </row>
    <row r="1483" spans="1:28" x14ac:dyDescent="0.25">
      <c r="A1483" s="2"/>
      <c r="B1483" s="8"/>
      <c r="C1483" s="8"/>
      <c r="D1483" s="8"/>
      <c r="E1483" s="8"/>
      <c r="F1483" s="13"/>
      <c r="G1483" s="59"/>
      <c r="H1483" s="6"/>
      <c r="I1483" s="6"/>
      <c r="J1483" s="2"/>
      <c r="K1483" s="2"/>
      <c r="L1483" s="2"/>
      <c r="M1483" s="2"/>
      <c r="N1483" s="2"/>
      <c r="O1483" s="56"/>
      <c r="P1483" s="2"/>
      <c r="Q1483" s="2"/>
      <c r="R1483" s="2"/>
      <c r="S1483" s="2"/>
      <c r="T1483" s="2"/>
      <c r="U1483" s="2"/>
      <c r="V1483" s="2"/>
      <c r="W1483" s="2"/>
      <c r="X1483" s="2"/>
      <c r="Y1483" s="2"/>
      <c r="Z1483" s="2"/>
      <c r="AA1483" s="2"/>
      <c r="AB1483" s="2"/>
    </row>
    <row r="1484" spans="1:28" x14ac:dyDescent="0.25">
      <c r="A1484" s="2"/>
      <c r="B1484" s="8"/>
      <c r="C1484" s="8"/>
      <c r="D1484" s="8"/>
      <c r="E1484" s="8"/>
      <c r="F1484" s="13"/>
      <c r="G1484" s="59"/>
      <c r="H1484" s="6"/>
      <c r="I1484" s="6"/>
      <c r="J1484" s="2"/>
      <c r="K1484" s="2"/>
      <c r="L1484" s="2"/>
      <c r="M1484" s="2"/>
      <c r="N1484" s="2"/>
      <c r="O1484" s="56"/>
      <c r="P1484" s="2"/>
      <c r="Q1484" s="2"/>
      <c r="R1484" s="2"/>
      <c r="S1484" s="2"/>
      <c r="T1484" s="2"/>
      <c r="U1484" s="2"/>
      <c r="V1484" s="2"/>
      <c r="W1484" s="2"/>
      <c r="X1484" s="2"/>
      <c r="Y1484" s="2"/>
      <c r="Z1484" s="2"/>
      <c r="AA1484" s="2"/>
      <c r="AB1484" s="2"/>
    </row>
    <row r="1485" spans="1:28" x14ac:dyDescent="0.25">
      <c r="A1485" s="2"/>
      <c r="B1485" s="8"/>
      <c r="C1485" s="8"/>
      <c r="D1485" s="8"/>
      <c r="E1485" s="8"/>
      <c r="F1485" s="13"/>
      <c r="G1485" s="59"/>
      <c r="H1485" s="6"/>
      <c r="I1485" s="6"/>
      <c r="J1485" s="2"/>
      <c r="K1485" s="2"/>
      <c r="L1485" s="2"/>
      <c r="M1485" s="2"/>
      <c r="N1485" s="2"/>
      <c r="O1485" s="56"/>
      <c r="P1485" s="2"/>
      <c r="Q1485" s="2"/>
      <c r="R1485" s="2"/>
      <c r="S1485" s="2"/>
      <c r="T1485" s="2"/>
      <c r="U1485" s="2"/>
      <c r="V1485" s="2"/>
      <c r="W1485" s="2"/>
      <c r="X1485" s="2"/>
      <c r="Y1485" s="2"/>
      <c r="Z1485" s="2"/>
      <c r="AA1485" s="2"/>
      <c r="AB1485" s="2"/>
    </row>
    <row r="1486" spans="1:28" x14ac:dyDescent="0.25">
      <c r="A1486" s="2"/>
      <c r="B1486" s="8"/>
      <c r="C1486" s="8"/>
      <c r="D1486" s="8"/>
      <c r="E1486" s="8"/>
      <c r="F1486" s="13"/>
      <c r="G1486" s="59"/>
      <c r="H1486" s="6"/>
      <c r="I1486" s="6"/>
      <c r="J1486" s="2"/>
      <c r="K1486" s="2"/>
      <c r="L1486" s="2"/>
      <c r="M1486" s="2"/>
      <c r="N1486" s="2"/>
      <c r="O1486" s="56"/>
      <c r="P1486" s="2"/>
      <c r="Q1486" s="2"/>
      <c r="R1486" s="2"/>
      <c r="S1486" s="2"/>
      <c r="T1486" s="2"/>
      <c r="U1486" s="2"/>
      <c r="V1486" s="2"/>
      <c r="W1486" s="2"/>
      <c r="X1486" s="2"/>
      <c r="Y1486" s="2"/>
      <c r="Z1486" s="2"/>
      <c r="AA1486" s="2"/>
      <c r="AB1486" s="2"/>
    </row>
    <row r="1487" spans="1:28" x14ac:dyDescent="0.25">
      <c r="A1487" s="2"/>
      <c r="B1487" s="8"/>
      <c r="C1487" s="8"/>
      <c r="D1487" s="8"/>
      <c r="E1487" s="8"/>
      <c r="F1487" s="13"/>
      <c r="G1487" s="59"/>
      <c r="H1487" s="6"/>
      <c r="I1487" s="6"/>
      <c r="J1487" s="2"/>
      <c r="K1487" s="2"/>
      <c r="L1487" s="2"/>
      <c r="M1487" s="2"/>
      <c r="N1487" s="2"/>
      <c r="O1487" s="56"/>
      <c r="P1487" s="2"/>
      <c r="Q1487" s="2"/>
      <c r="R1487" s="2"/>
      <c r="S1487" s="2"/>
      <c r="T1487" s="2"/>
      <c r="U1487" s="2"/>
      <c r="V1487" s="2"/>
      <c r="W1487" s="2"/>
      <c r="X1487" s="2"/>
      <c r="Y1487" s="2"/>
      <c r="Z1487" s="2"/>
      <c r="AA1487" s="2"/>
      <c r="AB1487" s="2"/>
    </row>
    <row r="1488" spans="1:28" x14ac:dyDescent="0.25">
      <c r="A1488" s="2"/>
      <c r="B1488" s="8"/>
      <c r="C1488" s="8"/>
      <c r="D1488" s="8"/>
      <c r="E1488" s="8"/>
      <c r="F1488" s="13"/>
      <c r="G1488" s="59"/>
      <c r="H1488" s="6"/>
      <c r="I1488" s="6"/>
      <c r="J1488" s="2"/>
      <c r="K1488" s="2"/>
      <c r="L1488" s="2"/>
      <c r="M1488" s="2"/>
      <c r="N1488" s="2"/>
      <c r="O1488" s="56"/>
      <c r="P1488" s="2"/>
      <c r="Q1488" s="2"/>
      <c r="R1488" s="2"/>
      <c r="S1488" s="2"/>
      <c r="T1488" s="2"/>
      <c r="U1488" s="2"/>
      <c r="V1488" s="2"/>
      <c r="W1488" s="2"/>
      <c r="X1488" s="2"/>
      <c r="Y1488" s="2"/>
      <c r="Z1488" s="2"/>
      <c r="AA1488" s="2"/>
      <c r="AB1488" s="2"/>
    </row>
    <row r="1489" spans="1:28" x14ac:dyDescent="0.25">
      <c r="A1489" s="2"/>
      <c r="B1489" s="8"/>
      <c r="C1489" s="8"/>
      <c r="D1489" s="8"/>
      <c r="E1489" s="8"/>
      <c r="F1489" s="13"/>
      <c r="G1489" s="59"/>
      <c r="H1489" s="6"/>
      <c r="I1489" s="6"/>
      <c r="J1489" s="2"/>
      <c r="K1489" s="2"/>
      <c r="L1489" s="2"/>
      <c r="M1489" s="2"/>
      <c r="N1489" s="2"/>
      <c r="O1489" s="56"/>
      <c r="P1489" s="2"/>
      <c r="Q1489" s="2"/>
      <c r="R1489" s="2"/>
      <c r="S1489" s="2"/>
      <c r="T1489" s="2"/>
      <c r="U1489" s="2"/>
      <c r="V1489" s="2"/>
      <c r="W1489" s="2"/>
      <c r="X1489" s="2"/>
      <c r="Y1489" s="2"/>
      <c r="Z1489" s="2"/>
      <c r="AA1489" s="2"/>
      <c r="AB1489" s="2"/>
    </row>
    <row r="1490" spans="1:28" x14ac:dyDescent="0.25">
      <c r="A1490" s="2"/>
      <c r="B1490" s="8"/>
      <c r="C1490" s="8"/>
      <c r="D1490" s="8"/>
      <c r="E1490" s="8"/>
      <c r="F1490" s="13"/>
      <c r="G1490" s="59"/>
      <c r="H1490" s="6"/>
      <c r="I1490" s="6"/>
      <c r="J1490" s="2"/>
      <c r="K1490" s="2"/>
      <c r="L1490" s="2"/>
      <c r="M1490" s="2"/>
      <c r="N1490" s="2"/>
      <c r="O1490" s="56"/>
      <c r="P1490" s="2"/>
      <c r="Q1490" s="2"/>
      <c r="R1490" s="2"/>
      <c r="S1490" s="2"/>
      <c r="T1490" s="2"/>
      <c r="U1490" s="2"/>
      <c r="V1490" s="2"/>
      <c r="W1490" s="2"/>
      <c r="X1490" s="2"/>
      <c r="Y1490" s="2"/>
      <c r="Z1490" s="2"/>
      <c r="AA1490" s="2"/>
      <c r="AB1490" s="2"/>
    </row>
    <row r="1491" spans="1:28" x14ac:dyDescent="0.25">
      <c r="A1491" s="2"/>
      <c r="B1491" s="8"/>
      <c r="C1491" s="8"/>
      <c r="D1491" s="8"/>
      <c r="E1491" s="8"/>
      <c r="F1491" s="13"/>
      <c r="G1491" s="59"/>
      <c r="H1491" s="6"/>
      <c r="I1491" s="6"/>
      <c r="J1491" s="2"/>
      <c r="K1491" s="2"/>
      <c r="L1491" s="2"/>
      <c r="M1491" s="2"/>
      <c r="N1491" s="2"/>
      <c r="O1491" s="56"/>
      <c r="P1491" s="2"/>
      <c r="Q1491" s="2"/>
      <c r="R1491" s="2"/>
      <c r="S1491" s="2"/>
      <c r="T1491" s="2"/>
      <c r="U1491" s="2"/>
      <c r="V1491" s="2"/>
      <c r="W1491" s="2"/>
      <c r="X1491" s="2"/>
      <c r="Y1491" s="2"/>
      <c r="Z1491" s="2"/>
      <c r="AA1491" s="2"/>
      <c r="AB1491" s="2"/>
    </row>
    <row r="1492" spans="1:28" x14ac:dyDescent="0.25">
      <c r="A1492" s="2"/>
      <c r="B1492" s="8"/>
      <c r="C1492" s="8"/>
      <c r="D1492" s="8"/>
      <c r="E1492" s="8"/>
      <c r="F1492" s="13"/>
      <c r="G1492" s="59"/>
      <c r="H1492" s="6"/>
      <c r="I1492" s="6"/>
      <c r="J1492" s="2"/>
      <c r="K1492" s="2"/>
      <c r="L1492" s="2"/>
      <c r="M1492" s="2"/>
      <c r="N1492" s="2"/>
      <c r="O1492" s="56"/>
      <c r="P1492" s="2"/>
      <c r="Q1492" s="2"/>
      <c r="R1492" s="2"/>
      <c r="S1492" s="2"/>
      <c r="T1492" s="2"/>
      <c r="U1492" s="2"/>
      <c r="V1492" s="2"/>
      <c r="W1492" s="2"/>
      <c r="X1492" s="2"/>
      <c r="Y1492" s="2"/>
      <c r="Z1492" s="2"/>
      <c r="AA1492" s="2"/>
      <c r="AB1492" s="2"/>
    </row>
    <row r="1493" spans="1:28" x14ac:dyDescent="0.25">
      <c r="A1493" s="2"/>
      <c r="B1493" s="8"/>
      <c r="C1493" s="8"/>
      <c r="D1493" s="8"/>
      <c r="E1493" s="8"/>
      <c r="F1493" s="13"/>
      <c r="G1493" s="59"/>
      <c r="H1493" s="6"/>
      <c r="I1493" s="6"/>
      <c r="J1493" s="2"/>
      <c r="K1493" s="2"/>
      <c r="L1493" s="2"/>
      <c r="M1493" s="2"/>
      <c r="N1493" s="2"/>
      <c r="O1493" s="56"/>
      <c r="P1493" s="2"/>
      <c r="Q1493" s="2"/>
      <c r="R1493" s="2"/>
      <c r="S1493" s="2"/>
      <c r="T1493" s="2"/>
      <c r="U1493" s="2"/>
      <c r="V1493" s="2"/>
      <c r="W1493" s="2"/>
      <c r="X1493" s="2"/>
      <c r="Y1493" s="2"/>
      <c r="Z1493" s="2"/>
      <c r="AA1493" s="2"/>
      <c r="AB1493" s="2"/>
    </row>
    <row r="1494" spans="1:28" x14ac:dyDescent="0.25">
      <c r="A1494" s="2"/>
      <c r="B1494" s="8"/>
      <c r="C1494" s="8"/>
      <c r="D1494" s="8"/>
      <c r="E1494" s="8"/>
      <c r="F1494" s="13"/>
      <c r="G1494" s="59"/>
      <c r="H1494" s="6"/>
      <c r="I1494" s="6"/>
      <c r="J1494" s="2"/>
      <c r="K1494" s="2"/>
      <c r="L1494" s="2"/>
      <c r="M1494" s="2"/>
      <c r="N1494" s="2"/>
      <c r="O1494" s="56"/>
      <c r="P1494" s="2"/>
      <c r="Q1494" s="2"/>
      <c r="R1494" s="2"/>
      <c r="S1494" s="2"/>
      <c r="T1494" s="2"/>
      <c r="U1494" s="2"/>
      <c r="V1494" s="2"/>
      <c r="W1494" s="2"/>
      <c r="X1494" s="2"/>
      <c r="Y1494" s="2"/>
      <c r="Z1494" s="2"/>
      <c r="AA1494" s="2"/>
      <c r="AB1494" s="2"/>
    </row>
    <row r="1495" spans="1:28" x14ac:dyDescent="0.25">
      <c r="A1495" s="2"/>
      <c r="B1495" s="8"/>
      <c r="C1495" s="8"/>
      <c r="D1495" s="8"/>
      <c r="E1495" s="8"/>
      <c r="F1495" s="13"/>
      <c r="G1495" s="59"/>
      <c r="H1495" s="6"/>
      <c r="I1495" s="6"/>
      <c r="J1495" s="2"/>
      <c r="K1495" s="2"/>
      <c r="L1495" s="2"/>
      <c r="M1495" s="2"/>
      <c r="N1495" s="2"/>
      <c r="O1495" s="56"/>
      <c r="P1495" s="2"/>
      <c r="Q1495" s="2"/>
      <c r="R1495" s="2"/>
      <c r="S1495" s="2"/>
      <c r="T1495" s="2"/>
      <c r="U1495" s="2"/>
      <c r="V1495" s="2"/>
      <c r="W1495" s="2"/>
      <c r="X1495" s="2"/>
      <c r="Y1495" s="2"/>
      <c r="Z1495" s="2"/>
      <c r="AA1495" s="2"/>
      <c r="AB1495" s="2"/>
    </row>
    <row r="1496" spans="1:28" x14ac:dyDescent="0.25">
      <c r="A1496" s="2"/>
      <c r="B1496" s="8"/>
      <c r="C1496" s="8"/>
      <c r="D1496" s="8"/>
      <c r="E1496" s="8"/>
      <c r="F1496" s="13"/>
      <c r="G1496" s="59"/>
      <c r="H1496" s="6"/>
      <c r="I1496" s="6"/>
      <c r="J1496" s="2"/>
      <c r="K1496" s="2"/>
      <c r="L1496" s="2"/>
      <c r="M1496" s="2"/>
      <c r="N1496" s="2"/>
      <c r="O1496" s="56"/>
      <c r="P1496" s="2"/>
      <c r="Q1496" s="2"/>
      <c r="R1496" s="2"/>
      <c r="S1496" s="2"/>
      <c r="T1496" s="2"/>
      <c r="U1496" s="2"/>
      <c r="V1496" s="2"/>
      <c r="W1496" s="2"/>
      <c r="X1496" s="2"/>
      <c r="Y1496" s="2"/>
      <c r="Z1496" s="2"/>
      <c r="AA1496" s="2"/>
      <c r="AB1496" s="2"/>
    </row>
    <row r="1497" spans="1:28" x14ac:dyDescent="0.25">
      <c r="A1497" s="2"/>
      <c r="B1497" s="8"/>
      <c r="C1497" s="8"/>
      <c r="D1497" s="8"/>
      <c r="E1497" s="8"/>
      <c r="F1497" s="13"/>
      <c r="G1497" s="59"/>
      <c r="H1497" s="6"/>
      <c r="I1497" s="6"/>
      <c r="J1497" s="2"/>
      <c r="K1497" s="2"/>
      <c r="L1497" s="2"/>
      <c r="M1497" s="2"/>
      <c r="N1497" s="2"/>
      <c r="O1497" s="56"/>
      <c r="P1497" s="2"/>
      <c r="Q1497" s="2"/>
      <c r="R1497" s="2"/>
      <c r="S1497" s="2"/>
      <c r="T1497" s="2"/>
      <c r="U1497" s="2"/>
      <c r="V1497" s="2"/>
      <c r="W1497" s="2"/>
      <c r="X1497" s="2"/>
      <c r="Y1497" s="2"/>
      <c r="Z1497" s="2"/>
      <c r="AA1497" s="2"/>
      <c r="AB1497" s="2"/>
    </row>
    <row r="1498" spans="1:28" x14ac:dyDescent="0.25">
      <c r="A1498" s="2"/>
      <c r="B1498" s="8"/>
      <c r="C1498" s="8"/>
      <c r="D1498" s="8"/>
      <c r="E1498" s="8"/>
      <c r="F1498" s="13"/>
      <c r="G1498" s="59"/>
      <c r="H1498" s="6"/>
      <c r="I1498" s="6"/>
      <c r="J1498" s="2"/>
      <c r="K1498" s="2"/>
      <c r="L1498" s="2"/>
      <c r="M1498" s="2"/>
      <c r="N1498" s="2"/>
      <c r="O1498" s="56"/>
      <c r="P1498" s="2"/>
      <c r="Q1498" s="2"/>
      <c r="R1498" s="2"/>
      <c r="S1498" s="2"/>
      <c r="T1498" s="2"/>
      <c r="U1498" s="2"/>
      <c r="V1498" s="2"/>
      <c r="W1498" s="2"/>
      <c r="X1498" s="2"/>
      <c r="Y1498" s="2"/>
      <c r="Z1498" s="2"/>
      <c r="AA1498" s="2"/>
      <c r="AB1498" s="2"/>
    </row>
    <row r="1499" spans="1:28" x14ac:dyDescent="0.25">
      <c r="A1499" s="2"/>
      <c r="B1499" s="8"/>
      <c r="C1499" s="8"/>
      <c r="D1499" s="8"/>
      <c r="E1499" s="8"/>
      <c r="F1499" s="13"/>
      <c r="G1499" s="59"/>
      <c r="H1499" s="6"/>
      <c r="I1499" s="6"/>
      <c r="J1499" s="2"/>
      <c r="K1499" s="2"/>
      <c r="L1499" s="2"/>
      <c r="M1499" s="2"/>
      <c r="N1499" s="2"/>
      <c r="O1499" s="56"/>
      <c r="P1499" s="2"/>
      <c r="Q1499" s="2"/>
      <c r="R1499" s="2"/>
      <c r="S1499" s="2"/>
      <c r="T1499" s="2"/>
      <c r="U1499" s="2"/>
      <c r="V1499" s="2"/>
      <c r="W1499" s="2"/>
      <c r="X1499" s="2"/>
      <c r="Y1499" s="2"/>
      <c r="Z1499" s="2"/>
      <c r="AA1499" s="2"/>
      <c r="AB1499" s="2"/>
    </row>
    <row r="1500" spans="1:28" x14ac:dyDescent="0.25">
      <c r="A1500" s="2"/>
      <c r="B1500" s="8"/>
      <c r="C1500" s="8"/>
      <c r="D1500" s="8"/>
      <c r="E1500" s="8"/>
      <c r="F1500" s="13"/>
      <c r="G1500" s="59"/>
      <c r="H1500" s="6"/>
      <c r="I1500" s="6"/>
      <c r="J1500" s="2"/>
      <c r="K1500" s="2"/>
      <c r="L1500" s="2"/>
      <c r="M1500" s="2"/>
      <c r="N1500" s="2"/>
      <c r="O1500" s="56"/>
      <c r="P1500" s="2"/>
      <c r="Q1500" s="2"/>
      <c r="R1500" s="2"/>
      <c r="S1500" s="2"/>
      <c r="T1500" s="2"/>
      <c r="U1500" s="2"/>
      <c r="V1500" s="2"/>
      <c r="W1500" s="2"/>
      <c r="X1500" s="2"/>
      <c r="Y1500" s="2"/>
      <c r="Z1500" s="2"/>
      <c r="AA1500" s="2"/>
      <c r="AB1500" s="2"/>
    </row>
    <row r="1501" spans="1:28" x14ac:dyDescent="0.25">
      <c r="A1501" s="2"/>
      <c r="B1501" s="8"/>
      <c r="C1501" s="8"/>
      <c r="D1501" s="8"/>
      <c r="E1501" s="8"/>
      <c r="F1501" s="13"/>
      <c r="G1501" s="59"/>
      <c r="H1501" s="6"/>
      <c r="I1501" s="6"/>
      <c r="J1501" s="2"/>
      <c r="K1501" s="2"/>
      <c r="L1501" s="2"/>
      <c r="M1501" s="2"/>
      <c r="N1501" s="2"/>
      <c r="O1501" s="56"/>
      <c r="P1501" s="2"/>
      <c r="Q1501" s="2"/>
      <c r="R1501" s="2"/>
      <c r="S1501" s="2"/>
      <c r="T1501" s="2"/>
      <c r="U1501" s="2"/>
      <c r="V1501" s="2"/>
      <c r="W1501" s="2"/>
      <c r="X1501" s="2"/>
      <c r="Y1501" s="2"/>
      <c r="Z1501" s="2"/>
      <c r="AA1501" s="2"/>
      <c r="AB1501" s="2"/>
    </row>
    <row r="1502" spans="1:28" x14ac:dyDescent="0.25">
      <c r="A1502" s="2"/>
      <c r="B1502" s="8"/>
      <c r="C1502" s="8"/>
      <c r="D1502" s="8"/>
      <c r="E1502" s="8"/>
      <c r="F1502" s="13"/>
      <c r="G1502" s="59"/>
      <c r="H1502" s="6"/>
      <c r="I1502" s="6"/>
      <c r="J1502" s="2"/>
      <c r="K1502" s="2"/>
      <c r="L1502" s="2"/>
      <c r="M1502" s="2"/>
      <c r="N1502" s="2"/>
      <c r="O1502" s="56"/>
      <c r="P1502" s="2"/>
      <c r="Q1502" s="2"/>
      <c r="R1502" s="2"/>
      <c r="S1502" s="2"/>
      <c r="T1502" s="2"/>
      <c r="U1502" s="2"/>
      <c r="V1502" s="2"/>
      <c r="W1502" s="2"/>
      <c r="X1502" s="2"/>
      <c r="Y1502" s="2"/>
      <c r="Z1502" s="2"/>
      <c r="AA1502" s="2"/>
      <c r="AB1502" s="2"/>
    </row>
    <row r="1503" spans="1:28" x14ac:dyDescent="0.25">
      <c r="A1503" s="2"/>
      <c r="B1503" s="8"/>
      <c r="C1503" s="8"/>
      <c r="D1503" s="8"/>
      <c r="E1503" s="8"/>
      <c r="F1503" s="13"/>
      <c r="G1503" s="59"/>
      <c r="H1503" s="6"/>
      <c r="I1503" s="6"/>
      <c r="J1503" s="2"/>
      <c r="K1503" s="2"/>
      <c r="L1503" s="2"/>
      <c r="M1503" s="2"/>
      <c r="N1503" s="2"/>
      <c r="O1503" s="56"/>
      <c r="P1503" s="2"/>
      <c r="Q1503" s="2"/>
      <c r="R1503" s="2"/>
      <c r="S1503" s="2"/>
      <c r="T1503" s="2"/>
      <c r="U1503" s="2"/>
      <c r="V1503" s="2"/>
      <c r="W1503" s="2"/>
      <c r="X1503" s="2"/>
      <c r="Y1503" s="2"/>
      <c r="Z1503" s="2"/>
      <c r="AA1503" s="2"/>
      <c r="AB1503" s="2"/>
    </row>
    <row r="1504" spans="1:28" x14ac:dyDescent="0.25">
      <c r="A1504" s="2"/>
      <c r="B1504" s="8"/>
      <c r="C1504" s="8"/>
      <c r="D1504" s="8"/>
      <c r="E1504" s="8"/>
      <c r="F1504" s="13"/>
      <c r="G1504" s="59"/>
      <c r="H1504" s="6"/>
      <c r="I1504" s="6"/>
      <c r="J1504" s="2"/>
      <c r="K1504" s="2"/>
      <c r="L1504" s="2"/>
      <c r="M1504" s="2"/>
      <c r="N1504" s="2"/>
      <c r="O1504" s="56"/>
      <c r="P1504" s="2"/>
      <c r="Q1504" s="2"/>
      <c r="R1504" s="2"/>
      <c r="S1504" s="2"/>
      <c r="T1504" s="2"/>
      <c r="U1504" s="2"/>
      <c r="V1504" s="2"/>
      <c r="W1504" s="2"/>
      <c r="X1504" s="2"/>
      <c r="Y1504" s="2"/>
      <c r="Z1504" s="2"/>
      <c r="AA1504" s="2"/>
      <c r="AB1504" s="2"/>
    </row>
    <row r="1505" spans="1:28" x14ac:dyDescent="0.25">
      <c r="A1505" s="2"/>
      <c r="B1505" s="8"/>
      <c r="C1505" s="8"/>
      <c r="D1505" s="8"/>
      <c r="E1505" s="8"/>
      <c r="F1505" s="13"/>
      <c r="G1505" s="59"/>
      <c r="H1505" s="6"/>
      <c r="I1505" s="6"/>
      <c r="J1505" s="2"/>
      <c r="K1505" s="2"/>
      <c r="L1505" s="2"/>
      <c r="M1505" s="2"/>
      <c r="N1505" s="2"/>
      <c r="O1505" s="56"/>
      <c r="P1505" s="2"/>
      <c r="Q1505" s="2"/>
      <c r="R1505" s="2"/>
      <c r="S1505" s="2"/>
      <c r="T1505" s="2"/>
      <c r="U1505" s="2"/>
      <c r="V1505" s="2"/>
      <c r="W1505" s="2"/>
      <c r="X1505" s="2"/>
      <c r="Y1505" s="2"/>
      <c r="Z1505" s="2"/>
      <c r="AA1505" s="2"/>
      <c r="AB1505" s="2"/>
    </row>
    <row r="1506" spans="1:28" x14ac:dyDescent="0.25">
      <c r="A1506" s="2"/>
      <c r="B1506" s="8"/>
      <c r="C1506" s="8"/>
      <c r="D1506" s="8"/>
      <c r="E1506" s="8"/>
      <c r="F1506" s="13"/>
      <c r="G1506" s="59"/>
      <c r="H1506" s="6"/>
      <c r="I1506" s="6"/>
      <c r="J1506" s="2"/>
      <c r="K1506" s="2"/>
      <c r="L1506" s="2"/>
      <c r="M1506" s="2"/>
      <c r="N1506" s="2"/>
      <c r="O1506" s="56"/>
      <c r="P1506" s="2"/>
      <c r="Q1506" s="2"/>
      <c r="R1506" s="2"/>
      <c r="S1506" s="2"/>
      <c r="T1506" s="2"/>
      <c r="U1506" s="2"/>
      <c r="V1506" s="2"/>
      <c r="W1506" s="2"/>
      <c r="X1506" s="2"/>
      <c r="Y1506" s="2"/>
      <c r="Z1506" s="2"/>
      <c r="AA1506" s="2"/>
      <c r="AB1506" s="2"/>
    </row>
    <row r="1507" spans="1:28" x14ac:dyDescent="0.25">
      <c r="A1507" s="2"/>
      <c r="B1507" s="8"/>
      <c r="C1507" s="8"/>
      <c r="D1507" s="8"/>
      <c r="E1507" s="8"/>
      <c r="F1507" s="13"/>
      <c r="G1507" s="59"/>
      <c r="H1507" s="6"/>
      <c r="I1507" s="6"/>
      <c r="J1507" s="2"/>
      <c r="K1507" s="2"/>
      <c r="L1507" s="2"/>
      <c r="M1507" s="2"/>
      <c r="N1507" s="2"/>
      <c r="O1507" s="56"/>
      <c r="P1507" s="2"/>
      <c r="Q1507" s="2"/>
      <c r="R1507" s="2"/>
      <c r="S1507" s="2"/>
      <c r="T1507" s="2"/>
      <c r="U1507" s="2"/>
      <c r="V1507" s="2"/>
      <c r="W1507" s="2"/>
      <c r="X1507" s="2"/>
      <c r="Y1507" s="2"/>
      <c r="Z1507" s="2"/>
      <c r="AA1507" s="2"/>
      <c r="AB1507" s="2"/>
    </row>
    <row r="1508" spans="1:28" x14ac:dyDescent="0.25">
      <c r="A1508" s="2"/>
      <c r="B1508" s="8"/>
      <c r="C1508" s="8"/>
      <c r="D1508" s="8"/>
      <c r="E1508" s="8"/>
      <c r="F1508" s="13"/>
      <c r="G1508" s="59"/>
      <c r="H1508" s="6"/>
      <c r="I1508" s="6"/>
      <c r="J1508" s="2"/>
      <c r="K1508" s="2"/>
      <c r="L1508" s="2"/>
      <c r="M1508" s="2"/>
      <c r="N1508" s="2"/>
      <c r="O1508" s="56"/>
      <c r="P1508" s="2"/>
      <c r="Q1508" s="2"/>
      <c r="R1508" s="2"/>
      <c r="S1508" s="2"/>
      <c r="T1508" s="2"/>
      <c r="U1508" s="2"/>
      <c r="V1508" s="2"/>
      <c r="W1508" s="2"/>
      <c r="X1508" s="2"/>
      <c r="Y1508" s="2"/>
      <c r="Z1508" s="2"/>
      <c r="AA1508" s="2"/>
      <c r="AB1508" s="2"/>
    </row>
    <row r="1509" spans="1:28" x14ac:dyDescent="0.25">
      <c r="A1509" s="2"/>
      <c r="B1509" s="8"/>
      <c r="C1509" s="8"/>
      <c r="D1509" s="8"/>
      <c r="E1509" s="8"/>
      <c r="F1509" s="13"/>
      <c r="G1509" s="59"/>
      <c r="H1509" s="6"/>
      <c r="I1509" s="6"/>
      <c r="J1509" s="2"/>
      <c r="K1509" s="2"/>
      <c r="L1509" s="2"/>
      <c r="M1509" s="2"/>
      <c r="N1509" s="2"/>
      <c r="O1509" s="56"/>
      <c r="P1509" s="2"/>
      <c r="Q1509" s="2"/>
      <c r="R1509" s="2"/>
      <c r="S1509" s="2"/>
      <c r="T1509" s="2"/>
      <c r="U1509" s="2"/>
      <c r="V1509" s="2"/>
      <c r="W1509" s="2"/>
      <c r="X1509" s="2"/>
      <c r="Y1509" s="2"/>
      <c r="Z1509" s="2"/>
      <c r="AA1509" s="2"/>
      <c r="AB1509" s="2"/>
    </row>
    <row r="1510" spans="1:28" x14ac:dyDescent="0.25">
      <c r="A1510" s="2"/>
      <c r="B1510" s="8"/>
      <c r="C1510" s="8"/>
      <c r="D1510" s="8"/>
      <c r="E1510" s="8"/>
      <c r="F1510" s="13"/>
      <c r="G1510" s="59"/>
      <c r="H1510" s="6"/>
      <c r="I1510" s="6"/>
      <c r="J1510" s="2"/>
      <c r="K1510" s="2"/>
      <c r="L1510" s="2"/>
      <c r="M1510" s="2"/>
      <c r="N1510" s="2"/>
      <c r="O1510" s="56"/>
      <c r="P1510" s="2"/>
      <c r="Q1510" s="2"/>
      <c r="R1510" s="2"/>
      <c r="S1510" s="2"/>
      <c r="T1510" s="2"/>
      <c r="U1510" s="2"/>
      <c r="V1510" s="2"/>
      <c r="W1510" s="2"/>
      <c r="X1510" s="2"/>
      <c r="Y1510" s="2"/>
      <c r="Z1510" s="2"/>
      <c r="AA1510" s="2"/>
      <c r="AB1510" s="2"/>
    </row>
    <row r="1511" spans="1:28" x14ac:dyDescent="0.25">
      <c r="A1511" s="2"/>
      <c r="B1511" s="8"/>
      <c r="C1511" s="8"/>
      <c r="D1511" s="8"/>
      <c r="E1511" s="8"/>
      <c r="F1511" s="13"/>
      <c r="G1511" s="59"/>
      <c r="H1511" s="6"/>
      <c r="I1511" s="6"/>
      <c r="J1511" s="2"/>
      <c r="K1511" s="2"/>
      <c r="L1511" s="2"/>
      <c r="M1511" s="2"/>
      <c r="N1511" s="2"/>
      <c r="O1511" s="56"/>
      <c r="P1511" s="2"/>
      <c r="Q1511" s="2"/>
      <c r="R1511" s="2"/>
      <c r="S1511" s="2"/>
      <c r="T1511" s="2"/>
      <c r="U1511" s="2"/>
      <c r="V1511" s="2"/>
      <c r="W1511" s="2"/>
      <c r="X1511" s="2"/>
      <c r="Y1511" s="2"/>
      <c r="Z1511" s="2"/>
      <c r="AA1511" s="2"/>
      <c r="AB1511" s="2"/>
    </row>
    <row r="1512" spans="1:28" x14ac:dyDescent="0.25">
      <c r="A1512" s="2"/>
      <c r="B1512" s="8"/>
      <c r="C1512" s="8"/>
      <c r="D1512" s="8"/>
      <c r="E1512" s="8"/>
      <c r="F1512" s="13"/>
      <c r="G1512" s="59"/>
      <c r="H1512" s="6"/>
      <c r="I1512" s="6"/>
      <c r="J1512" s="2"/>
      <c r="K1512" s="2"/>
      <c r="L1512" s="2"/>
      <c r="M1512" s="2"/>
      <c r="N1512" s="2"/>
      <c r="O1512" s="56"/>
      <c r="P1512" s="2"/>
      <c r="Q1512" s="2"/>
      <c r="R1512" s="2"/>
      <c r="S1512" s="2"/>
      <c r="T1512" s="2"/>
      <c r="U1512" s="2"/>
      <c r="V1512" s="2"/>
      <c r="W1512" s="2"/>
      <c r="X1512" s="2"/>
      <c r="Y1512" s="2"/>
      <c r="Z1512" s="2"/>
      <c r="AA1512" s="2"/>
      <c r="AB1512" s="2"/>
    </row>
    <row r="1513" spans="1:28" x14ac:dyDescent="0.25">
      <c r="A1513" s="2"/>
      <c r="B1513" s="8"/>
      <c r="C1513" s="8"/>
      <c r="D1513" s="8"/>
      <c r="E1513" s="8"/>
      <c r="F1513" s="13"/>
      <c r="G1513" s="59"/>
      <c r="H1513" s="6"/>
      <c r="I1513" s="6"/>
      <c r="J1513" s="2"/>
      <c r="K1513" s="2"/>
      <c r="L1513" s="2"/>
      <c r="M1513" s="2"/>
      <c r="N1513" s="2"/>
      <c r="O1513" s="56"/>
      <c r="P1513" s="2"/>
      <c r="Q1513" s="2"/>
      <c r="R1513" s="2"/>
      <c r="S1513" s="2"/>
      <c r="T1513" s="2"/>
      <c r="U1513" s="2"/>
      <c r="V1513" s="2"/>
      <c r="W1513" s="2"/>
      <c r="X1513" s="2"/>
      <c r="Y1513" s="2"/>
      <c r="Z1513" s="2"/>
      <c r="AA1513" s="2"/>
      <c r="AB1513" s="2"/>
    </row>
    <row r="1514" spans="1:28" x14ac:dyDescent="0.25">
      <c r="A1514" s="2"/>
      <c r="B1514" s="8"/>
      <c r="C1514" s="8"/>
      <c r="D1514" s="8"/>
      <c r="E1514" s="8"/>
      <c r="F1514" s="13"/>
      <c r="G1514" s="59"/>
      <c r="H1514" s="6"/>
      <c r="I1514" s="6"/>
      <c r="J1514" s="2"/>
      <c r="K1514" s="2"/>
      <c r="L1514" s="2"/>
      <c r="M1514" s="2"/>
      <c r="N1514" s="2"/>
      <c r="O1514" s="56"/>
      <c r="P1514" s="2"/>
      <c r="Q1514" s="2"/>
      <c r="R1514" s="2"/>
      <c r="S1514" s="2"/>
      <c r="T1514" s="2"/>
      <c r="U1514" s="2"/>
      <c r="V1514" s="2"/>
      <c r="W1514" s="2"/>
      <c r="X1514" s="2"/>
      <c r="Y1514" s="2"/>
      <c r="Z1514" s="2"/>
      <c r="AA1514" s="2"/>
      <c r="AB1514" s="2"/>
    </row>
    <row r="1515" spans="1:28" x14ac:dyDescent="0.25">
      <c r="A1515" s="2"/>
      <c r="B1515" s="8"/>
      <c r="C1515" s="8"/>
      <c r="D1515" s="8"/>
      <c r="E1515" s="8"/>
      <c r="F1515" s="13"/>
      <c r="G1515" s="59"/>
      <c r="H1515" s="6"/>
      <c r="I1515" s="6"/>
      <c r="J1515" s="2"/>
      <c r="K1515" s="2"/>
      <c r="L1515" s="2"/>
      <c r="M1515" s="2"/>
      <c r="N1515" s="2"/>
      <c r="O1515" s="56"/>
      <c r="P1515" s="2"/>
      <c r="Q1515" s="2"/>
      <c r="R1515" s="2"/>
      <c r="S1515" s="2"/>
      <c r="T1515" s="2"/>
      <c r="U1515" s="2"/>
      <c r="V1515" s="2"/>
      <c r="W1515" s="2"/>
      <c r="X1515" s="2"/>
      <c r="Y1515" s="2"/>
      <c r="Z1515" s="2"/>
      <c r="AA1515" s="2"/>
      <c r="AB1515" s="2"/>
    </row>
    <row r="1516" spans="1:28" x14ac:dyDescent="0.25">
      <c r="A1516" s="2"/>
      <c r="B1516" s="8"/>
      <c r="C1516" s="8"/>
      <c r="D1516" s="8"/>
      <c r="E1516" s="8"/>
      <c r="F1516" s="13"/>
      <c r="G1516" s="59"/>
      <c r="H1516" s="6"/>
      <c r="I1516" s="6"/>
      <c r="J1516" s="2"/>
      <c r="K1516" s="2"/>
      <c r="L1516" s="2"/>
      <c r="M1516" s="2"/>
      <c r="N1516" s="2"/>
      <c r="O1516" s="56"/>
      <c r="P1516" s="2"/>
      <c r="Q1516" s="2"/>
      <c r="R1516" s="2"/>
      <c r="S1516" s="2"/>
      <c r="T1516" s="2"/>
      <c r="U1516" s="2"/>
      <c r="V1516" s="2"/>
      <c r="W1516" s="2"/>
      <c r="X1516" s="2"/>
      <c r="Y1516" s="2"/>
      <c r="Z1516" s="2"/>
      <c r="AA1516" s="2"/>
      <c r="AB1516" s="2"/>
    </row>
    <row r="1517" spans="1:28" x14ac:dyDescent="0.25">
      <c r="A1517" s="2"/>
      <c r="B1517" s="8"/>
      <c r="C1517" s="8"/>
      <c r="D1517" s="8"/>
      <c r="E1517" s="8"/>
      <c r="F1517" s="13"/>
      <c r="G1517" s="59"/>
      <c r="H1517" s="6"/>
      <c r="I1517" s="6"/>
      <c r="J1517" s="2"/>
      <c r="K1517" s="2"/>
      <c r="L1517" s="2"/>
      <c r="M1517" s="2"/>
      <c r="N1517" s="2"/>
      <c r="O1517" s="56"/>
      <c r="P1517" s="2"/>
      <c r="Q1517" s="2"/>
      <c r="R1517" s="2"/>
      <c r="S1517" s="2"/>
      <c r="T1517" s="2"/>
      <c r="U1517" s="2"/>
      <c r="V1517" s="2"/>
      <c r="W1517" s="2"/>
      <c r="X1517" s="2"/>
      <c r="Y1517" s="2"/>
      <c r="Z1517" s="2"/>
      <c r="AA1517" s="2"/>
      <c r="AB1517" s="2"/>
    </row>
    <row r="1518" spans="1:28" x14ac:dyDescent="0.25">
      <c r="A1518" s="2"/>
      <c r="B1518" s="8"/>
      <c r="C1518" s="8"/>
      <c r="D1518" s="8"/>
      <c r="E1518" s="8"/>
      <c r="F1518" s="13"/>
      <c r="G1518" s="59"/>
      <c r="H1518" s="6"/>
      <c r="I1518" s="6"/>
      <c r="J1518" s="2"/>
      <c r="K1518" s="2"/>
      <c r="L1518" s="2"/>
      <c r="M1518" s="2"/>
      <c r="N1518" s="2"/>
      <c r="O1518" s="56"/>
      <c r="P1518" s="2"/>
      <c r="Q1518" s="2"/>
      <c r="R1518" s="2"/>
      <c r="S1518" s="2"/>
      <c r="T1518" s="2"/>
      <c r="U1518" s="2"/>
      <c r="V1518" s="2"/>
      <c r="W1518" s="2"/>
      <c r="X1518" s="2"/>
      <c r="Y1518" s="2"/>
      <c r="Z1518" s="2"/>
      <c r="AA1518" s="2"/>
      <c r="AB1518" s="2"/>
    </row>
    <row r="1519" spans="1:28" x14ac:dyDescent="0.25">
      <c r="A1519" s="2"/>
      <c r="B1519" s="8"/>
      <c r="C1519" s="8"/>
      <c r="D1519" s="8"/>
      <c r="E1519" s="8"/>
      <c r="F1519" s="13"/>
      <c r="G1519" s="59"/>
      <c r="H1519" s="6"/>
      <c r="I1519" s="6"/>
      <c r="J1519" s="2"/>
      <c r="K1519" s="2"/>
      <c r="L1519" s="2"/>
      <c r="M1519" s="2"/>
      <c r="N1519" s="2"/>
      <c r="O1519" s="56"/>
      <c r="P1519" s="2"/>
      <c r="Q1519" s="2"/>
      <c r="R1519" s="2"/>
      <c r="S1519" s="2"/>
      <c r="T1519" s="2"/>
      <c r="U1519" s="2"/>
      <c r="V1519" s="2"/>
      <c r="W1519" s="2"/>
      <c r="X1519" s="2"/>
      <c r="Y1519" s="2"/>
      <c r="Z1519" s="2"/>
      <c r="AA1519" s="2"/>
      <c r="AB1519" s="2"/>
    </row>
    <row r="1520" spans="1:28" x14ac:dyDescent="0.25">
      <c r="A1520" s="2"/>
      <c r="B1520" s="8"/>
      <c r="C1520" s="8"/>
      <c r="D1520" s="8"/>
      <c r="E1520" s="8"/>
      <c r="F1520" s="13"/>
      <c r="G1520" s="59"/>
      <c r="H1520" s="6"/>
      <c r="I1520" s="6"/>
      <c r="J1520" s="2"/>
      <c r="K1520" s="2"/>
      <c r="L1520" s="2"/>
      <c r="M1520" s="2"/>
      <c r="N1520" s="2"/>
      <c r="O1520" s="56"/>
      <c r="P1520" s="2"/>
      <c r="Q1520" s="2"/>
      <c r="R1520" s="2"/>
      <c r="S1520" s="2"/>
      <c r="T1520" s="2"/>
      <c r="U1520" s="2"/>
      <c r="V1520" s="2"/>
      <c r="W1520" s="2"/>
      <c r="X1520" s="2"/>
      <c r="Y1520" s="2"/>
      <c r="Z1520" s="2"/>
      <c r="AA1520" s="2"/>
      <c r="AB1520" s="2"/>
    </row>
    <row r="1521" spans="1:28" x14ac:dyDescent="0.25">
      <c r="A1521" s="2"/>
      <c r="B1521" s="8"/>
      <c r="C1521" s="8"/>
      <c r="D1521" s="8"/>
      <c r="E1521" s="8"/>
      <c r="F1521" s="13"/>
      <c r="G1521" s="59"/>
      <c r="H1521" s="6"/>
      <c r="I1521" s="6"/>
      <c r="J1521" s="2"/>
      <c r="K1521" s="2"/>
      <c r="L1521" s="2"/>
      <c r="M1521" s="2"/>
      <c r="N1521" s="2"/>
      <c r="O1521" s="56"/>
      <c r="P1521" s="2"/>
      <c r="Q1521" s="2"/>
      <c r="R1521" s="2"/>
      <c r="S1521" s="2"/>
      <c r="T1521" s="2"/>
      <c r="U1521" s="2"/>
      <c r="V1521" s="2"/>
      <c r="W1521" s="2"/>
      <c r="X1521" s="2"/>
      <c r="Y1521" s="2"/>
      <c r="Z1521" s="2"/>
      <c r="AA1521" s="2"/>
      <c r="AB1521" s="2"/>
    </row>
    <row r="1522" spans="1:28" x14ac:dyDescent="0.25">
      <c r="A1522" s="2"/>
      <c r="B1522" s="8"/>
      <c r="C1522" s="8"/>
      <c r="D1522" s="8"/>
      <c r="E1522" s="8"/>
      <c r="F1522" s="13"/>
      <c r="G1522" s="59"/>
      <c r="H1522" s="6"/>
      <c r="I1522" s="6"/>
      <c r="J1522" s="2"/>
      <c r="K1522" s="2"/>
      <c r="L1522" s="2"/>
      <c r="M1522" s="2"/>
      <c r="N1522" s="2"/>
      <c r="O1522" s="56"/>
      <c r="P1522" s="2"/>
      <c r="Q1522" s="2"/>
      <c r="R1522" s="2"/>
      <c r="S1522" s="2"/>
      <c r="T1522" s="2"/>
      <c r="U1522" s="2"/>
      <c r="V1522" s="2"/>
      <c r="W1522" s="2"/>
      <c r="X1522" s="2"/>
      <c r="Y1522" s="2"/>
      <c r="Z1522" s="2"/>
      <c r="AA1522" s="2"/>
      <c r="AB1522" s="2"/>
    </row>
    <row r="1523" spans="1:28" x14ac:dyDescent="0.25">
      <c r="A1523" s="2"/>
      <c r="B1523" s="8"/>
      <c r="C1523" s="8"/>
      <c r="D1523" s="8"/>
      <c r="E1523" s="8"/>
      <c r="F1523" s="13"/>
      <c r="G1523" s="59"/>
      <c r="H1523" s="6"/>
      <c r="I1523" s="6"/>
      <c r="J1523" s="2"/>
      <c r="K1523" s="2"/>
      <c r="L1523" s="2"/>
      <c r="M1523" s="2"/>
      <c r="N1523" s="2"/>
      <c r="O1523" s="56"/>
      <c r="P1523" s="2"/>
      <c r="Q1523" s="2"/>
      <c r="R1523" s="2"/>
      <c r="S1523" s="2"/>
      <c r="T1523" s="2"/>
      <c r="U1523" s="2"/>
      <c r="V1523" s="2"/>
      <c r="W1523" s="2"/>
      <c r="X1523" s="2"/>
      <c r="Y1523" s="2"/>
      <c r="Z1523" s="2"/>
      <c r="AA1523" s="2"/>
      <c r="AB1523" s="2"/>
    </row>
    <row r="1524" spans="1:28" x14ac:dyDescent="0.25">
      <c r="A1524" s="2"/>
      <c r="B1524" s="8"/>
      <c r="C1524" s="8"/>
      <c r="D1524" s="8"/>
      <c r="E1524" s="8"/>
      <c r="F1524" s="13"/>
      <c r="G1524" s="59"/>
      <c r="H1524" s="6"/>
      <c r="I1524" s="6"/>
      <c r="J1524" s="2"/>
      <c r="K1524" s="2"/>
      <c r="L1524" s="2"/>
      <c r="M1524" s="2"/>
      <c r="N1524" s="2"/>
      <c r="O1524" s="56"/>
      <c r="P1524" s="2"/>
      <c r="Q1524" s="2"/>
      <c r="R1524" s="2"/>
      <c r="S1524" s="2"/>
      <c r="T1524" s="2"/>
      <c r="U1524" s="2"/>
      <c r="V1524" s="2"/>
      <c r="W1524" s="2"/>
      <c r="X1524" s="2"/>
      <c r="Y1524" s="2"/>
      <c r="Z1524" s="2"/>
      <c r="AA1524" s="2"/>
      <c r="AB1524" s="2"/>
    </row>
    <row r="1525" spans="1:28" x14ac:dyDescent="0.25">
      <c r="A1525" s="2"/>
      <c r="B1525" s="8"/>
      <c r="C1525" s="8"/>
      <c r="D1525" s="8"/>
      <c r="E1525" s="8"/>
      <c r="F1525" s="13"/>
      <c r="G1525" s="59"/>
      <c r="H1525" s="6"/>
      <c r="I1525" s="6"/>
      <c r="J1525" s="2"/>
      <c r="K1525" s="2"/>
      <c r="L1525" s="2"/>
      <c r="M1525" s="2"/>
      <c r="N1525" s="2"/>
      <c r="O1525" s="56"/>
      <c r="P1525" s="2"/>
      <c r="Q1525" s="2"/>
      <c r="R1525" s="2"/>
      <c r="S1525" s="2"/>
      <c r="T1525" s="2"/>
      <c r="U1525" s="2"/>
      <c r="V1525" s="2"/>
      <c r="W1525" s="2"/>
      <c r="X1525" s="2"/>
      <c r="Y1525" s="2"/>
      <c r="Z1525" s="2"/>
      <c r="AA1525" s="2"/>
      <c r="AB1525" s="2"/>
    </row>
    <row r="1526" spans="1:28" x14ac:dyDescent="0.25">
      <c r="A1526" s="2"/>
      <c r="B1526" s="8"/>
      <c r="C1526" s="8"/>
      <c r="D1526" s="8"/>
      <c r="E1526" s="8"/>
      <c r="F1526" s="13"/>
      <c r="G1526" s="59"/>
      <c r="H1526" s="6"/>
      <c r="I1526" s="6"/>
      <c r="J1526" s="2"/>
      <c r="K1526" s="2"/>
      <c r="L1526" s="2"/>
      <c r="M1526" s="2"/>
      <c r="N1526" s="2"/>
      <c r="O1526" s="56"/>
      <c r="P1526" s="2"/>
      <c r="Q1526" s="2"/>
      <c r="R1526" s="2"/>
      <c r="S1526" s="2"/>
      <c r="T1526" s="2"/>
      <c r="U1526" s="2"/>
      <c r="V1526" s="2"/>
      <c r="W1526" s="2"/>
      <c r="X1526" s="2"/>
      <c r="Y1526" s="2"/>
      <c r="Z1526" s="2"/>
      <c r="AA1526" s="2"/>
      <c r="AB1526" s="2"/>
    </row>
    <row r="1527" spans="1:28" x14ac:dyDescent="0.25">
      <c r="A1527" s="2"/>
      <c r="B1527" s="8"/>
      <c r="C1527" s="8"/>
      <c r="D1527" s="8"/>
      <c r="E1527" s="8"/>
      <c r="F1527" s="13"/>
      <c r="G1527" s="59"/>
      <c r="H1527" s="6"/>
      <c r="I1527" s="6"/>
      <c r="J1527" s="2"/>
      <c r="K1527" s="2"/>
      <c r="L1527" s="2"/>
      <c r="M1527" s="2"/>
      <c r="N1527" s="2"/>
      <c r="O1527" s="56"/>
      <c r="P1527" s="2"/>
      <c r="Q1527" s="2"/>
      <c r="R1527" s="2"/>
      <c r="S1527" s="2"/>
      <c r="T1527" s="2"/>
      <c r="U1527" s="2"/>
      <c r="V1527" s="2"/>
      <c r="W1527" s="2"/>
      <c r="X1527" s="2"/>
      <c r="Y1527" s="2"/>
      <c r="Z1527" s="2"/>
      <c r="AA1527" s="2"/>
      <c r="AB1527" s="2"/>
    </row>
    <row r="1528" spans="1:28" x14ac:dyDescent="0.25">
      <c r="A1528" s="2"/>
      <c r="B1528" s="8"/>
      <c r="C1528" s="8"/>
      <c r="D1528" s="8"/>
      <c r="E1528" s="8"/>
      <c r="F1528" s="13"/>
      <c r="G1528" s="59"/>
      <c r="H1528" s="6"/>
      <c r="I1528" s="6"/>
      <c r="J1528" s="2"/>
      <c r="K1528" s="2"/>
      <c r="L1528" s="2"/>
      <c r="M1528" s="2"/>
      <c r="N1528" s="2"/>
      <c r="O1528" s="56"/>
      <c r="P1528" s="2"/>
      <c r="Q1528" s="2"/>
      <c r="R1528" s="2"/>
      <c r="S1528" s="2"/>
      <c r="T1528" s="2"/>
      <c r="U1528" s="2"/>
      <c r="V1528" s="2"/>
      <c r="W1528" s="2"/>
      <c r="X1528" s="2"/>
      <c r="Y1528" s="2"/>
      <c r="Z1528" s="2"/>
      <c r="AA1528" s="2"/>
      <c r="AB1528" s="2"/>
    </row>
    <row r="1529" spans="1:28" x14ac:dyDescent="0.25">
      <c r="A1529" s="2"/>
      <c r="B1529" s="8"/>
      <c r="C1529" s="8"/>
      <c r="D1529" s="8"/>
      <c r="E1529" s="8"/>
      <c r="F1529" s="13"/>
      <c r="G1529" s="59"/>
      <c r="H1529" s="6"/>
      <c r="I1529" s="6"/>
      <c r="J1529" s="2"/>
      <c r="K1529" s="2"/>
      <c r="L1529" s="2"/>
      <c r="M1529" s="2"/>
      <c r="N1529" s="2"/>
      <c r="O1529" s="56"/>
      <c r="P1529" s="2"/>
      <c r="Q1529" s="2"/>
      <c r="R1529" s="2"/>
      <c r="S1529" s="2"/>
      <c r="T1529" s="2"/>
      <c r="U1529" s="2"/>
      <c r="V1529" s="2"/>
      <c r="W1529" s="2"/>
      <c r="X1529" s="2"/>
      <c r="Y1529" s="2"/>
      <c r="Z1529" s="2"/>
      <c r="AA1529" s="2"/>
      <c r="AB1529" s="2"/>
    </row>
    <row r="1530" spans="1:28" x14ac:dyDescent="0.25">
      <c r="A1530" s="2"/>
      <c r="B1530" s="8"/>
      <c r="C1530" s="8"/>
      <c r="D1530" s="8"/>
      <c r="E1530" s="8"/>
      <c r="F1530" s="13"/>
      <c r="G1530" s="59"/>
      <c r="H1530" s="6"/>
      <c r="I1530" s="6"/>
      <c r="J1530" s="2"/>
      <c r="K1530" s="2"/>
      <c r="L1530" s="2"/>
      <c r="M1530" s="2"/>
      <c r="N1530" s="2"/>
      <c r="O1530" s="56"/>
      <c r="P1530" s="2"/>
      <c r="Q1530" s="2"/>
      <c r="R1530" s="2"/>
      <c r="S1530" s="2"/>
      <c r="T1530" s="2"/>
      <c r="U1530" s="2"/>
      <c r="V1530" s="2"/>
      <c r="W1530" s="2"/>
      <c r="X1530" s="2"/>
      <c r="Y1530" s="2"/>
      <c r="Z1530" s="2"/>
      <c r="AA1530" s="2"/>
      <c r="AB1530" s="2"/>
    </row>
    <row r="1531" spans="1:28" x14ac:dyDescent="0.25">
      <c r="A1531" s="2"/>
      <c r="B1531" s="8"/>
      <c r="C1531" s="8"/>
      <c r="D1531" s="8"/>
      <c r="E1531" s="8"/>
      <c r="F1531" s="13"/>
      <c r="G1531" s="59"/>
      <c r="H1531" s="6"/>
      <c r="I1531" s="6"/>
      <c r="J1531" s="2"/>
      <c r="K1531" s="2"/>
      <c r="L1531" s="2"/>
      <c r="M1531" s="2"/>
      <c r="N1531" s="2"/>
      <c r="O1531" s="56"/>
      <c r="P1531" s="2"/>
      <c r="Q1531" s="2"/>
      <c r="R1531" s="2"/>
      <c r="S1531" s="2"/>
      <c r="T1531" s="2"/>
      <c r="U1531" s="2"/>
      <c r="V1531" s="2"/>
      <c r="W1531" s="2"/>
      <c r="X1531" s="2"/>
      <c r="Y1531" s="2"/>
      <c r="Z1531" s="2"/>
      <c r="AA1531" s="2"/>
      <c r="AB1531" s="2"/>
    </row>
    <row r="1532" spans="1:28" x14ac:dyDescent="0.25">
      <c r="A1532" s="2"/>
      <c r="B1532" s="8"/>
      <c r="C1532" s="8"/>
      <c r="D1532" s="8"/>
      <c r="E1532" s="8"/>
      <c r="F1532" s="13"/>
      <c r="G1532" s="59"/>
      <c r="H1532" s="6"/>
      <c r="I1532" s="6"/>
      <c r="J1532" s="2"/>
      <c r="K1532" s="2"/>
      <c r="L1532" s="2"/>
      <c r="M1532" s="2"/>
      <c r="N1532" s="2"/>
      <c r="O1532" s="56"/>
      <c r="P1532" s="2"/>
      <c r="Q1532" s="2"/>
      <c r="R1532" s="2"/>
      <c r="S1532" s="2"/>
      <c r="T1532" s="2"/>
      <c r="U1532" s="2"/>
      <c r="V1532" s="2"/>
      <c r="W1532" s="2"/>
      <c r="X1532" s="2"/>
      <c r="Y1532" s="2"/>
      <c r="Z1532" s="2"/>
      <c r="AA1532" s="2"/>
      <c r="AB1532" s="2"/>
    </row>
    <row r="1533" spans="1:28" x14ac:dyDescent="0.25">
      <c r="A1533" s="2"/>
      <c r="B1533" s="8"/>
      <c r="C1533" s="8"/>
      <c r="D1533" s="8"/>
      <c r="E1533" s="8"/>
      <c r="F1533" s="13"/>
      <c r="G1533" s="59"/>
      <c r="H1533" s="6"/>
      <c r="I1533" s="6"/>
      <c r="J1533" s="2"/>
      <c r="K1533" s="2"/>
      <c r="L1533" s="2"/>
      <c r="M1533" s="2"/>
      <c r="N1533" s="2"/>
      <c r="O1533" s="56"/>
      <c r="P1533" s="2"/>
      <c r="Q1533" s="2"/>
      <c r="R1533" s="2"/>
      <c r="S1533" s="2"/>
      <c r="T1533" s="2"/>
      <c r="U1533" s="2"/>
      <c r="V1533" s="2"/>
      <c r="W1533" s="2"/>
      <c r="X1533" s="2"/>
      <c r="Y1533" s="2"/>
      <c r="Z1533" s="2"/>
      <c r="AA1533" s="2"/>
      <c r="AB1533" s="2"/>
    </row>
    <row r="1534" spans="1:28" x14ac:dyDescent="0.25">
      <c r="A1534" s="2"/>
      <c r="B1534" s="8"/>
      <c r="C1534" s="8"/>
      <c r="D1534" s="8"/>
      <c r="E1534" s="8"/>
      <c r="F1534" s="13"/>
      <c r="G1534" s="59"/>
      <c r="H1534" s="6"/>
      <c r="I1534" s="6"/>
      <c r="J1534" s="2"/>
      <c r="K1534" s="2"/>
      <c r="L1534" s="2"/>
      <c r="M1534" s="2"/>
      <c r="N1534" s="2"/>
      <c r="O1534" s="56"/>
      <c r="P1534" s="2"/>
      <c r="Q1534" s="2"/>
      <c r="R1534" s="2"/>
      <c r="S1534" s="2"/>
      <c r="T1534" s="2"/>
      <c r="U1534" s="2"/>
      <c r="V1534" s="2"/>
      <c r="W1534" s="2"/>
      <c r="X1534" s="2"/>
      <c r="Y1534" s="2"/>
      <c r="Z1534" s="2"/>
      <c r="AA1534" s="2"/>
      <c r="AB1534" s="2"/>
    </row>
    <row r="1535" spans="1:28" x14ac:dyDescent="0.25">
      <c r="A1535" s="2"/>
      <c r="B1535" s="8"/>
      <c r="C1535" s="8"/>
      <c r="D1535" s="8"/>
      <c r="E1535" s="8"/>
      <c r="F1535" s="13"/>
      <c r="G1535" s="59"/>
      <c r="H1535" s="6"/>
      <c r="I1535" s="6"/>
      <c r="J1535" s="2"/>
      <c r="K1535" s="2"/>
      <c r="L1535" s="2"/>
      <c r="M1535" s="2"/>
      <c r="N1535" s="2"/>
      <c r="O1535" s="56"/>
      <c r="P1535" s="2"/>
      <c r="Q1535" s="2"/>
      <c r="R1535" s="2"/>
      <c r="S1535" s="2"/>
      <c r="T1535" s="2"/>
      <c r="U1535" s="2"/>
      <c r="V1535" s="2"/>
      <c r="W1535" s="2"/>
      <c r="X1535" s="2"/>
      <c r="Y1535" s="2"/>
      <c r="Z1535" s="2"/>
      <c r="AA1535" s="2"/>
      <c r="AB1535" s="2"/>
    </row>
    <row r="1536" spans="1:28" x14ac:dyDescent="0.25">
      <c r="A1536" s="2"/>
      <c r="B1536" s="8"/>
      <c r="C1536" s="8"/>
      <c r="D1536" s="8"/>
      <c r="E1536" s="8"/>
      <c r="F1536" s="13"/>
      <c r="G1536" s="59"/>
      <c r="H1536" s="6"/>
      <c r="I1536" s="6"/>
      <c r="J1536" s="2"/>
      <c r="K1536" s="2"/>
      <c r="L1536" s="2"/>
      <c r="M1536" s="2"/>
      <c r="N1536" s="2"/>
      <c r="O1536" s="56"/>
      <c r="P1536" s="2"/>
      <c r="Q1536" s="2"/>
      <c r="R1536" s="2"/>
      <c r="S1536" s="2"/>
      <c r="T1536" s="2"/>
      <c r="U1536" s="2"/>
      <c r="V1536" s="2"/>
      <c r="W1536" s="2"/>
      <c r="X1536" s="2"/>
      <c r="Y1536" s="2"/>
      <c r="Z1536" s="2"/>
      <c r="AA1536" s="2"/>
      <c r="AB1536" s="2"/>
    </row>
    <row r="1537" spans="1:28" x14ac:dyDescent="0.25">
      <c r="A1537" s="2"/>
      <c r="B1537" s="8"/>
      <c r="C1537" s="8"/>
      <c r="D1537" s="8"/>
      <c r="E1537" s="8"/>
      <c r="F1537" s="13"/>
      <c r="G1537" s="59"/>
      <c r="H1537" s="6"/>
      <c r="I1537" s="6"/>
      <c r="J1537" s="2"/>
      <c r="K1537" s="2"/>
      <c r="L1537" s="2"/>
      <c r="M1537" s="2"/>
      <c r="N1537" s="2"/>
      <c r="O1537" s="56"/>
      <c r="P1537" s="2"/>
      <c r="Q1537" s="2"/>
      <c r="R1537" s="2"/>
      <c r="S1537" s="2"/>
      <c r="T1537" s="2"/>
      <c r="U1537" s="2"/>
      <c r="V1537" s="2"/>
      <c r="W1537" s="2"/>
      <c r="X1537" s="2"/>
      <c r="Y1537" s="2"/>
      <c r="Z1537" s="2"/>
      <c r="AA1537" s="2"/>
      <c r="AB1537" s="2"/>
    </row>
    <row r="1538" spans="1:28" x14ac:dyDescent="0.25">
      <c r="A1538" s="2"/>
      <c r="B1538" s="8"/>
      <c r="C1538" s="8"/>
      <c r="D1538" s="8"/>
      <c r="E1538" s="8"/>
      <c r="F1538" s="13"/>
      <c r="G1538" s="59"/>
      <c r="H1538" s="6"/>
      <c r="I1538" s="6"/>
      <c r="J1538" s="2"/>
      <c r="K1538" s="2"/>
      <c r="L1538" s="2"/>
      <c r="M1538" s="2"/>
      <c r="N1538" s="2"/>
      <c r="O1538" s="56"/>
      <c r="P1538" s="2"/>
      <c r="Q1538" s="2"/>
      <c r="R1538" s="2"/>
      <c r="S1538" s="2"/>
      <c r="T1538" s="2"/>
      <c r="U1538" s="2"/>
      <c r="V1538" s="2"/>
      <c r="W1538" s="2"/>
      <c r="X1538" s="2"/>
      <c r="Y1538" s="2"/>
      <c r="Z1538" s="2"/>
      <c r="AA1538" s="2"/>
      <c r="AB1538" s="2"/>
    </row>
    <row r="1539" spans="1:28" x14ac:dyDescent="0.25">
      <c r="A1539" s="2"/>
      <c r="B1539" s="8"/>
      <c r="C1539" s="8"/>
      <c r="D1539" s="8"/>
      <c r="E1539" s="8"/>
      <c r="F1539" s="13"/>
      <c r="G1539" s="59"/>
      <c r="H1539" s="6"/>
      <c r="I1539" s="6"/>
      <c r="J1539" s="2"/>
      <c r="K1539" s="2"/>
      <c r="L1539" s="2"/>
      <c r="M1539" s="2"/>
      <c r="N1539" s="2"/>
      <c r="O1539" s="56"/>
      <c r="P1539" s="2"/>
      <c r="Q1539" s="2"/>
      <c r="R1539" s="2"/>
      <c r="S1539" s="2"/>
      <c r="T1539" s="2"/>
      <c r="U1539" s="2"/>
      <c r="V1539" s="2"/>
      <c r="W1539" s="2"/>
      <c r="X1539" s="2"/>
      <c r="Y1539" s="2"/>
      <c r="Z1539" s="2"/>
      <c r="AA1539" s="2"/>
      <c r="AB1539" s="2"/>
    </row>
    <row r="1540" spans="1:28" x14ac:dyDescent="0.25">
      <c r="A1540" s="2"/>
      <c r="B1540" s="8"/>
      <c r="C1540" s="8"/>
      <c r="D1540" s="8"/>
      <c r="E1540" s="8"/>
      <c r="F1540" s="13"/>
      <c r="G1540" s="59"/>
      <c r="H1540" s="6"/>
      <c r="I1540" s="6"/>
      <c r="J1540" s="2"/>
      <c r="K1540" s="2"/>
      <c r="L1540" s="2"/>
      <c r="M1540" s="2"/>
      <c r="N1540" s="2"/>
      <c r="O1540" s="56"/>
      <c r="P1540" s="2"/>
      <c r="Q1540" s="2"/>
      <c r="R1540" s="2"/>
      <c r="S1540" s="2"/>
      <c r="T1540" s="2"/>
      <c r="U1540" s="2"/>
      <c r="V1540" s="2"/>
      <c r="W1540" s="2"/>
      <c r="X1540" s="2"/>
      <c r="Y1540" s="2"/>
      <c r="Z1540" s="2"/>
      <c r="AA1540" s="2"/>
      <c r="AB1540" s="2"/>
    </row>
    <row r="1541" spans="1:28" x14ac:dyDescent="0.25">
      <c r="A1541" s="2"/>
      <c r="B1541" s="8"/>
      <c r="C1541" s="8"/>
      <c r="D1541" s="8"/>
      <c r="E1541" s="8"/>
      <c r="F1541" s="13"/>
      <c r="G1541" s="59"/>
      <c r="H1541" s="6"/>
      <c r="I1541" s="6"/>
      <c r="J1541" s="2"/>
      <c r="K1541" s="2"/>
      <c r="L1541" s="2"/>
      <c r="M1541" s="2"/>
      <c r="N1541" s="2"/>
      <c r="O1541" s="56"/>
      <c r="P1541" s="2"/>
      <c r="Q1541" s="2"/>
      <c r="R1541" s="2"/>
      <c r="S1541" s="2"/>
      <c r="T1541" s="2"/>
      <c r="U1541" s="2"/>
      <c r="V1541" s="2"/>
      <c r="W1541" s="2"/>
      <c r="X1541" s="2"/>
      <c r="Y1541" s="2"/>
      <c r="Z1541" s="2"/>
      <c r="AA1541" s="2"/>
      <c r="AB1541" s="2"/>
    </row>
    <row r="1542" spans="1:28" x14ac:dyDescent="0.25">
      <c r="A1542" s="2"/>
      <c r="B1542" s="8"/>
      <c r="C1542" s="8"/>
      <c r="D1542" s="8"/>
      <c r="E1542" s="8"/>
      <c r="F1542" s="13"/>
      <c r="G1542" s="59"/>
      <c r="H1542" s="6"/>
      <c r="I1542" s="6"/>
      <c r="J1542" s="2"/>
      <c r="K1542" s="2"/>
      <c r="L1542" s="2"/>
      <c r="M1542" s="2"/>
      <c r="N1542" s="2"/>
      <c r="O1542" s="56"/>
      <c r="P1542" s="2"/>
      <c r="Q1542" s="2"/>
      <c r="R1542" s="2"/>
      <c r="S1542" s="2"/>
      <c r="T1542" s="2"/>
      <c r="U1542" s="2"/>
      <c r="V1542" s="2"/>
      <c r="W1542" s="2"/>
      <c r="X1542" s="2"/>
      <c r="Y1542" s="2"/>
      <c r="Z1542" s="2"/>
      <c r="AA1542" s="2"/>
      <c r="AB1542" s="2"/>
    </row>
    <row r="1543" spans="1:28" x14ac:dyDescent="0.25">
      <c r="A1543" s="2"/>
      <c r="B1543" s="8"/>
      <c r="C1543" s="8"/>
      <c r="D1543" s="8"/>
      <c r="E1543" s="8"/>
      <c r="F1543" s="13"/>
      <c r="G1543" s="59"/>
      <c r="H1543" s="6"/>
      <c r="I1543" s="6"/>
      <c r="J1543" s="2"/>
      <c r="K1543" s="2"/>
      <c r="L1543" s="2"/>
      <c r="M1543" s="2"/>
      <c r="N1543" s="2"/>
      <c r="O1543" s="56"/>
      <c r="P1543" s="2"/>
      <c r="Q1543" s="2"/>
      <c r="R1543" s="2"/>
      <c r="S1543" s="2"/>
      <c r="T1543" s="2"/>
      <c r="U1543" s="2"/>
      <c r="V1543" s="2"/>
      <c r="W1543" s="2"/>
      <c r="X1543" s="2"/>
      <c r="Y1543" s="2"/>
      <c r="Z1543" s="2"/>
      <c r="AA1543" s="2"/>
      <c r="AB1543" s="2"/>
    </row>
    <row r="1544" spans="1:28" x14ac:dyDescent="0.25">
      <c r="A1544" s="2"/>
      <c r="B1544" s="8"/>
      <c r="C1544" s="8"/>
      <c r="D1544" s="8"/>
      <c r="E1544" s="8"/>
      <c r="F1544" s="13"/>
      <c r="G1544" s="59"/>
      <c r="H1544" s="6"/>
      <c r="I1544" s="6"/>
      <c r="J1544" s="2"/>
      <c r="K1544" s="2"/>
      <c r="L1544" s="2"/>
      <c r="M1544" s="2"/>
      <c r="N1544" s="2"/>
      <c r="O1544" s="56"/>
      <c r="P1544" s="2"/>
      <c r="Q1544" s="2"/>
      <c r="R1544" s="2"/>
      <c r="S1544" s="2"/>
      <c r="T1544" s="2"/>
      <c r="U1544" s="2"/>
      <c r="V1544" s="2"/>
      <c r="W1544" s="2"/>
      <c r="X1544" s="2"/>
      <c r="Y1544" s="2"/>
      <c r="Z1544" s="2"/>
      <c r="AA1544" s="2"/>
      <c r="AB1544" s="2"/>
    </row>
    <row r="1545" spans="1:28" x14ac:dyDescent="0.25">
      <c r="A1545" s="2"/>
      <c r="B1545" s="8"/>
      <c r="C1545" s="8"/>
      <c r="D1545" s="8"/>
      <c r="E1545" s="8"/>
      <c r="F1545" s="13"/>
      <c r="G1545" s="59"/>
      <c r="H1545" s="6"/>
      <c r="I1545" s="6"/>
      <c r="J1545" s="2"/>
      <c r="K1545" s="2"/>
      <c r="L1545" s="2"/>
      <c r="M1545" s="2"/>
      <c r="N1545" s="2"/>
      <c r="O1545" s="56"/>
      <c r="P1545" s="2"/>
      <c r="Q1545" s="2"/>
      <c r="R1545" s="2"/>
      <c r="S1545" s="2"/>
      <c r="T1545" s="2"/>
      <c r="U1545" s="2"/>
      <c r="V1545" s="2"/>
      <c r="W1545" s="2"/>
      <c r="X1545" s="2"/>
      <c r="Y1545" s="2"/>
      <c r="Z1545" s="2"/>
      <c r="AA1545" s="2"/>
      <c r="AB1545" s="2"/>
    </row>
    <row r="1546" spans="1:28" x14ac:dyDescent="0.25">
      <c r="A1546" s="2"/>
      <c r="B1546" s="8"/>
      <c r="C1546" s="8"/>
      <c r="D1546" s="8"/>
      <c r="E1546" s="8"/>
      <c r="F1546" s="13"/>
      <c r="G1546" s="59"/>
      <c r="H1546" s="6"/>
      <c r="I1546" s="6"/>
      <c r="J1546" s="2"/>
      <c r="K1546" s="2"/>
      <c r="L1546" s="2"/>
      <c r="M1546" s="2"/>
      <c r="N1546" s="2"/>
      <c r="O1546" s="56"/>
      <c r="P1546" s="2"/>
      <c r="Q1546" s="2"/>
      <c r="R1546" s="2"/>
      <c r="S1546" s="2"/>
      <c r="T1546" s="2"/>
      <c r="U1546" s="2"/>
      <c r="V1546" s="2"/>
      <c r="W1546" s="2"/>
      <c r="X1546" s="2"/>
      <c r="Y1546" s="2"/>
      <c r="Z1546" s="2"/>
      <c r="AA1546" s="2"/>
      <c r="AB1546" s="2"/>
    </row>
    <row r="1547" spans="1:28" x14ac:dyDescent="0.25">
      <c r="A1547" s="2"/>
      <c r="B1547" s="8"/>
      <c r="C1547" s="8"/>
      <c r="D1547" s="8"/>
      <c r="E1547" s="8"/>
      <c r="F1547" s="13"/>
      <c r="G1547" s="59"/>
      <c r="H1547" s="6"/>
      <c r="I1547" s="6"/>
      <c r="J1547" s="2"/>
      <c r="K1547" s="2"/>
      <c r="L1547" s="2"/>
      <c r="M1547" s="2"/>
      <c r="N1547" s="2"/>
      <c r="O1547" s="56"/>
      <c r="P1547" s="2"/>
      <c r="Q1547" s="2"/>
      <c r="R1547" s="2"/>
      <c r="S1547" s="2"/>
      <c r="T1547" s="2"/>
      <c r="U1547" s="2"/>
      <c r="V1547" s="2"/>
      <c r="W1547" s="2"/>
      <c r="X1547" s="2"/>
      <c r="Y1547" s="2"/>
      <c r="Z1547" s="2"/>
      <c r="AA1547" s="2"/>
      <c r="AB1547" s="2"/>
    </row>
    <row r="1548" spans="1:28" x14ac:dyDescent="0.25">
      <c r="A1548" s="2"/>
      <c r="B1548" s="8"/>
      <c r="C1548" s="8"/>
      <c r="D1548" s="8"/>
      <c r="E1548" s="8"/>
      <c r="F1548" s="13"/>
      <c r="G1548" s="59"/>
      <c r="H1548" s="6"/>
      <c r="I1548" s="6"/>
      <c r="J1548" s="2"/>
      <c r="K1548" s="2"/>
      <c r="L1548" s="2"/>
      <c r="M1548" s="2"/>
      <c r="N1548" s="2"/>
      <c r="O1548" s="56"/>
      <c r="P1548" s="2"/>
      <c r="Q1548" s="2"/>
      <c r="R1548" s="2"/>
      <c r="S1548" s="2"/>
      <c r="T1548" s="2"/>
      <c r="U1548" s="2"/>
      <c r="V1548" s="2"/>
      <c r="W1548" s="2"/>
      <c r="X1548" s="2"/>
      <c r="Y1548" s="2"/>
      <c r="Z1548" s="2"/>
      <c r="AA1548" s="2"/>
      <c r="AB1548" s="2"/>
    </row>
    <row r="1549" spans="1:28" x14ac:dyDescent="0.25">
      <c r="A1549" s="2"/>
      <c r="B1549" s="8"/>
      <c r="C1549" s="8"/>
      <c r="D1549" s="8"/>
      <c r="E1549" s="8"/>
      <c r="F1549" s="13"/>
      <c r="G1549" s="59"/>
      <c r="H1549" s="6"/>
      <c r="I1549" s="6"/>
      <c r="J1549" s="2"/>
      <c r="K1549" s="2"/>
      <c r="L1549" s="2"/>
      <c r="M1549" s="2"/>
      <c r="N1549" s="2"/>
      <c r="O1549" s="56"/>
      <c r="P1549" s="2"/>
      <c r="Q1549" s="2"/>
      <c r="R1549" s="2"/>
      <c r="S1549" s="2"/>
      <c r="T1549" s="2"/>
      <c r="U1549" s="2"/>
      <c r="V1549" s="2"/>
      <c r="W1549" s="2"/>
      <c r="X1549" s="2"/>
      <c r="Y1549" s="2"/>
      <c r="Z1549" s="2"/>
      <c r="AA1549" s="2"/>
      <c r="AB1549" s="2"/>
    </row>
    <row r="1550" spans="1:28" x14ac:dyDescent="0.25">
      <c r="A1550" s="2"/>
      <c r="B1550" s="8"/>
      <c r="C1550" s="8"/>
      <c r="D1550" s="8"/>
      <c r="E1550" s="8"/>
      <c r="F1550" s="13"/>
      <c r="G1550" s="59"/>
      <c r="H1550" s="6"/>
      <c r="I1550" s="6"/>
      <c r="J1550" s="2"/>
      <c r="K1550" s="2"/>
      <c r="L1550" s="2"/>
      <c r="M1550" s="2"/>
      <c r="N1550" s="2"/>
      <c r="O1550" s="56"/>
      <c r="P1550" s="2"/>
      <c r="Q1550" s="2"/>
      <c r="R1550" s="2"/>
      <c r="S1550" s="2"/>
      <c r="T1550" s="2"/>
      <c r="U1550" s="2"/>
      <c r="V1550" s="2"/>
      <c r="W1550" s="2"/>
      <c r="X1550" s="2"/>
      <c r="Y1550" s="2"/>
      <c r="Z1550" s="2"/>
      <c r="AA1550" s="2"/>
      <c r="AB1550" s="2"/>
    </row>
    <row r="1551" spans="1:28" x14ac:dyDescent="0.25">
      <c r="A1551" s="2"/>
      <c r="B1551" s="8"/>
      <c r="C1551" s="8"/>
      <c r="D1551" s="8"/>
      <c r="E1551" s="8"/>
      <c r="F1551" s="13"/>
      <c r="G1551" s="59"/>
      <c r="H1551" s="6"/>
      <c r="I1551" s="6"/>
      <c r="J1551" s="2"/>
      <c r="K1551" s="2"/>
      <c r="L1551" s="2"/>
      <c r="M1551" s="2"/>
      <c r="N1551" s="2"/>
      <c r="O1551" s="56"/>
      <c r="P1551" s="2"/>
      <c r="Q1551" s="2"/>
      <c r="R1551" s="2"/>
      <c r="S1551" s="2"/>
      <c r="T1551" s="2"/>
      <c r="U1551" s="2"/>
      <c r="V1551" s="2"/>
      <c r="W1551" s="2"/>
      <c r="X1551" s="2"/>
      <c r="Y1551" s="2"/>
      <c r="Z1551" s="2"/>
      <c r="AA1551" s="2"/>
      <c r="AB1551" s="2"/>
    </row>
    <row r="1552" spans="1:28" x14ac:dyDescent="0.25">
      <c r="A1552" s="2"/>
      <c r="B1552" s="8"/>
      <c r="C1552" s="8"/>
      <c r="D1552" s="8"/>
      <c r="E1552" s="8"/>
      <c r="F1552" s="13"/>
      <c r="G1552" s="59"/>
      <c r="H1552" s="6"/>
      <c r="I1552" s="6"/>
      <c r="J1552" s="2"/>
      <c r="K1552" s="2"/>
      <c r="L1552" s="2"/>
      <c r="M1552" s="2"/>
      <c r="N1552" s="2"/>
      <c r="O1552" s="56"/>
      <c r="P1552" s="2"/>
      <c r="Q1552" s="2"/>
      <c r="R1552" s="2"/>
      <c r="S1552" s="2"/>
      <c r="T1552" s="2"/>
      <c r="U1552" s="2"/>
      <c r="V1552" s="2"/>
      <c r="W1552" s="2"/>
      <c r="X1552" s="2"/>
      <c r="Y1552" s="2"/>
      <c r="Z1552" s="2"/>
      <c r="AA1552" s="2"/>
      <c r="AB1552" s="2"/>
    </row>
    <row r="1553" spans="1:28" x14ac:dyDescent="0.25">
      <c r="A1553" s="2"/>
      <c r="B1553" s="8"/>
      <c r="C1553" s="8"/>
      <c r="D1553" s="8"/>
      <c r="E1553" s="8"/>
      <c r="F1553" s="13"/>
      <c r="G1553" s="59"/>
      <c r="H1553" s="6"/>
      <c r="I1553" s="6"/>
      <c r="J1553" s="2"/>
      <c r="K1553" s="2"/>
      <c r="L1553" s="2"/>
      <c r="M1553" s="2"/>
      <c r="N1553" s="2"/>
      <c r="O1553" s="56"/>
      <c r="P1553" s="2"/>
      <c r="Q1553" s="2"/>
      <c r="R1553" s="2"/>
      <c r="S1553" s="2"/>
      <c r="T1553" s="2"/>
      <c r="U1553" s="2"/>
      <c r="V1553" s="2"/>
      <c r="W1553" s="2"/>
      <c r="X1553" s="2"/>
      <c r="Y1553" s="2"/>
      <c r="Z1553" s="2"/>
      <c r="AA1553" s="2"/>
      <c r="AB1553" s="2"/>
    </row>
    <row r="1554" spans="1:28" x14ac:dyDescent="0.25">
      <c r="A1554" s="2"/>
      <c r="B1554" s="8"/>
      <c r="C1554" s="8"/>
      <c r="D1554" s="8"/>
      <c r="E1554" s="8"/>
      <c r="F1554" s="13"/>
      <c r="G1554" s="59"/>
      <c r="H1554" s="6"/>
      <c r="I1554" s="6"/>
      <c r="J1554" s="2"/>
      <c r="K1554" s="2"/>
      <c r="L1554" s="2"/>
      <c r="M1554" s="2"/>
      <c r="N1554" s="2"/>
      <c r="O1554" s="56"/>
      <c r="P1554" s="2"/>
      <c r="Q1554" s="2"/>
      <c r="R1554" s="2"/>
      <c r="S1554" s="2"/>
      <c r="T1554" s="2"/>
      <c r="U1554" s="2"/>
      <c r="V1554" s="2"/>
      <c r="W1554" s="2"/>
      <c r="X1554" s="2"/>
      <c r="Y1554" s="2"/>
      <c r="Z1554" s="2"/>
      <c r="AA1554" s="2"/>
      <c r="AB1554" s="2"/>
    </row>
    <row r="1555" spans="1:28" x14ac:dyDescent="0.25">
      <c r="A1555" s="2"/>
      <c r="B1555" s="8"/>
      <c r="C1555" s="8"/>
      <c r="D1555" s="8"/>
      <c r="E1555" s="8"/>
      <c r="F1555" s="13"/>
      <c r="G1555" s="59"/>
      <c r="H1555" s="6"/>
      <c r="I1555" s="6"/>
      <c r="J1555" s="2"/>
      <c r="K1555" s="2"/>
      <c r="L1555" s="2"/>
      <c r="M1555" s="2"/>
      <c r="N1555" s="2"/>
      <c r="O1555" s="56"/>
      <c r="P1555" s="2"/>
      <c r="Q1555" s="2"/>
      <c r="R1555" s="2"/>
      <c r="S1555" s="2"/>
      <c r="T1555" s="2"/>
      <c r="U1555" s="2"/>
      <c r="V1555" s="2"/>
      <c r="W1555" s="2"/>
      <c r="X1555" s="2"/>
      <c r="Y1555" s="2"/>
      <c r="Z1555" s="2"/>
      <c r="AA1555" s="2"/>
      <c r="AB1555" s="2"/>
    </row>
    <row r="1556" spans="1:28" x14ac:dyDescent="0.25">
      <c r="A1556" s="2"/>
      <c r="B1556" s="8"/>
      <c r="C1556" s="8"/>
      <c r="D1556" s="8"/>
      <c r="E1556" s="8"/>
      <c r="F1556" s="13"/>
      <c r="G1556" s="59"/>
      <c r="H1556" s="6"/>
      <c r="I1556" s="6"/>
      <c r="J1556" s="2"/>
      <c r="K1556" s="2"/>
      <c r="L1556" s="2"/>
      <c r="M1556" s="2"/>
      <c r="N1556" s="2"/>
      <c r="O1556" s="56"/>
      <c r="P1556" s="2"/>
      <c r="Q1556" s="2"/>
      <c r="R1556" s="2"/>
      <c r="S1556" s="2"/>
      <c r="T1556" s="2"/>
      <c r="U1556" s="2"/>
      <c r="V1556" s="2"/>
      <c r="W1556" s="2"/>
      <c r="X1556" s="2"/>
      <c r="Y1556" s="2"/>
      <c r="Z1556" s="2"/>
      <c r="AA1556" s="2"/>
      <c r="AB1556" s="2"/>
    </row>
    <row r="1557" spans="1:28" x14ac:dyDescent="0.25">
      <c r="A1557" s="2"/>
      <c r="B1557" s="8"/>
      <c r="C1557" s="8"/>
      <c r="D1557" s="8"/>
      <c r="E1557" s="8"/>
      <c r="F1557" s="13"/>
      <c r="G1557" s="59"/>
      <c r="H1557" s="6"/>
      <c r="I1557" s="6"/>
      <c r="J1557" s="2"/>
      <c r="K1557" s="2"/>
      <c r="L1557" s="2"/>
      <c r="M1557" s="2"/>
      <c r="N1557" s="2"/>
      <c r="O1557" s="56"/>
      <c r="P1557" s="2"/>
      <c r="Q1557" s="2"/>
      <c r="R1557" s="2"/>
      <c r="S1557" s="2"/>
      <c r="T1557" s="2"/>
      <c r="U1557" s="2"/>
      <c r="V1557" s="2"/>
      <c r="W1557" s="2"/>
      <c r="X1557" s="2"/>
      <c r="Y1557" s="2"/>
      <c r="Z1557" s="2"/>
      <c r="AA1557" s="2"/>
      <c r="AB1557" s="2"/>
    </row>
    <row r="1558" spans="1:28" x14ac:dyDescent="0.25">
      <c r="A1558" s="2"/>
      <c r="B1558" s="8"/>
      <c r="C1558" s="8"/>
      <c r="D1558" s="8"/>
      <c r="E1558" s="8"/>
      <c r="F1558" s="13"/>
      <c r="G1558" s="59"/>
      <c r="H1558" s="6"/>
      <c r="I1558" s="6"/>
      <c r="J1558" s="2"/>
      <c r="K1558" s="2"/>
      <c r="L1558" s="2"/>
      <c r="M1558" s="2"/>
      <c r="N1558" s="2"/>
      <c r="O1558" s="56"/>
      <c r="P1558" s="2"/>
      <c r="Q1558" s="2"/>
      <c r="R1558" s="2"/>
      <c r="S1558" s="2"/>
      <c r="T1558" s="2"/>
      <c r="U1558" s="2"/>
      <c r="V1558" s="2"/>
      <c r="W1558" s="2"/>
      <c r="X1558" s="2"/>
      <c r="Y1558" s="2"/>
      <c r="Z1558" s="2"/>
      <c r="AA1558" s="2"/>
      <c r="AB1558" s="2"/>
    </row>
    <row r="1559" spans="1:28" x14ac:dyDescent="0.25">
      <c r="A1559" s="2"/>
      <c r="B1559" s="8"/>
      <c r="C1559" s="8"/>
      <c r="D1559" s="8"/>
      <c r="E1559" s="8"/>
      <c r="F1559" s="13"/>
      <c r="G1559" s="59"/>
      <c r="H1559" s="6"/>
      <c r="I1559" s="6"/>
      <c r="J1559" s="2"/>
      <c r="K1559" s="2"/>
      <c r="L1559" s="2"/>
      <c r="M1559" s="2"/>
      <c r="N1559" s="2"/>
      <c r="O1559" s="56"/>
      <c r="P1559" s="2"/>
      <c r="Q1559" s="2"/>
      <c r="R1559" s="2"/>
      <c r="S1559" s="2"/>
      <c r="T1559" s="2"/>
      <c r="U1559" s="2"/>
      <c r="V1559" s="2"/>
      <c r="W1559" s="2"/>
      <c r="X1559" s="2"/>
      <c r="Y1559" s="2"/>
      <c r="Z1559" s="2"/>
      <c r="AA1559" s="2"/>
      <c r="AB1559" s="2"/>
    </row>
    <row r="1560" spans="1:28" x14ac:dyDescent="0.25">
      <c r="A1560" s="2"/>
      <c r="B1560" s="8"/>
      <c r="C1560" s="8"/>
      <c r="D1560" s="8"/>
      <c r="E1560" s="8"/>
      <c r="F1560" s="13"/>
      <c r="G1560" s="59"/>
      <c r="H1560" s="6"/>
      <c r="I1560" s="6"/>
      <c r="J1560" s="2"/>
      <c r="K1560" s="2"/>
      <c r="L1560" s="2"/>
      <c r="M1560" s="2"/>
      <c r="N1560" s="2"/>
      <c r="O1560" s="56"/>
      <c r="P1560" s="2"/>
      <c r="Q1560" s="2"/>
      <c r="R1560" s="2"/>
      <c r="S1560" s="2"/>
      <c r="T1560" s="2"/>
      <c r="U1560" s="2"/>
      <c r="V1560" s="2"/>
      <c r="W1560" s="2"/>
      <c r="X1560" s="2"/>
      <c r="Y1560" s="2"/>
      <c r="Z1560" s="2"/>
      <c r="AA1560" s="2"/>
      <c r="AB1560" s="2"/>
    </row>
    <row r="1561" spans="1:28" x14ac:dyDescent="0.25">
      <c r="A1561" s="2"/>
      <c r="B1561" s="8"/>
      <c r="C1561" s="8"/>
      <c r="D1561" s="8"/>
      <c r="E1561" s="8"/>
      <c r="F1561" s="13"/>
      <c r="G1561" s="59"/>
      <c r="H1561" s="6"/>
      <c r="I1561" s="6"/>
      <c r="J1561" s="2"/>
      <c r="K1561" s="2"/>
      <c r="L1561" s="2"/>
      <c r="M1561" s="2"/>
      <c r="N1561" s="2"/>
      <c r="O1561" s="56"/>
      <c r="P1561" s="2"/>
      <c r="Q1561" s="2"/>
      <c r="R1561" s="2"/>
      <c r="S1561" s="2"/>
      <c r="T1561" s="2"/>
      <c r="U1561" s="2"/>
      <c r="V1561" s="2"/>
      <c r="W1561" s="2"/>
      <c r="X1561" s="2"/>
      <c r="Y1561" s="2"/>
      <c r="Z1561" s="2"/>
      <c r="AA1561" s="2"/>
      <c r="AB1561" s="2"/>
    </row>
    <row r="1562" spans="1:28" x14ac:dyDescent="0.25">
      <c r="A1562" s="2"/>
      <c r="B1562" s="8"/>
      <c r="C1562" s="8"/>
      <c r="D1562" s="8"/>
      <c r="E1562" s="8"/>
      <c r="F1562" s="13"/>
      <c r="G1562" s="59"/>
      <c r="H1562" s="6"/>
      <c r="I1562" s="6"/>
      <c r="J1562" s="2"/>
      <c r="K1562" s="2"/>
      <c r="L1562" s="2"/>
      <c r="M1562" s="2"/>
      <c r="N1562" s="2"/>
      <c r="O1562" s="56"/>
      <c r="P1562" s="2"/>
      <c r="Q1562" s="2"/>
      <c r="R1562" s="2"/>
      <c r="S1562" s="2"/>
      <c r="T1562" s="2"/>
      <c r="U1562" s="2"/>
      <c r="V1562" s="2"/>
      <c r="W1562" s="2"/>
      <c r="X1562" s="2"/>
      <c r="Y1562" s="2"/>
      <c r="Z1562" s="2"/>
      <c r="AA1562" s="2"/>
      <c r="AB1562" s="2"/>
    </row>
    <row r="1563" spans="1:28" x14ac:dyDescent="0.25">
      <c r="A1563" s="2"/>
      <c r="B1563" s="8"/>
      <c r="C1563" s="8"/>
      <c r="D1563" s="8"/>
      <c r="E1563" s="8"/>
      <c r="F1563" s="13"/>
      <c r="G1563" s="59"/>
      <c r="H1563" s="6"/>
      <c r="I1563" s="6"/>
      <c r="J1563" s="2"/>
      <c r="K1563" s="2"/>
      <c r="L1563" s="2"/>
      <c r="M1563" s="2"/>
      <c r="N1563" s="2"/>
      <c r="O1563" s="56"/>
      <c r="P1563" s="2"/>
      <c r="Q1563" s="2"/>
      <c r="R1563" s="2"/>
      <c r="S1563" s="2"/>
      <c r="T1563" s="2"/>
      <c r="U1563" s="2"/>
      <c r="V1563" s="2"/>
      <c r="W1563" s="2"/>
      <c r="X1563" s="2"/>
      <c r="Y1563" s="2"/>
      <c r="Z1563" s="2"/>
      <c r="AA1563" s="2"/>
      <c r="AB1563" s="2"/>
    </row>
    <row r="1564" spans="1:28" x14ac:dyDescent="0.25">
      <c r="A1564" s="2"/>
      <c r="B1564" s="8"/>
      <c r="C1564" s="8"/>
      <c r="D1564" s="8"/>
      <c r="E1564" s="8"/>
      <c r="F1564" s="13"/>
      <c r="G1564" s="59"/>
      <c r="H1564" s="6"/>
      <c r="I1564" s="6"/>
      <c r="J1564" s="2"/>
      <c r="K1564" s="2"/>
      <c r="L1564" s="2"/>
      <c r="M1564" s="2"/>
      <c r="N1564" s="2"/>
      <c r="O1564" s="56"/>
      <c r="P1564" s="2"/>
      <c r="Q1564" s="2"/>
      <c r="R1564" s="2"/>
      <c r="S1564" s="2"/>
      <c r="T1564" s="2"/>
      <c r="U1564" s="2"/>
      <c r="V1564" s="2"/>
      <c r="W1564" s="2"/>
      <c r="X1564" s="2"/>
      <c r="Y1564" s="2"/>
      <c r="Z1564" s="2"/>
      <c r="AA1564" s="2"/>
      <c r="AB1564" s="2"/>
    </row>
    <row r="1565" spans="1:28" x14ac:dyDescent="0.25">
      <c r="A1565" s="2"/>
      <c r="B1565" s="8"/>
      <c r="C1565" s="8"/>
      <c r="D1565" s="8"/>
      <c r="E1565" s="8"/>
      <c r="F1565" s="13"/>
      <c r="G1565" s="59"/>
      <c r="H1565" s="6"/>
      <c r="I1565" s="6"/>
      <c r="J1565" s="2"/>
      <c r="K1565" s="2"/>
      <c r="L1565" s="2"/>
      <c r="M1565" s="2"/>
      <c r="N1565" s="2"/>
      <c r="O1565" s="56"/>
      <c r="P1565" s="2"/>
      <c r="Q1565" s="2"/>
      <c r="R1565" s="2"/>
      <c r="S1565" s="2"/>
      <c r="T1565" s="2"/>
      <c r="U1565" s="2"/>
      <c r="V1565" s="2"/>
      <c r="W1565" s="2"/>
      <c r="X1565" s="2"/>
      <c r="Y1565" s="2"/>
      <c r="Z1565" s="2"/>
      <c r="AA1565" s="2"/>
      <c r="AB1565" s="2"/>
    </row>
    <row r="1566" spans="1:28" x14ac:dyDescent="0.25">
      <c r="A1566" s="2"/>
      <c r="B1566" s="8"/>
      <c r="C1566" s="8"/>
      <c r="D1566" s="8"/>
      <c r="E1566" s="8"/>
      <c r="F1566" s="13"/>
      <c r="G1566" s="59"/>
      <c r="H1566" s="6"/>
      <c r="I1566" s="6"/>
      <c r="J1566" s="2"/>
      <c r="K1566" s="2"/>
      <c r="L1566" s="2"/>
      <c r="M1566" s="2"/>
      <c r="N1566" s="2"/>
      <c r="O1566" s="56"/>
      <c r="P1566" s="2"/>
      <c r="Q1566" s="2"/>
      <c r="R1566" s="2"/>
      <c r="S1566" s="2"/>
      <c r="T1566" s="2"/>
      <c r="U1566" s="2"/>
      <c r="V1566" s="2"/>
      <c r="W1566" s="2"/>
      <c r="X1566" s="2"/>
      <c r="Y1566" s="2"/>
      <c r="Z1566" s="2"/>
      <c r="AA1566" s="2"/>
      <c r="AB1566" s="2"/>
    </row>
    <row r="1567" spans="1:28" x14ac:dyDescent="0.25">
      <c r="A1567" s="2"/>
      <c r="B1567" s="8"/>
      <c r="C1567" s="8"/>
      <c r="D1567" s="8"/>
      <c r="E1567" s="8"/>
      <c r="F1567" s="13"/>
      <c r="G1567" s="59"/>
      <c r="H1567" s="6"/>
      <c r="I1567" s="6"/>
      <c r="J1567" s="2"/>
      <c r="K1567" s="2"/>
      <c r="L1567" s="2"/>
      <c r="M1567" s="2"/>
      <c r="N1567" s="2"/>
      <c r="O1567" s="56"/>
      <c r="P1567" s="2"/>
      <c r="Q1567" s="2"/>
      <c r="R1567" s="2"/>
      <c r="S1567" s="2"/>
      <c r="T1567" s="2"/>
      <c r="U1567" s="2"/>
      <c r="V1567" s="2"/>
      <c r="W1567" s="2"/>
      <c r="X1567" s="2"/>
      <c r="Y1567" s="2"/>
      <c r="Z1567" s="2"/>
      <c r="AA1567" s="2"/>
      <c r="AB1567" s="2"/>
    </row>
    <row r="1568" spans="1:28" x14ac:dyDescent="0.25">
      <c r="A1568" s="2"/>
      <c r="B1568" s="8"/>
      <c r="C1568" s="8"/>
      <c r="D1568" s="8"/>
      <c r="E1568" s="8"/>
      <c r="F1568" s="13"/>
      <c r="G1568" s="59"/>
      <c r="H1568" s="6"/>
      <c r="I1568" s="6"/>
      <c r="J1568" s="2"/>
      <c r="K1568" s="2"/>
      <c r="L1568" s="2"/>
      <c r="M1568" s="2"/>
      <c r="N1568" s="2"/>
      <c r="O1568" s="56"/>
      <c r="P1568" s="2"/>
      <c r="Q1568" s="2"/>
      <c r="R1568" s="2"/>
      <c r="S1568" s="2"/>
      <c r="T1568" s="2"/>
      <c r="U1568" s="2"/>
      <c r="V1568" s="2"/>
      <c r="W1568" s="2"/>
      <c r="X1568" s="2"/>
      <c r="Y1568" s="2"/>
      <c r="Z1568" s="2"/>
      <c r="AA1568" s="2"/>
      <c r="AB1568" s="2"/>
    </row>
    <row r="1569" spans="1:28" x14ac:dyDescent="0.25">
      <c r="A1569" s="2"/>
      <c r="B1569" s="8"/>
      <c r="C1569" s="8"/>
      <c r="D1569" s="8"/>
      <c r="E1569" s="8"/>
      <c r="F1569" s="13"/>
      <c r="G1569" s="59"/>
      <c r="H1569" s="6"/>
      <c r="I1569" s="6"/>
      <c r="J1569" s="2"/>
      <c r="K1569" s="2"/>
      <c r="L1569" s="2"/>
      <c r="M1569" s="2"/>
      <c r="N1569" s="2"/>
      <c r="O1569" s="56"/>
      <c r="P1569" s="2"/>
      <c r="Q1569" s="2"/>
      <c r="R1569" s="2"/>
      <c r="S1569" s="2"/>
      <c r="T1569" s="2"/>
      <c r="U1569" s="2"/>
      <c r="V1569" s="2"/>
      <c r="W1569" s="2"/>
      <c r="X1569" s="2"/>
      <c r="Y1569" s="2"/>
      <c r="Z1569" s="2"/>
      <c r="AA1569" s="2"/>
      <c r="AB1569" s="2"/>
    </row>
    <row r="1570" spans="1:28" x14ac:dyDescent="0.25">
      <c r="A1570" s="2"/>
      <c r="B1570" s="8"/>
      <c r="C1570" s="8"/>
      <c r="D1570" s="8"/>
      <c r="E1570" s="8"/>
      <c r="F1570" s="13"/>
      <c r="G1570" s="59"/>
      <c r="H1570" s="6"/>
      <c r="I1570" s="6"/>
      <c r="J1570" s="2"/>
      <c r="K1570" s="2"/>
      <c r="L1570" s="2"/>
      <c r="M1570" s="2"/>
      <c r="N1570" s="2"/>
      <c r="O1570" s="56"/>
      <c r="P1570" s="2"/>
      <c r="Q1570" s="2"/>
      <c r="R1570" s="2"/>
      <c r="S1570" s="2"/>
      <c r="T1570" s="2"/>
      <c r="U1570" s="2"/>
      <c r="V1570" s="2"/>
      <c r="W1570" s="2"/>
      <c r="X1570" s="2"/>
      <c r="Y1570" s="2"/>
      <c r="Z1570" s="2"/>
      <c r="AA1570" s="2"/>
      <c r="AB1570" s="2"/>
    </row>
    <row r="1571" spans="1:28" x14ac:dyDescent="0.25">
      <c r="A1571" s="2"/>
      <c r="B1571" s="8"/>
      <c r="C1571" s="8"/>
      <c r="D1571" s="8"/>
      <c r="E1571" s="8"/>
      <c r="F1571" s="13"/>
      <c r="G1571" s="59"/>
      <c r="H1571" s="6"/>
      <c r="I1571" s="6"/>
      <c r="J1571" s="2"/>
      <c r="K1571" s="2"/>
      <c r="L1571" s="2"/>
      <c r="M1571" s="2"/>
      <c r="N1571" s="2"/>
      <c r="O1571" s="56"/>
      <c r="P1571" s="2"/>
      <c r="Q1571" s="2"/>
      <c r="R1571" s="2"/>
      <c r="S1571" s="2"/>
      <c r="T1571" s="2"/>
      <c r="U1571" s="2"/>
      <c r="V1571" s="2"/>
      <c r="W1571" s="2"/>
      <c r="X1571" s="2"/>
      <c r="Y1571" s="2"/>
      <c r="Z1571" s="2"/>
      <c r="AA1571" s="2"/>
      <c r="AB1571" s="2"/>
    </row>
    <row r="1572" spans="1:28" x14ac:dyDescent="0.25">
      <c r="A1572" s="2"/>
      <c r="B1572" s="8"/>
      <c r="C1572" s="8"/>
      <c r="D1572" s="8"/>
      <c r="E1572" s="8"/>
      <c r="F1572" s="13"/>
      <c r="G1572" s="59"/>
      <c r="H1572" s="6"/>
      <c r="I1572" s="6"/>
      <c r="J1572" s="2"/>
      <c r="K1572" s="2"/>
      <c r="L1572" s="2"/>
      <c r="M1572" s="2"/>
      <c r="N1572" s="2"/>
      <c r="O1572" s="56"/>
      <c r="P1572" s="2"/>
      <c r="Q1572" s="2"/>
      <c r="R1572" s="2"/>
      <c r="S1572" s="2"/>
      <c r="T1572" s="2"/>
      <c r="U1572" s="2"/>
      <c r="V1572" s="2"/>
      <c r="W1572" s="2"/>
      <c r="X1572" s="2"/>
      <c r="Y1572" s="2"/>
      <c r="Z1572" s="2"/>
      <c r="AA1572" s="2"/>
      <c r="AB1572" s="2"/>
    </row>
    <row r="1573" spans="1:28" x14ac:dyDescent="0.25">
      <c r="A1573" s="2"/>
      <c r="B1573" s="8"/>
      <c r="C1573" s="8"/>
      <c r="D1573" s="8"/>
      <c r="E1573" s="8"/>
      <c r="F1573" s="13"/>
      <c r="G1573" s="59"/>
      <c r="H1573" s="6"/>
      <c r="I1573" s="6"/>
      <c r="J1573" s="2"/>
      <c r="K1573" s="2"/>
      <c r="L1573" s="2"/>
      <c r="M1573" s="2"/>
      <c r="N1573" s="2"/>
      <c r="O1573" s="56"/>
      <c r="P1573" s="2"/>
      <c r="Q1573" s="2"/>
      <c r="R1573" s="2"/>
      <c r="S1573" s="2"/>
      <c r="T1573" s="2"/>
      <c r="U1573" s="2"/>
      <c r="V1573" s="2"/>
      <c r="W1573" s="2"/>
      <c r="X1573" s="2"/>
      <c r="Y1573" s="2"/>
      <c r="Z1573" s="2"/>
      <c r="AA1573" s="2"/>
      <c r="AB1573" s="2"/>
    </row>
    <row r="1574" spans="1:28" x14ac:dyDescent="0.25">
      <c r="A1574" s="2"/>
      <c r="B1574" s="8"/>
      <c r="C1574" s="8"/>
      <c r="D1574" s="8"/>
      <c r="E1574" s="8"/>
      <c r="F1574" s="13"/>
      <c r="G1574" s="59"/>
      <c r="H1574" s="6"/>
      <c r="I1574" s="6"/>
      <c r="J1574" s="2"/>
      <c r="K1574" s="2"/>
      <c r="L1574" s="2"/>
      <c r="M1574" s="2"/>
      <c r="N1574" s="2"/>
      <c r="O1574" s="56"/>
      <c r="P1574" s="2"/>
      <c r="Q1574" s="2"/>
      <c r="R1574" s="2"/>
      <c r="S1574" s="2"/>
      <c r="T1574" s="2"/>
      <c r="U1574" s="2"/>
      <c r="V1574" s="2"/>
      <c r="W1574" s="2"/>
      <c r="X1574" s="2"/>
      <c r="Y1574" s="2"/>
      <c r="Z1574" s="2"/>
      <c r="AA1574" s="2"/>
      <c r="AB1574" s="2"/>
    </row>
    <row r="1575" spans="1:28" x14ac:dyDescent="0.25">
      <c r="A1575" s="2"/>
      <c r="B1575" s="8"/>
      <c r="C1575" s="8"/>
      <c r="D1575" s="8"/>
      <c r="E1575" s="8"/>
      <c r="F1575" s="13"/>
      <c r="G1575" s="59"/>
      <c r="H1575" s="6"/>
      <c r="I1575" s="6"/>
      <c r="J1575" s="2"/>
      <c r="K1575" s="2"/>
      <c r="L1575" s="2"/>
      <c r="M1575" s="2"/>
      <c r="N1575" s="2"/>
      <c r="O1575" s="56"/>
      <c r="P1575" s="2"/>
      <c r="Q1575" s="2"/>
      <c r="R1575" s="2"/>
      <c r="S1575" s="2"/>
      <c r="T1575" s="2"/>
      <c r="U1575" s="2"/>
      <c r="V1575" s="2"/>
      <c r="W1575" s="2"/>
      <c r="X1575" s="2"/>
      <c r="Y1575" s="2"/>
      <c r="Z1575" s="2"/>
      <c r="AA1575" s="2"/>
      <c r="AB1575" s="2"/>
    </row>
    <row r="1576" spans="1:28" x14ac:dyDescent="0.25">
      <c r="A1576" s="2"/>
      <c r="B1576" s="8"/>
      <c r="C1576" s="8"/>
      <c r="D1576" s="8"/>
      <c r="E1576" s="8"/>
      <c r="F1576" s="13"/>
      <c r="G1576" s="59"/>
      <c r="H1576" s="6"/>
      <c r="I1576" s="6"/>
      <c r="J1576" s="2"/>
      <c r="K1576" s="2"/>
      <c r="L1576" s="2"/>
      <c r="M1576" s="2"/>
      <c r="N1576" s="2"/>
      <c r="O1576" s="56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  <c r="AA1576" s="2"/>
      <c r="AB1576" s="2"/>
    </row>
    <row r="1577" spans="1:28" x14ac:dyDescent="0.25">
      <c r="A1577" s="2"/>
      <c r="B1577" s="8"/>
      <c r="C1577" s="8"/>
      <c r="D1577" s="8"/>
      <c r="E1577" s="8"/>
      <c r="F1577" s="13"/>
      <c r="G1577" s="59"/>
      <c r="H1577" s="6"/>
      <c r="I1577" s="6"/>
      <c r="J1577" s="2"/>
      <c r="K1577" s="2"/>
      <c r="L1577" s="2"/>
      <c r="M1577" s="2"/>
      <c r="N1577" s="2"/>
      <c r="O1577" s="56"/>
      <c r="P1577" s="2"/>
      <c r="Q1577" s="2"/>
      <c r="R1577" s="2"/>
      <c r="S1577" s="2"/>
      <c r="T1577" s="2"/>
      <c r="U1577" s="2"/>
      <c r="V1577" s="2"/>
      <c r="W1577" s="2"/>
      <c r="X1577" s="2"/>
      <c r="Y1577" s="2"/>
      <c r="Z1577" s="2"/>
      <c r="AA1577" s="2"/>
      <c r="AB1577" s="2"/>
    </row>
    <row r="1578" spans="1:28" x14ac:dyDescent="0.25">
      <c r="A1578" s="2"/>
      <c r="B1578" s="8"/>
      <c r="C1578" s="8"/>
      <c r="D1578" s="8"/>
      <c r="E1578" s="8"/>
      <c r="F1578" s="13"/>
      <c r="G1578" s="59"/>
      <c r="H1578" s="6"/>
      <c r="I1578" s="6"/>
      <c r="J1578" s="2"/>
      <c r="K1578" s="2"/>
      <c r="L1578" s="2"/>
      <c r="M1578" s="2"/>
      <c r="N1578" s="2"/>
      <c r="O1578" s="56"/>
      <c r="P1578" s="2"/>
      <c r="Q1578" s="2"/>
      <c r="R1578" s="2"/>
      <c r="S1578" s="2"/>
      <c r="T1578" s="2"/>
      <c r="U1578" s="2"/>
      <c r="V1578" s="2"/>
      <c r="W1578" s="2"/>
      <c r="X1578" s="2"/>
      <c r="Y1578" s="2"/>
      <c r="Z1578" s="2"/>
      <c r="AA1578" s="2"/>
      <c r="AB1578" s="2"/>
    </row>
    <row r="1579" spans="1:28" x14ac:dyDescent="0.25">
      <c r="A1579" s="2"/>
      <c r="B1579" s="8"/>
      <c r="C1579" s="8"/>
      <c r="D1579" s="8"/>
      <c r="E1579" s="8"/>
      <c r="F1579" s="13"/>
      <c r="G1579" s="59"/>
      <c r="H1579" s="6"/>
      <c r="I1579" s="6"/>
      <c r="J1579" s="2"/>
      <c r="K1579" s="2"/>
      <c r="L1579" s="2"/>
      <c r="M1579" s="2"/>
      <c r="N1579" s="2"/>
      <c r="O1579" s="56"/>
      <c r="P1579" s="2"/>
      <c r="Q1579" s="2"/>
      <c r="R1579" s="2"/>
      <c r="S1579" s="2"/>
      <c r="T1579" s="2"/>
      <c r="U1579" s="2"/>
      <c r="V1579" s="2"/>
      <c r="W1579" s="2"/>
      <c r="X1579" s="2"/>
      <c r="Y1579" s="2"/>
      <c r="Z1579" s="2"/>
      <c r="AA1579" s="2"/>
      <c r="AB1579" s="2"/>
    </row>
    <row r="1580" spans="1:28" x14ac:dyDescent="0.25">
      <c r="A1580" s="2"/>
      <c r="B1580" s="8"/>
      <c r="C1580" s="8"/>
      <c r="D1580" s="8"/>
      <c r="E1580" s="8"/>
      <c r="F1580" s="13"/>
      <c r="G1580" s="59"/>
      <c r="H1580" s="6"/>
      <c r="I1580" s="6"/>
      <c r="J1580" s="2"/>
      <c r="K1580" s="2"/>
      <c r="L1580" s="2"/>
      <c r="M1580" s="2"/>
      <c r="N1580" s="2"/>
      <c r="O1580" s="56"/>
      <c r="P1580" s="2"/>
      <c r="Q1580" s="2"/>
      <c r="R1580" s="2"/>
      <c r="S1580" s="2"/>
      <c r="T1580" s="2"/>
      <c r="U1580" s="2"/>
      <c r="V1580" s="2"/>
      <c r="W1580" s="2"/>
      <c r="X1580" s="2"/>
      <c r="Y1580" s="2"/>
      <c r="Z1580" s="2"/>
      <c r="AA1580" s="2"/>
      <c r="AB1580" s="2"/>
    </row>
    <row r="1581" spans="1:28" x14ac:dyDescent="0.25">
      <c r="A1581" s="2"/>
      <c r="B1581" s="8"/>
      <c r="C1581" s="8"/>
      <c r="D1581" s="8"/>
      <c r="E1581" s="8"/>
      <c r="F1581" s="13"/>
      <c r="G1581" s="59"/>
      <c r="H1581" s="6"/>
      <c r="I1581" s="6"/>
      <c r="J1581" s="2"/>
      <c r="K1581" s="2"/>
      <c r="L1581" s="2"/>
      <c r="M1581" s="2"/>
      <c r="N1581" s="2"/>
      <c r="O1581" s="56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  <c r="AA1581" s="2"/>
      <c r="AB1581" s="2"/>
    </row>
    <row r="1582" spans="1:28" x14ac:dyDescent="0.25">
      <c r="A1582" s="2"/>
      <c r="B1582" s="8"/>
      <c r="C1582" s="8"/>
      <c r="D1582" s="8"/>
      <c r="E1582" s="8"/>
      <c r="F1582" s="13"/>
      <c r="G1582" s="59"/>
      <c r="H1582" s="6"/>
      <c r="I1582" s="6"/>
      <c r="J1582" s="2"/>
      <c r="K1582" s="2"/>
      <c r="L1582" s="2"/>
      <c r="M1582" s="2"/>
      <c r="N1582" s="2"/>
      <c r="O1582" s="56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  <c r="AA1582" s="2"/>
      <c r="AB1582" s="2"/>
    </row>
    <row r="1583" spans="1:28" x14ac:dyDescent="0.25">
      <c r="A1583" s="2"/>
      <c r="B1583" s="8"/>
      <c r="C1583" s="8"/>
      <c r="D1583" s="8"/>
      <c r="E1583" s="8"/>
      <c r="F1583" s="13"/>
      <c r="G1583" s="59"/>
      <c r="H1583" s="6"/>
      <c r="I1583" s="6"/>
      <c r="J1583" s="2"/>
      <c r="K1583" s="2"/>
      <c r="L1583" s="2"/>
      <c r="M1583" s="2"/>
      <c r="N1583" s="2"/>
      <c r="O1583" s="56"/>
      <c r="P1583" s="2"/>
      <c r="Q1583" s="2"/>
      <c r="R1583" s="2"/>
      <c r="S1583" s="2"/>
      <c r="T1583" s="2"/>
      <c r="U1583" s="2"/>
      <c r="V1583" s="2"/>
      <c r="W1583" s="2"/>
      <c r="X1583" s="2"/>
      <c r="Y1583" s="2"/>
      <c r="Z1583" s="2"/>
      <c r="AA1583" s="2"/>
      <c r="AB1583" s="2"/>
    </row>
    <row r="1584" spans="1:28" x14ac:dyDescent="0.25">
      <c r="A1584" s="2"/>
      <c r="B1584" s="8"/>
      <c r="C1584" s="8"/>
      <c r="D1584" s="8"/>
      <c r="E1584" s="8"/>
      <c r="F1584" s="13"/>
      <c r="G1584" s="59"/>
      <c r="H1584" s="6"/>
      <c r="I1584" s="6"/>
      <c r="J1584" s="2"/>
      <c r="K1584" s="2"/>
      <c r="L1584" s="2"/>
      <c r="M1584" s="2"/>
      <c r="N1584" s="2"/>
      <c r="O1584" s="56"/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  <c r="AA1584" s="2"/>
      <c r="AB1584" s="2"/>
    </row>
    <row r="1585" spans="1:28" x14ac:dyDescent="0.25">
      <c r="A1585" s="2"/>
      <c r="B1585" s="8"/>
      <c r="C1585" s="8"/>
      <c r="D1585" s="8"/>
      <c r="E1585" s="8"/>
      <c r="F1585" s="13"/>
      <c r="G1585" s="59"/>
      <c r="H1585" s="6"/>
      <c r="I1585" s="6"/>
      <c r="J1585" s="2"/>
      <c r="K1585" s="2"/>
      <c r="L1585" s="2"/>
      <c r="M1585" s="2"/>
      <c r="N1585" s="2"/>
      <c r="O1585" s="56"/>
      <c r="P1585" s="2"/>
      <c r="Q1585" s="2"/>
      <c r="R1585" s="2"/>
      <c r="S1585" s="2"/>
      <c r="T1585" s="2"/>
      <c r="U1585" s="2"/>
      <c r="V1585" s="2"/>
      <c r="W1585" s="2"/>
      <c r="X1585" s="2"/>
      <c r="Y1585" s="2"/>
      <c r="Z1585" s="2"/>
      <c r="AA1585" s="2"/>
      <c r="AB1585" s="2"/>
    </row>
    <row r="1586" spans="1:28" x14ac:dyDescent="0.25">
      <c r="A1586" s="2"/>
      <c r="B1586" s="8"/>
      <c r="C1586" s="8"/>
      <c r="D1586" s="8"/>
      <c r="E1586" s="8"/>
      <c r="F1586" s="13"/>
      <c r="G1586" s="59"/>
      <c r="H1586" s="6"/>
      <c r="I1586" s="6"/>
      <c r="J1586" s="2"/>
      <c r="K1586" s="2"/>
      <c r="L1586" s="2"/>
      <c r="M1586" s="2"/>
      <c r="N1586" s="2"/>
      <c r="O1586" s="56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  <c r="AA1586" s="2"/>
      <c r="AB1586" s="2"/>
    </row>
    <row r="1587" spans="1:28" x14ac:dyDescent="0.25">
      <c r="A1587" s="2"/>
      <c r="B1587" s="8"/>
      <c r="C1587" s="8"/>
      <c r="D1587" s="8"/>
      <c r="E1587" s="8"/>
      <c r="F1587" s="13"/>
      <c r="G1587" s="59"/>
      <c r="H1587" s="6"/>
      <c r="I1587" s="6"/>
      <c r="J1587" s="2"/>
      <c r="K1587" s="2"/>
      <c r="L1587" s="2"/>
      <c r="M1587" s="2"/>
      <c r="N1587" s="2"/>
      <c r="O1587" s="56"/>
      <c r="P1587" s="2"/>
      <c r="Q1587" s="2"/>
      <c r="R1587" s="2"/>
      <c r="S1587" s="2"/>
      <c r="T1587" s="2"/>
      <c r="U1587" s="2"/>
      <c r="V1587" s="2"/>
      <c r="W1587" s="2"/>
      <c r="X1587" s="2"/>
      <c r="Y1587" s="2"/>
      <c r="Z1587" s="2"/>
      <c r="AA1587" s="2"/>
      <c r="AB1587" s="2"/>
    </row>
    <row r="1588" spans="1:28" x14ac:dyDescent="0.25">
      <c r="A1588" s="2"/>
      <c r="B1588" s="8"/>
      <c r="C1588" s="8"/>
      <c r="D1588" s="8"/>
      <c r="E1588" s="8"/>
      <c r="F1588" s="13"/>
      <c r="G1588" s="59"/>
      <c r="H1588" s="6"/>
      <c r="I1588" s="6"/>
      <c r="J1588" s="2"/>
      <c r="K1588" s="2"/>
      <c r="L1588" s="2"/>
      <c r="M1588" s="2"/>
      <c r="N1588" s="2"/>
      <c r="O1588" s="56"/>
      <c r="P1588" s="2"/>
      <c r="Q1588" s="2"/>
      <c r="R1588" s="2"/>
      <c r="S1588" s="2"/>
      <c r="T1588" s="2"/>
      <c r="U1588" s="2"/>
      <c r="V1588" s="2"/>
      <c r="W1588" s="2"/>
      <c r="X1588" s="2"/>
      <c r="Y1588" s="2"/>
      <c r="Z1588" s="2"/>
      <c r="AA1588" s="2"/>
      <c r="AB1588" s="2"/>
    </row>
    <row r="1589" spans="1:28" x14ac:dyDescent="0.25">
      <c r="A1589" s="2"/>
      <c r="B1589" s="8"/>
      <c r="C1589" s="8"/>
      <c r="D1589" s="8"/>
      <c r="E1589" s="8"/>
      <c r="F1589" s="13"/>
      <c r="G1589" s="59"/>
      <c r="H1589" s="6"/>
      <c r="I1589" s="6"/>
      <c r="J1589" s="2"/>
      <c r="K1589" s="2"/>
      <c r="L1589" s="2"/>
      <c r="M1589" s="2"/>
      <c r="N1589" s="2"/>
      <c r="O1589" s="56"/>
      <c r="P1589" s="2"/>
      <c r="Q1589" s="2"/>
      <c r="R1589" s="2"/>
      <c r="S1589" s="2"/>
      <c r="T1589" s="2"/>
      <c r="U1589" s="2"/>
      <c r="V1589" s="2"/>
      <c r="W1589" s="2"/>
      <c r="X1589" s="2"/>
      <c r="Y1589" s="2"/>
      <c r="Z1589" s="2"/>
      <c r="AA1589" s="2"/>
      <c r="AB1589" s="2"/>
    </row>
    <row r="1590" spans="1:28" x14ac:dyDescent="0.25">
      <c r="A1590" s="2"/>
      <c r="B1590" s="8"/>
      <c r="C1590" s="8"/>
      <c r="D1590" s="8"/>
      <c r="E1590" s="8"/>
      <c r="F1590" s="13"/>
      <c r="G1590" s="59"/>
      <c r="H1590" s="6"/>
      <c r="I1590" s="6"/>
      <c r="J1590" s="2"/>
      <c r="K1590" s="2"/>
      <c r="L1590" s="2"/>
      <c r="M1590" s="2"/>
      <c r="N1590" s="2"/>
      <c r="O1590" s="56"/>
      <c r="P1590" s="2"/>
      <c r="Q1590" s="2"/>
      <c r="R1590" s="2"/>
      <c r="S1590" s="2"/>
      <c r="T1590" s="2"/>
      <c r="U1590" s="2"/>
      <c r="V1590" s="2"/>
      <c r="W1590" s="2"/>
      <c r="X1590" s="2"/>
      <c r="Y1590" s="2"/>
      <c r="Z1590" s="2"/>
      <c r="AA1590" s="2"/>
      <c r="AB1590" s="2"/>
    </row>
    <row r="1591" spans="1:28" x14ac:dyDescent="0.25">
      <c r="A1591" s="2"/>
      <c r="B1591" s="8"/>
      <c r="C1591" s="8"/>
      <c r="D1591" s="8"/>
      <c r="E1591" s="8"/>
      <c r="F1591" s="13"/>
      <c r="G1591" s="59"/>
      <c r="H1591" s="6"/>
      <c r="I1591" s="6"/>
      <c r="J1591" s="2"/>
      <c r="K1591" s="2"/>
      <c r="L1591" s="2"/>
      <c r="M1591" s="2"/>
      <c r="N1591" s="2"/>
      <c r="O1591" s="56"/>
      <c r="P1591" s="2"/>
      <c r="Q1591" s="2"/>
      <c r="R1591" s="2"/>
      <c r="S1591" s="2"/>
      <c r="T1591" s="2"/>
      <c r="U1591" s="2"/>
      <c r="V1591" s="2"/>
      <c r="W1591" s="2"/>
      <c r="X1591" s="2"/>
      <c r="Y1591" s="2"/>
      <c r="Z1591" s="2"/>
      <c r="AA1591" s="2"/>
      <c r="AB1591" s="2"/>
    </row>
    <row r="1592" spans="1:28" x14ac:dyDescent="0.25">
      <c r="A1592" s="2"/>
      <c r="B1592" s="8"/>
      <c r="C1592" s="8"/>
      <c r="D1592" s="8"/>
      <c r="E1592" s="8"/>
      <c r="F1592" s="13"/>
      <c r="G1592" s="59"/>
      <c r="H1592" s="6"/>
      <c r="I1592" s="6"/>
      <c r="J1592" s="2"/>
      <c r="K1592" s="2"/>
      <c r="L1592" s="2"/>
      <c r="M1592" s="2"/>
      <c r="N1592" s="2"/>
      <c r="O1592" s="56"/>
      <c r="P1592" s="2"/>
      <c r="Q1592" s="2"/>
      <c r="R1592" s="2"/>
      <c r="S1592" s="2"/>
      <c r="T1592" s="2"/>
      <c r="U1592" s="2"/>
      <c r="V1592" s="2"/>
      <c r="W1592" s="2"/>
      <c r="X1592" s="2"/>
      <c r="Y1592" s="2"/>
      <c r="Z1592" s="2"/>
      <c r="AA1592" s="2"/>
      <c r="AB1592" s="2"/>
    </row>
    <row r="1593" spans="1:28" x14ac:dyDescent="0.25">
      <c r="A1593" s="2"/>
      <c r="B1593" s="8"/>
      <c r="C1593" s="8"/>
      <c r="D1593" s="8"/>
      <c r="E1593" s="8"/>
      <c r="F1593" s="13"/>
      <c r="G1593" s="59"/>
      <c r="H1593" s="6"/>
      <c r="I1593" s="6"/>
      <c r="J1593" s="2"/>
      <c r="K1593" s="2"/>
      <c r="L1593" s="2"/>
      <c r="M1593" s="2"/>
      <c r="N1593" s="2"/>
      <c r="O1593" s="56"/>
      <c r="P1593" s="2"/>
      <c r="Q1593" s="2"/>
      <c r="R1593" s="2"/>
      <c r="S1593" s="2"/>
      <c r="T1593" s="2"/>
      <c r="U1593" s="2"/>
      <c r="V1593" s="2"/>
      <c r="W1593" s="2"/>
      <c r="X1593" s="2"/>
      <c r="Y1593" s="2"/>
      <c r="Z1593" s="2"/>
      <c r="AA1593" s="2"/>
      <c r="AB1593" s="2"/>
    </row>
    <row r="1594" spans="1:28" x14ac:dyDescent="0.25">
      <c r="A1594" s="2"/>
      <c r="B1594" s="8"/>
      <c r="C1594" s="8"/>
      <c r="D1594" s="8"/>
      <c r="E1594" s="8"/>
      <c r="F1594" s="13"/>
      <c r="G1594" s="59"/>
      <c r="H1594" s="6"/>
      <c r="I1594" s="6"/>
      <c r="J1594" s="2"/>
      <c r="K1594" s="2"/>
      <c r="L1594" s="2"/>
      <c r="M1594" s="2"/>
      <c r="N1594" s="2"/>
      <c r="O1594" s="56"/>
      <c r="P1594" s="2"/>
      <c r="Q1594" s="2"/>
      <c r="R1594" s="2"/>
      <c r="S1594" s="2"/>
      <c r="T1594" s="2"/>
      <c r="U1594" s="2"/>
      <c r="V1594" s="2"/>
      <c r="W1594" s="2"/>
      <c r="X1594" s="2"/>
      <c r="Y1594" s="2"/>
      <c r="Z1594" s="2"/>
      <c r="AA1594" s="2"/>
      <c r="AB1594" s="2"/>
    </row>
    <row r="1595" spans="1:28" x14ac:dyDescent="0.25">
      <c r="A1595" s="2"/>
      <c r="B1595" s="8"/>
      <c r="C1595" s="8"/>
      <c r="D1595" s="8"/>
      <c r="E1595" s="8"/>
      <c r="F1595" s="13"/>
      <c r="G1595" s="59"/>
      <c r="H1595" s="6"/>
      <c r="I1595" s="6"/>
      <c r="J1595" s="2"/>
      <c r="K1595" s="2"/>
      <c r="L1595" s="2"/>
      <c r="M1595" s="2"/>
      <c r="N1595" s="2"/>
      <c r="O1595" s="56"/>
      <c r="P1595" s="2"/>
      <c r="Q1595" s="2"/>
      <c r="R1595" s="2"/>
      <c r="S1595" s="2"/>
      <c r="T1595" s="2"/>
      <c r="U1595" s="2"/>
      <c r="V1595" s="2"/>
      <c r="W1595" s="2"/>
      <c r="X1595" s="2"/>
      <c r="Y1595" s="2"/>
      <c r="Z1595" s="2"/>
      <c r="AA1595" s="2"/>
      <c r="AB1595" s="2"/>
    </row>
    <row r="1596" spans="1:28" x14ac:dyDescent="0.25">
      <c r="A1596" s="2"/>
      <c r="B1596" s="8"/>
      <c r="C1596" s="8"/>
      <c r="D1596" s="8"/>
      <c r="E1596" s="8"/>
      <c r="F1596" s="13"/>
      <c r="G1596" s="59"/>
      <c r="H1596" s="6"/>
      <c r="I1596" s="6"/>
      <c r="J1596" s="2"/>
      <c r="K1596" s="2"/>
      <c r="L1596" s="2"/>
      <c r="M1596" s="2"/>
      <c r="N1596" s="2"/>
      <c r="O1596" s="56"/>
      <c r="P1596" s="2"/>
      <c r="Q1596" s="2"/>
      <c r="R1596" s="2"/>
      <c r="S1596" s="2"/>
      <c r="T1596" s="2"/>
      <c r="U1596" s="2"/>
      <c r="V1596" s="2"/>
      <c r="W1596" s="2"/>
      <c r="X1596" s="2"/>
      <c r="Y1596" s="2"/>
      <c r="Z1596" s="2"/>
      <c r="AA1596" s="2"/>
      <c r="AB1596" s="2"/>
    </row>
    <row r="1597" spans="1:28" x14ac:dyDescent="0.25">
      <c r="A1597" s="2"/>
      <c r="B1597" s="8"/>
      <c r="C1597" s="8"/>
      <c r="D1597" s="8"/>
      <c r="E1597" s="8"/>
      <c r="F1597" s="13"/>
      <c r="G1597" s="59"/>
      <c r="H1597" s="6"/>
      <c r="I1597" s="6"/>
      <c r="J1597" s="2"/>
      <c r="K1597" s="2"/>
      <c r="L1597" s="2"/>
      <c r="M1597" s="2"/>
      <c r="N1597" s="2"/>
      <c r="O1597" s="56"/>
      <c r="P1597" s="2"/>
      <c r="Q1597" s="2"/>
      <c r="R1597" s="2"/>
      <c r="S1597" s="2"/>
      <c r="T1597" s="2"/>
      <c r="U1597" s="2"/>
      <c r="V1597" s="2"/>
      <c r="W1597" s="2"/>
      <c r="X1597" s="2"/>
      <c r="Y1597" s="2"/>
      <c r="Z1597" s="2"/>
      <c r="AA1597" s="2"/>
      <c r="AB1597" s="2"/>
    </row>
    <row r="1598" spans="1:28" x14ac:dyDescent="0.25">
      <c r="A1598" s="2"/>
      <c r="B1598" s="8"/>
      <c r="C1598" s="8"/>
      <c r="D1598" s="8"/>
      <c r="E1598" s="8"/>
      <c r="F1598" s="13"/>
      <c r="G1598" s="59"/>
      <c r="H1598" s="6"/>
      <c r="I1598" s="6"/>
      <c r="J1598" s="2"/>
      <c r="K1598" s="2"/>
      <c r="L1598" s="2"/>
      <c r="M1598" s="2"/>
      <c r="N1598" s="2"/>
      <c r="O1598" s="56"/>
      <c r="P1598" s="2"/>
      <c r="Q1598" s="2"/>
      <c r="R1598" s="2"/>
      <c r="S1598" s="2"/>
      <c r="T1598" s="2"/>
      <c r="U1598" s="2"/>
      <c r="V1598" s="2"/>
      <c r="W1598" s="2"/>
      <c r="X1598" s="2"/>
      <c r="Y1598" s="2"/>
      <c r="Z1598" s="2"/>
      <c r="AA1598" s="2"/>
      <c r="AB1598" s="2"/>
    </row>
    <row r="1599" spans="1:28" x14ac:dyDescent="0.25">
      <c r="A1599" s="2"/>
      <c r="B1599" s="8"/>
      <c r="C1599" s="8"/>
      <c r="D1599" s="8"/>
      <c r="E1599" s="8"/>
      <c r="F1599" s="13"/>
      <c r="G1599" s="59"/>
      <c r="H1599" s="6"/>
      <c r="I1599" s="6"/>
      <c r="J1599" s="2"/>
      <c r="K1599" s="2"/>
      <c r="L1599" s="2"/>
      <c r="M1599" s="2"/>
      <c r="N1599" s="2"/>
      <c r="O1599" s="56"/>
      <c r="P1599" s="2"/>
      <c r="Q1599" s="2"/>
      <c r="R1599" s="2"/>
      <c r="S1599" s="2"/>
      <c r="T1599" s="2"/>
      <c r="U1599" s="2"/>
      <c r="V1599" s="2"/>
      <c r="W1599" s="2"/>
      <c r="X1599" s="2"/>
      <c r="Y1599" s="2"/>
      <c r="Z1599" s="2"/>
      <c r="AA1599" s="2"/>
      <c r="AB1599" s="2"/>
    </row>
    <row r="1600" spans="1:28" x14ac:dyDescent="0.25">
      <c r="A1600" s="2"/>
      <c r="B1600" s="8"/>
      <c r="C1600" s="8"/>
      <c r="D1600" s="8"/>
      <c r="E1600" s="8"/>
      <c r="F1600" s="13"/>
      <c r="G1600" s="59"/>
      <c r="H1600" s="6"/>
      <c r="I1600" s="6"/>
      <c r="J1600" s="2"/>
      <c r="K1600" s="2"/>
      <c r="L1600" s="2"/>
      <c r="M1600" s="2"/>
      <c r="N1600" s="2"/>
      <c r="O1600" s="56"/>
      <c r="P1600" s="2"/>
      <c r="Q1600" s="2"/>
      <c r="R1600" s="2"/>
      <c r="S1600" s="2"/>
      <c r="T1600" s="2"/>
      <c r="U1600" s="2"/>
      <c r="V1600" s="2"/>
      <c r="W1600" s="2"/>
      <c r="X1600" s="2"/>
      <c r="Y1600" s="2"/>
      <c r="Z1600" s="2"/>
      <c r="AA1600" s="2"/>
      <c r="AB1600" s="2"/>
    </row>
    <row r="1601" spans="1:28" x14ac:dyDescent="0.25">
      <c r="A1601" s="2"/>
      <c r="B1601" s="8"/>
      <c r="C1601" s="8"/>
      <c r="D1601" s="8"/>
      <c r="E1601" s="8"/>
      <c r="F1601" s="13"/>
      <c r="G1601" s="59"/>
      <c r="H1601" s="6"/>
      <c r="I1601" s="6"/>
      <c r="J1601" s="2"/>
      <c r="K1601" s="2"/>
      <c r="L1601" s="2"/>
      <c r="M1601" s="2"/>
      <c r="N1601" s="2"/>
      <c r="O1601" s="56"/>
      <c r="P1601" s="2"/>
      <c r="Q1601" s="2"/>
      <c r="R1601" s="2"/>
      <c r="S1601" s="2"/>
      <c r="T1601" s="2"/>
      <c r="U1601" s="2"/>
      <c r="V1601" s="2"/>
      <c r="W1601" s="2"/>
      <c r="X1601" s="2"/>
      <c r="Y1601" s="2"/>
      <c r="Z1601" s="2"/>
      <c r="AA1601" s="2"/>
      <c r="AB1601" s="2"/>
    </row>
    <row r="1602" spans="1:28" x14ac:dyDescent="0.25">
      <c r="A1602" s="2"/>
      <c r="B1602" s="8"/>
      <c r="C1602" s="8"/>
      <c r="D1602" s="8"/>
      <c r="E1602" s="8"/>
      <c r="F1602" s="13"/>
      <c r="G1602" s="59"/>
      <c r="H1602" s="6"/>
      <c r="I1602" s="6"/>
      <c r="J1602" s="2"/>
      <c r="K1602" s="2"/>
      <c r="L1602" s="2"/>
      <c r="M1602" s="2"/>
      <c r="N1602" s="2"/>
      <c r="O1602" s="56"/>
      <c r="P1602" s="2"/>
      <c r="Q1602" s="2"/>
      <c r="R1602" s="2"/>
      <c r="S1602" s="2"/>
      <c r="T1602" s="2"/>
      <c r="U1602" s="2"/>
      <c r="V1602" s="2"/>
      <c r="W1602" s="2"/>
      <c r="X1602" s="2"/>
      <c r="Y1602" s="2"/>
      <c r="Z1602" s="2"/>
      <c r="AA1602" s="2"/>
      <c r="AB1602" s="2"/>
    </row>
    <row r="1603" spans="1:28" x14ac:dyDescent="0.25">
      <c r="A1603" s="2"/>
      <c r="B1603" s="8"/>
      <c r="C1603" s="8"/>
      <c r="D1603" s="8"/>
      <c r="E1603" s="8"/>
      <c r="F1603" s="13"/>
      <c r="G1603" s="59"/>
      <c r="H1603" s="6"/>
      <c r="I1603" s="6"/>
      <c r="J1603" s="2"/>
      <c r="K1603" s="2"/>
      <c r="L1603" s="2"/>
      <c r="M1603" s="2"/>
      <c r="N1603" s="2"/>
      <c r="O1603" s="56"/>
      <c r="P1603" s="2"/>
      <c r="Q1603" s="2"/>
      <c r="R1603" s="2"/>
      <c r="S1603" s="2"/>
      <c r="T1603" s="2"/>
      <c r="U1603" s="2"/>
      <c r="V1603" s="2"/>
      <c r="W1603" s="2"/>
      <c r="X1603" s="2"/>
      <c r="Y1603" s="2"/>
      <c r="Z1603" s="2"/>
      <c r="AA1603" s="2"/>
      <c r="AB1603" s="2"/>
    </row>
    <row r="1604" spans="1:28" x14ac:dyDescent="0.25">
      <c r="A1604" s="2"/>
      <c r="B1604" s="8"/>
      <c r="C1604" s="8"/>
      <c r="D1604" s="8"/>
      <c r="E1604" s="8"/>
      <c r="F1604" s="13"/>
      <c r="G1604" s="59"/>
      <c r="H1604" s="6"/>
      <c r="I1604" s="6"/>
      <c r="J1604" s="2"/>
      <c r="K1604" s="2"/>
      <c r="L1604" s="2"/>
      <c r="M1604" s="2"/>
      <c r="N1604" s="2"/>
      <c r="O1604" s="56"/>
      <c r="P1604" s="2"/>
      <c r="Q1604" s="2"/>
      <c r="R1604" s="2"/>
      <c r="S1604" s="2"/>
      <c r="T1604" s="2"/>
      <c r="U1604" s="2"/>
      <c r="V1604" s="2"/>
      <c r="W1604" s="2"/>
      <c r="X1604" s="2"/>
      <c r="Y1604" s="2"/>
      <c r="Z1604" s="2"/>
      <c r="AA1604" s="2"/>
      <c r="AB1604" s="2"/>
    </row>
    <row r="1605" spans="1:28" x14ac:dyDescent="0.25">
      <c r="A1605" s="2"/>
      <c r="B1605" s="8"/>
      <c r="C1605" s="8"/>
      <c r="D1605" s="8"/>
      <c r="E1605" s="8"/>
      <c r="F1605" s="13"/>
      <c r="G1605" s="59"/>
      <c r="H1605" s="6"/>
      <c r="I1605" s="6"/>
      <c r="J1605" s="2"/>
      <c r="K1605" s="2"/>
      <c r="L1605" s="2"/>
      <c r="M1605" s="2"/>
      <c r="N1605" s="2"/>
      <c r="O1605" s="56"/>
      <c r="P1605" s="2"/>
      <c r="Q1605" s="2"/>
      <c r="R1605" s="2"/>
      <c r="S1605" s="2"/>
      <c r="T1605" s="2"/>
      <c r="U1605" s="2"/>
      <c r="V1605" s="2"/>
      <c r="W1605" s="2"/>
      <c r="X1605" s="2"/>
      <c r="Y1605" s="2"/>
      <c r="Z1605" s="2"/>
      <c r="AA1605" s="2"/>
      <c r="AB1605" s="2"/>
    </row>
    <row r="1606" spans="1:28" x14ac:dyDescent="0.25">
      <c r="A1606" s="2"/>
      <c r="B1606" s="8"/>
      <c r="C1606" s="8"/>
      <c r="D1606" s="8"/>
      <c r="E1606" s="8"/>
      <c r="F1606" s="13"/>
      <c r="G1606" s="59"/>
      <c r="H1606" s="6"/>
      <c r="I1606" s="6"/>
      <c r="J1606" s="2"/>
      <c r="K1606" s="2"/>
      <c r="L1606" s="2"/>
      <c r="M1606" s="2"/>
      <c r="N1606" s="2"/>
      <c r="O1606" s="56"/>
      <c r="P1606" s="2"/>
      <c r="Q1606" s="2"/>
      <c r="R1606" s="2"/>
      <c r="S1606" s="2"/>
      <c r="T1606" s="2"/>
      <c r="U1606" s="2"/>
      <c r="V1606" s="2"/>
      <c r="W1606" s="2"/>
      <c r="X1606" s="2"/>
      <c r="Y1606" s="2"/>
      <c r="Z1606" s="2"/>
      <c r="AA1606" s="2"/>
      <c r="AB1606" s="2"/>
    </row>
    <row r="1607" spans="1:28" x14ac:dyDescent="0.25">
      <c r="A1607" s="2"/>
      <c r="B1607" s="8"/>
      <c r="C1607" s="8"/>
      <c r="D1607" s="8"/>
      <c r="E1607" s="8"/>
      <c r="F1607" s="13"/>
      <c r="G1607" s="59"/>
      <c r="H1607" s="6"/>
      <c r="I1607" s="6"/>
      <c r="J1607" s="2"/>
      <c r="K1607" s="2"/>
      <c r="L1607" s="2"/>
      <c r="M1607" s="2"/>
      <c r="N1607" s="2"/>
      <c r="O1607" s="56"/>
      <c r="P1607" s="2"/>
      <c r="Q1607" s="2"/>
      <c r="R1607" s="2"/>
      <c r="S1607" s="2"/>
      <c r="T1607" s="2"/>
      <c r="U1607" s="2"/>
      <c r="V1607" s="2"/>
      <c r="W1607" s="2"/>
      <c r="X1607" s="2"/>
      <c r="Y1607" s="2"/>
      <c r="Z1607" s="2"/>
      <c r="AA1607" s="2"/>
      <c r="AB1607" s="2"/>
    </row>
    <row r="1608" spans="1:28" x14ac:dyDescent="0.25">
      <c r="A1608" s="2"/>
      <c r="B1608" s="8"/>
      <c r="C1608" s="8"/>
      <c r="D1608" s="8"/>
      <c r="E1608" s="8"/>
      <c r="F1608" s="13"/>
      <c r="G1608" s="59"/>
      <c r="H1608" s="6"/>
      <c r="I1608" s="6"/>
      <c r="J1608" s="2"/>
      <c r="K1608" s="2"/>
      <c r="L1608" s="2"/>
      <c r="M1608" s="2"/>
      <c r="N1608" s="2"/>
      <c r="O1608" s="56"/>
      <c r="P1608" s="2"/>
      <c r="Q1608" s="2"/>
      <c r="R1608" s="2"/>
      <c r="S1608" s="2"/>
      <c r="T1608" s="2"/>
      <c r="U1608" s="2"/>
      <c r="V1608" s="2"/>
      <c r="W1608" s="2"/>
      <c r="X1608" s="2"/>
      <c r="Y1608" s="2"/>
      <c r="Z1608" s="2"/>
      <c r="AA1608" s="2"/>
      <c r="AB1608" s="2"/>
    </row>
    <row r="1609" spans="1:28" x14ac:dyDescent="0.25">
      <c r="A1609" s="2"/>
      <c r="B1609" s="8"/>
      <c r="C1609" s="8"/>
      <c r="D1609" s="8"/>
      <c r="E1609" s="8"/>
      <c r="F1609" s="13"/>
      <c r="G1609" s="59"/>
      <c r="H1609" s="6"/>
      <c r="I1609" s="6"/>
      <c r="J1609" s="2"/>
      <c r="K1609" s="2"/>
      <c r="L1609" s="2"/>
      <c r="M1609" s="2"/>
      <c r="N1609" s="2"/>
      <c r="O1609" s="56"/>
      <c r="P1609" s="2"/>
      <c r="Q1609" s="2"/>
      <c r="R1609" s="2"/>
      <c r="S1609" s="2"/>
      <c r="T1609" s="2"/>
      <c r="U1609" s="2"/>
      <c r="V1609" s="2"/>
      <c r="W1609" s="2"/>
      <c r="X1609" s="2"/>
      <c r="Y1609" s="2"/>
      <c r="Z1609" s="2"/>
      <c r="AA1609" s="2"/>
      <c r="AB1609" s="2"/>
    </row>
    <row r="1610" spans="1:28" x14ac:dyDescent="0.25">
      <c r="A1610" s="2"/>
      <c r="B1610" s="8"/>
      <c r="C1610" s="8"/>
      <c r="D1610" s="8"/>
      <c r="E1610" s="8"/>
      <c r="F1610" s="13"/>
      <c r="G1610" s="59"/>
      <c r="H1610" s="6"/>
      <c r="I1610" s="6"/>
      <c r="J1610" s="2"/>
      <c r="K1610" s="2"/>
      <c r="L1610" s="2"/>
      <c r="M1610" s="2"/>
      <c r="N1610" s="2"/>
      <c r="O1610" s="56"/>
      <c r="P1610" s="2"/>
      <c r="Q1610" s="2"/>
      <c r="R1610" s="2"/>
      <c r="S1610" s="2"/>
      <c r="T1610" s="2"/>
      <c r="U1610" s="2"/>
      <c r="V1610" s="2"/>
      <c r="W1610" s="2"/>
      <c r="X1610" s="2"/>
      <c r="Y1610" s="2"/>
      <c r="Z1610" s="2"/>
      <c r="AA1610" s="2"/>
      <c r="AB1610" s="2"/>
    </row>
    <row r="1611" spans="1:28" x14ac:dyDescent="0.25">
      <c r="A1611" s="2"/>
      <c r="B1611" s="8"/>
      <c r="C1611" s="8"/>
      <c r="D1611" s="8"/>
      <c r="E1611" s="8"/>
      <c r="F1611" s="13"/>
      <c r="G1611" s="59"/>
      <c r="H1611" s="6"/>
      <c r="I1611" s="6"/>
      <c r="J1611" s="2"/>
      <c r="K1611" s="2"/>
      <c r="L1611" s="2"/>
      <c r="M1611" s="2"/>
      <c r="N1611" s="2"/>
      <c r="O1611" s="56"/>
      <c r="P1611" s="2"/>
      <c r="Q1611" s="2"/>
      <c r="R1611" s="2"/>
      <c r="S1611" s="2"/>
      <c r="T1611" s="2"/>
      <c r="U1611" s="2"/>
      <c r="V1611" s="2"/>
      <c r="W1611" s="2"/>
      <c r="X1611" s="2"/>
      <c r="Y1611" s="2"/>
      <c r="Z1611" s="2"/>
      <c r="AA1611" s="2"/>
      <c r="AB1611" s="2"/>
    </row>
    <row r="1612" spans="1:28" x14ac:dyDescent="0.25">
      <c r="A1612" s="2"/>
      <c r="B1612" s="8"/>
      <c r="C1612" s="8"/>
      <c r="D1612" s="8"/>
      <c r="E1612" s="8"/>
      <c r="F1612" s="13"/>
      <c r="G1612" s="59"/>
      <c r="H1612" s="6"/>
      <c r="I1612" s="6"/>
      <c r="J1612" s="2"/>
      <c r="K1612" s="2"/>
      <c r="L1612" s="2"/>
      <c r="M1612" s="2"/>
      <c r="N1612" s="2"/>
      <c r="O1612" s="56"/>
      <c r="P1612" s="2"/>
      <c r="Q1612" s="2"/>
      <c r="R1612" s="2"/>
      <c r="S1612" s="2"/>
      <c r="T1612" s="2"/>
      <c r="U1612" s="2"/>
      <c r="V1612" s="2"/>
      <c r="W1612" s="2"/>
      <c r="X1612" s="2"/>
      <c r="Y1612" s="2"/>
      <c r="Z1612" s="2"/>
      <c r="AA1612" s="2"/>
      <c r="AB1612" s="2"/>
    </row>
    <row r="1613" spans="1:28" x14ac:dyDescent="0.25">
      <c r="A1613" s="2"/>
      <c r="B1613" s="8"/>
      <c r="C1613" s="8"/>
      <c r="D1613" s="8"/>
      <c r="E1613" s="8"/>
      <c r="F1613" s="13"/>
      <c r="G1613" s="59"/>
      <c r="H1613" s="6"/>
      <c r="I1613" s="6"/>
      <c r="J1613" s="2"/>
      <c r="K1613" s="2"/>
      <c r="L1613" s="2"/>
      <c r="M1613" s="2"/>
      <c r="N1613" s="2"/>
      <c r="O1613" s="56"/>
      <c r="P1613" s="2"/>
      <c r="Q1613" s="2"/>
      <c r="R1613" s="2"/>
      <c r="S1613" s="2"/>
      <c r="T1613" s="2"/>
      <c r="U1613" s="2"/>
      <c r="V1613" s="2"/>
      <c r="W1613" s="2"/>
      <c r="X1613" s="2"/>
      <c r="Y1613" s="2"/>
      <c r="Z1613" s="2"/>
      <c r="AA1613" s="2"/>
      <c r="AB1613" s="2"/>
    </row>
    <row r="1614" spans="1:28" x14ac:dyDescent="0.25">
      <c r="A1614" s="2"/>
      <c r="B1614" s="8"/>
      <c r="C1614" s="8"/>
      <c r="D1614" s="8"/>
      <c r="E1614" s="8"/>
      <c r="F1614" s="13"/>
      <c r="G1614" s="59"/>
      <c r="H1614" s="6"/>
      <c r="I1614" s="6"/>
      <c r="J1614" s="2"/>
      <c r="K1614" s="2"/>
      <c r="L1614" s="2"/>
      <c r="M1614" s="2"/>
      <c r="N1614" s="2"/>
      <c r="O1614" s="56"/>
      <c r="P1614" s="2"/>
      <c r="Q1614" s="2"/>
      <c r="R1614" s="2"/>
      <c r="S1614" s="2"/>
      <c r="T1614" s="2"/>
      <c r="U1614" s="2"/>
      <c r="V1614" s="2"/>
      <c r="W1614" s="2"/>
      <c r="X1614" s="2"/>
      <c r="Y1614" s="2"/>
      <c r="Z1614" s="2"/>
      <c r="AA1614" s="2"/>
      <c r="AB1614" s="2"/>
    </row>
    <row r="1615" spans="1:28" x14ac:dyDescent="0.25">
      <c r="A1615" s="2"/>
      <c r="B1615" s="8"/>
      <c r="C1615" s="8"/>
      <c r="D1615" s="8"/>
      <c r="E1615" s="8"/>
      <c r="F1615" s="13"/>
      <c r="G1615" s="59"/>
      <c r="H1615" s="6"/>
      <c r="I1615" s="6"/>
      <c r="J1615" s="2"/>
      <c r="K1615" s="2"/>
      <c r="L1615" s="2"/>
      <c r="M1615" s="2"/>
      <c r="N1615" s="2"/>
      <c r="O1615" s="56"/>
      <c r="P1615" s="2"/>
      <c r="Q1615" s="2"/>
      <c r="R1615" s="2"/>
      <c r="S1615" s="2"/>
      <c r="T1615" s="2"/>
      <c r="U1615" s="2"/>
      <c r="V1615" s="2"/>
      <c r="W1615" s="2"/>
      <c r="X1615" s="2"/>
      <c r="Y1615" s="2"/>
      <c r="Z1615" s="2"/>
      <c r="AA1615" s="2"/>
      <c r="AB1615" s="2"/>
    </row>
    <row r="1616" spans="1:28" x14ac:dyDescent="0.25">
      <c r="A1616" s="2"/>
      <c r="B1616" s="8"/>
      <c r="C1616" s="8"/>
      <c r="D1616" s="8"/>
      <c r="E1616" s="8"/>
      <c r="F1616" s="13"/>
      <c r="G1616" s="59"/>
      <c r="H1616" s="6"/>
      <c r="I1616" s="6"/>
      <c r="J1616" s="2"/>
      <c r="K1616" s="2"/>
      <c r="L1616" s="2"/>
      <c r="M1616" s="2"/>
      <c r="N1616" s="2"/>
      <c r="O1616" s="56"/>
      <c r="P1616" s="2"/>
      <c r="Q1616" s="2"/>
      <c r="R1616" s="2"/>
      <c r="S1616" s="2"/>
      <c r="T1616" s="2"/>
      <c r="U1616" s="2"/>
      <c r="V1616" s="2"/>
      <c r="W1616" s="2"/>
      <c r="X1616" s="2"/>
      <c r="Y1616" s="2"/>
      <c r="Z1616" s="2"/>
      <c r="AA1616" s="2"/>
      <c r="AB1616" s="2"/>
    </row>
    <row r="1617" spans="1:28" x14ac:dyDescent="0.25">
      <c r="A1617" s="2"/>
      <c r="B1617" s="8"/>
      <c r="C1617" s="8"/>
      <c r="D1617" s="8"/>
      <c r="E1617" s="8"/>
      <c r="F1617" s="13"/>
      <c r="G1617" s="59"/>
      <c r="H1617" s="6"/>
      <c r="I1617" s="6"/>
      <c r="J1617" s="2"/>
      <c r="K1617" s="2"/>
      <c r="L1617" s="2"/>
      <c r="M1617" s="2"/>
      <c r="N1617" s="2"/>
      <c r="O1617" s="56"/>
      <c r="P1617" s="2"/>
      <c r="Q1617" s="2"/>
      <c r="R1617" s="2"/>
      <c r="S1617" s="2"/>
      <c r="T1617" s="2"/>
      <c r="U1617" s="2"/>
      <c r="V1617" s="2"/>
      <c r="W1617" s="2"/>
      <c r="X1617" s="2"/>
      <c r="Y1617" s="2"/>
      <c r="Z1617" s="2"/>
      <c r="AA1617" s="2"/>
      <c r="AB1617" s="2"/>
    </row>
    <row r="1618" spans="1:28" x14ac:dyDescent="0.25">
      <c r="A1618" s="2"/>
      <c r="B1618" s="8"/>
      <c r="C1618" s="8"/>
      <c r="D1618" s="8"/>
      <c r="E1618" s="8"/>
      <c r="F1618" s="13"/>
      <c r="G1618" s="59"/>
      <c r="H1618" s="6"/>
      <c r="I1618" s="6"/>
      <c r="J1618" s="2"/>
      <c r="K1618" s="2"/>
      <c r="L1618" s="2"/>
      <c r="M1618" s="2"/>
      <c r="N1618" s="2"/>
      <c r="O1618" s="56"/>
      <c r="P1618" s="2"/>
      <c r="Q1618" s="2"/>
      <c r="R1618" s="2"/>
      <c r="S1618" s="2"/>
      <c r="T1618" s="2"/>
      <c r="U1618" s="2"/>
      <c r="V1618" s="2"/>
      <c r="W1618" s="2"/>
      <c r="X1618" s="2"/>
      <c r="Y1618" s="2"/>
      <c r="Z1618" s="2"/>
      <c r="AA1618" s="2"/>
      <c r="AB1618" s="2"/>
    </row>
    <row r="1619" spans="1:28" x14ac:dyDescent="0.25">
      <c r="A1619" s="2"/>
      <c r="B1619" s="8"/>
      <c r="C1619" s="8"/>
      <c r="D1619" s="8"/>
      <c r="E1619" s="8"/>
      <c r="F1619" s="13"/>
      <c r="G1619" s="59"/>
      <c r="H1619" s="6"/>
      <c r="I1619" s="6"/>
      <c r="J1619" s="2"/>
      <c r="K1619" s="2"/>
      <c r="L1619" s="2"/>
      <c r="M1619" s="2"/>
      <c r="N1619" s="2"/>
      <c r="O1619" s="56"/>
      <c r="P1619" s="2"/>
      <c r="Q1619" s="2"/>
      <c r="R1619" s="2"/>
      <c r="S1619" s="2"/>
      <c r="T1619" s="2"/>
      <c r="U1619" s="2"/>
      <c r="V1619" s="2"/>
      <c r="W1619" s="2"/>
      <c r="X1619" s="2"/>
      <c r="Y1619" s="2"/>
      <c r="Z1619" s="2"/>
      <c r="AA1619" s="2"/>
      <c r="AB1619" s="2"/>
    </row>
    <row r="1620" spans="1:28" x14ac:dyDescent="0.25">
      <c r="A1620" s="2"/>
      <c r="B1620" s="8"/>
      <c r="C1620" s="8"/>
      <c r="D1620" s="8"/>
      <c r="E1620" s="8"/>
      <c r="F1620" s="13"/>
      <c r="G1620" s="59"/>
      <c r="H1620" s="6"/>
      <c r="I1620" s="6"/>
      <c r="J1620" s="2"/>
      <c r="K1620" s="2"/>
      <c r="L1620" s="2"/>
      <c r="M1620" s="2"/>
      <c r="N1620" s="2"/>
      <c r="O1620" s="56"/>
      <c r="P1620" s="2"/>
      <c r="Q1620" s="2"/>
      <c r="R1620" s="2"/>
      <c r="S1620" s="2"/>
      <c r="T1620" s="2"/>
      <c r="U1620" s="2"/>
      <c r="V1620" s="2"/>
      <c r="W1620" s="2"/>
      <c r="X1620" s="2"/>
      <c r="Y1620" s="2"/>
      <c r="Z1620" s="2"/>
      <c r="AA1620" s="2"/>
      <c r="AB1620" s="2"/>
    </row>
    <row r="1621" spans="1:28" x14ac:dyDescent="0.25">
      <c r="A1621" s="2"/>
      <c r="B1621" s="8"/>
      <c r="C1621" s="8"/>
      <c r="D1621" s="8"/>
      <c r="E1621" s="8"/>
      <c r="F1621" s="13"/>
      <c r="G1621" s="59"/>
      <c r="H1621" s="6"/>
      <c r="I1621" s="6"/>
      <c r="J1621" s="2"/>
      <c r="K1621" s="2"/>
      <c r="L1621" s="2"/>
      <c r="M1621" s="2"/>
      <c r="N1621" s="2"/>
      <c r="O1621" s="56"/>
      <c r="P1621" s="2"/>
      <c r="Q1621" s="2"/>
      <c r="R1621" s="2"/>
      <c r="S1621" s="2"/>
      <c r="T1621" s="2"/>
      <c r="U1621" s="2"/>
      <c r="V1621" s="2"/>
      <c r="W1621" s="2"/>
      <c r="X1621" s="2"/>
      <c r="Y1621" s="2"/>
      <c r="Z1621" s="2"/>
      <c r="AA1621" s="2"/>
      <c r="AB1621" s="2"/>
    </row>
    <row r="1622" spans="1:28" x14ac:dyDescent="0.25">
      <c r="A1622" s="2"/>
      <c r="B1622" s="8"/>
      <c r="C1622" s="8"/>
      <c r="D1622" s="8"/>
      <c r="E1622" s="8"/>
      <c r="F1622" s="13"/>
      <c r="G1622" s="59"/>
      <c r="H1622" s="6"/>
      <c r="I1622" s="6"/>
      <c r="J1622" s="2"/>
      <c r="K1622" s="2"/>
      <c r="L1622" s="2"/>
      <c r="M1622" s="2"/>
      <c r="N1622" s="2"/>
      <c r="O1622" s="56"/>
      <c r="P1622" s="2"/>
      <c r="Q1622" s="2"/>
      <c r="R1622" s="2"/>
      <c r="S1622" s="2"/>
      <c r="T1622" s="2"/>
      <c r="U1622" s="2"/>
      <c r="V1622" s="2"/>
      <c r="W1622" s="2"/>
      <c r="X1622" s="2"/>
      <c r="Y1622" s="2"/>
      <c r="Z1622" s="2"/>
      <c r="AA1622" s="2"/>
      <c r="AB1622" s="2"/>
    </row>
    <row r="1623" spans="1:28" x14ac:dyDescent="0.25">
      <c r="A1623" s="2"/>
      <c r="B1623" s="8"/>
      <c r="C1623" s="8"/>
      <c r="D1623" s="8"/>
      <c r="E1623" s="8"/>
      <c r="F1623" s="13"/>
      <c r="G1623" s="59"/>
      <c r="H1623" s="6"/>
      <c r="I1623" s="6"/>
      <c r="J1623" s="2"/>
      <c r="K1623" s="2"/>
      <c r="L1623" s="2"/>
      <c r="M1623" s="2"/>
      <c r="N1623" s="2"/>
      <c r="O1623" s="56"/>
      <c r="P1623" s="2"/>
      <c r="Q1623" s="2"/>
      <c r="R1623" s="2"/>
      <c r="S1623" s="2"/>
      <c r="T1623" s="2"/>
      <c r="U1623" s="2"/>
      <c r="V1623" s="2"/>
      <c r="W1623" s="2"/>
      <c r="X1623" s="2"/>
      <c r="Y1623" s="2"/>
      <c r="Z1623" s="2"/>
      <c r="AA1623" s="2"/>
      <c r="AB1623" s="2"/>
    </row>
    <row r="1624" spans="1:28" x14ac:dyDescent="0.25">
      <c r="A1624" s="2"/>
      <c r="B1624" s="8"/>
      <c r="C1624" s="8"/>
      <c r="D1624" s="8"/>
      <c r="E1624" s="8"/>
      <c r="F1624" s="13"/>
      <c r="G1624" s="59"/>
      <c r="H1624" s="6"/>
      <c r="I1624" s="6"/>
      <c r="J1624" s="2"/>
      <c r="K1624" s="2"/>
      <c r="L1624" s="2"/>
      <c r="M1624" s="2"/>
      <c r="N1624" s="2"/>
      <c r="O1624" s="56"/>
      <c r="P1624" s="2"/>
      <c r="Q1624" s="2"/>
      <c r="R1624" s="2"/>
      <c r="S1624" s="2"/>
      <c r="T1624" s="2"/>
      <c r="U1624" s="2"/>
      <c r="V1624" s="2"/>
      <c r="W1624" s="2"/>
      <c r="X1624" s="2"/>
      <c r="Y1624" s="2"/>
      <c r="Z1624" s="2"/>
      <c r="AA1624" s="2"/>
      <c r="AB1624" s="2"/>
    </row>
    <row r="1625" spans="1:28" x14ac:dyDescent="0.25">
      <c r="A1625" s="2"/>
      <c r="B1625" s="8"/>
      <c r="C1625" s="8"/>
      <c r="D1625" s="8"/>
      <c r="E1625" s="8"/>
      <c r="F1625" s="13"/>
      <c r="G1625" s="59"/>
      <c r="H1625" s="6"/>
      <c r="I1625" s="6"/>
      <c r="J1625" s="2"/>
      <c r="K1625" s="2"/>
      <c r="L1625" s="2"/>
      <c r="M1625" s="2"/>
      <c r="N1625" s="2"/>
      <c r="O1625" s="56"/>
      <c r="P1625" s="2"/>
      <c r="Q1625" s="2"/>
      <c r="R1625" s="2"/>
      <c r="S1625" s="2"/>
      <c r="T1625" s="2"/>
      <c r="U1625" s="2"/>
      <c r="V1625" s="2"/>
      <c r="W1625" s="2"/>
      <c r="X1625" s="2"/>
      <c r="Y1625" s="2"/>
      <c r="Z1625" s="2"/>
      <c r="AA1625" s="2"/>
      <c r="AB1625" s="2"/>
    </row>
    <row r="1626" spans="1:28" x14ac:dyDescent="0.25">
      <c r="A1626" s="2"/>
      <c r="B1626" s="8"/>
      <c r="C1626" s="8"/>
      <c r="D1626" s="8"/>
      <c r="E1626" s="8"/>
      <c r="F1626" s="13"/>
      <c r="G1626" s="59"/>
      <c r="H1626" s="6"/>
      <c r="I1626" s="6"/>
      <c r="J1626" s="2"/>
      <c r="K1626" s="2"/>
      <c r="L1626" s="2"/>
      <c r="M1626" s="2"/>
      <c r="N1626" s="2"/>
      <c r="O1626" s="56"/>
      <c r="P1626" s="2"/>
      <c r="Q1626" s="2"/>
      <c r="R1626" s="2"/>
      <c r="S1626" s="2"/>
      <c r="T1626" s="2"/>
      <c r="U1626" s="2"/>
      <c r="V1626" s="2"/>
      <c r="W1626" s="2"/>
      <c r="X1626" s="2"/>
      <c r="Y1626" s="2"/>
      <c r="Z1626" s="2"/>
      <c r="AA1626" s="2"/>
      <c r="AB1626" s="2"/>
    </row>
    <row r="1627" spans="1:28" x14ac:dyDescent="0.25">
      <c r="A1627" s="2"/>
      <c r="B1627" s="8"/>
      <c r="C1627" s="8"/>
      <c r="D1627" s="8"/>
      <c r="E1627" s="8"/>
      <c r="F1627" s="13"/>
      <c r="G1627" s="59"/>
      <c r="H1627" s="6"/>
      <c r="I1627" s="6"/>
      <c r="J1627" s="2"/>
      <c r="K1627" s="2"/>
      <c r="L1627" s="2"/>
      <c r="M1627" s="2"/>
      <c r="N1627" s="2"/>
      <c r="O1627" s="56"/>
      <c r="P1627" s="2"/>
      <c r="Q1627" s="2"/>
      <c r="R1627" s="2"/>
      <c r="S1627" s="2"/>
      <c r="T1627" s="2"/>
      <c r="U1627" s="2"/>
      <c r="V1627" s="2"/>
      <c r="W1627" s="2"/>
      <c r="X1627" s="2"/>
      <c r="Y1627" s="2"/>
      <c r="Z1627" s="2"/>
      <c r="AA1627" s="2"/>
      <c r="AB1627" s="2"/>
    </row>
    <row r="1628" spans="1:28" x14ac:dyDescent="0.25">
      <c r="A1628" s="2"/>
      <c r="B1628" s="8"/>
      <c r="C1628" s="8"/>
      <c r="D1628" s="8"/>
      <c r="E1628" s="8"/>
      <c r="F1628" s="13"/>
      <c r="G1628" s="59"/>
      <c r="H1628" s="6"/>
      <c r="I1628" s="6"/>
      <c r="J1628" s="2"/>
      <c r="K1628" s="2"/>
      <c r="L1628" s="2"/>
      <c r="M1628" s="2"/>
      <c r="N1628" s="2"/>
      <c r="O1628" s="56"/>
      <c r="P1628" s="2"/>
      <c r="Q1628" s="2"/>
      <c r="R1628" s="2"/>
      <c r="S1628" s="2"/>
      <c r="T1628" s="2"/>
      <c r="U1628" s="2"/>
      <c r="V1628" s="2"/>
      <c r="W1628" s="2"/>
      <c r="X1628" s="2"/>
      <c r="Y1628" s="2"/>
      <c r="Z1628" s="2"/>
      <c r="AA1628" s="2"/>
      <c r="AB1628" s="2"/>
    </row>
    <row r="1629" spans="1:28" x14ac:dyDescent="0.25">
      <c r="A1629" s="2"/>
      <c r="B1629" s="8"/>
      <c r="C1629" s="8"/>
      <c r="D1629" s="8"/>
      <c r="E1629" s="8"/>
      <c r="F1629" s="13"/>
      <c r="G1629" s="59"/>
      <c r="H1629" s="6"/>
      <c r="I1629" s="6"/>
      <c r="J1629" s="2"/>
      <c r="K1629" s="2"/>
      <c r="L1629" s="2"/>
      <c r="M1629" s="2"/>
      <c r="N1629" s="2"/>
      <c r="O1629" s="56"/>
      <c r="P1629" s="2"/>
      <c r="Q1629" s="2"/>
      <c r="R1629" s="2"/>
      <c r="S1629" s="2"/>
      <c r="T1629" s="2"/>
      <c r="U1629" s="2"/>
      <c r="V1629" s="2"/>
      <c r="W1629" s="2"/>
      <c r="X1629" s="2"/>
      <c r="Y1629" s="2"/>
      <c r="Z1629" s="2"/>
      <c r="AA1629" s="2"/>
      <c r="AB1629" s="2"/>
    </row>
    <row r="1630" spans="1:28" x14ac:dyDescent="0.25">
      <c r="A1630" s="2"/>
      <c r="B1630" s="8"/>
      <c r="C1630" s="8"/>
      <c r="D1630" s="8"/>
      <c r="E1630" s="8"/>
      <c r="F1630" s="13"/>
      <c r="G1630" s="59"/>
      <c r="H1630" s="6"/>
      <c r="I1630" s="6"/>
      <c r="J1630" s="2"/>
      <c r="K1630" s="2"/>
      <c r="L1630" s="2"/>
      <c r="M1630" s="2"/>
      <c r="N1630" s="2"/>
      <c r="O1630" s="56"/>
      <c r="P1630" s="2"/>
      <c r="Q1630" s="2"/>
      <c r="R1630" s="2"/>
      <c r="S1630" s="2"/>
      <c r="T1630" s="2"/>
      <c r="U1630" s="2"/>
      <c r="V1630" s="2"/>
      <c r="W1630" s="2"/>
      <c r="X1630" s="2"/>
      <c r="Y1630" s="2"/>
      <c r="Z1630" s="2"/>
      <c r="AA1630" s="2"/>
      <c r="AB1630" s="2"/>
    </row>
    <row r="1631" spans="1:28" x14ac:dyDescent="0.25">
      <c r="A1631" s="2"/>
      <c r="B1631" s="8"/>
      <c r="C1631" s="8"/>
      <c r="D1631" s="8"/>
      <c r="E1631" s="8"/>
      <c r="F1631" s="13"/>
      <c r="G1631" s="59"/>
      <c r="H1631" s="6"/>
      <c r="I1631" s="6"/>
      <c r="J1631" s="2"/>
      <c r="K1631" s="2"/>
      <c r="L1631" s="2"/>
      <c r="M1631" s="2"/>
      <c r="N1631" s="2"/>
      <c r="O1631" s="56"/>
      <c r="P1631" s="2"/>
      <c r="Q1631" s="2"/>
      <c r="R1631" s="2"/>
      <c r="S1631" s="2"/>
      <c r="T1631" s="2"/>
      <c r="U1631" s="2"/>
      <c r="V1631" s="2"/>
      <c r="W1631" s="2"/>
      <c r="X1631" s="2"/>
      <c r="Y1631" s="2"/>
      <c r="Z1631" s="2"/>
      <c r="AA1631" s="2"/>
      <c r="AB1631" s="2"/>
    </row>
    <row r="1632" spans="1:28" x14ac:dyDescent="0.25">
      <c r="A1632" s="2"/>
      <c r="B1632" s="8"/>
      <c r="C1632" s="8"/>
      <c r="D1632" s="8"/>
      <c r="E1632" s="8"/>
      <c r="F1632" s="13"/>
      <c r="G1632" s="59"/>
      <c r="H1632" s="6"/>
      <c r="I1632" s="6"/>
      <c r="J1632" s="2"/>
      <c r="K1632" s="2"/>
      <c r="L1632" s="2"/>
      <c r="M1632" s="2"/>
      <c r="N1632" s="2"/>
      <c r="O1632" s="56"/>
      <c r="P1632" s="2"/>
      <c r="Q1632" s="2"/>
      <c r="R1632" s="2"/>
      <c r="S1632" s="2"/>
      <c r="T1632" s="2"/>
      <c r="U1632" s="2"/>
      <c r="V1632" s="2"/>
      <c r="W1632" s="2"/>
      <c r="X1632" s="2"/>
      <c r="Y1632" s="2"/>
      <c r="Z1632" s="2"/>
      <c r="AA1632" s="2"/>
      <c r="AB1632" s="2"/>
    </row>
    <row r="1633" spans="1:28" x14ac:dyDescent="0.25">
      <c r="A1633" s="2"/>
      <c r="B1633" s="8"/>
      <c r="C1633" s="8"/>
      <c r="D1633" s="8"/>
      <c r="E1633" s="8"/>
      <c r="F1633" s="13"/>
      <c r="G1633" s="59"/>
      <c r="H1633" s="6"/>
      <c r="I1633" s="6"/>
      <c r="J1633" s="2"/>
      <c r="K1633" s="2"/>
      <c r="L1633" s="2"/>
      <c r="M1633" s="2"/>
      <c r="N1633" s="2"/>
      <c r="O1633" s="56"/>
      <c r="P1633" s="2"/>
      <c r="Q1633" s="2"/>
      <c r="R1633" s="2"/>
      <c r="S1633" s="2"/>
      <c r="T1633" s="2"/>
      <c r="U1633" s="2"/>
      <c r="V1633" s="2"/>
      <c r="W1633" s="2"/>
      <c r="X1633" s="2"/>
      <c r="Y1633" s="2"/>
      <c r="Z1633" s="2"/>
      <c r="AA1633" s="2"/>
      <c r="AB1633" s="2"/>
    </row>
    <row r="1634" spans="1:28" x14ac:dyDescent="0.25">
      <c r="A1634" s="2"/>
      <c r="B1634" s="8"/>
      <c r="C1634" s="8"/>
      <c r="D1634" s="8"/>
      <c r="E1634" s="8"/>
      <c r="F1634" s="13"/>
      <c r="G1634" s="59"/>
      <c r="H1634" s="6"/>
      <c r="I1634" s="6"/>
      <c r="J1634" s="2"/>
      <c r="K1634" s="2"/>
      <c r="L1634" s="2"/>
      <c r="M1634" s="2"/>
      <c r="N1634" s="2"/>
      <c r="O1634" s="56"/>
      <c r="P1634" s="2"/>
      <c r="Q1634" s="2"/>
      <c r="R1634" s="2"/>
      <c r="S1634" s="2"/>
      <c r="T1634" s="2"/>
      <c r="U1634" s="2"/>
      <c r="V1634" s="2"/>
      <c r="W1634" s="2"/>
      <c r="X1634" s="2"/>
      <c r="Y1634" s="2"/>
      <c r="Z1634" s="2"/>
      <c r="AA1634" s="2"/>
      <c r="AB1634" s="2"/>
    </row>
    <row r="1635" spans="1:28" x14ac:dyDescent="0.25">
      <c r="A1635" s="2"/>
      <c r="B1635" s="8"/>
      <c r="C1635" s="8"/>
      <c r="D1635" s="8"/>
      <c r="E1635" s="8"/>
      <c r="F1635" s="13"/>
      <c r="G1635" s="59"/>
      <c r="H1635" s="6"/>
      <c r="I1635" s="6"/>
      <c r="J1635" s="2"/>
      <c r="K1635" s="2"/>
      <c r="L1635" s="2"/>
      <c r="M1635" s="2"/>
      <c r="N1635" s="2"/>
      <c r="O1635" s="56"/>
      <c r="P1635" s="2"/>
      <c r="Q1635" s="2"/>
      <c r="R1635" s="2"/>
      <c r="S1635" s="2"/>
      <c r="T1635" s="2"/>
      <c r="U1635" s="2"/>
      <c r="V1635" s="2"/>
      <c r="W1635" s="2"/>
      <c r="X1635" s="2"/>
      <c r="Y1635" s="2"/>
      <c r="Z1635" s="2"/>
      <c r="AA1635" s="2"/>
      <c r="AB1635" s="2"/>
    </row>
    <row r="1636" spans="1:28" x14ac:dyDescent="0.25">
      <c r="A1636" s="2"/>
      <c r="B1636" s="8"/>
      <c r="C1636" s="8"/>
      <c r="D1636" s="8"/>
      <c r="E1636" s="8"/>
      <c r="F1636" s="13"/>
      <c r="G1636" s="59"/>
      <c r="H1636" s="6"/>
      <c r="I1636" s="6"/>
      <c r="J1636" s="2"/>
      <c r="K1636" s="2"/>
      <c r="L1636" s="2"/>
      <c r="M1636" s="2"/>
      <c r="N1636" s="2"/>
      <c r="O1636" s="56"/>
      <c r="P1636" s="2"/>
      <c r="Q1636" s="2"/>
      <c r="R1636" s="2"/>
      <c r="S1636" s="2"/>
      <c r="T1636" s="2"/>
      <c r="U1636" s="2"/>
      <c r="V1636" s="2"/>
      <c r="W1636" s="2"/>
      <c r="X1636" s="2"/>
      <c r="Y1636" s="2"/>
      <c r="Z1636" s="2"/>
      <c r="AA1636" s="2"/>
      <c r="AB1636" s="2"/>
    </row>
    <row r="1637" spans="1:28" x14ac:dyDescent="0.25">
      <c r="A1637" s="2"/>
      <c r="B1637" s="8"/>
      <c r="C1637" s="8"/>
      <c r="D1637" s="8"/>
      <c r="E1637" s="8"/>
      <c r="F1637" s="13"/>
      <c r="G1637" s="59"/>
      <c r="H1637" s="6"/>
      <c r="I1637" s="6"/>
      <c r="J1637" s="2"/>
      <c r="K1637" s="2"/>
      <c r="L1637" s="2"/>
      <c r="M1637" s="2"/>
      <c r="N1637" s="2"/>
      <c r="O1637" s="56"/>
      <c r="P1637" s="2"/>
      <c r="Q1637" s="2"/>
      <c r="R1637" s="2"/>
      <c r="S1637" s="2"/>
      <c r="T1637" s="2"/>
      <c r="U1637" s="2"/>
      <c r="V1637" s="2"/>
      <c r="W1637" s="2"/>
      <c r="X1637" s="2"/>
      <c r="Y1637" s="2"/>
      <c r="Z1637" s="2"/>
      <c r="AA1637" s="2"/>
      <c r="AB1637" s="2"/>
    </row>
    <row r="1638" spans="1:28" x14ac:dyDescent="0.25">
      <c r="A1638" s="2"/>
      <c r="B1638" s="8"/>
      <c r="C1638" s="8"/>
      <c r="D1638" s="8"/>
      <c r="E1638" s="8"/>
      <c r="F1638" s="13"/>
      <c r="G1638" s="59"/>
      <c r="H1638" s="6"/>
      <c r="I1638" s="6"/>
      <c r="J1638" s="2"/>
      <c r="K1638" s="2"/>
      <c r="L1638" s="2"/>
      <c r="M1638" s="2"/>
      <c r="N1638" s="2"/>
      <c r="O1638" s="56"/>
      <c r="P1638" s="2"/>
      <c r="Q1638" s="2"/>
      <c r="R1638" s="2"/>
      <c r="S1638" s="2"/>
      <c r="T1638" s="2"/>
      <c r="U1638" s="2"/>
      <c r="V1638" s="2"/>
      <c r="W1638" s="2"/>
      <c r="X1638" s="2"/>
      <c r="Y1638" s="2"/>
      <c r="Z1638" s="2"/>
      <c r="AA1638" s="2"/>
      <c r="AB1638" s="2"/>
    </row>
    <row r="1639" spans="1:28" x14ac:dyDescent="0.25">
      <c r="A1639" s="2"/>
      <c r="B1639" s="8"/>
      <c r="C1639" s="8"/>
      <c r="D1639" s="8"/>
      <c r="E1639" s="8"/>
      <c r="F1639" s="13"/>
      <c r="G1639" s="59"/>
      <c r="H1639" s="6"/>
      <c r="I1639" s="6"/>
      <c r="J1639" s="2"/>
      <c r="K1639" s="2"/>
      <c r="L1639" s="2"/>
      <c r="M1639" s="2"/>
      <c r="N1639" s="2"/>
      <c r="O1639" s="56"/>
      <c r="P1639" s="2"/>
      <c r="Q1639" s="2"/>
      <c r="R1639" s="2"/>
      <c r="S1639" s="2"/>
      <c r="T1639" s="2"/>
      <c r="U1639" s="2"/>
      <c r="V1639" s="2"/>
      <c r="W1639" s="2"/>
      <c r="X1639" s="2"/>
      <c r="Y1639" s="2"/>
      <c r="Z1639" s="2"/>
      <c r="AA1639" s="2"/>
      <c r="AB1639" s="2"/>
    </row>
    <row r="1640" spans="1:28" x14ac:dyDescent="0.25">
      <c r="A1640" s="2"/>
      <c r="B1640" s="8"/>
      <c r="C1640" s="8"/>
      <c r="D1640" s="8"/>
      <c r="E1640" s="8"/>
      <c r="F1640" s="13"/>
      <c r="G1640" s="59"/>
      <c r="H1640" s="6"/>
      <c r="I1640" s="6"/>
      <c r="J1640" s="2"/>
      <c r="K1640" s="2"/>
      <c r="L1640" s="2"/>
      <c r="M1640" s="2"/>
      <c r="N1640" s="2"/>
      <c r="O1640" s="56"/>
      <c r="P1640" s="2"/>
      <c r="Q1640" s="2"/>
      <c r="R1640" s="2"/>
      <c r="S1640" s="2"/>
      <c r="T1640" s="2"/>
      <c r="U1640" s="2"/>
      <c r="V1640" s="2"/>
      <c r="W1640" s="2"/>
      <c r="X1640" s="2"/>
      <c r="Y1640" s="2"/>
      <c r="Z1640" s="2"/>
      <c r="AA1640" s="2"/>
      <c r="AB1640" s="2"/>
    </row>
    <row r="1641" spans="1:28" x14ac:dyDescent="0.25">
      <c r="A1641" s="2"/>
      <c r="B1641" s="8"/>
      <c r="C1641" s="8"/>
      <c r="D1641" s="8"/>
      <c r="E1641" s="8"/>
      <c r="F1641" s="13"/>
      <c r="G1641" s="59"/>
      <c r="H1641" s="6"/>
      <c r="I1641" s="6"/>
      <c r="J1641" s="2"/>
      <c r="K1641" s="2"/>
      <c r="L1641" s="2"/>
      <c r="M1641" s="2"/>
      <c r="N1641" s="2"/>
      <c r="O1641" s="56"/>
      <c r="P1641" s="2"/>
      <c r="Q1641" s="2"/>
      <c r="R1641" s="2"/>
      <c r="S1641" s="2"/>
      <c r="T1641" s="2"/>
      <c r="U1641" s="2"/>
      <c r="V1641" s="2"/>
      <c r="W1641" s="2"/>
      <c r="X1641" s="2"/>
      <c r="Y1641" s="2"/>
      <c r="Z1641" s="2"/>
      <c r="AA1641" s="2"/>
      <c r="AB1641" s="2"/>
    </row>
    <row r="1642" spans="1:28" x14ac:dyDescent="0.25">
      <c r="A1642" s="2"/>
      <c r="B1642" s="8"/>
      <c r="C1642" s="8"/>
      <c r="D1642" s="8"/>
      <c r="E1642" s="8"/>
      <c r="F1642" s="13"/>
      <c r="G1642" s="59"/>
      <c r="H1642" s="6"/>
      <c r="I1642" s="6"/>
      <c r="J1642" s="2"/>
      <c r="K1642" s="2"/>
      <c r="L1642" s="2"/>
      <c r="M1642" s="2"/>
      <c r="N1642" s="2"/>
      <c r="O1642" s="56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  <c r="AA1642" s="2"/>
      <c r="AB1642" s="2"/>
    </row>
    <row r="1643" spans="1:28" x14ac:dyDescent="0.25">
      <c r="A1643" s="2"/>
      <c r="B1643" s="8"/>
      <c r="C1643" s="8"/>
      <c r="D1643" s="8"/>
      <c r="E1643" s="8"/>
      <c r="F1643" s="13"/>
      <c r="G1643" s="59"/>
      <c r="H1643" s="6"/>
      <c r="I1643" s="6"/>
      <c r="J1643" s="2"/>
      <c r="K1643" s="2"/>
      <c r="L1643" s="2"/>
      <c r="M1643" s="2"/>
      <c r="N1643" s="2"/>
      <c r="O1643" s="56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  <c r="AA1643" s="2"/>
      <c r="AB1643" s="2"/>
    </row>
    <row r="1644" spans="1:28" x14ac:dyDescent="0.25">
      <c r="A1644" s="2"/>
      <c r="B1644" s="8"/>
      <c r="C1644" s="8"/>
      <c r="D1644" s="8"/>
      <c r="E1644" s="8"/>
      <c r="F1644" s="13"/>
      <c r="G1644" s="59"/>
      <c r="H1644" s="6"/>
      <c r="I1644" s="6"/>
      <c r="J1644" s="2"/>
      <c r="K1644" s="2"/>
      <c r="L1644" s="2"/>
      <c r="M1644" s="2"/>
      <c r="N1644" s="2"/>
      <c r="O1644" s="56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  <c r="AA1644" s="2"/>
      <c r="AB1644" s="2"/>
    </row>
    <row r="1645" spans="1:28" x14ac:dyDescent="0.25">
      <c r="A1645" s="2"/>
      <c r="B1645" s="8"/>
      <c r="C1645" s="8"/>
      <c r="D1645" s="8"/>
      <c r="E1645" s="8"/>
      <c r="F1645" s="13"/>
      <c r="G1645" s="59"/>
      <c r="H1645" s="6"/>
      <c r="I1645" s="6"/>
      <c r="J1645" s="2"/>
      <c r="K1645" s="2"/>
      <c r="L1645" s="2"/>
      <c r="M1645" s="2"/>
      <c r="N1645" s="2"/>
      <c r="O1645" s="56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  <c r="AA1645" s="2"/>
      <c r="AB1645" s="2"/>
    </row>
    <row r="1646" spans="1:28" x14ac:dyDescent="0.25">
      <c r="A1646" s="2"/>
      <c r="B1646" s="8"/>
      <c r="C1646" s="8"/>
      <c r="D1646" s="8"/>
      <c r="E1646" s="8"/>
      <c r="F1646" s="13"/>
      <c r="G1646" s="59"/>
      <c r="H1646" s="6"/>
      <c r="I1646" s="6"/>
      <c r="J1646" s="2"/>
      <c r="K1646" s="2"/>
      <c r="L1646" s="2"/>
      <c r="M1646" s="2"/>
      <c r="N1646" s="2"/>
      <c r="O1646" s="56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  <c r="AA1646" s="2"/>
      <c r="AB1646" s="2"/>
    </row>
    <row r="1647" spans="1:28" x14ac:dyDescent="0.25">
      <c r="A1647" s="2"/>
      <c r="B1647" s="8"/>
      <c r="C1647" s="8"/>
      <c r="D1647" s="8"/>
      <c r="E1647" s="8"/>
      <c r="F1647" s="13"/>
      <c r="G1647" s="59"/>
      <c r="H1647" s="6"/>
      <c r="I1647" s="6"/>
      <c r="J1647" s="2"/>
      <c r="K1647" s="2"/>
      <c r="L1647" s="2"/>
      <c r="M1647" s="2"/>
      <c r="N1647" s="2"/>
      <c r="O1647" s="56"/>
      <c r="P1647" s="2"/>
      <c r="Q1647" s="2"/>
      <c r="R1647" s="2"/>
      <c r="S1647" s="2"/>
      <c r="T1647" s="2"/>
      <c r="U1647" s="2"/>
      <c r="V1647" s="2"/>
      <c r="W1647" s="2"/>
      <c r="X1647" s="2"/>
      <c r="Y1647" s="2"/>
      <c r="Z1647" s="2"/>
      <c r="AA1647" s="2"/>
      <c r="AB1647" s="2"/>
    </row>
    <row r="1648" spans="1:28" x14ac:dyDescent="0.25">
      <c r="A1648" s="2"/>
      <c r="B1648" s="8"/>
      <c r="C1648" s="8"/>
      <c r="D1648" s="8"/>
      <c r="E1648" s="8"/>
      <c r="F1648" s="13"/>
      <c r="G1648" s="59"/>
      <c r="H1648" s="6"/>
      <c r="I1648" s="6"/>
      <c r="J1648" s="2"/>
      <c r="K1648" s="2"/>
      <c r="L1648" s="2"/>
      <c r="M1648" s="2"/>
      <c r="N1648" s="2"/>
      <c r="O1648" s="56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  <c r="AA1648" s="2"/>
      <c r="AB1648" s="2"/>
    </row>
    <row r="1649" spans="1:28" x14ac:dyDescent="0.25">
      <c r="A1649" s="2"/>
      <c r="B1649" s="8"/>
      <c r="C1649" s="8"/>
      <c r="D1649" s="8"/>
      <c r="E1649" s="8"/>
      <c r="F1649" s="13"/>
      <c r="G1649" s="59"/>
      <c r="H1649" s="6"/>
      <c r="I1649" s="6"/>
      <c r="J1649" s="2"/>
      <c r="K1649" s="2"/>
      <c r="L1649" s="2"/>
      <c r="M1649" s="2"/>
      <c r="N1649" s="2"/>
      <c r="O1649" s="56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  <c r="AA1649" s="2"/>
      <c r="AB1649" s="2"/>
    </row>
    <row r="1650" spans="1:28" x14ac:dyDescent="0.25">
      <c r="A1650" s="2"/>
      <c r="B1650" s="8"/>
      <c r="C1650" s="8"/>
      <c r="D1650" s="8"/>
      <c r="E1650" s="8"/>
      <c r="F1650" s="13"/>
      <c r="G1650" s="59"/>
      <c r="H1650" s="6"/>
      <c r="I1650" s="6"/>
      <c r="J1650" s="2"/>
      <c r="K1650" s="2"/>
      <c r="L1650" s="2"/>
      <c r="M1650" s="2"/>
      <c r="N1650" s="2"/>
      <c r="O1650" s="56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  <c r="AA1650" s="2"/>
      <c r="AB1650" s="2"/>
    </row>
    <row r="1651" spans="1:28" x14ac:dyDescent="0.25">
      <c r="A1651" s="2"/>
      <c r="B1651" s="8"/>
      <c r="C1651" s="8"/>
      <c r="D1651" s="8"/>
      <c r="E1651" s="8"/>
      <c r="F1651" s="13"/>
      <c r="G1651" s="59"/>
      <c r="H1651" s="6"/>
      <c r="I1651" s="6"/>
      <c r="J1651" s="2"/>
      <c r="K1651" s="2"/>
      <c r="L1651" s="2"/>
      <c r="M1651" s="2"/>
      <c r="N1651" s="2"/>
      <c r="O1651" s="56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  <c r="AA1651" s="2"/>
      <c r="AB1651" s="2"/>
    </row>
    <row r="1652" spans="1:28" x14ac:dyDescent="0.25">
      <c r="A1652" s="2"/>
      <c r="B1652" s="8"/>
      <c r="C1652" s="8"/>
      <c r="D1652" s="8"/>
      <c r="E1652" s="8"/>
      <c r="F1652" s="13"/>
      <c r="G1652" s="59"/>
      <c r="H1652" s="6"/>
      <c r="I1652" s="6"/>
      <c r="J1652" s="2"/>
      <c r="K1652" s="2"/>
      <c r="L1652" s="2"/>
      <c r="M1652" s="2"/>
      <c r="N1652" s="2"/>
      <c r="O1652" s="56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  <c r="AA1652" s="2"/>
      <c r="AB1652" s="2"/>
    </row>
    <row r="1653" spans="1:28" x14ac:dyDescent="0.25">
      <c r="A1653" s="2"/>
      <c r="B1653" s="8"/>
      <c r="C1653" s="8"/>
      <c r="D1653" s="8"/>
      <c r="E1653" s="8"/>
      <c r="F1653" s="13"/>
      <c r="G1653" s="59"/>
      <c r="H1653" s="6"/>
      <c r="I1653" s="6"/>
      <c r="J1653" s="2"/>
      <c r="K1653" s="2"/>
      <c r="L1653" s="2"/>
      <c r="M1653" s="2"/>
      <c r="N1653" s="2"/>
      <c r="O1653" s="56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  <c r="AA1653" s="2"/>
      <c r="AB1653" s="2"/>
    </row>
    <row r="1654" spans="1:28" x14ac:dyDescent="0.25">
      <c r="A1654" s="2"/>
      <c r="B1654" s="8"/>
      <c r="C1654" s="8"/>
      <c r="D1654" s="8"/>
      <c r="E1654" s="8"/>
      <c r="F1654" s="13"/>
      <c r="G1654" s="59"/>
      <c r="H1654" s="6"/>
      <c r="I1654" s="6"/>
      <c r="J1654" s="2"/>
      <c r="K1654" s="2"/>
      <c r="L1654" s="2"/>
      <c r="M1654" s="2"/>
      <c r="N1654" s="2"/>
      <c r="O1654" s="56"/>
      <c r="P1654" s="2"/>
      <c r="Q1654" s="2"/>
      <c r="R1654" s="2"/>
      <c r="S1654" s="2"/>
      <c r="T1654" s="2"/>
      <c r="U1654" s="2"/>
      <c r="V1654" s="2"/>
      <c r="W1654" s="2"/>
      <c r="X1654" s="2"/>
      <c r="Y1654" s="2"/>
      <c r="Z1654" s="2"/>
      <c r="AA1654" s="2"/>
      <c r="AB1654" s="2"/>
    </row>
    <row r="1655" spans="1:28" x14ac:dyDescent="0.25">
      <c r="A1655" s="2"/>
      <c r="B1655" s="8"/>
      <c r="C1655" s="8"/>
      <c r="D1655" s="8"/>
      <c r="E1655" s="8"/>
      <c r="F1655" s="13"/>
      <c r="G1655" s="59"/>
      <c r="H1655" s="6"/>
      <c r="I1655" s="6"/>
      <c r="J1655" s="2"/>
      <c r="K1655" s="2"/>
      <c r="L1655" s="2"/>
      <c r="M1655" s="2"/>
      <c r="N1655" s="2"/>
      <c r="O1655" s="56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  <c r="AA1655" s="2"/>
      <c r="AB1655" s="2"/>
    </row>
    <row r="1656" spans="1:28" x14ac:dyDescent="0.25">
      <c r="A1656" s="2"/>
      <c r="B1656" s="8"/>
      <c r="C1656" s="8"/>
      <c r="D1656" s="8"/>
      <c r="E1656" s="8"/>
      <c r="F1656" s="13"/>
      <c r="G1656" s="59"/>
      <c r="H1656" s="6"/>
      <c r="I1656" s="6"/>
      <c r="J1656" s="2"/>
      <c r="K1656" s="2"/>
      <c r="L1656" s="2"/>
      <c r="M1656" s="2"/>
      <c r="N1656" s="2"/>
      <c r="O1656" s="56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  <c r="AA1656" s="2"/>
      <c r="AB1656" s="2"/>
    </row>
    <row r="1657" spans="1:28" x14ac:dyDescent="0.25">
      <c r="A1657" s="2"/>
      <c r="B1657" s="8"/>
      <c r="C1657" s="8"/>
      <c r="D1657" s="8"/>
      <c r="E1657" s="8"/>
      <c r="F1657" s="13"/>
      <c r="G1657" s="59"/>
      <c r="H1657" s="6"/>
      <c r="I1657" s="6"/>
      <c r="J1657" s="2"/>
      <c r="K1657" s="2"/>
      <c r="L1657" s="2"/>
      <c r="M1657" s="2"/>
      <c r="N1657" s="2"/>
      <c r="O1657" s="56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  <c r="AA1657" s="2"/>
      <c r="AB1657" s="2"/>
    </row>
    <row r="1658" spans="1:28" x14ac:dyDescent="0.25">
      <c r="A1658" s="2"/>
      <c r="B1658" s="8"/>
      <c r="C1658" s="8"/>
      <c r="D1658" s="8"/>
      <c r="E1658" s="8"/>
      <c r="F1658" s="13"/>
      <c r="G1658" s="59"/>
      <c r="H1658" s="6"/>
      <c r="I1658" s="6"/>
      <c r="J1658" s="2"/>
      <c r="K1658" s="2"/>
      <c r="L1658" s="2"/>
      <c r="M1658" s="2"/>
      <c r="N1658" s="2"/>
      <c r="O1658" s="56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  <c r="AA1658" s="2"/>
      <c r="AB1658" s="2"/>
    </row>
    <row r="1659" spans="1:28" x14ac:dyDescent="0.25">
      <c r="A1659" s="2"/>
      <c r="B1659" s="8"/>
      <c r="C1659" s="8"/>
      <c r="D1659" s="8"/>
      <c r="E1659" s="8"/>
      <c r="F1659" s="13"/>
      <c r="G1659" s="59"/>
      <c r="H1659" s="6"/>
      <c r="I1659" s="6"/>
      <c r="J1659" s="2"/>
      <c r="K1659" s="2"/>
      <c r="L1659" s="2"/>
      <c r="M1659" s="2"/>
      <c r="N1659" s="2"/>
      <c r="O1659" s="56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  <c r="AA1659" s="2"/>
      <c r="AB1659" s="2"/>
    </row>
    <row r="1660" spans="1:28" x14ac:dyDescent="0.25">
      <c r="A1660" s="2"/>
      <c r="B1660" s="8"/>
      <c r="C1660" s="8"/>
      <c r="D1660" s="8"/>
      <c r="E1660" s="8"/>
      <c r="F1660" s="13"/>
      <c r="G1660" s="59"/>
      <c r="H1660" s="6"/>
      <c r="I1660" s="6"/>
      <c r="J1660" s="2"/>
      <c r="K1660" s="2"/>
      <c r="L1660" s="2"/>
      <c r="M1660" s="2"/>
      <c r="N1660" s="2"/>
      <c r="O1660" s="56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  <c r="AA1660" s="2"/>
      <c r="AB1660" s="2"/>
    </row>
    <row r="1661" spans="1:28" x14ac:dyDescent="0.25">
      <c r="A1661" s="2"/>
      <c r="B1661" s="8"/>
      <c r="C1661" s="8"/>
      <c r="D1661" s="8"/>
      <c r="E1661" s="8"/>
      <c r="F1661" s="13"/>
      <c r="G1661" s="59"/>
      <c r="H1661" s="6"/>
      <c r="I1661" s="6"/>
      <c r="J1661" s="2"/>
      <c r="K1661" s="2"/>
      <c r="L1661" s="2"/>
      <c r="M1661" s="2"/>
      <c r="N1661" s="2"/>
      <c r="O1661" s="56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  <c r="AA1661" s="2"/>
      <c r="AB1661" s="2"/>
    </row>
    <row r="1662" spans="1:28" x14ac:dyDescent="0.25">
      <c r="A1662" s="2"/>
      <c r="B1662" s="8"/>
      <c r="C1662" s="8"/>
      <c r="D1662" s="8"/>
      <c r="E1662" s="8"/>
      <c r="F1662" s="13"/>
      <c r="G1662" s="59"/>
      <c r="H1662" s="6"/>
      <c r="I1662" s="6"/>
      <c r="J1662" s="2"/>
      <c r="K1662" s="2"/>
      <c r="L1662" s="2"/>
      <c r="M1662" s="2"/>
      <c r="N1662" s="2"/>
      <c r="O1662" s="56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  <c r="AA1662" s="2"/>
      <c r="AB1662" s="2"/>
    </row>
    <row r="1663" spans="1:28" x14ac:dyDescent="0.25">
      <c r="A1663" s="2"/>
      <c r="B1663" s="8"/>
      <c r="C1663" s="8"/>
      <c r="D1663" s="8"/>
      <c r="E1663" s="8"/>
      <c r="F1663" s="13"/>
      <c r="G1663" s="59"/>
      <c r="H1663" s="6"/>
      <c r="I1663" s="6"/>
      <c r="J1663" s="2"/>
      <c r="K1663" s="2"/>
      <c r="L1663" s="2"/>
      <c r="M1663" s="2"/>
      <c r="N1663" s="2"/>
      <c r="O1663" s="56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  <c r="AA1663" s="2"/>
      <c r="AB1663" s="2"/>
    </row>
    <row r="1664" spans="1:28" x14ac:dyDescent="0.25">
      <c r="A1664" s="2"/>
      <c r="B1664" s="8"/>
      <c r="C1664" s="8"/>
      <c r="D1664" s="8"/>
      <c r="E1664" s="8"/>
      <c r="F1664" s="13"/>
      <c r="G1664" s="59"/>
      <c r="H1664" s="6"/>
      <c r="I1664" s="6"/>
      <c r="J1664" s="2"/>
      <c r="K1664" s="2"/>
      <c r="L1664" s="2"/>
      <c r="M1664" s="2"/>
      <c r="N1664" s="2"/>
      <c r="O1664" s="56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  <c r="AA1664" s="2"/>
      <c r="AB1664" s="2"/>
    </row>
    <row r="1665" spans="1:28" x14ac:dyDescent="0.25">
      <c r="A1665" s="2"/>
      <c r="B1665" s="8"/>
      <c r="C1665" s="8"/>
      <c r="D1665" s="8"/>
      <c r="E1665" s="8"/>
      <c r="F1665" s="13"/>
      <c r="G1665" s="59"/>
      <c r="H1665" s="6"/>
      <c r="I1665" s="6"/>
      <c r="J1665" s="2"/>
      <c r="K1665" s="2"/>
      <c r="L1665" s="2"/>
      <c r="M1665" s="2"/>
      <c r="N1665" s="2"/>
      <c r="O1665" s="56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  <c r="AA1665" s="2"/>
      <c r="AB1665" s="2"/>
    </row>
    <row r="1666" spans="1:28" x14ac:dyDescent="0.25">
      <c r="A1666" s="2"/>
      <c r="B1666" s="8"/>
      <c r="C1666" s="8"/>
      <c r="D1666" s="8"/>
      <c r="E1666" s="8"/>
      <c r="F1666" s="13"/>
      <c r="G1666" s="59"/>
      <c r="H1666" s="6"/>
      <c r="I1666" s="6"/>
      <c r="J1666" s="2"/>
      <c r="K1666" s="2"/>
      <c r="L1666" s="2"/>
      <c r="M1666" s="2"/>
      <c r="N1666" s="2"/>
      <c r="O1666" s="56"/>
      <c r="P1666" s="2"/>
      <c r="Q1666" s="2"/>
      <c r="R1666" s="2"/>
      <c r="S1666" s="2"/>
      <c r="T1666" s="2"/>
      <c r="U1666" s="2"/>
      <c r="V1666" s="2"/>
      <c r="W1666" s="2"/>
      <c r="X1666" s="2"/>
      <c r="Y1666" s="2"/>
      <c r="Z1666" s="2"/>
      <c r="AA1666" s="2"/>
      <c r="AB1666" s="2"/>
    </row>
    <row r="1667" spans="1:28" x14ac:dyDescent="0.25">
      <c r="A1667" s="2"/>
      <c r="B1667" s="8"/>
      <c r="C1667" s="8"/>
      <c r="D1667" s="8"/>
      <c r="E1667" s="8"/>
      <c r="F1667" s="13"/>
      <c r="G1667" s="59"/>
      <c r="H1667" s="6"/>
      <c r="I1667" s="6"/>
      <c r="J1667" s="2"/>
      <c r="K1667" s="2"/>
      <c r="L1667" s="2"/>
      <c r="M1667" s="2"/>
      <c r="N1667" s="2"/>
      <c r="O1667" s="56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  <c r="AA1667" s="2"/>
      <c r="AB1667" s="2"/>
    </row>
    <row r="1668" spans="1:28" x14ac:dyDescent="0.25">
      <c r="A1668" s="2"/>
      <c r="B1668" s="8"/>
      <c r="C1668" s="8"/>
      <c r="D1668" s="8"/>
      <c r="E1668" s="8"/>
      <c r="F1668" s="13"/>
      <c r="G1668" s="59"/>
      <c r="H1668" s="6"/>
      <c r="I1668" s="6"/>
      <c r="J1668" s="2"/>
      <c r="K1668" s="2"/>
      <c r="L1668" s="2"/>
      <c r="M1668" s="2"/>
      <c r="N1668" s="2"/>
      <c r="O1668" s="56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  <c r="AA1668" s="2"/>
      <c r="AB1668" s="2"/>
    </row>
    <row r="1669" spans="1:28" x14ac:dyDescent="0.25">
      <c r="A1669" s="2"/>
      <c r="B1669" s="8"/>
      <c r="C1669" s="8"/>
      <c r="D1669" s="8"/>
      <c r="E1669" s="8"/>
      <c r="F1669" s="13"/>
      <c r="G1669" s="59"/>
      <c r="H1669" s="6"/>
      <c r="I1669" s="6"/>
      <c r="J1669" s="2"/>
      <c r="K1669" s="2"/>
      <c r="L1669" s="2"/>
      <c r="M1669" s="2"/>
      <c r="N1669" s="2"/>
      <c r="O1669" s="56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  <c r="AA1669" s="2"/>
      <c r="AB1669" s="2"/>
    </row>
    <row r="1670" spans="1:28" x14ac:dyDescent="0.25">
      <c r="A1670" s="2"/>
      <c r="B1670" s="8"/>
      <c r="C1670" s="8"/>
      <c r="D1670" s="8"/>
      <c r="E1670" s="8"/>
      <c r="F1670" s="13"/>
      <c r="G1670" s="59"/>
      <c r="H1670" s="6"/>
      <c r="I1670" s="6"/>
      <c r="J1670" s="2"/>
      <c r="K1670" s="2"/>
      <c r="L1670" s="2"/>
      <c r="M1670" s="2"/>
      <c r="N1670" s="2"/>
      <c r="O1670" s="56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  <c r="AA1670" s="2"/>
      <c r="AB1670" s="2"/>
    </row>
    <row r="1671" spans="1:28" x14ac:dyDescent="0.25">
      <c r="A1671" s="2"/>
      <c r="B1671" s="8"/>
      <c r="C1671" s="8"/>
      <c r="D1671" s="8"/>
      <c r="E1671" s="8"/>
      <c r="F1671" s="13"/>
      <c r="G1671" s="59"/>
      <c r="H1671" s="6"/>
      <c r="I1671" s="6"/>
      <c r="J1671" s="2"/>
      <c r="K1671" s="2"/>
      <c r="L1671" s="2"/>
      <c r="M1671" s="2"/>
      <c r="N1671" s="2"/>
      <c r="O1671" s="56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  <c r="AA1671" s="2"/>
      <c r="AB1671" s="2"/>
    </row>
    <row r="1672" spans="1:28" x14ac:dyDescent="0.25">
      <c r="A1672" s="2"/>
      <c r="B1672" s="8"/>
      <c r="C1672" s="8"/>
      <c r="D1672" s="8"/>
      <c r="E1672" s="8"/>
      <c r="F1672" s="13"/>
      <c r="G1672" s="59"/>
      <c r="H1672" s="6"/>
      <c r="I1672" s="6"/>
      <c r="J1672" s="2"/>
      <c r="K1672" s="2"/>
      <c r="L1672" s="2"/>
      <c r="M1672" s="2"/>
      <c r="N1672" s="2"/>
      <c r="O1672" s="56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  <c r="AA1672" s="2"/>
      <c r="AB1672" s="2"/>
    </row>
    <row r="1673" spans="1:28" x14ac:dyDescent="0.25">
      <c r="A1673" s="2"/>
      <c r="B1673" s="8"/>
      <c r="C1673" s="8"/>
      <c r="D1673" s="8"/>
      <c r="E1673" s="8"/>
      <c r="F1673" s="13"/>
      <c r="G1673" s="59"/>
      <c r="H1673" s="6"/>
      <c r="I1673" s="6"/>
      <c r="J1673" s="2"/>
      <c r="K1673" s="2"/>
      <c r="L1673" s="2"/>
      <c r="M1673" s="2"/>
      <c r="N1673" s="2"/>
      <c r="O1673" s="56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  <c r="AA1673" s="2"/>
      <c r="AB1673" s="2"/>
    </row>
    <row r="1674" spans="1:28" x14ac:dyDescent="0.25">
      <c r="A1674" s="2"/>
      <c r="B1674" s="8"/>
      <c r="C1674" s="8"/>
      <c r="D1674" s="8"/>
      <c r="E1674" s="8"/>
      <c r="F1674" s="13"/>
      <c r="G1674" s="59"/>
      <c r="H1674" s="6"/>
      <c r="I1674" s="6"/>
      <c r="J1674" s="2"/>
      <c r="K1674" s="2"/>
      <c r="L1674" s="2"/>
      <c r="M1674" s="2"/>
      <c r="N1674" s="2"/>
      <c r="O1674" s="56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  <c r="AA1674" s="2"/>
      <c r="AB1674" s="2"/>
    </row>
    <row r="1675" spans="1:28" x14ac:dyDescent="0.25">
      <c r="A1675" s="2"/>
      <c r="B1675" s="8"/>
      <c r="C1675" s="8"/>
      <c r="D1675" s="8"/>
      <c r="E1675" s="8"/>
      <c r="F1675" s="13"/>
      <c r="G1675" s="59"/>
      <c r="H1675" s="6"/>
      <c r="I1675" s="6"/>
      <c r="J1675" s="2"/>
      <c r="K1675" s="2"/>
      <c r="L1675" s="2"/>
      <c r="M1675" s="2"/>
      <c r="N1675" s="2"/>
      <c r="O1675" s="56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  <c r="AA1675" s="2"/>
      <c r="AB1675" s="2"/>
    </row>
    <row r="1676" spans="1:28" x14ac:dyDescent="0.25">
      <c r="A1676" s="2"/>
      <c r="B1676" s="8"/>
      <c r="C1676" s="8"/>
      <c r="D1676" s="8"/>
      <c r="E1676" s="8"/>
      <c r="F1676" s="13"/>
      <c r="G1676" s="59"/>
      <c r="H1676" s="6"/>
      <c r="I1676" s="6"/>
      <c r="J1676" s="2"/>
      <c r="K1676" s="2"/>
      <c r="L1676" s="2"/>
      <c r="M1676" s="2"/>
      <c r="N1676" s="2"/>
      <c r="O1676" s="56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  <c r="AA1676" s="2"/>
      <c r="AB1676" s="2"/>
    </row>
    <row r="1677" spans="1:28" x14ac:dyDescent="0.25">
      <c r="A1677" s="2"/>
      <c r="B1677" s="8"/>
      <c r="C1677" s="8"/>
      <c r="D1677" s="8"/>
      <c r="E1677" s="8"/>
      <c r="F1677" s="13"/>
      <c r="G1677" s="59"/>
      <c r="H1677" s="6"/>
      <c r="I1677" s="6"/>
      <c r="J1677" s="2"/>
      <c r="K1677" s="2"/>
      <c r="L1677" s="2"/>
      <c r="M1677" s="2"/>
      <c r="N1677" s="2"/>
      <c r="O1677" s="56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  <c r="AA1677" s="2"/>
      <c r="AB1677" s="2"/>
    </row>
    <row r="1678" spans="1:28" x14ac:dyDescent="0.25">
      <c r="A1678" s="2"/>
      <c r="B1678" s="8"/>
      <c r="C1678" s="8"/>
      <c r="D1678" s="8"/>
      <c r="E1678" s="8"/>
      <c r="F1678" s="13"/>
      <c r="G1678" s="59"/>
      <c r="H1678" s="6"/>
      <c r="I1678" s="6"/>
      <c r="J1678" s="2"/>
      <c r="K1678" s="2"/>
      <c r="L1678" s="2"/>
      <c r="M1678" s="2"/>
      <c r="N1678" s="2"/>
      <c r="O1678" s="56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  <c r="AA1678" s="2"/>
      <c r="AB1678" s="2"/>
    </row>
    <row r="1679" spans="1:28" x14ac:dyDescent="0.25">
      <c r="A1679" s="2"/>
      <c r="B1679" s="8"/>
      <c r="C1679" s="8"/>
      <c r="D1679" s="8"/>
      <c r="E1679" s="8"/>
      <c r="F1679" s="13"/>
      <c r="G1679" s="59"/>
      <c r="H1679" s="6"/>
      <c r="I1679" s="6"/>
      <c r="J1679" s="2"/>
      <c r="K1679" s="2"/>
      <c r="L1679" s="2"/>
      <c r="M1679" s="2"/>
      <c r="N1679" s="2"/>
      <c r="O1679" s="56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  <c r="AA1679" s="2"/>
      <c r="AB1679" s="2"/>
    </row>
    <row r="1680" spans="1:28" x14ac:dyDescent="0.25">
      <c r="A1680" s="2"/>
      <c r="B1680" s="8"/>
      <c r="C1680" s="8"/>
      <c r="D1680" s="8"/>
      <c r="E1680" s="8"/>
      <c r="F1680" s="13"/>
      <c r="G1680" s="59"/>
      <c r="H1680" s="6"/>
      <c r="I1680" s="6"/>
      <c r="J1680" s="2"/>
      <c r="K1680" s="2"/>
      <c r="L1680" s="2"/>
      <c r="M1680" s="2"/>
      <c r="N1680" s="2"/>
      <c r="O1680" s="56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  <c r="AA1680" s="2"/>
      <c r="AB1680" s="2"/>
    </row>
    <row r="1681" spans="1:28" x14ac:dyDescent="0.25">
      <c r="A1681" s="2"/>
      <c r="B1681" s="8"/>
      <c r="C1681" s="8"/>
      <c r="D1681" s="8"/>
      <c r="E1681" s="8"/>
      <c r="F1681" s="13"/>
      <c r="G1681" s="59"/>
      <c r="H1681" s="6"/>
      <c r="I1681" s="6"/>
      <c r="J1681" s="2"/>
      <c r="K1681" s="2"/>
      <c r="L1681" s="2"/>
      <c r="M1681" s="2"/>
      <c r="N1681" s="2"/>
      <c r="O1681" s="56"/>
      <c r="P1681" s="2"/>
      <c r="Q1681" s="2"/>
      <c r="R1681" s="2"/>
      <c r="S1681" s="2"/>
      <c r="T1681" s="2"/>
      <c r="U1681" s="2"/>
      <c r="V1681" s="2"/>
      <c r="W1681" s="2"/>
      <c r="X1681" s="2"/>
      <c r="Y1681" s="2"/>
      <c r="Z1681" s="2"/>
      <c r="AA1681" s="2"/>
      <c r="AB1681" s="2"/>
    </row>
    <row r="1682" spans="1:28" x14ac:dyDescent="0.25">
      <c r="A1682" s="2"/>
      <c r="B1682" s="8"/>
      <c r="C1682" s="8"/>
      <c r="D1682" s="8"/>
      <c r="E1682" s="8"/>
      <c r="F1682" s="13"/>
      <c r="G1682" s="59"/>
      <c r="H1682" s="6"/>
      <c r="I1682" s="6"/>
      <c r="J1682" s="2"/>
      <c r="K1682" s="2"/>
      <c r="L1682" s="2"/>
      <c r="M1682" s="2"/>
      <c r="N1682" s="2"/>
      <c r="O1682" s="56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  <c r="AA1682" s="2"/>
      <c r="AB1682" s="2"/>
    </row>
    <row r="1683" spans="1:28" x14ac:dyDescent="0.25">
      <c r="A1683" s="2"/>
      <c r="B1683" s="8"/>
      <c r="C1683" s="8"/>
      <c r="D1683" s="8"/>
      <c r="E1683" s="8"/>
      <c r="F1683" s="13"/>
      <c r="G1683" s="59"/>
      <c r="H1683" s="6"/>
      <c r="I1683" s="6"/>
      <c r="J1683" s="2"/>
      <c r="K1683" s="2"/>
      <c r="L1683" s="2"/>
      <c r="M1683" s="2"/>
      <c r="N1683" s="2"/>
      <c r="O1683" s="56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  <c r="AA1683" s="2"/>
      <c r="AB1683" s="2"/>
    </row>
    <row r="1684" spans="1:28" x14ac:dyDescent="0.25">
      <c r="A1684" s="2"/>
      <c r="B1684" s="8"/>
      <c r="C1684" s="8"/>
      <c r="D1684" s="8"/>
      <c r="E1684" s="8"/>
      <c r="F1684" s="13"/>
      <c r="G1684" s="59"/>
      <c r="H1684" s="6"/>
      <c r="I1684" s="6"/>
      <c r="J1684" s="2"/>
      <c r="K1684" s="2"/>
      <c r="L1684" s="2"/>
      <c r="M1684" s="2"/>
      <c r="N1684" s="2"/>
      <c r="O1684" s="56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  <c r="AA1684" s="2"/>
      <c r="AB1684" s="2"/>
    </row>
    <row r="1685" spans="1:28" x14ac:dyDescent="0.25">
      <c r="A1685" s="2"/>
      <c r="B1685" s="8"/>
      <c r="C1685" s="8"/>
      <c r="D1685" s="8"/>
      <c r="E1685" s="8"/>
      <c r="F1685" s="13"/>
      <c r="G1685" s="59"/>
      <c r="H1685" s="6"/>
      <c r="I1685" s="6"/>
      <c r="J1685" s="2"/>
      <c r="K1685" s="2"/>
      <c r="L1685" s="2"/>
      <c r="M1685" s="2"/>
      <c r="N1685" s="2"/>
      <c r="O1685" s="56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  <c r="AA1685" s="2"/>
      <c r="AB1685" s="2"/>
    </row>
    <row r="1686" spans="1:28" x14ac:dyDescent="0.25">
      <c r="A1686" s="2"/>
      <c r="B1686" s="8"/>
      <c r="C1686" s="8"/>
      <c r="D1686" s="8"/>
      <c r="E1686" s="8"/>
      <c r="F1686" s="13"/>
      <c r="G1686" s="59"/>
      <c r="H1686" s="6"/>
      <c r="I1686" s="6"/>
      <c r="J1686" s="2"/>
      <c r="K1686" s="2"/>
      <c r="L1686" s="2"/>
      <c r="M1686" s="2"/>
      <c r="N1686" s="2"/>
      <c r="O1686" s="56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  <c r="AA1686" s="2"/>
      <c r="AB1686" s="2"/>
    </row>
    <row r="1687" spans="1:28" x14ac:dyDescent="0.25">
      <c r="A1687" s="2"/>
      <c r="B1687" s="8"/>
      <c r="C1687" s="8"/>
      <c r="D1687" s="8"/>
      <c r="E1687" s="8"/>
      <c r="F1687" s="13"/>
      <c r="G1687" s="59"/>
      <c r="H1687" s="6"/>
      <c r="I1687" s="6"/>
      <c r="J1687" s="2"/>
      <c r="K1687" s="2"/>
      <c r="L1687" s="2"/>
      <c r="M1687" s="2"/>
      <c r="N1687" s="2"/>
      <c r="O1687" s="56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  <c r="AA1687" s="2"/>
      <c r="AB1687" s="2"/>
    </row>
    <row r="1688" spans="1:28" x14ac:dyDescent="0.25">
      <c r="A1688" s="2"/>
      <c r="B1688" s="8"/>
      <c r="C1688" s="8"/>
      <c r="D1688" s="8"/>
      <c r="E1688" s="8"/>
      <c r="F1688" s="13"/>
      <c r="G1688" s="59"/>
      <c r="H1688" s="6"/>
      <c r="I1688" s="6"/>
      <c r="J1688" s="2"/>
      <c r="K1688" s="2"/>
      <c r="L1688" s="2"/>
      <c r="M1688" s="2"/>
      <c r="N1688" s="2"/>
      <c r="O1688" s="56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  <c r="AA1688" s="2"/>
      <c r="AB1688" s="2"/>
    </row>
    <row r="1689" spans="1:28" x14ac:dyDescent="0.25">
      <c r="A1689" s="2"/>
      <c r="B1689" s="8"/>
      <c r="C1689" s="8"/>
      <c r="D1689" s="8"/>
      <c r="E1689" s="8"/>
      <c r="F1689" s="13"/>
      <c r="G1689" s="59"/>
      <c r="H1689" s="6"/>
      <c r="I1689" s="6"/>
      <c r="J1689" s="2"/>
      <c r="K1689" s="2"/>
      <c r="L1689" s="2"/>
      <c r="M1689" s="2"/>
      <c r="N1689" s="2"/>
      <c r="O1689" s="56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  <c r="AA1689" s="2"/>
      <c r="AB1689" s="2"/>
    </row>
    <row r="1690" spans="1:28" x14ac:dyDescent="0.25">
      <c r="A1690" s="2"/>
      <c r="B1690" s="8"/>
      <c r="C1690" s="8"/>
      <c r="D1690" s="8"/>
      <c r="E1690" s="8"/>
      <c r="F1690" s="13"/>
      <c r="G1690" s="59"/>
      <c r="H1690" s="6"/>
      <c r="I1690" s="6"/>
      <c r="J1690" s="2"/>
      <c r="K1690" s="2"/>
      <c r="L1690" s="2"/>
      <c r="M1690" s="2"/>
      <c r="N1690" s="2"/>
      <c r="O1690" s="56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  <c r="AA1690" s="2"/>
      <c r="AB1690" s="2"/>
    </row>
    <row r="1691" spans="1:28" x14ac:dyDescent="0.25">
      <c r="A1691" s="2"/>
      <c r="B1691" s="8"/>
      <c r="C1691" s="8"/>
      <c r="D1691" s="8"/>
      <c r="E1691" s="8"/>
      <c r="F1691" s="13"/>
      <c r="G1691" s="59"/>
      <c r="H1691" s="6"/>
      <c r="I1691" s="6"/>
      <c r="J1691" s="2"/>
      <c r="K1691" s="2"/>
      <c r="L1691" s="2"/>
      <c r="M1691" s="2"/>
      <c r="N1691" s="2"/>
      <c r="O1691" s="56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  <c r="AA1691" s="2"/>
      <c r="AB1691" s="2"/>
    </row>
    <row r="1692" spans="1:28" x14ac:dyDescent="0.25">
      <c r="A1692" s="2"/>
      <c r="B1692" s="8"/>
      <c r="C1692" s="8"/>
      <c r="D1692" s="8"/>
      <c r="E1692" s="8"/>
      <c r="F1692" s="13"/>
      <c r="G1692" s="59"/>
      <c r="H1692" s="6"/>
      <c r="I1692" s="6"/>
      <c r="J1692" s="2"/>
      <c r="K1692" s="2"/>
      <c r="L1692" s="2"/>
      <c r="M1692" s="2"/>
      <c r="N1692" s="2"/>
      <c r="O1692" s="56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  <c r="AA1692" s="2"/>
      <c r="AB1692" s="2"/>
    </row>
    <row r="1693" spans="1:28" x14ac:dyDescent="0.25">
      <c r="A1693" s="2"/>
      <c r="B1693" s="8"/>
      <c r="C1693" s="8"/>
      <c r="D1693" s="8"/>
      <c r="E1693" s="8"/>
      <c r="F1693" s="13"/>
      <c r="G1693" s="59"/>
      <c r="H1693" s="6"/>
      <c r="I1693" s="6"/>
      <c r="J1693" s="2"/>
      <c r="K1693" s="2"/>
      <c r="L1693" s="2"/>
      <c r="M1693" s="2"/>
      <c r="N1693" s="2"/>
      <c r="O1693" s="56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  <c r="AA1693" s="2"/>
      <c r="AB1693" s="2"/>
    </row>
    <row r="1694" spans="1:28" x14ac:dyDescent="0.25">
      <c r="A1694" s="2"/>
      <c r="B1694" s="8"/>
      <c r="C1694" s="8"/>
      <c r="D1694" s="8"/>
      <c r="E1694" s="8"/>
      <c r="F1694" s="13"/>
      <c r="G1694" s="59"/>
      <c r="H1694" s="6"/>
      <c r="I1694" s="6"/>
      <c r="J1694" s="2"/>
      <c r="K1694" s="2"/>
      <c r="L1694" s="2"/>
      <c r="M1694" s="2"/>
      <c r="N1694" s="2"/>
      <c r="O1694" s="56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  <c r="AA1694" s="2"/>
      <c r="AB1694" s="2"/>
    </row>
    <row r="1695" spans="1:28" x14ac:dyDescent="0.25">
      <c r="A1695" s="2"/>
      <c r="B1695" s="8"/>
      <c r="C1695" s="8"/>
      <c r="D1695" s="8"/>
      <c r="E1695" s="8"/>
      <c r="F1695" s="13"/>
      <c r="G1695" s="59"/>
      <c r="H1695" s="6"/>
      <c r="I1695" s="6"/>
      <c r="J1695" s="2"/>
      <c r="K1695" s="2"/>
      <c r="L1695" s="2"/>
      <c r="M1695" s="2"/>
      <c r="N1695" s="2"/>
      <c r="O1695" s="56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  <c r="AA1695" s="2"/>
      <c r="AB1695" s="2"/>
    </row>
    <row r="1696" spans="1:28" x14ac:dyDescent="0.25">
      <c r="A1696" s="2"/>
      <c r="B1696" s="8"/>
      <c r="C1696" s="8"/>
      <c r="D1696" s="8"/>
      <c r="E1696" s="8"/>
      <c r="F1696" s="13"/>
      <c r="G1696" s="59"/>
      <c r="H1696" s="6"/>
      <c r="I1696" s="6"/>
      <c r="J1696" s="2"/>
      <c r="K1696" s="2"/>
      <c r="L1696" s="2"/>
      <c r="M1696" s="2"/>
      <c r="N1696" s="2"/>
      <c r="O1696" s="56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  <c r="AA1696" s="2"/>
      <c r="AB1696" s="2"/>
    </row>
    <row r="1697" spans="1:28" x14ac:dyDescent="0.25">
      <c r="A1697" s="2"/>
      <c r="B1697" s="8"/>
      <c r="C1697" s="8"/>
      <c r="D1697" s="8"/>
      <c r="E1697" s="8"/>
      <c r="F1697" s="13"/>
      <c r="G1697" s="59"/>
      <c r="H1697" s="6"/>
      <c r="I1697" s="6"/>
      <c r="J1697" s="2"/>
      <c r="K1697" s="2"/>
      <c r="L1697" s="2"/>
      <c r="M1697" s="2"/>
      <c r="N1697" s="2"/>
      <c r="O1697" s="56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  <c r="AA1697" s="2"/>
      <c r="AB1697" s="2"/>
    </row>
    <row r="1698" spans="1:28" x14ac:dyDescent="0.25">
      <c r="A1698" s="2"/>
      <c r="B1698" s="8"/>
      <c r="C1698" s="8"/>
      <c r="D1698" s="8"/>
      <c r="E1698" s="8"/>
      <c r="F1698" s="13"/>
      <c r="G1698" s="59"/>
      <c r="H1698" s="6"/>
      <c r="I1698" s="6"/>
      <c r="J1698" s="2"/>
      <c r="K1698" s="2"/>
      <c r="L1698" s="2"/>
      <c r="M1698" s="2"/>
      <c r="N1698" s="2"/>
      <c r="O1698" s="56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  <c r="AA1698" s="2"/>
      <c r="AB1698" s="2"/>
    </row>
    <row r="1699" spans="1:28" x14ac:dyDescent="0.25">
      <c r="A1699" s="2"/>
      <c r="B1699" s="8"/>
      <c r="C1699" s="8"/>
      <c r="D1699" s="8"/>
      <c r="E1699" s="8"/>
      <c r="F1699" s="13"/>
      <c r="G1699" s="59"/>
      <c r="H1699" s="6"/>
      <c r="I1699" s="6"/>
      <c r="J1699" s="2"/>
      <c r="K1699" s="2"/>
      <c r="L1699" s="2"/>
      <c r="M1699" s="2"/>
      <c r="N1699" s="2"/>
      <c r="O1699" s="56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  <c r="AA1699" s="2"/>
      <c r="AB1699" s="2"/>
    </row>
    <row r="1700" spans="1:28" x14ac:dyDescent="0.25">
      <c r="A1700" s="2"/>
      <c r="B1700" s="8"/>
      <c r="C1700" s="8"/>
      <c r="D1700" s="8"/>
      <c r="E1700" s="8"/>
      <c r="F1700" s="13"/>
      <c r="G1700" s="59"/>
      <c r="H1700" s="6"/>
      <c r="I1700" s="6"/>
      <c r="J1700" s="2"/>
      <c r="K1700" s="2"/>
      <c r="L1700" s="2"/>
      <c r="M1700" s="2"/>
      <c r="N1700" s="2"/>
      <c r="O1700" s="56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  <c r="AA1700" s="2"/>
      <c r="AB1700" s="2"/>
    </row>
    <row r="1701" spans="1:28" x14ac:dyDescent="0.25">
      <c r="A1701" s="2"/>
      <c r="B1701" s="8"/>
      <c r="C1701" s="8"/>
      <c r="D1701" s="8"/>
      <c r="E1701" s="8"/>
      <c r="F1701" s="13"/>
      <c r="G1701" s="59"/>
      <c r="H1701" s="6"/>
      <c r="I1701" s="6"/>
      <c r="J1701" s="2"/>
      <c r="K1701" s="2"/>
      <c r="L1701" s="2"/>
      <c r="M1701" s="2"/>
      <c r="N1701" s="2"/>
      <c r="O1701" s="56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  <c r="AA1701" s="2"/>
      <c r="AB1701" s="2"/>
    </row>
    <row r="1702" spans="1:28" x14ac:dyDescent="0.25">
      <c r="A1702" s="2"/>
      <c r="B1702" s="8"/>
      <c r="C1702" s="8"/>
      <c r="D1702" s="8"/>
      <c r="E1702" s="8"/>
      <c r="F1702" s="13"/>
      <c r="G1702" s="59"/>
      <c r="H1702" s="6"/>
      <c r="I1702" s="6"/>
      <c r="J1702" s="2"/>
      <c r="K1702" s="2"/>
      <c r="L1702" s="2"/>
      <c r="M1702" s="2"/>
      <c r="N1702" s="2"/>
      <c r="O1702" s="56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  <c r="AA1702" s="2"/>
      <c r="AB1702" s="2"/>
    </row>
    <row r="1703" spans="1:28" x14ac:dyDescent="0.25">
      <c r="A1703" s="2"/>
      <c r="B1703" s="8"/>
      <c r="C1703" s="8"/>
      <c r="D1703" s="8"/>
      <c r="E1703" s="8"/>
      <c r="F1703" s="13"/>
      <c r="G1703" s="59"/>
      <c r="H1703" s="6"/>
      <c r="I1703" s="6"/>
      <c r="J1703" s="2"/>
      <c r="K1703" s="2"/>
      <c r="L1703" s="2"/>
      <c r="M1703" s="2"/>
      <c r="N1703" s="2"/>
      <c r="O1703" s="56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  <c r="AA1703" s="2"/>
      <c r="AB1703" s="2"/>
    </row>
    <row r="1704" spans="1:28" x14ac:dyDescent="0.25">
      <c r="A1704" s="2"/>
      <c r="B1704" s="8"/>
      <c r="C1704" s="8"/>
      <c r="D1704" s="8"/>
      <c r="E1704" s="8"/>
      <c r="F1704" s="13"/>
      <c r="G1704" s="59"/>
      <c r="H1704" s="6"/>
      <c r="I1704" s="6"/>
      <c r="J1704" s="2"/>
      <c r="K1704" s="2"/>
      <c r="L1704" s="2"/>
      <c r="M1704" s="2"/>
      <c r="N1704" s="2"/>
      <c r="O1704" s="56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  <c r="AA1704" s="2"/>
      <c r="AB1704" s="2"/>
    </row>
    <row r="1705" spans="1:28" x14ac:dyDescent="0.25">
      <c r="A1705" s="2"/>
      <c r="B1705" s="8"/>
      <c r="C1705" s="8"/>
      <c r="D1705" s="8"/>
      <c r="E1705" s="8"/>
      <c r="F1705" s="13"/>
      <c r="G1705" s="59"/>
      <c r="H1705" s="6"/>
      <c r="I1705" s="6"/>
      <c r="J1705" s="2"/>
      <c r="K1705" s="2"/>
      <c r="L1705" s="2"/>
      <c r="M1705" s="2"/>
      <c r="N1705" s="2"/>
      <c r="O1705" s="56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  <c r="AA1705" s="2"/>
      <c r="AB1705" s="2"/>
    </row>
    <row r="1706" spans="1:28" x14ac:dyDescent="0.25">
      <c r="A1706" s="2"/>
      <c r="B1706" s="8"/>
      <c r="C1706" s="8"/>
      <c r="D1706" s="8"/>
      <c r="E1706" s="8"/>
      <c r="F1706" s="13"/>
      <c r="G1706" s="59"/>
      <c r="H1706" s="6"/>
      <c r="I1706" s="6"/>
      <c r="J1706" s="2"/>
      <c r="K1706" s="2"/>
      <c r="L1706" s="2"/>
      <c r="M1706" s="2"/>
      <c r="N1706" s="2"/>
      <c r="O1706" s="56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  <c r="AA1706" s="2"/>
      <c r="AB1706" s="2"/>
    </row>
    <row r="1707" spans="1:28" x14ac:dyDescent="0.25">
      <c r="A1707" s="2"/>
      <c r="B1707" s="8"/>
      <c r="C1707" s="8"/>
      <c r="D1707" s="8"/>
      <c r="E1707" s="8"/>
      <c r="F1707" s="13"/>
      <c r="G1707" s="59"/>
      <c r="H1707" s="6"/>
      <c r="I1707" s="6"/>
      <c r="J1707" s="2"/>
      <c r="K1707" s="2"/>
      <c r="L1707" s="2"/>
      <c r="M1707" s="2"/>
      <c r="N1707" s="2"/>
      <c r="O1707" s="56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  <c r="AA1707" s="2"/>
      <c r="AB1707" s="2"/>
    </row>
    <row r="1708" spans="1:28" x14ac:dyDescent="0.25">
      <c r="A1708" s="2"/>
      <c r="B1708" s="8"/>
      <c r="C1708" s="8"/>
      <c r="D1708" s="8"/>
      <c r="E1708" s="8"/>
      <c r="F1708" s="13"/>
      <c r="G1708" s="59"/>
      <c r="H1708" s="6"/>
      <c r="I1708" s="6"/>
      <c r="J1708" s="2"/>
      <c r="K1708" s="2"/>
      <c r="L1708" s="2"/>
      <c r="M1708" s="2"/>
      <c r="N1708" s="2"/>
      <c r="O1708" s="56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  <c r="AA1708" s="2"/>
      <c r="AB1708" s="2"/>
    </row>
    <row r="1709" spans="1:28" x14ac:dyDescent="0.25">
      <c r="A1709" s="2"/>
      <c r="B1709" s="8"/>
      <c r="C1709" s="8"/>
      <c r="D1709" s="8"/>
      <c r="E1709" s="8"/>
      <c r="F1709" s="13"/>
      <c r="G1709" s="59"/>
      <c r="H1709" s="6"/>
      <c r="I1709" s="6"/>
      <c r="J1709" s="2"/>
      <c r="K1709" s="2"/>
      <c r="L1709" s="2"/>
      <c r="M1709" s="2"/>
      <c r="N1709" s="2"/>
      <c r="O1709" s="56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  <c r="AA1709" s="2"/>
      <c r="AB1709" s="2"/>
    </row>
    <row r="1710" spans="1:28" x14ac:dyDescent="0.25">
      <c r="A1710" s="2"/>
      <c r="B1710" s="8"/>
      <c r="C1710" s="8"/>
      <c r="D1710" s="8"/>
      <c r="E1710" s="8"/>
      <c r="F1710" s="13"/>
      <c r="G1710" s="59"/>
      <c r="H1710" s="6"/>
      <c r="I1710" s="6"/>
      <c r="J1710" s="2"/>
      <c r="K1710" s="2"/>
      <c r="L1710" s="2"/>
      <c r="M1710" s="2"/>
      <c r="N1710" s="2"/>
      <c r="O1710" s="56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  <c r="AA1710" s="2"/>
      <c r="AB1710" s="2"/>
    </row>
    <row r="1711" spans="1:28" x14ac:dyDescent="0.25">
      <c r="A1711" s="2"/>
      <c r="B1711" s="8"/>
      <c r="C1711" s="8"/>
      <c r="D1711" s="8"/>
      <c r="E1711" s="8"/>
      <c r="F1711" s="13"/>
      <c r="G1711" s="59"/>
      <c r="H1711" s="6"/>
      <c r="I1711" s="6"/>
      <c r="J1711" s="2"/>
      <c r="K1711" s="2"/>
      <c r="L1711" s="2"/>
      <c r="M1711" s="2"/>
      <c r="N1711" s="2"/>
      <c r="O1711" s="56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  <c r="AA1711" s="2"/>
      <c r="AB1711" s="2"/>
    </row>
    <row r="1712" spans="1:28" x14ac:dyDescent="0.25">
      <c r="A1712" s="2"/>
      <c r="B1712" s="8"/>
      <c r="C1712" s="8"/>
      <c r="D1712" s="8"/>
      <c r="E1712" s="8"/>
      <c r="F1712" s="13"/>
      <c r="G1712" s="59"/>
      <c r="H1712" s="6"/>
      <c r="I1712" s="6"/>
      <c r="J1712" s="2"/>
      <c r="K1712" s="2"/>
      <c r="L1712" s="2"/>
      <c r="M1712" s="2"/>
      <c r="N1712" s="2"/>
      <c r="O1712" s="56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  <c r="AA1712" s="2"/>
      <c r="AB1712" s="2"/>
    </row>
    <row r="1713" spans="1:28" x14ac:dyDescent="0.25">
      <c r="A1713" s="2"/>
      <c r="B1713" s="8"/>
      <c r="C1713" s="8"/>
      <c r="D1713" s="8"/>
      <c r="E1713" s="8"/>
      <c r="F1713" s="13"/>
      <c r="G1713" s="59"/>
      <c r="H1713" s="6"/>
      <c r="I1713" s="6"/>
      <c r="J1713" s="2"/>
      <c r="K1713" s="2"/>
      <c r="L1713" s="2"/>
      <c r="M1713" s="2"/>
      <c r="N1713" s="2"/>
      <c r="O1713" s="56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  <c r="AA1713" s="2"/>
      <c r="AB1713" s="2"/>
    </row>
    <row r="1714" spans="1:28" x14ac:dyDescent="0.25">
      <c r="A1714" s="2"/>
      <c r="B1714" s="8"/>
      <c r="C1714" s="8"/>
      <c r="D1714" s="8"/>
      <c r="E1714" s="8"/>
      <c r="F1714" s="13"/>
      <c r="G1714" s="59"/>
      <c r="H1714" s="6"/>
      <c r="I1714" s="6"/>
      <c r="J1714" s="2"/>
      <c r="K1714" s="2"/>
      <c r="L1714" s="2"/>
      <c r="M1714" s="2"/>
      <c r="N1714" s="2"/>
      <c r="O1714" s="56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  <c r="AA1714" s="2"/>
      <c r="AB1714" s="2"/>
    </row>
    <row r="1715" spans="1:28" x14ac:dyDescent="0.25">
      <c r="A1715" s="2"/>
      <c r="B1715" s="8"/>
      <c r="C1715" s="8"/>
      <c r="D1715" s="8"/>
      <c r="E1715" s="8"/>
      <c r="F1715" s="13"/>
      <c r="G1715" s="59"/>
      <c r="H1715" s="6"/>
      <c r="I1715" s="6"/>
      <c r="J1715" s="2"/>
      <c r="K1715" s="2"/>
      <c r="L1715" s="2"/>
      <c r="M1715" s="2"/>
      <c r="N1715" s="2"/>
      <c r="O1715" s="56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  <c r="AA1715" s="2"/>
      <c r="AB1715" s="2"/>
    </row>
    <row r="1716" spans="1:28" x14ac:dyDescent="0.25">
      <c r="A1716" s="2"/>
      <c r="B1716" s="8"/>
      <c r="C1716" s="8"/>
      <c r="D1716" s="8"/>
      <c r="E1716" s="8"/>
      <c r="F1716" s="13"/>
      <c r="G1716" s="59"/>
      <c r="H1716" s="6"/>
      <c r="I1716" s="6"/>
      <c r="J1716" s="2"/>
      <c r="K1716" s="2"/>
      <c r="L1716" s="2"/>
      <c r="M1716" s="2"/>
      <c r="N1716" s="2"/>
      <c r="O1716" s="56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  <c r="AA1716" s="2"/>
      <c r="AB1716" s="2"/>
    </row>
    <row r="1717" spans="1:28" x14ac:dyDescent="0.25">
      <c r="A1717" s="2"/>
      <c r="B1717" s="8"/>
      <c r="C1717" s="8"/>
      <c r="D1717" s="8"/>
      <c r="E1717" s="8"/>
      <c r="F1717" s="13"/>
      <c r="G1717" s="59"/>
      <c r="H1717" s="6"/>
      <c r="I1717" s="6"/>
      <c r="J1717" s="2"/>
      <c r="K1717" s="2"/>
      <c r="L1717" s="2"/>
      <c r="M1717" s="2"/>
      <c r="N1717" s="2"/>
      <c r="O1717" s="56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  <c r="AA1717" s="2"/>
      <c r="AB1717" s="2"/>
    </row>
    <row r="1718" spans="1:28" x14ac:dyDescent="0.25">
      <c r="A1718" s="2"/>
      <c r="B1718" s="8"/>
      <c r="C1718" s="8"/>
      <c r="D1718" s="8"/>
      <c r="E1718" s="8"/>
      <c r="F1718" s="13"/>
      <c r="G1718" s="59"/>
      <c r="H1718" s="6"/>
      <c r="I1718" s="6"/>
      <c r="J1718" s="2"/>
      <c r="K1718" s="2"/>
      <c r="L1718" s="2"/>
      <c r="M1718" s="2"/>
      <c r="N1718" s="2"/>
      <c r="O1718" s="56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  <c r="AA1718" s="2"/>
      <c r="AB1718" s="2"/>
    </row>
    <row r="1719" spans="1:28" x14ac:dyDescent="0.25">
      <c r="A1719" s="2"/>
      <c r="B1719" s="8"/>
      <c r="C1719" s="8"/>
      <c r="D1719" s="8"/>
      <c r="E1719" s="8"/>
      <c r="F1719" s="13"/>
      <c r="G1719" s="59"/>
      <c r="H1719" s="6"/>
      <c r="I1719" s="6"/>
      <c r="J1719" s="2"/>
      <c r="K1719" s="2"/>
      <c r="L1719" s="2"/>
      <c r="M1719" s="2"/>
      <c r="N1719" s="2"/>
      <c r="O1719" s="56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  <c r="AA1719" s="2"/>
      <c r="AB1719" s="2"/>
    </row>
    <row r="1720" spans="1:28" x14ac:dyDescent="0.25">
      <c r="A1720" s="2"/>
      <c r="B1720" s="8"/>
      <c r="C1720" s="8"/>
      <c r="D1720" s="8"/>
      <c r="E1720" s="8"/>
      <c r="F1720" s="13"/>
      <c r="G1720" s="59"/>
      <c r="H1720" s="6"/>
      <c r="I1720" s="6"/>
      <c r="J1720" s="2"/>
      <c r="K1720" s="2"/>
      <c r="L1720" s="2"/>
      <c r="M1720" s="2"/>
      <c r="N1720" s="2"/>
      <c r="O1720" s="56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  <c r="AA1720" s="2"/>
      <c r="AB1720" s="2"/>
    </row>
    <row r="1721" spans="1:28" x14ac:dyDescent="0.25">
      <c r="A1721" s="2"/>
      <c r="B1721" s="8"/>
      <c r="C1721" s="8"/>
      <c r="D1721" s="8"/>
      <c r="E1721" s="8"/>
      <c r="F1721" s="13"/>
      <c r="G1721" s="59"/>
      <c r="H1721" s="6"/>
      <c r="I1721" s="6"/>
      <c r="J1721" s="2"/>
      <c r="K1721" s="2"/>
      <c r="L1721" s="2"/>
      <c r="M1721" s="2"/>
      <c r="N1721" s="2"/>
      <c r="O1721" s="56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  <c r="AA1721" s="2"/>
      <c r="AB1721" s="2"/>
    </row>
    <row r="1722" spans="1:28" x14ac:dyDescent="0.25">
      <c r="A1722" s="2"/>
      <c r="B1722" s="8"/>
      <c r="C1722" s="8"/>
      <c r="D1722" s="8"/>
      <c r="E1722" s="8"/>
      <c r="F1722" s="13"/>
      <c r="G1722" s="59"/>
      <c r="H1722" s="6"/>
      <c r="I1722" s="6"/>
      <c r="J1722" s="2"/>
      <c r="K1722" s="2"/>
      <c r="L1722" s="2"/>
      <c r="M1722" s="2"/>
      <c r="N1722" s="2"/>
      <c r="O1722" s="56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  <c r="AA1722" s="2"/>
      <c r="AB1722" s="2"/>
    </row>
    <row r="1723" spans="1:28" x14ac:dyDescent="0.25">
      <c r="A1723" s="2"/>
      <c r="B1723" s="8"/>
      <c r="C1723" s="8"/>
      <c r="D1723" s="8"/>
      <c r="E1723" s="8"/>
      <c r="F1723" s="13"/>
      <c r="G1723" s="59"/>
      <c r="H1723" s="6"/>
      <c r="I1723" s="6"/>
      <c r="J1723" s="2"/>
      <c r="K1723" s="2"/>
      <c r="L1723" s="2"/>
      <c r="M1723" s="2"/>
      <c r="N1723" s="2"/>
      <c r="O1723" s="56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  <c r="AA1723" s="2"/>
      <c r="AB1723" s="2"/>
    </row>
    <row r="1724" spans="1:28" x14ac:dyDescent="0.25">
      <c r="A1724" s="2"/>
      <c r="B1724" s="8"/>
      <c r="C1724" s="8"/>
      <c r="D1724" s="8"/>
      <c r="E1724" s="8"/>
      <c r="F1724" s="13"/>
      <c r="G1724" s="59"/>
      <c r="H1724" s="6"/>
      <c r="I1724" s="6"/>
      <c r="J1724" s="2"/>
      <c r="K1724" s="2"/>
      <c r="L1724" s="2"/>
      <c r="M1724" s="2"/>
      <c r="N1724" s="2"/>
      <c r="O1724" s="56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  <c r="AA1724" s="2"/>
      <c r="AB1724" s="2"/>
    </row>
    <row r="1725" spans="1:28" x14ac:dyDescent="0.25">
      <c r="A1725" s="2"/>
      <c r="B1725" s="8"/>
      <c r="C1725" s="8"/>
      <c r="D1725" s="8"/>
      <c r="E1725" s="8"/>
      <c r="F1725" s="13"/>
      <c r="G1725" s="59"/>
      <c r="H1725" s="6"/>
      <c r="I1725" s="6"/>
      <c r="J1725" s="2"/>
      <c r="K1725" s="2"/>
      <c r="L1725" s="2"/>
      <c r="M1725" s="2"/>
      <c r="N1725" s="2"/>
      <c r="O1725" s="56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  <c r="AA1725" s="2"/>
      <c r="AB1725" s="2"/>
    </row>
    <row r="1726" spans="1:28" x14ac:dyDescent="0.25">
      <c r="A1726" s="2"/>
      <c r="B1726" s="8"/>
      <c r="C1726" s="8"/>
      <c r="D1726" s="8"/>
      <c r="E1726" s="8"/>
      <c r="F1726" s="13"/>
      <c r="G1726" s="59"/>
      <c r="H1726" s="6"/>
      <c r="I1726" s="6"/>
      <c r="J1726" s="2"/>
      <c r="K1726" s="2"/>
      <c r="L1726" s="2"/>
      <c r="M1726" s="2"/>
      <c r="N1726" s="2"/>
      <c r="O1726" s="56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  <c r="AA1726" s="2"/>
      <c r="AB1726" s="2"/>
    </row>
    <row r="1727" spans="1:28" x14ac:dyDescent="0.25">
      <c r="A1727" s="2"/>
      <c r="B1727" s="8"/>
      <c r="C1727" s="8"/>
      <c r="D1727" s="8"/>
      <c r="E1727" s="8"/>
      <c r="F1727" s="13"/>
      <c r="G1727" s="59"/>
      <c r="H1727" s="6"/>
      <c r="I1727" s="6"/>
      <c r="J1727" s="2"/>
      <c r="K1727" s="2"/>
      <c r="L1727" s="2"/>
      <c r="M1727" s="2"/>
      <c r="N1727" s="2"/>
      <c r="O1727" s="56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  <c r="AA1727" s="2"/>
      <c r="AB1727" s="2"/>
    </row>
    <row r="1728" spans="1:28" x14ac:dyDescent="0.25">
      <c r="A1728" s="2"/>
      <c r="B1728" s="8"/>
      <c r="C1728" s="8"/>
      <c r="D1728" s="8"/>
      <c r="E1728" s="8"/>
      <c r="F1728" s="13"/>
      <c r="G1728" s="59"/>
      <c r="H1728" s="6"/>
      <c r="I1728" s="6"/>
      <c r="J1728" s="2"/>
      <c r="K1728" s="2"/>
      <c r="L1728" s="2"/>
      <c r="M1728" s="2"/>
      <c r="N1728" s="2"/>
      <c r="O1728" s="56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  <c r="AA1728" s="2"/>
      <c r="AB1728" s="2"/>
    </row>
    <row r="1729" spans="1:28" x14ac:dyDescent="0.25">
      <c r="A1729" s="2"/>
      <c r="B1729" s="8"/>
      <c r="C1729" s="8"/>
      <c r="D1729" s="8"/>
      <c r="E1729" s="8"/>
      <c r="F1729" s="13"/>
      <c r="G1729" s="59"/>
      <c r="H1729" s="6"/>
      <c r="I1729" s="6"/>
      <c r="J1729" s="2"/>
      <c r="K1729" s="2"/>
      <c r="L1729" s="2"/>
      <c r="M1729" s="2"/>
      <c r="N1729" s="2"/>
      <c r="O1729" s="56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  <c r="AA1729" s="2"/>
      <c r="AB1729" s="2"/>
    </row>
    <row r="1730" spans="1:28" x14ac:dyDescent="0.25">
      <c r="A1730" s="2"/>
      <c r="B1730" s="8"/>
      <c r="C1730" s="8"/>
      <c r="D1730" s="8"/>
      <c r="E1730" s="8"/>
      <c r="F1730" s="13"/>
      <c r="G1730" s="59"/>
      <c r="H1730" s="6"/>
      <c r="I1730" s="6"/>
      <c r="J1730" s="2"/>
      <c r="K1730" s="2"/>
      <c r="L1730" s="2"/>
      <c r="M1730" s="2"/>
      <c r="N1730" s="2"/>
      <c r="O1730" s="56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  <c r="AA1730" s="2"/>
      <c r="AB1730" s="2"/>
    </row>
    <row r="1731" spans="1:28" x14ac:dyDescent="0.25">
      <c r="A1731" s="2"/>
      <c r="B1731" s="8"/>
      <c r="C1731" s="8"/>
      <c r="D1731" s="8"/>
      <c r="E1731" s="8"/>
      <c r="F1731" s="13"/>
      <c r="G1731" s="59"/>
      <c r="H1731" s="6"/>
      <c r="I1731" s="6"/>
      <c r="J1731" s="2"/>
      <c r="K1731" s="2"/>
      <c r="L1731" s="2"/>
      <c r="M1731" s="2"/>
      <c r="N1731" s="2"/>
      <c r="O1731" s="56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  <c r="AA1731" s="2"/>
      <c r="AB1731" s="2"/>
    </row>
    <row r="1732" spans="1:28" x14ac:dyDescent="0.25">
      <c r="A1732" s="2"/>
      <c r="B1732" s="8"/>
      <c r="C1732" s="8"/>
      <c r="D1732" s="8"/>
      <c r="E1732" s="8"/>
      <c r="F1732" s="13"/>
      <c r="G1732" s="59"/>
      <c r="H1732" s="6"/>
      <c r="I1732" s="6"/>
      <c r="J1732" s="2"/>
      <c r="K1732" s="2"/>
      <c r="L1732" s="2"/>
      <c r="M1732" s="2"/>
      <c r="N1732" s="2"/>
      <c r="O1732" s="56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  <c r="AA1732" s="2"/>
      <c r="AB1732" s="2"/>
    </row>
    <row r="1733" spans="1:28" x14ac:dyDescent="0.25">
      <c r="A1733" s="2"/>
      <c r="B1733" s="8"/>
      <c r="C1733" s="8"/>
      <c r="D1733" s="8"/>
      <c r="E1733" s="8"/>
      <c r="F1733" s="13"/>
      <c r="G1733" s="59"/>
      <c r="H1733" s="6"/>
      <c r="I1733" s="6"/>
      <c r="J1733" s="2"/>
      <c r="K1733" s="2"/>
      <c r="L1733" s="2"/>
      <c r="M1733" s="2"/>
      <c r="N1733" s="2"/>
      <c r="O1733" s="56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  <c r="AA1733" s="2"/>
      <c r="AB1733" s="2"/>
    </row>
    <row r="1734" spans="1:28" x14ac:dyDescent="0.25">
      <c r="A1734" s="2"/>
      <c r="B1734" s="8"/>
      <c r="C1734" s="8"/>
      <c r="D1734" s="8"/>
      <c r="E1734" s="8"/>
      <c r="F1734" s="13"/>
      <c r="G1734" s="59"/>
      <c r="H1734" s="6"/>
      <c r="I1734" s="6"/>
      <c r="J1734" s="2"/>
      <c r="K1734" s="2"/>
      <c r="L1734" s="2"/>
      <c r="M1734" s="2"/>
      <c r="N1734" s="2"/>
      <c r="O1734" s="56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  <c r="AA1734" s="2"/>
      <c r="AB1734" s="2"/>
    </row>
    <row r="1735" spans="1:28" x14ac:dyDescent="0.25">
      <c r="A1735" s="2"/>
      <c r="B1735" s="8"/>
      <c r="C1735" s="8"/>
      <c r="D1735" s="8"/>
      <c r="E1735" s="8"/>
      <c r="F1735" s="13"/>
      <c r="G1735" s="59"/>
      <c r="H1735" s="6"/>
      <c r="I1735" s="6"/>
      <c r="J1735" s="2"/>
      <c r="K1735" s="2"/>
      <c r="L1735" s="2"/>
      <c r="M1735" s="2"/>
      <c r="N1735" s="2"/>
      <c r="O1735" s="56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  <c r="AA1735" s="2"/>
      <c r="AB1735" s="2"/>
    </row>
    <row r="1736" spans="1:28" x14ac:dyDescent="0.25">
      <c r="A1736" s="2"/>
      <c r="B1736" s="8"/>
      <c r="C1736" s="8"/>
      <c r="D1736" s="8"/>
      <c r="E1736" s="8"/>
      <c r="F1736" s="13"/>
      <c r="G1736" s="59"/>
      <c r="H1736" s="6"/>
      <c r="I1736" s="6"/>
      <c r="J1736" s="2"/>
      <c r="K1736" s="2"/>
      <c r="L1736" s="2"/>
      <c r="M1736" s="2"/>
      <c r="N1736" s="2"/>
      <c r="O1736" s="56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  <c r="AA1736" s="2"/>
      <c r="AB1736" s="2"/>
    </row>
    <row r="1737" spans="1:28" x14ac:dyDescent="0.25">
      <c r="A1737" s="2"/>
      <c r="B1737" s="8"/>
      <c r="C1737" s="8"/>
      <c r="D1737" s="8"/>
      <c r="E1737" s="8"/>
      <c r="F1737" s="13"/>
      <c r="G1737" s="59"/>
      <c r="H1737" s="6"/>
      <c r="I1737" s="6"/>
      <c r="J1737" s="2"/>
      <c r="K1737" s="2"/>
      <c r="L1737" s="2"/>
      <c r="M1737" s="2"/>
      <c r="N1737" s="2"/>
      <c r="O1737" s="56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  <c r="AA1737" s="2"/>
      <c r="AB1737" s="2"/>
    </row>
    <row r="1738" spans="1:28" x14ac:dyDescent="0.25">
      <c r="A1738" s="2"/>
      <c r="B1738" s="8"/>
      <c r="C1738" s="8"/>
      <c r="D1738" s="8"/>
      <c r="E1738" s="8"/>
      <c r="F1738" s="13"/>
      <c r="G1738" s="59"/>
      <c r="H1738" s="6"/>
      <c r="I1738" s="6"/>
      <c r="J1738" s="2"/>
      <c r="K1738" s="2"/>
      <c r="L1738" s="2"/>
      <c r="M1738" s="2"/>
      <c r="N1738" s="2"/>
      <c r="O1738" s="56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  <c r="AA1738" s="2"/>
      <c r="AB1738" s="2"/>
    </row>
    <row r="1739" spans="1:28" x14ac:dyDescent="0.25">
      <c r="A1739" s="2"/>
      <c r="B1739" s="8"/>
      <c r="C1739" s="8"/>
      <c r="D1739" s="8"/>
      <c r="E1739" s="8"/>
      <c r="F1739" s="13"/>
      <c r="G1739" s="59"/>
      <c r="H1739" s="6"/>
      <c r="I1739" s="6"/>
      <c r="J1739" s="2"/>
      <c r="K1739" s="2"/>
      <c r="L1739" s="2"/>
      <c r="M1739" s="2"/>
      <c r="N1739" s="2"/>
      <c r="O1739" s="56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  <c r="AA1739" s="2"/>
      <c r="AB1739" s="2"/>
    </row>
    <row r="1740" spans="1:28" x14ac:dyDescent="0.25">
      <c r="A1740" s="2"/>
      <c r="B1740" s="8"/>
      <c r="C1740" s="8"/>
      <c r="D1740" s="8"/>
      <c r="E1740" s="8"/>
      <c r="F1740" s="13"/>
      <c r="G1740" s="59"/>
      <c r="H1740" s="6"/>
      <c r="I1740" s="6"/>
      <c r="J1740" s="2"/>
      <c r="K1740" s="2"/>
      <c r="L1740" s="2"/>
      <c r="M1740" s="2"/>
      <c r="N1740" s="2"/>
      <c r="O1740" s="56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  <c r="AA1740" s="2"/>
      <c r="AB1740" s="2"/>
    </row>
    <row r="1741" spans="1:28" x14ac:dyDescent="0.25">
      <c r="A1741" s="2"/>
      <c r="B1741" s="8"/>
      <c r="C1741" s="8"/>
      <c r="D1741" s="8"/>
      <c r="E1741" s="8"/>
      <c r="F1741" s="13"/>
      <c r="G1741" s="59"/>
      <c r="H1741" s="6"/>
      <c r="I1741" s="6"/>
      <c r="J1741" s="2"/>
      <c r="K1741" s="2"/>
      <c r="L1741" s="2"/>
      <c r="M1741" s="2"/>
      <c r="N1741" s="2"/>
      <c r="O1741" s="56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  <c r="AA1741" s="2"/>
      <c r="AB1741" s="2"/>
    </row>
    <row r="1742" spans="1:28" x14ac:dyDescent="0.25">
      <c r="A1742" s="2"/>
      <c r="B1742" s="8"/>
      <c r="C1742" s="8"/>
      <c r="D1742" s="8"/>
      <c r="E1742" s="8"/>
      <c r="F1742" s="13"/>
      <c r="G1742" s="59"/>
      <c r="H1742" s="6"/>
      <c r="I1742" s="6"/>
      <c r="J1742" s="2"/>
      <c r="K1742" s="2"/>
      <c r="L1742" s="2"/>
      <c r="M1742" s="2"/>
      <c r="N1742" s="2"/>
      <c r="O1742" s="56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  <c r="AA1742" s="2"/>
      <c r="AB1742" s="2"/>
    </row>
    <row r="1743" spans="1:28" x14ac:dyDescent="0.25">
      <c r="A1743" s="2"/>
      <c r="B1743" s="8"/>
      <c r="C1743" s="8"/>
      <c r="D1743" s="8"/>
      <c r="E1743" s="8"/>
      <c r="F1743" s="13"/>
      <c r="G1743" s="59"/>
      <c r="H1743" s="6"/>
      <c r="I1743" s="6"/>
      <c r="J1743" s="2"/>
      <c r="K1743" s="2"/>
      <c r="L1743" s="2"/>
      <c r="M1743" s="2"/>
      <c r="N1743" s="2"/>
      <c r="O1743" s="56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  <c r="AA1743" s="2"/>
      <c r="AB1743" s="2"/>
    </row>
    <row r="1744" spans="1:28" x14ac:dyDescent="0.25">
      <c r="A1744" s="2"/>
      <c r="B1744" s="8"/>
      <c r="C1744" s="8"/>
      <c r="D1744" s="8"/>
      <c r="E1744" s="8"/>
      <c r="F1744" s="13"/>
      <c r="G1744" s="59"/>
      <c r="H1744" s="6"/>
      <c r="I1744" s="6"/>
      <c r="J1744" s="2"/>
      <c r="K1744" s="2"/>
      <c r="L1744" s="2"/>
      <c r="M1744" s="2"/>
      <c r="N1744" s="2"/>
      <c r="O1744" s="56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  <c r="AA1744" s="2"/>
      <c r="AB1744" s="2"/>
    </row>
    <row r="1745" spans="1:28" x14ac:dyDescent="0.25">
      <c r="A1745" s="2"/>
      <c r="B1745" s="8"/>
      <c r="C1745" s="8"/>
      <c r="D1745" s="8"/>
      <c r="E1745" s="8"/>
      <c r="F1745" s="13"/>
      <c r="G1745" s="59"/>
      <c r="H1745" s="6"/>
      <c r="I1745" s="6"/>
      <c r="J1745" s="2"/>
      <c r="K1745" s="2"/>
      <c r="L1745" s="2"/>
      <c r="M1745" s="2"/>
      <c r="N1745" s="2"/>
      <c r="O1745" s="56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  <c r="AA1745" s="2"/>
      <c r="AB1745" s="2"/>
    </row>
    <row r="1746" spans="1:28" x14ac:dyDescent="0.25">
      <c r="A1746" s="2"/>
      <c r="B1746" s="8"/>
      <c r="C1746" s="8"/>
      <c r="D1746" s="8"/>
      <c r="E1746" s="8"/>
      <c r="F1746" s="13"/>
      <c r="G1746" s="59"/>
      <c r="H1746" s="6"/>
      <c r="I1746" s="6"/>
      <c r="J1746" s="2"/>
      <c r="K1746" s="2"/>
      <c r="L1746" s="2"/>
      <c r="M1746" s="2"/>
      <c r="N1746" s="2"/>
      <c r="O1746" s="56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  <c r="AA1746" s="2"/>
      <c r="AB1746" s="2"/>
    </row>
    <row r="1747" spans="1:28" x14ac:dyDescent="0.25">
      <c r="A1747" s="2"/>
      <c r="B1747" s="8"/>
      <c r="C1747" s="8"/>
      <c r="D1747" s="8"/>
      <c r="E1747" s="8"/>
      <c r="F1747" s="13"/>
      <c r="G1747" s="59"/>
      <c r="H1747" s="6"/>
      <c r="I1747" s="6"/>
      <c r="J1747" s="2"/>
      <c r="K1747" s="2"/>
      <c r="L1747" s="2"/>
      <c r="M1747" s="2"/>
      <c r="N1747" s="2"/>
      <c r="O1747" s="56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  <c r="AA1747" s="2"/>
      <c r="AB1747" s="2"/>
    </row>
    <row r="1748" spans="1:28" x14ac:dyDescent="0.25">
      <c r="A1748" s="2"/>
      <c r="B1748" s="8"/>
      <c r="C1748" s="8"/>
      <c r="D1748" s="8"/>
      <c r="E1748" s="8"/>
      <c r="F1748" s="13"/>
      <c r="G1748" s="59"/>
      <c r="H1748" s="6"/>
      <c r="I1748" s="6"/>
      <c r="J1748" s="2"/>
      <c r="K1748" s="2"/>
      <c r="L1748" s="2"/>
      <c r="M1748" s="2"/>
      <c r="N1748" s="2"/>
      <c r="O1748" s="56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  <c r="AA1748" s="2"/>
      <c r="AB1748" s="2"/>
    </row>
    <row r="1749" spans="1:28" x14ac:dyDescent="0.25">
      <c r="A1749" s="2"/>
      <c r="B1749" s="8"/>
      <c r="C1749" s="8"/>
      <c r="D1749" s="8"/>
      <c r="E1749" s="8"/>
      <c r="F1749" s="13"/>
      <c r="G1749" s="59"/>
      <c r="H1749" s="6"/>
      <c r="I1749" s="6"/>
      <c r="J1749" s="2"/>
      <c r="K1749" s="2"/>
      <c r="L1749" s="2"/>
      <c r="M1749" s="2"/>
      <c r="N1749" s="2"/>
      <c r="O1749" s="56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  <c r="AA1749" s="2"/>
      <c r="AB1749" s="2"/>
    </row>
    <row r="1750" spans="1:28" x14ac:dyDescent="0.25">
      <c r="A1750" s="2"/>
      <c r="B1750" s="8"/>
      <c r="C1750" s="8"/>
      <c r="D1750" s="8"/>
      <c r="E1750" s="8"/>
      <c r="F1750" s="13"/>
      <c r="G1750" s="59"/>
      <c r="H1750" s="6"/>
      <c r="I1750" s="6"/>
      <c r="J1750" s="2"/>
      <c r="K1750" s="2"/>
      <c r="L1750" s="2"/>
      <c r="M1750" s="2"/>
      <c r="N1750" s="2"/>
      <c r="O1750" s="56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  <c r="AA1750" s="2"/>
      <c r="AB1750" s="2"/>
    </row>
    <row r="1751" spans="1:28" x14ac:dyDescent="0.25">
      <c r="A1751" s="2"/>
      <c r="B1751" s="8"/>
      <c r="C1751" s="8"/>
      <c r="D1751" s="8"/>
      <c r="E1751" s="8"/>
      <c r="F1751" s="13"/>
      <c r="G1751" s="59"/>
      <c r="H1751" s="6"/>
      <c r="I1751" s="6"/>
      <c r="J1751" s="2"/>
      <c r="K1751" s="2"/>
      <c r="L1751" s="2"/>
      <c r="M1751" s="2"/>
      <c r="N1751" s="2"/>
      <c r="O1751" s="56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  <c r="AA1751" s="2"/>
      <c r="AB1751" s="2"/>
    </row>
    <row r="1752" spans="1:28" x14ac:dyDescent="0.25">
      <c r="A1752" s="2"/>
      <c r="B1752" s="8"/>
      <c r="C1752" s="8"/>
      <c r="D1752" s="8"/>
      <c r="E1752" s="8"/>
      <c r="F1752" s="13"/>
      <c r="G1752" s="59"/>
      <c r="H1752" s="6"/>
      <c r="I1752" s="6"/>
      <c r="J1752" s="2"/>
      <c r="K1752" s="2"/>
      <c r="L1752" s="2"/>
      <c r="M1752" s="2"/>
      <c r="N1752" s="2"/>
      <c r="O1752" s="56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  <c r="AA1752" s="2"/>
      <c r="AB1752" s="2"/>
    </row>
    <row r="1753" spans="1:28" x14ac:dyDescent="0.25">
      <c r="A1753" s="2"/>
      <c r="B1753" s="8"/>
      <c r="C1753" s="8"/>
      <c r="D1753" s="8"/>
      <c r="E1753" s="8"/>
      <c r="F1753" s="13"/>
      <c r="G1753" s="59"/>
      <c r="H1753" s="6"/>
      <c r="I1753" s="6"/>
      <c r="J1753" s="2"/>
      <c r="K1753" s="2"/>
      <c r="L1753" s="2"/>
      <c r="M1753" s="2"/>
      <c r="N1753" s="2"/>
      <c r="O1753" s="56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  <c r="AA1753" s="2"/>
      <c r="AB1753" s="2"/>
    </row>
    <row r="1754" spans="1:28" x14ac:dyDescent="0.25">
      <c r="A1754" s="2"/>
      <c r="B1754" s="8"/>
      <c r="C1754" s="8"/>
      <c r="D1754" s="8"/>
      <c r="E1754" s="8"/>
      <c r="F1754" s="13"/>
      <c r="G1754" s="59"/>
      <c r="H1754" s="6"/>
      <c r="I1754" s="6"/>
      <c r="J1754" s="2"/>
      <c r="K1754" s="2"/>
      <c r="L1754" s="2"/>
      <c r="M1754" s="2"/>
      <c r="N1754" s="2"/>
      <c r="O1754" s="56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  <c r="AA1754" s="2"/>
      <c r="AB1754" s="2"/>
    </row>
    <row r="1755" spans="1:28" x14ac:dyDescent="0.25">
      <c r="A1755" s="2"/>
      <c r="B1755" s="8"/>
      <c r="C1755" s="8"/>
      <c r="D1755" s="8"/>
      <c r="E1755" s="8"/>
      <c r="F1755" s="13"/>
      <c r="G1755" s="59"/>
      <c r="H1755" s="6"/>
      <c r="I1755" s="6"/>
      <c r="J1755" s="2"/>
      <c r="K1755" s="2"/>
      <c r="L1755" s="2"/>
      <c r="M1755" s="2"/>
      <c r="N1755" s="2"/>
      <c r="O1755" s="56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  <c r="AA1755" s="2"/>
      <c r="AB1755" s="2"/>
    </row>
    <row r="1756" spans="1:28" x14ac:dyDescent="0.25">
      <c r="A1756" s="2"/>
      <c r="B1756" s="8"/>
      <c r="C1756" s="8"/>
      <c r="D1756" s="8"/>
      <c r="E1756" s="8"/>
      <c r="F1756" s="13"/>
      <c r="G1756" s="59"/>
      <c r="H1756" s="6"/>
      <c r="I1756" s="6"/>
      <c r="J1756" s="2"/>
      <c r="K1756" s="2"/>
      <c r="L1756" s="2"/>
      <c r="M1756" s="2"/>
      <c r="N1756" s="2"/>
      <c r="O1756" s="56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  <c r="AA1756" s="2"/>
      <c r="AB1756" s="2"/>
    </row>
    <row r="1757" spans="1:28" x14ac:dyDescent="0.25">
      <c r="A1757" s="2"/>
      <c r="B1757" s="8"/>
      <c r="C1757" s="8"/>
      <c r="D1757" s="8"/>
      <c r="E1757" s="8"/>
      <c r="F1757" s="13"/>
      <c r="G1757" s="59"/>
      <c r="H1757" s="6"/>
      <c r="I1757" s="6"/>
      <c r="J1757" s="2"/>
      <c r="K1757" s="2"/>
      <c r="L1757" s="2"/>
      <c r="M1757" s="2"/>
      <c r="N1757" s="2"/>
      <c r="O1757" s="56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  <c r="AA1757" s="2"/>
      <c r="AB1757" s="2"/>
    </row>
    <row r="1758" spans="1:28" x14ac:dyDescent="0.25">
      <c r="A1758" s="2"/>
      <c r="B1758" s="8"/>
      <c r="C1758" s="8"/>
      <c r="D1758" s="8"/>
      <c r="E1758" s="8"/>
      <c r="F1758" s="13"/>
      <c r="G1758" s="59"/>
      <c r="H1758" s="6"/>
      <c r="I1758" s="6"/>
      <c r="J1758" s="2"/>
      <c r="K1758" s="2"/>
      <c r="L1758" s="2"/>
      <c r="M1758" s="2"/>
      <c r="N1758" s="2"/>
      <c r="O1758" s="56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  <c r="AA1758" s="2"/>
      <c r="AB1758" s="2"/>
    </row>
    <row r="1759" spans="1:28" x14ac:dyDescent="0.25">
      <c r="A1759" s="2"/>
      <c r="B1759" s="8"/>
      <c r="C1759" s="8"/>
      <c r="D1759" s="8"/>
      <c r="E1759" s="8"/>
      <c r="F1759" s="13"/>
      <c r="G1759" s="59"/>
      <c r="H1759" s="6"/>
      <c r="I1759" s="6"/>
      <c r="J1759" s="2"/>
      <c r="K1759" s="2"/>
      <c r="L1759" s="2"/>
      <c r="M1759" s="2"/>
      <c r="N1759" s="2"/>
      <c r="O1759" s="56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  <c r="AA1759" s="2"/>
      <c r="AB1759" s="2"/>
    </row>
    <row r="1760" spans="1:28" x14ac:dyDescent="0.25">
      <c r="A1760" s="2"/>
      <c r="B1760" s="8"/>
      <c r="C1760" s="8"/>
      <c r="D1760" s="8"/>
      <c r="E1760" s="8"/>
      <c r="F1760" s="13"/>
      <c r="G1760" s="59"/>
      <c r="H1760" s="6"/>
      <c r="I1760" s="6"/>
      <c r="J1760" s="2"/>
      <c r="K1760" s="2"/>
      <c r="L1760" s="2"/>
      <c r="M1760" s="2"/>
      <c r="N1760" s="2"/>
      <c r="O1760" s="56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  <c r="AA1760" s="2"/>
      <c r="AB1760" s="2"/>
    </row>
    <row r="1761" spans="1:28" x14ac:dyDescent="0.25">
      <c r="A1761" s="2"/>
      <c r="B1761" s="8"/>
      <c r="C1761" s="8"/>
      <c r="D1761" s="8"/>
      <c r="E1761" s="8"/>
      <c r="F1761" s="13"/>
      <c r="G1761" s="59"/>
      <c r="H1761" s="6"/>
      <c r="I1761" s="6"/>
      <c r="J1761" s="2"/>
      <c r="K1761" s="2"/>
      <c r="L1761" s="2"/>
      <c r="M1761" s="2"/>
      <c r="N1761" s="2"/>
      <c r="O1761" s="56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  <c r="AA1761" s="2"/>
      <c r="AB1761" s="2"/>
    </row>
    <row r="1762" spans="1:28" x14ac:dyDescent="0.25">
      <c r="A1762" s="2"/>
      <c r="B1762" s="8"/>
      <c r="C1762" s="8"/>
      <c r="D1762" s="8"/>
      <c r="E1762" s="8"/>
      <c r="F1762" s="13"/>
      <c r="G1762" s="59"/>
      <c r="H1762" s="6"/>
      <c r="I1762" s="6"/>
      <c r="J1762" s="2"/>
      <c r="K1762" s="2"/>
      <c r="L1762" s="2"/>
      <c r="M1762" s="2"/>
      <c r="N1762" s="2"/>
      <c r="O1762" s="56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  <c r="AA1762" s="2"/>
      <c r="AB1762" s="2"/>
    </row>
    <row r="1763" spans="1:28" x14ac:dyDescent="0.25">
      <c r="A1763" s="2"/>
      <c r="B1763" s="8"/>
      <c r="C1763" s="8"/>
      <c r="D1763" s="8"/>
      <c r="E1763" s="8"/>
      <c r="F1763" s="13"/>
      <c r="G1763" s="59"/>
      <c r="H1763" s="6"/>
      <c r="I1763" s="6"/>
      <c r="J1763" s="2"/>
      <c r="K1763" s="2"/>
      <c r="L1763" s="2"/>
      <c r="M1763" s="2"/>
      <c r="N1763" s="2"/>
      <c r="O1763" s="56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  <c r="AA1763" s="2"/>
      <c r="AB1763" s="2"/>
    </row>
    <row r="1764" spans="1:28" x14ac:dyDescent="0.25">
      <c r="A1764" s="2"/>
      <c r="B1764" s="8"/>
      <c r="C1764" s="8"/>
      <c r="D1764" s="8"/>
      <c r="E1764" s="8"/>
      <c r="F1764" s="13"/>
      <c r="G1764" s="59"/>
      <c r="H1764" s="6"/>
      <c r="I1764" s="6"/>
      <c r="J1764" s="2"/>
      <c r="K1764" s="2"/>
      <c r="L1764" s="2"/>
      <c r="M1764" s="2"/>
      <c r="N1764" s="2"/>
      <c r="O1764" s="56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  <c r="AA1764" s="2"/>
      <c r="AB1764" s="2"/>
    </row>
    <row r="1765" spans="1:28" x14ac:dyDescent="0.25">
      <c r="A1765" s="2"/>
      <c r="B1765" s="8"/>
      <c r="C1765" s="8"/>
      <c r="D1765" s="8"/>
      <c r="E1765" s="8"/>
      <c r="F1765" s="13"/>
      <c r="G1765" s="59"/>
      <c r="H1765" s="6"/>
      <c r="I1765" s="6"/>
      <c r="J1765" s="2"/>
      <c r="K1765" s="2"/>
      <c r="L1765" s="2"/>
      <c r="M1765" s="2"/>
      <c r="N1765" s="2"/>
      <c r="O1765" s="56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  <c r="AA1765" s="2"/>
      <c r="AB1765" s="2"/>
    </row>
    <row r="1766" spans="1:28" x14ac:dyDescent="0.25">
      <c r="A1766" s="2"/>
      <c r="B1766" s="8"/>
      <c r="C1766" s="8"/>
      <c r="D1766" s="8"/>
      <c r="E1766" s="8"/>
      <c r="F1766" s="13"/>
      <c r="G1766" s="59"/>
      <c r="H1766" s="6"/>
      <c r="I1766" s="6"/>
      <c r="J1766" s="2"/>
      <c r="K1766" s="2"/>
      <c r="L1766" s="2"/>
      <c r="M1766" s="2"/>
      <c r="N1766" s="2"/>
      <c r="O1766" s="56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  <c r="AA1766" s="2"/>
      <c r="AB1766" s="2"/>
    </row>
    <row r="1767" spans="1:28" x14ac:dyDescent="0.25">
      <c r="A1767" s="2"/>
      <c r="B1767" s="8"/>
      <c r="C1767" s="8"/>
      <c r="D1767" s="8"/>
      <c r="E1767" s="8"/>
      <c r="F1767" s="13"/>
      <c r="G1767" s="59"/>
      <c r="H1767" s="6"/>
      <c r="I1767" s="6"/>
      <c r="J1767" s="2"/>
      <c r="K1767" s="2"/>
      <c r="L1767" s="2"/>
      <c r="M1767" s="2"/>
      <c r="N1767" s="2"/>
      <c r="O1767" s="56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  <c r="AA1767" s="2"/>
      <c r="AB1767" s="2"/>
    </row>
    <row r="1768" spans="1:28" x14ac:dyDescent="0.25">
      <c r="A1768" s="2"/>
      <c r="B1768" s="8"/>
      <c r="C1768" s="8"/>
      <c r="D1768" s="8"/>
      <c r="E1768" s="8"/>
      <c r="F1768" s="13"/>
      <c r="G1768" s="59"/>
      <c r="H1768" s="6"/>
      <c r="I1768" s="6"/>
      <c r="J1768" s="2"/>
      <c r="K1768" s="2"/>
      <c r="L1768" s="2"/>
      <c r="M1768" s="2"/>
      <c r="N1768" s="2"/>
      <c r="O1768" s="56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  <c r="AA1768" s="2"/>
      <c r="AB1768" s="2"/>
    </row>
    <row r="1769" spans="1:28" x14ac:dyDescent="0.25">
      <c r="A1769" s="2"/>
      <c r="B1769" s="8"/>
      <c r="C1769" s="8"/>
      <c r="D1769" s="8"/>
      <c r="E1769" s="8"/>
      <c r="F1769" s="13"/>
      <c r="G1769" s="59"/>
      <c r="H1769" s="6"/>
      <c r="I1769" s="6"/>
      <c r="J1769" s="2"/>
      <c r="K1769" s="2"/>
      <c r="L1769" s="2"/>
      <c r="M1769" s="2"/>
      <c r="N1769" s="2"/>
      <c r="O1769" s="56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  <c r="AA1769" s="2"/>
      <c r="AB1769" s="2"/>
    </row>
    <row r="1770" spans="1:28" x14ac:dyDescent="0.25">
      <c r="A1770" s="2"/>
      <c r="B1770" s="8"/>
      <c r="C1770" s="8"/>
      <c r="D1770" s="8"/>
      <c r="E1770" s="8"/>
      <c r="F1770" s="13"/>
      <c r="G1770" s="59"/>
      <c r="H1770" s="6"/>
      <c r="I1770" s="6"/>
      <c r="J1770" s="2"/>
      <c r="K1770" s="2"/>
      <c r="L1770" s="2"/>
      <c r="M1770" s="2"/>
      <c r="N1770" s="2"/>
      <c r="O1770" s="56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  <c r="AA1770" s="2"/>
      <c r="AB1770" s="2"/>
    </row>
    <row r="1771" spans="1:28" x14ac:dyDescent="0.25">
      <c r="A1771" s="2"/>
      <c r="B1771" s="8"/>
      <c r="C1771" s="8"/>
      <c r="D1771" s="8"/>
      <c r="E1771" s="8"/>
      <c r="F1771" s="13"/>
      <c r="G1771" s="59"/>
      <c r="H1771" s="6"/>
      <c r="I1771" s="6"/>
      <c r="J1771" s="2"/>
      <c r="K1771" s="2"/>
      <c r="L1771" s="2"/>
      <c r="M1771" s="2"/>
      <c r="N1771" s="2"/>
      <c r="O1771" s="56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  <c r="AA1771" s="2"/>
      <c r="AB1771" s="2"/>
    </row>
    <row r="1772" spans="1:28" x14ac:dyDescent="0.25">
      <c r="A1772" s="2"/>
      <c r="B1772" s="8"/>
      <c r="C1772" s="8"/>
      <c r="D1772" s="8"/>
      <c r="E1772" s="8"/>
      <c r="F1772" s="13"/>
      <c r="G1772" s="59"/>
      <c r="H1772" s="6"/>
      <c r="I1772" s="6"/>
      <c r="J1772" s="2"/>
      <c r="K1772" s="2"/>
      <c r="L1772" s="2"/>
      <c r="M1772" s="2"/>
      <c r="N1772" s="2"/>
      <c r="O1772" s="56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  <c r="AA1772" s="2"/>
      <c r="AB1772" s="2"/>
    </row>
    <row r="1773" spans="1:28" x14ac:dyDescent="0.25">
      <c r="A1773" s="2"/>
      <c r="B1773" s="8"/>
      <c r="C1773" s="8"/>
      <c r="D1773" s="8"/>
      <c r="E1773" s="8"/>
      <c r="F1773" s="13"/>
      <c r="G1773" s="59"/>
      <c r="H1773" s="6"/>
      <c r="I1773" s="6"/>
      <c r="J1773" s="2"/>
      <c r="K1773" s="2"/>
      <c r="L1773" s="2"/>
      <c r="M1773" s="2"/>
      <c r="N1773" s="2"/>
      <c r="O1773" s="56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  <c r="AA1773" s="2"/>
      <c r="AB1773" s="2"/>
    </row>
    <row r="1774" spans="1:28" x14ac:dyDescent="0.25">
      <c r="A1774" s="2"/>
      <c r="B1774" s="8"/>
      <c r="C1774" s="8"/>
      <c r="D1774" s="8"/>
      <c r="E1774" s="8"/>
      <c r="F1774" s="13"/>
      <c r="G1774" s="59"/>
      <c r="H1774" s="6"/>
      <c r="I1774" s="6"/>
      <c r="J1774" s="2"/>
      <c r="K1774" s="2"/>
      <c r="L1774" s="2"/>
      <c r="M1774" s="2"/>
      <c r="N1774" s="2"/>
      <c r="O1774" s="56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  <c r="AA1774" s="2"/>
      <c r="AB1774" s="2"/>
    </row>
    <row r="1775" spans="1:28" x14ac:dyDescent="0.25">
      <c r="A1775" s="2"/>
      <c r="B1775" s="8"/>
      <c r="C1775" s="8"/>
      <c r="D1775" s="8"/>
      <c r="E1775" s="8"/>
      <c r="F1775" s="13"/>
      <c r="G1775" s="59"/>
      <c r="H1775" s="6"/>
      <c r="I1775" s="6"/>
      <c r="J1775" s="2"/>
      <c r="K1775" s="2"/>
      <c r="L1775" s="2"/>
      <c r="M1775" s="2"/>
      <c r="N1775" s="2"/>
      <c r="O1775" s="56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  <c r="AA1775" s="2"/>
      <c r="AB1775" s="2"/>
    </row>
    <row r="1776" spans="1:28" x14ac:dyDescent="0.25">
      <c r="A1776" s="2"/>
      <c r="B1776" s="8"/>
      <c r="C1776" s="8"/>
      <c r="D1776" s="8"/>
      <c r="E1776" s="8"/>
      <c r="F1776" s="13"/>
      <c r="G1776" s="59"/>
      <c r="H1776" s="6"/>
      <c r="I1776" s="6"/>
      <c r="J1776" s="2"/>
      <c r="K1776" s="2"/>
      <c r="L1776" s="2"/>
      <c r="M1776" s="2"/>
      <c r="N1776" s="2"/>
      <c r="O1776" s="56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  <c r="AA1776" s="2"/>
      <c r="AB1776" s="2"/>
    </row>
    <row r="1777" spans="1:28" x14ac:dyDescent="0.25">
      <c r="A1777" s="2"/>
      <c r="B1777" s="8"/>
      <c r="C1777" s="8"/>
      <c r="D1777" s="8"/>
      <c r="E1777" s="8"/>
      <c r="F1777" s="13"/>
      <c r="G1777" s="59"/>
      <c r="H1777" s="6"/>
      <c r="I1777" s="6"/>
      <c r="J1777" s="2"/>
      <c r="K1777" s="2"/>
      <c r="L1777" s="2"/>
      <c r="M1777" s="2"/>
      <c r="N1777" s="2"/>
      <c r="O1777" s="56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  <c r="AA1777" s="2"/>
      <c r="AB1777" s="2"/>
    </row>
    <row r="1778" spans="1:28" x14ac:dyDescent="0.25">
      <c r="A1778" s="2"/>
      <c r="B1778" s="8"/>
      <c r="C1778" s="8"/>
      <c r="D1778" s="8"/>
      <c r="E1778" s="8"/>
      <c r="F1778" s="13"/>
      <c r="G1778" s="59"/>
      <c r="H1778" s="6"/>
      <c r="I1778" s="6"/>
      <c r="J1778" s="2"/>
      <c r="K1778" s="2"/>
      <c r="L1778" s="2"/>
      <c r="M1778" s="2"/>
      <c r="N1778" s="2"/>
      <c r="O1778" s="56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  <c r="AA1778" s="2"/>
      <c r="AB1778" s="2"/>
    </row>
    <row r="1779" spans="1:28" x14ac:dyDescent="0.25">
      <c r="A1779" s="2"/>
      <c r="B1779" s="8"/>
      <c r="C1779" s="8"/>
      <c r="D1779" s="8"/>
      <c r="E1779" s="8"/>
      <c r="F1779" s="13"/>
      <c r="G1779" s="59"/>
      <c r="H1779" s="6"/>
      <c r="I1779" s="6"/>
      <c r="J1779" s="2"/>
      <c r="K1779" s="2"/>
      <c r="L1779" s="2"/>
      <c r="M1779" s="2"/>
      <c r="N1779" s="2"/>
      <c r="O1779" s="56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  <c r="AA1779" s="2"/>
      <c r="AB1779" s="2"/>
    </row>
    <row r="1780" spans="1:28" x14ac:dyDescent="0.25">
      <c r="A1780" s="2"/>
      <c r="B1780" s="8"/>
      <c r="C1780" s="8"/>
      <c r="D1780" s="8"/>
      <c r="E1780" s="8"/>
      <c r="F1780" s="13"/>
      <c r="G1780" s="59"/>
      <c r="H1780" s="6"/>
      <c r="I1780" s="6"/>
      <c r="J1780" s="2"/>
      <c r="K1780" s="2"/>
      <c r="L1780" s="2"/>
      <c r="M1780" s="2"/>
      <c r="N1780" s="2"/>
      <c r="O1780" s="56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  <c r="AA1780" s="2"/>
      <c r="AB1780" s="2"/>
    </row>
    <row r="1781" spans="1:28" x14ac:dyDescent="0.25">
      <c r="A1781" s="2"/>
      <c r="B1781" s="8"/>
      <c r="C1781" s="8"/>
      <c r="D1781" s="8"/>
      <c r="E1781" s="8"/>
      <c r="F1781" s="13"/>
      <c r="G1781" s="59"/>
      <c r="H1781" s="6"/>
      <c r="I1781" s="6"/>
      <c r="J1781" s="2"/>
      <c r="K1781" s="2"/>
      <c r="L1781" s="2"/>
      <c r="M1781" s="2"/>
      <c r="N1781" s="2"/>
      <c r="O1781" s="56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  <c r="AA1781" s="2"/>
      <c r="AB1781" s="2"/>
    </row>
    <row r="1782" spans="1:28" x14ac:dyDescent="0.25">
      <c r="A1782" s="2"/>
      <c r="B1782" s="8"/>
      <c r="C1782" s="8"/>
      <c r="D1782" s="8"/>
      <c r="E1782" s="8"/>
      <c r="F1782" s="13"/>
      <c r="G1782" s="59"/>
      <c r="H1782" s="6"/>
      <c r="I1782" s="6"/>
      <c r="J1782" s="2"/>
      <c r="K1782" s="2"/>
      <c r="L1782" s="2"/>
      <c r="M1782" s="2"/>
      <c r="N1782" s="2"/>
      <c r="O1782" s="56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  <c r="AA1782" s="2"/>
      <c r="AB1782" s="2"/>
    </row>
    <row r="1783" spans="1:28" x14ac:dyDescent="0.25">
      <c r="A1783" s="2"/>
      <c r="B1783" s="8"/>
      <c r="C1783" s="8"/>
      <c r="D1783" s="8"/>
      <c r="E1783" s="8"/>
      <c r="F1783" s="13"/>
      <c r="G1783" s="59"/>
      <c r="H1783" s="6"/>
      <c r="I1783" s="6"/>
      <c r="J1783" s="2"/>
      <c r="K1783" s="2"/>
      <c r="L1783" s="2"/>
      <c r="M1783" s="2"/>
      <c r="N1783" s="2"/>
      <c r="O1783" s="56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  <c r="AA1783" s="2"/>
      <c r="AB1783" s="2"/>
    </row>
    <row r="1784" spans="1:28" x14ac:dyDescent="0.25">
      <c r="A1784" s="2"/>
      <c r="B1784" s="8"/>
      <c r="C1784" s="8"/>
      <c r="D1784" s="8"/>
      <c r="E1784" s="8"/>
      <c r="F1784" s="13"/>
      <c r="G1784" s="59"/>
      <c r="H1784" s="6"/>
      <c r="I1784" s="6"/>
      <c r="J1784" s="2"/>
      <c r="K1784" s="2"/>
      <c r="L1784" s="2"/>
      <c r="M1784" s="2"/>
      <c r="N1784" s="2"/>
      <c r="O1784" s="56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  <c r="AA1784" s="2"/>
      <c r="AB1784" s="2"/>
    </row>
    <row r="1785" spans="1:28" x14ac:dyDescent="0.25">
      <c r="A1785" s="2"/>
      <c r="B1785" s="8"/>
      <c r="C1785" s="8"/>
      <c r="D1785" s="8"/>
      <c r="E1785" s="8"/>
      <c r="F1785" s="13"/>
      <c r="G1785" s="59"/>
      <c r="H1785" s="6"/>
      <c r="I1785" s="6"/>
      <c r="J1785" s="2"/>
      <c r="K1785" s="2"/>
      <c r="L1785" s="2"/>
      <c r="M1785" s="2"/>
      <c r="N1785" s="2"/>
      <c r="O1785" s="56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  <c r="AA1785" s="2"/>
      <c r="AB1785" s="2"/>
    </row>
    <row r="1786" spans="1:28" x14ac:dyDescent="0.25">
      <c r="A1786" s="2"/>
      <c r="B1786" s="8"/>
      <c r="C1786" s="8"/>
      <c r="D1786" s="8"/>
      <c r="E1786" s="8"/>
      <c r="F1786" s="13"/>
      <c r="G1786" s="59"/>
      <c r="H1786" s="6"/>
      <c r="I1786" s="6"/>
      <c r="J1786" s="2"/>
      <c r="K1786" s="2"/>
      <c r="L1786" s="2"/>
      <c r="M1786" s="2"/>
      <c r="N1786" s="2"/>
      <c r="O1786" s="56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  <c r="AA1786" s="2"/>
      <c r="AB1786" s="2"/>
    </row>
    <row r="1787" spans="1:28" x14ac:dyDescent="0.25">
      <c r="A1787" s="2"/>
      <c r="B1787" s="8"/>
      <c r="C1787" s="8"/>
      <c r="D1787" s="8"/>
      <c r="E1787" s="8"/>
      <c r="F1787" s="13"/>
      <c r="G1787" s="59"/>
      <c r="H1787" s="6"/>
      <c r="I1787" s="6"/>
      <c r="J1787" s="2"/>
      <c r="K1787" s="2"/>
      <c r="L1787" s="2"/>
      <c r="M1787" s="2"/>
      <c r="N1787" s="2"/>
      <c r="O1787" s="56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  <c r="AA1787" s="2"/>
      <c r="AB1787" s="2"/>
    </row>
    <row r="1788" spans="1:28" x14ac:dyDescent="0.25">
      <c r="A1788" s="2"/>
      <c r="B1788" s="8"/>
      <c r="C1788" s="8"/>
      <c r="D1788" s="8"/>
      <c r="E1788" s="8"/>
      <c r="F1788" s="13"/>
      <c r="G1788" s="59"/>
      <c r="H1788" s="6"/>
      <c r="I1788" s="6"/>
      <c r="J1788" s="2"/>
      <c r="K1788" s="2"/>
      <c r="L1788" s="2"/>
      <c r="M1788" s="2"/>
      <c r="N1788" s="2"/>
      <c r="O1788" s="56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  <c r="AA1788" s="2"/>
      <c r="AB1788" s="2"/>
    </row>
    <row r="1789" spans="1:28" x14ac:dyDescent="0.25">
      <c r="A1789" s="2"/>
      <c r="B1789" s="8"/>
      <c r="C1789" s="8"/>
      <c r="D1789" s="8"/>
      <c r="E1789" s="8"/>
      <c r="F1789" s="13"/>
      <c r="G1789" s="59"/>
      <c r="H1789" s="6"/>
      <c r="I1789" s="6"/>
      <c r="J1789" s="2"/>
      <c r="K1789" s="2"/>
      <c r="L1789" s="2"/>
      <c r="M1789" s="2"/>
      <c r="N1789" s="2"/>
      <c r="O1789" s="56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  <c r="AA1789" s="2"/>
      <c r="AB1789" s="2"/>
    </row>
    <row r="1790" spans="1:28" x14ac:dyDescent="0.25">
      <c r="A1790" s="2"/>
      <c r="B1790" s="8"/>
      <c r="C1790" s="8"/>
      <c r="D1790" s="8"/>
      <c r="E1790" s="8"/>
      <c r="F1790" s="13"/>
      <c r="G1790" s="59"/>
      <c r="H1790" s="6"/>
      <c r="I1790" s="6"/>
      <c r="J1790" s="2"/>
      <c r="K1790" s="2"/>
      <c r="L1790" s="2"/>
      <c r="M1790" s="2"/>
      <c r="N1790" s="2"/>
      <c r="O1790" s="56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  <c r="AA1790" s="2"/>
      <c r="AB1790" s="2"/>
    </row>
    <row r="1791" spans="1:28" x14ac:dyDescent="0.25">
      <c r="A1791" s="2"/>
      <c r="B1791" s="8"/>
      <c r="C1791" s="8"/>
      <c r="D1791" s="8"/>
      <c r="E1791" s="8"/>
      <c r="F1791" s="13"/>
      <c r="G1791" s="59"/>
      <c r="H1791" s="6"/>
      <c r="I1791" s="6"/>
      <c r="J1791" s="2"/>
      <c r="K1791" s="2"/>
      <c r="L1791" s="2"/>
      <c r="M1791" s="2"/>
      <c r="N1791" s="2"/>
      <c r="O1791" s="56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  <c r="AA1791" s="2"/>
      <c r="AB1791" s="2"/>
    </row>
    <row r="1792" spans="1:28" x14ac:dyDescent="0.25">
      <c r="A1792" s="2"/>
      <c r="B1792" s="8"/>
      <c r="C1792" s="8"/>
      <c r="D1792" s="8"/>
      <c r="E1792" s="8"/>
      <c r="F1792" s="13"/>
      <c r="G1792" s="59"/>
      <c r="H1792" s="6"/>
      <c r="I1792" s="6"/>
      <c r="J1792" s="2"/>
      <c r="K1792" s="2"/>
      <c r="L1792" s="2"/>
      <c r="M1792" s="2"/>
      <c r="N1792" s="2"/>
      <c r="O1792" s="56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  <c r="AA1792" s="2"/>
      <c r="AB1792" s="2"/>
    </row>
    <row r="1793" spans="1:28" x14ac:dyDescent="0.25">
      <c r="A1793" s="2"/>
      <c r="B1793" s="8"/>
      <c r="C1793" s="8"/>
      <c r="D1793" s="8"/>
      <c r="E1793" s="8"/>
      <c r="F1793" s="13"/>
      <c r="G1793" s="59"/>
      <c r="H1793" s="6"/>
      <c r="I1793" s="6"/>
      <c r="J1793" s="2"/>
      <c r="K1793" s="2"/>
      <c r="L1793" s="2"/>
      <c r="M1793" s="2"/>
      <c r="N1793" s="2"/>
      <c r="O1793" s="56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  <c r="AA1793" s="2"/>
      <c r="AB1793" s="2"/>
    </row>
    <row r="1794" spans="1:28" x14ac:dyDescent="0.25">
      <c r="A1794" s="2"/>
      <c r="B1794" s="8"/>
      <c r="C1794" s="8"/>
      <c r="D1794" s="8"/>
      <c r="E1794" s="8"/>
      <c r="F1794" s="13"/>
      <c r="G1794" s="59"/>
      <c r="H1794" s="6"/>
      <c r="I1794" s="6"/>
      <c r="J1794" s="2"/>
      <c r="K1794" s="2"/>
      <c r="L1794" s="2"/>
      <c r="M1794" s="2"/>
      <c r="N1794" s="2"/>
      <c r="O1794" s="56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  <c r="AA1794" s="2"/>
      <c r="AB1794" s="2"/>
    </row>
    <row r="1795" spans="1:28" x14ac:dyDescent="0.25">
      <c r="A1795" s="2"/>
      <c r="B1795" s="8"/>
      <c r="C1795" s="8"/>
      <c r="D1795" s="8"/>
      <c r="E1795" s="8"/>
      <c r="F1795" s="13"/>
      <c r="G1795" s="59"/>
      <c r="H1795" s="6"/>
      <c r="I1795" s="6"/>
      <c r="J1795" s="2"/>
      <c r="K1795" s="2"/>
      <c r="L1795" s="2"/>
      <c r="M1795" s="2"/>
      <c r="N1795" s="2"/>
      <c r="O1795" s="56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  <c r="AA1795" s="2"/>
      <c r="AB1795" s="2"/>
    </row>
    <row r="1796" spans="1:28" x14ac:dyDescent="0.25">
      <c r="A1796" s="2"/>
      <c r="B1796" s="8"/>
      <c r="C1796" s="8"/>
      <c r="D1796" s="8"/>
      <c r="E1796" s="8"/>
      <c r="F1796" s="13"/>
      <c r="G1796" s="59"/>
      <c r="H1796" s="6"/>
      <c r="I1796" s="6"/>
      <c r="J1796" s="2"/>
      <c r="K1796" s="2"/>
      <c r="L1796" s="2"/>
      <c r="M1796" s="2"/>
      <c r="N1796" s="2"/>
      <c r="O1796" s="56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  <c r="AA1796" s="2"/>
      <c r="AB1796" s="2"/>
    </row>
    <row r="1797" spans="1:28" x14ac:dyDescent="0.25">
      <c r="A1797" s="2"/>
      <c r="B1797" s="8"/>
      <c r="C1797" s="8"/>
      <c r="D1797" s="8"/>
      <c r="E1797" s="8"/>
      <c r="F1797" s="13"/>
      <c r="G1797" s="59"/>
      <c r="H1797" s="6"/>
      <c r="I1797" s="6"/>
      <c r="J1797" s="2"/>
      <c r="K1797" s="2"/>
      <c r="L1797" s="2"/>
      <c r="M1797" s="2"/>
      <c r="N1797" s="2"/>
      <c r="O1797" s="56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  <c r="AA1797" s="2"/>
      <c r="AB1797" s="2"/>
    </row>
    <row r="1798" spans="1:28" x14ac:dyDescent="0.25">
      <c r="A1798" s="2"/>
      <c r="B1798" s="8"/>
      <c r="C1798" s="8"/>
      <c r="D1798" s="8"/>
      <c r="E1798" s="8"/>
      <c r="F1798" s="13"/>
      <c r="G1798" s="59"/>
      <c r="H1798" s="6"/>
      <c r="I1798" s="6"/>
      <c r="J1798" s="2"/>
      <c r="K1798" s="2"/>
      <c r="L1798" s="2"/>
      <c r="M1798" s="2"/>
      <c r="N1798" s="2"/>
      <c r="O1798" s="56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  <c r="AA1798" s="2"/>
      <c r="AB1798" s="2"/>
    </row>
    <row r="1799" spans="1:28" x14ac:dyDescent="0.25">
      <c r="A1799" s="2"/>
      <c r="B1799" s="8"/>
      <c r="C1799" s="8"/>
      <c r="D1799" s="8"/>
      <c r="E1799" s="8"/>
      <c r="F1799" s="13"/>
      <c r="G1799" s="59"/>
      <c r="H1799" s="6"/>
      <c r="I1799" s="6"/>
      <c r="J1799" s="2"/>
      <c r="K1799" s="2"/>
      <c r="L1799" s="2"/>
      <c r="M1799" s="2"/>
      <c r="N1799" s="2"/>
      <c r="O1799" s="56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  <c r="AA1799" s="2"/>
      <c r="AB1799" s="2"/>
    </row>
    <row r="1800" spans="1:28" x14ac:dyDescent="0.25">
      <c r="A1800" s="2"/>
      <c r="B1800" s="8"/>
      <c r="C1800" s="8"/>
      <c r="D1800" s="8"/>
      <c r="E1800" s="8"/>
      <c r="F1800" s="13"/>
      <c r="G1800" s="59"/>
      <c r="H1800" s="6"/>
      <c r="I1800" s="6"/>
      <c r="J1800" s="2"/>
      <c r="K1800" s="2"/>
      <c r="L1800" s="2"/>
      <c r="M1800" s="2"/>
      <c r="N1800" s="2"/>
      <c r="O1800" s="56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  <c r="AA1800" s="2"/>
      <c r="AB1800" s="2"/>
    </row>
    <row r="1801" spans="1:28" x14ac:dyDescent="0.25">
      <c r="A1801" s="2"/>
      <c r="B1801" s="8"/>
      <c r="C1801" s="8"/>
      <c r="D1801" s="8"/>
      <c r="E1801" s="8"/>
      <c r="F1801" s="13"/>
      <c r="G1801" s="59"/>
      <c r="H1801" s="6"/>
      <c r="I1801" s="6"/>
      <c r="J1801" s="2"/>
      <c r="K1801" s="2"/>
      <c r="L1801" s="2"/>
      <c r="M1801" s="2"/>
      <c r="N1801" s="2"/>
      <c r="O1801" s="56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  <c r="AA1801" s="2"/>
      <c r="AB1801" s="2"/>
    </row>
    <row r="1802" spans="1:28" x14ac:dyDescent="0.25">
      <c r="A1802" s="2"/>
      <c r="B1802" s="8"/>
      <c r="C1802" s="8"/>
      <c r="D1802" s="8"/>
      <c r="E1802" s="8"/>
      <c r="F1802" s="13"/>
      <c r="G1802" s="59"/>
      <c r="H1802" s="6"/>
      <c r="I1802" s="6"/>
      <c r="J1802" s="2"/>
      <c r="K1802" s="2"/>
      <c r="L1802" s="2"/>
      <c r="M1802" s="2"/>
      <c r="N1802" s="2"/>
      <c r="O1802" s="56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  <c r="AA1802" s="2"/>
      <c r="AB1802" s="2"/>
    </row>
    <row r="1803" spans="1:28" x14ac:dyDescent="0.25">
      <c r="A1803" s="2"/>
      <c r="B1803" s="8"/>
      <c r="C1803" s="8"/>
      <c r="D1803" s="8"/>
      <c r="E1803" s="8"/>
      <c r="F1803" s="13"/>
      <c r="G1803" s="59"/>
      <c r="H1803" s="6"/>
      <c r="I1803" s="6"/>
      <c r="J1803" s="2"/>
      <c r="K1803" s="2"/>
      <c r="L1803" s="2"/>
      <c r="M1803" s="2"/>
      <c r="N1803" s="2"/>
      <c r="O1803" s="56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  <c r="AA1803" s="2"/>
      <c r="AB1803" s="2"/>
    </row>
    <row r="1804" spans="1:28" x14ac:dyDescent="0.25">
      <c r="A1804" s="2"/>
      <c r="B1804" s="8"/>
      <c r="C1804" s="8"/>
      <c r="D1804" s="8"/>
      <c r="E1804" s="8"/>
      <c r="F1804" s="13"/>
      <c r="G1804" s="59"/>
      <c r="H1804" s="6"/>
      <c r="I1804" s="6"/>
      <c r="J1804" s="2"/>
      <c r="K1804" s="2"/>
      <c r="L1804" s="2"/>
      <c r="M1804" s="2"/>
      <c r="N1804" s="2"/>
      <c r="O1804" s="56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  <c r="AA1804" s="2"/>
      <c r="AB1804" s="2"/>
    </row>
    <row r="1805" spans="1:28" x14ac:dyDescent="0.25">
      <c r="A1805" s="2"/>
      <c r="B1805" s="8"/>
      <c r="C1805" s="8"/>
      <c r="D1805" s="8"/>
      <c r="E1805" s="8"/>
      <c r="F1805" s="13"/>
      <c r="G1805" s="59"/>
      <c r="H1805" s="6"/>
      <c r="I1805" s="6"/>
      <c r="J1805" s="2"/>
      <c r="K1805" s="2"/>
      <c r="L1805" s="2"/>
      <c r="M1805" s="2"/>
      <c r="N1805" s="2"/>
      <c r="O1805" s="56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  <c r="AA1805" s="2"/>
      <c r="AB1805" s="2"/>
    </row>
    <row r="1806" spans="1:28" x14ac:dyDescent="0.25">
      <c r="A1806" s="2"/>
      <c r="B1806" s="8"/>
      <c r="C1806" s="8"/>
      <c r="D1806" s="8"/>
      <c r="E1806" s="8"/>
      <c r="F1806" s="13"/>
      <c r="G1806" s="59"/>
      <c r="H1806" s="6"/>
      <c r="I1806" s="6"/>
      <c r="J1806" s="2"/>
      <c r="K1806" s="2"/>
      <c r="L1806" s="2"/>
      <c r="M1806" s="2"/>
      <c r="N1806" s="2"/>
      <c r="O1806" s="56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  <c r="AA1806" s="2"/>
      <c r="AB1806" s="2"/>
    </row>
    <row r="1807" spans="1:28" x14ac:dyDescent="0.25">
      <c r="A1807" s="2"/>
      <c r="B1807" s="8"/>
      <c r="C1807" s="8"/>
      <c r="D1807" s="8"/>
      <c r="E1807" s="8"/>
      <c r="F1807" s="13"/>
      <c r="G1807" s="59"/>
      <c r="H1807" s="6"/>
      <c r="I1807" s="6"/>
      <c r="J1807" s="2"/>
      <c r="K1807" s="2"/>
      <c r="L1807" s="2"/>
      <c r="M1807" s="2"/>
      <c r="N1807" s="2"/>
      <c r="O1807" s="56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  <c r="AA1807" s="2"/>
      <c r="AB1807" s="2"/>
    </row>
    <row r="1808" spans="1:28" x14ac:dyDescent="0.25">
      <c r="A1808" s="2"/>
      <c r="B1808" s="8"/>
      <c r="C1808" s="8"/>
      <c r="D1808" s="8"/>
      <c r="E1808" s="8"/>
      <c r="F1808" s="13"/>
      <c r="G1808" s="59"/>
      <c r="H1808" s="6"/>
      <c r="I1808" s="6"/>
      <c r="J1808" s="2"/>
      <c r="K1808" s="2"/>
      <c r="L1808" s="2"/>
      <c r="M1808" s="2"/>
      <c r="N1808" s="2"/>
      <c r="O1808" s="56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  <c r="AA1808" s="2"/>
      <c r="AB1808" s="2"/>
    </row>
    <row r="1809" spans="1:28" x14ac:dyDescent="0.25">
      <c r="A1809" s="2"/>
      <c r="B1809" s="8"/>
      <c r="C1809" s="8"/>
      <c r="D1809" s="8"/>
      <c r="E1809" s="8"/>
      <c r="F1809" s="13"/>
      <c r="G1809" s="59"/>
      <c r="H1809" s="6"/>
      <c r="I1809" s="6"/>
      <c r="J1809" s="2"/>
      <c r="K1809" s="2"/>
      <c r="L1809" s="2"/>
      <c r="M1809" s="2"/>
      <c r="N1809" s="2"/>
      <c r="O1809" s="56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  <c r="AA1809" s="2"/>
      <c r="AB1809" s="2"/>
    </row>
    <row r="1810" spans="1:28" x14ac:dyDescent="0.25">
      <c r="A1810" s="2"/>
      <c r="B1810" s="8"/>
      <c r="C1810" s="8"/>
      <c r="D1810" s="8"/>
      <c r="E1810" s="8"/>
      <c r="F1810" s="13"/>
      <c r="G1810" s="59"/>
      <c r="H1810" s="6"/>
      <c r="I1810" s="6"/>
      <c r="J1810" s="2"/>
      <c r="K1810" s="2"/>
      <c r="L1810" s="2"/>
      <c r="M1810" s="2"/>
      <c r="N1810" s="2"/>
      <c r="O1810" s="56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  <c r="AA1810" s="2"/>
      <c r="AB1810" s="2"/>
    </row>
    <row r="1811" spans="1:28" x14ac:dyDescent="0.25">
      <c r="A1811" s="2"/>
      <c r="B1811" s="8"/>
      <c r="C1811" s="8"/>
      <c r="D1811" s="8"/>
      <c r="E1811" s="8"/>
      <c r="F1811" s="13"/>
      <c r="G1811" s="59"/>
      <c r="H1811" s="6"/>
      <c r="I1811" s="6"/>
      <c r="J1811" s="2"/>
      <c r="K1811" s="2"/>
      <c r="L1811" s="2"/>
      <c r="M1811" s="2"/>
      <c r="N1811" s="2"/>
      <c r="O1811" s="56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/>
      <c r="AA1811" s="2"/>
      <c r="AB1811" s="2"/>
    </row>
    <row r="1812" spans="1:28" x14ac:dyDescent="0.25">
      <c r="A1812" s="2"/>
      <c r="B1812" s="8"/>
      <c r="C1812" s="8"/>
      <c r="D1812" s="8"/>
      <c r="E1812" s="8"/>
      <c r="F1812" s="13"/>
      <c r="G1812" s="59"/>
      <c r="H1812" s="6"/>
      <c r="I1812" s="6"/>
      <c r="J1812" s="2"/>
      <c r="K1812" s="2"/>
      <c r="L1812" s="2"/>
      <c r="M1812" s="2"/>
      <c r="N1812" s="2"/>
      <c r="O1812" s="56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  <c r="AA1812" s="2"/>
      <c r="AB1812" s="2"/>
    </row>
    <row r="1813" spans="1:28" x14ac:dyDescent="0.25">
      <c r="A1813" s="2"/>
      <c r="B1813" s="8"/>
      <c r="C1813" s="8"/>
      <c r="D1813" s="8"/>
      <c r="E1813" s="8"/>
      <c r="F1813" s="13"/>
      <c r="G1813" s="59"/>
      <c r="H1813" s="6"/>
      <c r="I1813" s="6"/>
      <c r="J1813" s="2"/>
      <c r="K1813" s="2"/>
      <c r="L1813" s="2"/>
      <c r="M1813" s="2"/>
      <c r="N1813" s="2"/>
      <c r="O1813" s="56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  <c r="AA1813" s="2"/>
      <c r="AB1813" s="2"/>
    </row>
    <row r="1814" spans="1:28" x14ac:dyDescent="0.25">
      <c r="A1814" s="2"/>
      <c r="B1814" s="8"/>
      <c r="C1814" s="8"/>
      <c r="D1814" s="8"/>
      <c r="E1814" s="8"/>
      <c r="F1814" s="13"/>
      <c r="G1814" s="59"/>
      <c r="H1814" s="6"/>
      <c r="I1814" s="6"/>
      <c r="J1814" s="2"/>
      <c r="K1814" s="2"/>
      <c r="L1814" s="2"/>
      <c r="M1814" s="2"/>
      <c r="N1814" s="2"/>
      <c r="O1814" s="56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  <c r="AA1814" s="2"/>
      <c r="AB1814" s="2"/>
    </row>
    <row r="1815" spans="1:28" x14ac:dyDescent="0.25">
      <c r="A1815" s="2"/>
      <c r="B1815" s="8"/>
      <c r="C1815" s="8"/>
      <c r="D1815" s="8"/>
      <c r="E1815" s="8"/>
      <c r="F1815" s="13"/>
      <c r="G1815" s="59"/>
      <c r="H1815" s="6"/>
      <c r="I1815" s="6"/>
      <c r="J1815" s="2"/>
      <c r="K1815" s="2"/>
      <c r="L1815" s="2"/>
      <c r="M1815" s="2"/>
      <c r="N1815" s="2"/>
      <c r="O1815" s="56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  <c r="AA1815" s="2"/>
      <c r="AB1815" s="2"/>
    </row>
    <row r="1816" spans="1:28" x14ac:dyDescent="0.25">
      <c r="A1816" s="2"/>
      <c r="B1816" s="8"/>
      <c r="C1816" s="8"/>
      <c r="D1816" s="8"/>
      <c r="E1816" s="8"/>
      <c r="F1816" s="13"/>
      <c r="G1816" s="59"/>
      <c r="H1816" s="6"/>
      <c r="I1816" s="6"/>
      <c r="J1816" s="2"/>
      <c r="K1816" s="2"/>
      <c r="L1816" s="2"/>
      <c r="M1816" s="2"/>
      <c r="N1816" s="2"/>
      <c r="O1816" s="56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  <c r="AA1816" s="2"/>
      <c r="AB1816" s="2"/>
    </row>
    <row r="1817" spans="1:28" x14ac:dyDescent="0.25">
      <c r="A1817" s="2"/>
      <c r="B1817" s="8"/>
      <c r="C1817" s="8"/>
      <c r="D1817" s="8"/>
      <c r="E1817" s="8"/>
      <c r="F1817" s="13"/>
      <c r="G1817" s="59"/>
      <c r="H1817" s="6"/>
      <c r="I1817" s="6"/>
      <c r="J1817" s="2"/>
      <c r="K1817" s="2"/>
      <c r="L1817" s="2"/>
      <c r="M1817" s="2"/>
      <c r="N1817" s="2"/>
      <c r="O1817" s="56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  <c r="AA1817" s="2"/>
      <c r="AB1817" s="2"/>
    </row>
    <row r="1818" spans="1:28" x14ac:dyDescent="0.25">
      <c r="A1818" s="2"/>
      <c r="B1818" s="8"/>
      <c r="C1818" s="8"/>
      <c r="D1818" s="8"/>
      <c r="E1818" s="8"/>
      <c r="F1818" s="13"/>
      <c r="G1818" s="59"/>
      <c r="H1818" s="6"/>
      <c r="I1818" s="6"/>
      <c r="J1818" s="2"/>
      <c r="K1818" s="2"/>
      <c r="L1818" s="2"/>
      <c r="M1818" s="2"/>
      <c r="N1818" s="2"/>
      <c r="O1818" s="56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  <c r="AA1818" s="2"/>
      <c r="AB1818" s="2"/>
    </row>
    <row r="1819" spans="1:28" x14ac:dyDescent="0.25">
      <c r="A1819" s="2"/>
      <c r="B1819" s="8"/>
      <c r="C1819" s="8"/>
      <c r="D1819" s="8"/>
      <c r="E1819" s="8"/>
      <c r="F1819" s="13"/>
      <c r="G1819" s="59"/>
      <c r="H1819" s="6"/>
      <c r="I1819" s="6"/>
      <c r="J1819" s="2"/>
      <c r="K1819" s="2"/>
      <c r="L1819" s="2"/>
      <c r="M1819" s="2"/>
      <c r="N1819" s="2"/>
      <c r="O1819" s="56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  <c r="AA1819" s="2"/>
      <c r="AB1819" s="2"/>
    </row>
    <row r="1820" spans="1:28" x14ac:dyDescent="0.25">
      <c r="A1820" s="2"/>
      <c r="B1820" s="8"/>
      <c r="C1820" s="8"/>
      <c r="D1820" s="8"/>
      <c r="E1820" s="8"/>
      <c r="F1820" s="13"/>
      <c r="G1820" s="59"/>
      <c r="H1820" s="6"/>
      <c r="I1820" s="6"/>
      <c r="J1820" s="2"/>
      <c r="K1820" s="2"/>
      <c r="L1820" s="2"/>
      <c r="M1820" s="2"/>
      <c r="N1820" s="2"/>
      <c r="O1820" s="56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  <c r="AA1820" s="2"/>
      <c r="AB1820" s="2"/>
    </row>
    <row r="1821" spans="1:28" x14ac:dyDescent="0.25">
      <c r="A1821" s="2"/>
      <c r="B1821" s="8"/>
      <c r="C1821" s="8"/>
      <c r="D1821" s="8"/>
      <c r="E1821" s="8"/>
      <c r="F1821" s="13"/>
      <c r="G1821" s="59"/>
      <c r="H1821" s="6"/>
      <c r="I1821" s="6"/>
      <c r="J1821" s="2"/>
      <c r="K1821" s="2"/>
      <c r="L1821" s="2"/>
      <c r="M1821" s="2"/>
      <c r="N1821" s="2"/>
      <c r="O1821" s="56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  <c r="AA1821" s="2"/>
      <c r="AB1821" s="2"/>
    </row>
    <row r="1822" spans="1:28" x14ac:dyDescent="0.25">
      <c r="A1822" s="2"/>
      <c r="B1822" s="8"/>
      <c r="C1822" s="8"/>
      <c r="D1822" s="8"/>
      <c r="E1822" s="8"/>
      <c r="F1822" s="13"/>
      <c r="G1822" s="59"/>
      <c r="H1822" s="6"/>
      <c r="I1822" s="6"/>
      <c r="J1822" s="2"/>
      <c r="K1822" s="2"/>
      <c r="L1822" s="2"/>
      <c r="M1822" s="2"/>
      <c r="N1822" s="2"/>
      <c r="O1822" s="56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  <c r="AA1822" s="2"/>
      <c r="AB1822" s="2"/>
    </row>
    <row r="1823" spans="1:28" x14ac:dyDescent="0.25">
      <c r="A1823" s="2"/>
      <c r="B1823" s="8"/>
      <c r="C1823" s="8"/>
      <c r="D1823" s="8"/>
      <c r="E1823" s="8"/>
      <c r="F1823" s="13"/>
      <c r="G1823" s="59"/>
      <c r="H1823" s="6"/>
      <c r="I1823" s="6"/>
      <c r="J1823" s="2"/>
      <c r="K1823" s="2"/>
      <c r="L1823" s="2"/>
      <c r="M1823" s="2"/>
      <c r="N1823" s="2"/>
      <c r="O1823" s="56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  <c r="AA1823" s="2"/>
      <c r="AB1823" s="2"/>
    </row>
    <row r="1824" spans="1:28" x14ac:dyDescent="0.25">
      <c r="A1824" s="2"/>
      <c r="B1824" s="8"/>
      <c r="C1824" s="8"/>
      <c r="D1824" s="8"/>
      <c r="E1824" s="8"/>
      <c r="F1824" s="13"/>
      <c r="G1824" s="59"/>
      <c r="H1824" s="6"/>
      <c r="I1824" s="6"/>
      <c r="J1824" s="2"/>
      <c r="K1824" s="2"/>
      <c r="L1824" s="2"/>
      <c r="M1824" s="2"/>
      <c r="N1824" s="2"/>
      <c r="O1824" s="56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  <c r="AA1824" s="2"/>
      <c r="AB1824" s="2"/>
    </row>
    <row r="1825" spans="1:28" x14ac:dyDescent="0.25">
      <c r="A1825" s="2"/>
      <c r="B1825" s="8"/>
      <c r="C1825" s="8"/>
      <c r="D1825" s="8"/>
      <c r="E1825" s="8"/>
      <c r="F1825" s="13"/>
      <c r="G1825" s="59"/>
      <c r="H1825" s="6"/>
      <c r="I1825" s="6"/>
      <c r="J1825" s="2"/>
      <c r="K1825" s="2"/>
      <c r="L1825" s="2"/>
      <c r="M1825" s="2"/>
      <c r="N1825" s="2"/>
      <c r="O1825" s="56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  <c r="AA1825" s="2"/>
      <c r="AB1825" s="2"/>
    </row>
    <row r="1826" spans="1:28" x14ac:dyDescent="0.25">
      <c r="A1826" s="2"/>
      <c r="B1826" s="8"/>
      <c r="C1826" s="8"/>
      <c r="D1826" s="8"/>
      <c r="E1826" s="8"/>
      <c r="F1826" s="13"/>
      <c r="G1826" s="59"/>
      <c r="H1826" s="6"/>
      <c r="I1826" s="6"/>
      <c r="J1826" s="2"/>
      <c r="K1826" s="2"/>
      <c r="L1826" s="2"/>
      <c r="M1826" s="2"/>
      <c r="N1826" s="2"/>
      <c r="O1826" s="56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  <c r="AA1826" s="2"/>
      <c r="AB1826" s="2"/>
    </row>
    <row r="1827" spans="1:28" x14ac:dyDescent="0.25">
      <c r="A1827" s="2"/>
      <c r="B1827" s="8"/>
      <c r="C1827" s="8"/>
      <c r="D1827" s="8"/>
      <c r="E1827" s="8"/>
      <c r="F1827" s="13"/>
      <c r="G1827" s="59"/>
      <c r="H1827" s="6"/>
      <c r="I1827" s="6"/>
      <c r="J1827" s="2"/>
      <c r="K1827" s="2"/>
      <c r="L1827" s="2"/>
      <c r="M1827" s="2"/>
      <c r="N1827" s="2"/>
      <c r="O1827" s="56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  <c r="AA1827" s="2"/>
      <c r="AB1827" s="2"/>
    </row>
    <row r="1828" spans="1:28" x14ac:dyDescent="0.25">
      <c r="A1828" s="2"/>
      <c r="B1828" s="8"/>
      <c r="C1828" s="8"/>
      <c r="D1828" s="8"/>
      <c r="E1828" s="8"/>
      <c r="F1828" s="13"/>
      <c r="G1828" s="59"/>
      <c r="H1828" s="6"/>
      <c r="I1828" s="6"/>
      <c r="J1828" s="2"/>
      <c r="K1828" s="2"/>
      <c r="L1828" s="2"/>
      <c r="M1828" s="2"/>
      <c r="N1828" s="2"/>
      <c r="O1828" s="56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  <c r="AA1828" s="2"/>
      <c r="AB1828" s="2"/>
    </row>
    <row r="1829" spans="1:28" x14ac:dyDescent="0.25">
      <c r="A1829" s="2"/>
      <c r="B1829" s="8"/>
      <c r="C1829" s="8"/>
      <c r="D1829" s="8"/>
      <c r="E1829" s="8"/>
      <c r="F1829" s="13"/>
      <c r="G1829" s="59"/>
      <c r="H1829" s="6"/>
      <c r="I1829" s="6"/>
      <c r="J1829" s="2"/>
      <c r="K1829" s="2"/>
      <c r="L1829" s="2"/>
      <c r="M1829" s="2"/>
      <c r="N1829" s="2"/>
      <c r="O1829" s="56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  <c r="AA1829" s="2"/>
      <c r="AB1829" s="2"/>
    </row>
    <row r="1830" spans="1:28" x14ac:dyDescent="0.25">
      <c r="A1830" s="2"/>
      <c r="B1830" s="8"/>
      <c r="C1830" s="8"/>
      <c r="D1830" s="8"/>
      <c r="E1830" s="8"/>
      <c r="F1830" s="13"/>
      <c r="G1830" s="59"/>
      <c r="H1830" s="6"/>
      <c r="I1830" s="6"/>
      <c r="J1830" s="2"/>
      <c r="K1830" s="2"/>
      <c r="L1830" s="2"/>
      <c r="M1830" s="2"/>
      <c r="N1830" s="2"/>
      <c r="O1830" s="56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  <c r="AA1830" s="2"/>
      <c r="AB1830" s="2"/>
    </row>
    <row r="1831" spans="1:28" x14ac:dyDescent="0.25">
      <c r="A1831" s="2"/>
      <c r="B1831" s="8"/>
      <c r="C1831" s="8"/>
      <c r="D1831" s="8"/>
      <c r="E1831" s="8"/>
      <c r="F1831" s="13"/>
      <c r="G1831" s="59"/>
      <c r="H1831" s="6"/>
      <c r="I1831" s="6"/>
      <c r="J1831" s="2"/>
      <c r="K1831" s="2"/>
      <c r="L1831" s="2"/>
      <c r="M1831" s="2"/>
      <c r="N1831" s="2"/>
      <c r="O1831" s="56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  <c r="AA1831" s="2"/>
      <c r="AB1831" s="2"/>
    </row>
    <row r="1832" spans="1:28" x14ac:dyDescent="0.25">
      <c r="A1832" s="2"/>
      <c r="B1832" s="8"/>
      <c r="C1832" s="8"/>
      <c r="D1832" s="8"/>
      <c r="E1832" s="8"/>
      <c r="F1832" s="13"/>
      <c r="G1832" s="59"/>
      <c r="H1832" s="6"/>
      <c r="I1832" s="6"/>
      <c r="J1832" s="2"/>
      <c r="K1832" s="2"/>
      <c r="L1832" s="2"/>
      <c r="M1832" s="2"/>
      <c r="N1832" s="2"/>
      <c r="O1832" s="56"/>
      <c r="P1832" s="2"/>
      <c r="Q1832" s="2"/>
      <c r="R1832" s="2"/>
      <c r="S1832" s="2"/>
      <c r="T1832" s="2"/>
      <c r="U1832" s="2"/>
      <c r="V1832" s="2"/>
      <c r="W1832" s="2"/>
      <c r="X1832" s="2"/>
      <c r="Y1832" s="2"/>
      <c r="Z1832" s="2"/>
      <c r="AA1832" s="2"/>
      <c r="AB1832" s="2"/>
    </row>
    <row r="1833" spans="1:28" x14ac:dyDescent="0.25">
      <c r="A1833" s="2"/>
      <c r="B1833" s="8"/>
      <c r="C1833" s="8"/>
      <c r="D1833" s="8"/>
      <c r="E1833" s="8"/>
      <c r="F1833" s="13"/>
      <c r="G1833" s="59"/>
      <c r="H1833" s="6"/>
      <c r="I1833" s="6"/>
      <c r="J1833" s="2"/>
      <c r="K1833" s="2"/>
      <c r="L1833" s="2"/>
      <c r="M1833" s="2"/>
      <c r="N1833" s="2"/>
      <c r="O1833" s="56"/>
      <c r="P1833" s="2"/>
      <c r="Q1833" s="2"/>
      <c r="R1833" s="2"/>
      <c r="S1833" s="2"/>
      <c r="T1833" s="2"/>
      <c r="U1833" s="2"/>
      <c r="V1833" s="2"/>
      <c r="W1833" s="2"/>
      <c r="X1833" s="2"/>
      <c r="Y1833" s="2"/>
      <c r="Z1833" s="2"/>
      <c r="AA1833" s="2"/>
      <c r="AB1833" s="2"/>
    </row>
    <row r="1834" spans="1:28" x14ac:dyDescent="0.25">
      <c r="A1834" s="2"/>
      <c r="B1834" s="8"/>
      <c r="C1834" s="8"/>
      <c r="D1834" s="8"/>
      <c r="E1834" s="8"/>
      <c r="F1834" s="13"/>
      <c r="G1834" s="59"/>
      <c r="H1834" s="6"/>
      <c r="I1834" s="6"/>
      <c r="J1834" s="2"/>
      <c r="K1834" s="2"/>
      <c r="L1834" s="2"/>
      <c r="M1834" s="2"/>
      <c r="N1834" s="2"/>
      <c r="O1834" s="56"/>
      <c r="P1834" s="2"/>
      <c r="Q1834" s="2"/>
      <c r="R1834" s="2"/>
      <c r="S1834" s="2"/>
      <c r="T1834" s="2"/>
      <c r="U1834" s="2"/>
      <c r="V1834" s="2"/>
      <c r="W1834" s="2"/>
      <c r="X1834" s="2"/>
      <c r="Y1834" s="2"/>
      <c r="Z1834" s="2"/>
      <c r="AA1834" s="2"/>
      <c r="AB1834" s="2"/>
    </row>
  </sheetData>
  <autoFilter ref="A4:AB811" xr:uid="{00000000-0001-0000-0000-000000000000}">
    <sortState xmlns:xlrd2="http://schemas.microsoft.com/office/spreadsheetml/2017/richdata2" ref="A5:AB916">
      <sortCondition ref="A4:A81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81"/>
  <sheetViews>
    <sheetView topLeftCell="H14" zoomScale="90" zoomScaleNormal="90" workbookViewId="0">
      <selection activeCell="L30" sqref="L30"/>
    </sheetView>
  </sheetViews>
  <sheetFormatPr defaultRowHeight="12.75" x14ac:dyDescent="0.2"/>
  <cols>
    <col min="1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3337</v>
      </c>
      <c r="R1" t="s">
        <v>3338</v>
      </c>
      <c r="S1" t="s">
        <v>3339</v>
      </c>
      <c r="T1" t="s">
        <v>3340</v>
      </c>
    </row>
    <row r="2" spans="1:20" x14ac:dyDescent="0.2">
      <c r="Q2" s="18" t="s">
        <v>35</v>
      </c>
      <c r="R2" s="19">
        <v>21501</v>
      </c>
      <c r="S2" s="19">
        <v>24000</v>
      </c>
      <c r="T2" s="19">
        <v>20064.010000000002</v>
      </c>
    </row>
    <row r="3" spans="1:20" x14ac:dyDescent="0.2">
      <c r="A3" s="9" t="s">
        <v>3337</v>
      </c>
      <c r="B3" s="15" t="s">
        <v>3339</v>
      </c>
      <c r="C3" s="15" t="s">
        <v>3338</v>
      </c>
      <c r="D3" t="s">
        <v>3341</v>
      </c>
      <c r="Q3" s="18" t="s">
        <v>57</v>
      </c>
      <c r="R3" s="19">
        <v>24929</v>
      </c>
      <c r="S3" s="19">
        <v>23999.999999999996</v>
      </c>
      <c r="T3" s="19">
        <v>20107.3</v>
      </c>
    </row>
    <row r="4" spans="1:20" x14ac:dyDescent="0.2">
      <c r="A4" s="10" t="s">
        <v>55</v>
      </c>
      <c r="B4" s="15">
        <v>21000</v>
      </c>
      <c r="C4" s="15">
        <v>7249</v>
      </c>
      <c r="D4">
        <v>139</v>
      </c>
      <c r="Q4" s="18" t="s">
        <v>58</v>
      </c>
      <c r="R4" s="19">
        <v>21506</v>
      </c>
      <c r="S4" s="19">
        <v>24000</v>
      </c>
      <c r="T4" s="19">
        <v>16060.82</v>
      </c>
    </row>
    <row r="5" spans="1:20" x14ac:dyDescent="0.2">
      <c r="A5" s="11" t="s">
        <v>47</v>
      </c>
      <c r="B5" s="15">
        <v>21000</v>
      </c>
      <c r="C5" s="15">
        <v>7249</v>
      </c>
      <c r="D5">
        <v>139</v>
      </c>
      <c r="Q5" s="18" t="s">
        <v>62</v>
      </c>
      <c r="R5" s="19">
        <v>29193</v>
      </c>
      <c r="S5" s="19">
        <v>23999.999999999996</v>
      </c>
      <c r="T5" s="19">
        <v>24914</v>
      </c>
    </row>
    <row r="6" spans="1:20" x14ac:dyDescent="0.2">
      <c r="A6" s="12">
        <v>46257</v>
      </c>
      <c r="B6" s="15"/>
      <c r="C6" s="15">
        <v>0</v>
      </c>
      <c r="D6">
        <v>7</v>
      </c>
      <c r="Q6" s="18" t="s">
        <v>64</v>
      </c>
      <c r="R6" s="19">
        <v>22686</v>
      </c>
      <c r="S6" s="19">
        <v>23999.999999999996</v>
      </c>
      <c r="T6" s="19">
        <v>16976</v>
      </c>
    </row>
    <row r="7" spans="1:20" x14ac:dyDescent="0.2">
      <c r="A7" s="12">
        <v>46250</v>
      </c>
      <c r="B7" s="15"/>
      <c r="C7" s="15">
        <v>0</v>
      </c>
      <c r="D7">
        <v>7</v>
      </c>
      <c r="Q7" s="18" t="s">
        <v>66</v>
      </c>
      <c r="R7" s="19">
        <v>18765</v>
      </c>
      <c r="S7" s="19">
        <v>24000</v>
      </c>
      <c r="T7" s="19">
        <v>12141</v>
      </c>
    </row>
    <row r="8" spans="1:20" x14ac:dyDescent="0.2">
      <c r="A8" s="12">
        <v>46249</v>
      </c>
      <c r="B8" s="15"/>
      <c r="C8" s="15">
        <v>0</v>
      </c>
      <c r="D8">
        <v>1</v>
      </c>
      <c r="Q8" s="18" t="s">
        <v>68</v>
      </c>
      <c r="R8" s="19">
        <v>12604</v>
      </c>
      <c r="S8" s="19">
        <v>24000</v>
      </c>
      <c r="T8" s="19">
        <v>8992</v>
      </c>
    </row>
    <row r="9" spans="1:20" x14ac:dyDescent="0.2">
      <c r="A9" s="12">
        <v>46243</v>
      </c>
      <c r="B9" s="15"/>
      <c r="C9" s="15">
        <v>0</v>
      </c>
      <c r="D9">
        <v>7</v>
      </c>
      <c r="Q9" s="18" t="s">
        <v>71</v>
      </c>
      <c r="R9" s="19">
        <v>17296</v>
      </c>
      <c r="S9" s="19">
        <v>24000</v>
      </c>
      <c r="T9" s="19">
        <v>14207</v>
      </c>
    </row>
    <row r="10" spans="1:20" x14ac:dyDescent="0.2">
      <c r="A10" s="12">
        <v>46238</v>
      </c>
      <c r="B10" s="15"/>
      <c r="C10" s="15">
        <v>0</v>
      </c>
      <c r="D10">
        <v>1</v>
      </c>
      <c r="Q10" s="18" t="s">
        <v>559</v>
      </c>
      <c r="R10" s="19">
        <v>12502</v>
      </c>
      <c r="S10" s="19">
        <v>24000</v>
      </c>
      <c r="T10" s="19">
        <v>8482.7999999999993</v>
      </c>
    </row>
    <row r="11" spans="1:20" x14ac:dyDescent="0.2">
      <c r="A11" s="12">
        <v>46236</v>
      </c>
      <c r="B11" s="15"/>
      <c r="C11" s="15">
        <v>0</v>
      </c>
      <c r="D11">
        <v>7</v>
      </c>
      <c r="Q11" s="18" t="s">
        <v>982</v>
      </c>
      <c r="R11" s="19">
        <v>12634</v>
      </c>
      <c r="S11" s="19">
        <v>24000</v>
      </c>
      <c r="T11" s="19">
        <v>8479</v>
      </c>
    </row>
    <row r="12" spans="1:20" hidden="1" x14ac:dyDescent="0.2">
      <c r="A12" s="12">
        <v>46234</v>
      </c>
      <c r="B12" s="15"/>
      <c r="C12" s="15">
        <v>0</v>
      </c>
      <c r="D12">
        <v>1</v>
      </c>
      <c r="Q12" s="18" t="s">
        <v>1361</v>
      </c>
      <c r="R12" s="19">
        <v>8451</v>
      </c>
      <c r="S12" s="19">
        <v>24000</v>
      </c>
      <c r="T12" s="19">
        <v>6570</v>
      </c>
    </row>
    <row r="13" spans="1:20" x14ac:dyDescent="0.2">
      <c r="A13" s="12">
        <v>46233</v>
      </c>
      <c r="B13" s="15"/>
      <c r="C13" s="15">
        <v>0</v>
      </c>
      <c r="D13">
        <v>1</v>
      </c>
      <c r="Q13" s="18" t="s">
        <v>1827</v>
      </c>
      <c r="R13" s="19">
        <v>21413</v>
      </c>
      <c r="S13" s="19">
        <v>24000</v>
      </c>
      <c r="T13" s="19">
        <v>17022</v>
      </c>
    </row>
    <row r="14" spans="1:20" x14ac:dyDescent="0.2">
      <c r="A14" s="12">
        <v>46232</v>
      </c>
      <c r="B14" s="15"/>
      <c r="C14" s="15">
        <v>0</v>
      </c>
      <c r="D14">
        <v>1</v>
      </c>
      <c r="Q14" s="18" t="s">
        <v>2254</v>
      </c>
      <c r="R14" s="19">
        <v>23332</v>
      </c>
      <c r="S14" s="19">
        <v>23999.999999999996</v>
      </c>
      <c r="T14" s="19">
        <v>17642</v>
      </c>
    </row>
    <row r="15" spans="1:20" x14ac:dyDescent="0.2">
      <c r="A15" s="12">
        <v>46231</v>
      </c>
      <c r="B15" s="15"/>
      <c r="C15" s="15">
        <v>0</v>
      </c>
      <c r="D15">
        <v>1</v>
      </c>
      <c r="Q15" s="55">
        <v>46230</v>
      </c>
      <c r="R15" s="19">
        <v>2502</v>
      </c>
      <c r="S15" s="19">
        <v>3428.5714285714284</v>
      </c>
      <c r="T15" s="19">
        <v>2126</v>
      </c>
    </row>
    <row r="16" spans="1:20" x14ac:dyDescent="0.2">
      <c r="A16" s="12">
        <v>46230</v>
      </c>
      <c r="B16" s="15"/>
      <c r="C16" s="15">
        <v>0</v>
      </c>
      <c r="D16">
        <v>1</v>
      </c>
      <c r="Q16" s="55">
        <v>46231</v>
      </c>
      <c r="R16" s="19">
        <v>2060</v>
      </c>
      <c r="S16" s="19">
        <v>3428.5714285714284</v>
      </c>
      <c r="T16" s="19">
        <v>1876</v>
      </c>
    </row>
    <row r="17" spans="1:20" x14ac:dyDescent="0.2">
      <c r="A17" s="12">
        <v>46229</v>
      </c>
      <c r="B17" s="15"/>
      <c r="C17" s="15">
        <v>0</v>
      </c>
      <c r="D17">
        <v>7</v>
      </c>
      <c r="Q17" s="55">
        <v>46232</v>
      </c>
      <c r="R17" s="19">
        <v>1911</v>
      </c>
      <c r="S17" s="19">
        <v>3428.5714285714284</v>
      </c>
      <c r="T17" s="19">
        <v>1454</v>
      </c>
    </row>
    <row r="18" spans="1:20" x14ac:dyDescent="0.2">
      <c r="A18" s="12">
        <v>46226</v>
      </c>
      <c r="B18" s="15"/>
      <c r="C18" s="15">
        <v>0</v>
      </c>
      <c r="D18">
        <v>1</v>
      </c>
      <c r="Q18" s="55">
        <v>46233</v>
      </c>
      <c r="R18" s="19">
        <v>3807</v>
      </c>
      <c r="S18" s="19">
        <v>3428.5714285714284</v>
      </c>
      <c r="T18" s="19">
        <v>3801</v>
      </c>
    </row>
    <row r="19" spans="1:20" x14ac:dyDescent="0.2">
      <c r="A19" s="12">
        <v>46225</v>
      </c>
      <c r="B19" s="15"/>
      <c r="C19" s="15">
        <v>0</v>
      </c>
      <c r="D19">
        <v>1</v>
      </c>
      <c r="Q19" s="55">
        <v>46234</v>
      </c>
      <c r="R19" s="19">
        <v>3589</v>
      </c>
      <c r="S19" s="19">
        <v>3428.5714285714284</v>
      </c>
      <c r="T19" s="19">
        <v>2305</v>
      </c>
    </row>
    <row r="20" spans="1:20" x14ac:dyDescent="0.2">
      <c r="A20" s="12">
        <v>46224</v>
      </c>
      <c r="B20" s="15"/>
      <c r="C20" s="15">
        <v>0</v>
      </c>
      <c r="D20">
        <v>1</v>
      </c>
      <c r="Q20" s="55">
        <v>46235</v>
      </c>
      <c r="R20" s="19">
        <v>5475</v>
      </c>
      <c r="S20" s="19">
        <v>3428.5714285714284</v>
      </c>
      <c r="T20" s="19">
        <v>3375</v>
      </c>
    </row>
    <row r="21" spans="1:20" x14ac:dyDescent="0.2">
      <c r="A21" s="12">
        <v>46222</v>
      </c>
      <c r="B21" s="15"/>
      <c r="C21" s="15">
        <v>0</v>
      </c>
      <c r="D21">
        <v>7</v>
      </c>
      <c r="Q21" s="55">
        <v>46236</v>
      </c>
      <c r="R21" s="19">
        <v>3988</v>
      </c>
      <c r="S21" s="19">
        <v>3428.5714285714284</v>
      </c>
      <c r="T21" s="19">
        <v>2705</v>
      </c>
    </row>
    <row r="22" spans="1:20" x14ac:dyDescent="0.2">
      <c r="A22" s="12">
        <v>46218</v>
      </c>
      <c r="B22" s="15"/>
      <c r="C22" s="15">
        <v>0</v>
      </c>
      <c r="D22">
        <v>1</v>
      </c>
      <c r="Q22" s="18" t="s">
        <v>2681</v>
      </c>
      <c r="R22" s="19">
        <v>37834</v>
      </c>
      <c r="S22" s="19">
        <v>23999.999999999996</v>
      </c>
      <c r="T22" s="19">
        <v>29549</v>
      </c>
    </row>
    <row r="23" spans="1:20" x14ac:dyDescent="0.2">
      <c r="A23" s="12">
        <v>46216</v>
      </c>
      <c r="B23" s="15"/>
      <c r="C23" s="15">
        <v>0</v>
      </c>
      <c r="D23">
        <v>1</v>
      </c>
      <c r="Q23" s="55">
        <v>46237</v>
      </c>
      <c r="R23" s="19">
        <v>5855</v>
      </c>
      <c r="S23" s="19">
        <v>3428.5714285714284</v>
      </c>
      <c r="T23" s="19">
        <v>3090</v>
      </c>
    </row>
    <row r="24" spans="1:20" x14ac:dyDescent="0.2">
      <c r="A24" s="12">
        <v>46215</v>
      </c>
      <c r="B24" s="15">
        <v>0</v>
      </c>
      <c r="C24" s="15">
        <v>0</v>
      </c>
      <c r="D24">
        <v>7</v>
      </c>
      <c r="Q24" s="55">
        <v>46238</v>
      </c>
      <c r="R24" s="19">
        <v>8634</v>
      </c>
      <c r="S24" s="19">
        <v>3428.5714285714284</v>
      </c>
      <c r="T24" s="19">
        <v>5197</v>
      </c>
    </row>
    <row r="25" spans="1:20" x14ac:dyDescent="0.2">
      <c r="A25" s="12">
        <v>46210</v>
      </c>
      <c r="B25" s="15"/>
      <c r="C25" s="15"/>
      <c r="D25">
        <v>1</v>
      </c>
      <c r="Q25" s="55">
        <v>46239</v>
      </c>
      <c r="R25" s="19">
        <v>4987</v>
      </c>
      <c r="S25" s="19">
        <v>3428.5714285714284</v>
      </c>
      <c r="T25" s="19">
        <v>4987</v>
      </c>
    </row>
    <row r="26" spans="1:20" x14ac:dyDescent="0.2">
      <c r="A26" s="12">
        <v>46209</v>
      </c>
      <c r="B26" s="15"/>
      <c r="C26" s="15"/>
      <c r="D26">
        <v>1</v>
      </c>
      <c r="Q26" s="55">
        <v>46240</v>
      </c>
      <c r="R26" s="19">
        <v>3942</v>
      </c>
      <c r="S26" s="19">
        <v>3428.5714285714284</v>
      </c>
      <c r="T26" s="19">
        <v>2838</v>
      </c>
    </row>
    <row r="27" spans="1:20" x14ac:dyDescent="0.2">
      <c r="A27" s="12">
        <v>46208</v>
      </c>
      <c r="B27" s="15"/>
      <c r="C27" s="15">
        <v>0</v>
      </c>
      <c r="D27">
        <v>5</v>
      </c>
      <c r="Q27" s="55">
        <v>46241</v>
      </c>
      <c r="R27" s="19">
        <v>4017</v>
      </c>
      <c r="S27" s="19">
        <v>3428.5714285714284</v>
      </c>
      <c r="T27" s="19">
        <v>3038</v>
      </c>
    </row>
    <row r="28" spans="1:20" x14ac:dyDescent="0.2">
      <c r="A28" s="12">
        <v>46204</v>
      </c>
      <c r="B28" s="15"/>
      <c r="C28" s="15">
        <v>0</v>
      </c>
      <c r="D28">
        <v>1</v>
      </c>
      <c r="Q28" s="55">
        <v>46242</v>
      </c>
      <c r="R28" s="19">
        <v>5749</v>
      </c>
      <c r="S28" s="19">
        <v>3428.5714285714284</v>
      </c>
      <c r="T28" s="19">
        <v>5749</v>
      </c>
    </row>
    <row r="29" spans="1:20" x14ac:dyDescent="0.2">
      <c r="A29" s="12">
        <v>46203</v>
      </c>
      <c r="B29" s="15"/>
      <c r="C29" s="15">
        <v>0</v>
      </c>
      <c r="D29">
        <v>1</v>
      </c>
      <c r="Q29" s="55">
        <v>46243</v>
      </c>
      <c r="R29" s="19">
        <v>4650</v>
      </c>
      <c r="S29" s="19">
        <v>3428.5714285714284</v>
      </c>
      <c r="T29" s="19">
        <v>4650</v>
      </c>
    </row>
    <row r="30" spans="1:20" x14ac:dyDescent="0.2">
      <c r="A30" s="12">
        <v>46202</v>
      </c>
      <c r="B30" s="15"/>
      <c r="C30" s="15">
        <v>0</v>
      </c>
      <c r="D30">
        <v>5</v>
      </c>
      <c r="Q30" s="18" t="s">
        <v>2974</v>
      </c>
      <c r="R30" s="19">
        <v>28356</v>
      </c>
      <c r="S30" s="19">
        <v>24000</v>
      </c>
      <c r="T30" s="19">
        <v>24262</v>
      </c>
    </row>
    <row r="31" spans="1:20" x14ac:dyDescent="0.2">
      <c r="A31" s="12">
        <v>46201</v>
      </c>
      <c r="B31" s="15"/>
      <c r="C31" s="15">
        <v>1296</v>
      </c>
      <c r="D31">
        <v>6</v>
      </c>
      <c r="Q31" s="55">
        <v>46244</v>
      </c>
      <c r="R31" s="19">
        <v>6365</v>
      </c>
      <c r="S31" s="19">
        <v>4000</v>
      </c>
      <c r="T31" s="19">
        <v>6365</v>
      </c>
    </row>
    <row r="32" spans="1:20" x14ac:dyDescent="0.2">
      <c r="A32" s="12">
        <v>46200</v>
      </c>
      <c r="B32" s="15"/>
      <c r="C32" s="15"/>
      <c r="D32">
        <v>1</v>
      </c>
      <c r="Q32" s="55">
        <v>46245</v>
      </c>
      <c r="R32" s="19">
        <v>4460</v>
      </c>
      <c r="S32" s="19">
        <v>4000</v>
      </c>
      <c r="T32" s="19">
        <v>4460</v>
      </c>
    </row>
    <row r="33" spans="1:20" x14ac:dyDescent="0.2">
      <c r="A33" s="12">
        <v>46199</v>
      </c>
      <c r="B33" s="15"/>
      <c r="C33" s="15"/>
      <c r="D33">
        <v>1</v>
      </c>
      <c r="Q33" s="55">
        <v>46246</v>
      </c>
      <c r="R33" s="19">
        <v>4526</v>
      </c>
      <c r="S33" s="19">
        <v>4000</v>
      </c>
      <c r="T33" s="19">
        <v>3706</v>
      </c>
    </row>
    <row r="34" spans="1:20" x14ac:dyDescent="0.2">
      <c r="A34" s="12">
        <v>46198</v>
      </c>
      <c r="B34" s="15"/>
      <c r="C34" s="15"/>
      <c r="D34">
        <v>1</v>
      </c>
      <c r="Q34" s="55">
        <v>46247</v>
      </c>
      <c r="R34" s="19">
        <v>5038</v>
      </c>
      <c r="S34" s="19">
        <v>4000</v>
      </c>
      <c r="T34" s="19">
        <v>4252</v>
      </c>
    </row>
    <row r="35" spans="1:20" x14ac:dyDescent="0.2">
      <c r="A35" s="12">
        <v>46197</v>
      </c>
      <c r="B35" s="15"/>
      <c r="C35" s="15">
        <v>0</v>
      </c>
      <c r="D35">
        <v>2</v>
      </c>
      <c r="Q35" s="55">
        <v>46248</v>
      </c>
      <c r="R35" s="19">
        <v>4991</v>
      </c>
      <c r="S35" s="19">
        <v>4000</v>
      </c>
      <c r="T35" s="19">
        <v>2904</v>
      </c>
    </row>
    <row r="36" spans="1:20" x14ac:dyDescent="0.2">
      <c r="A36" s="12">
        <v>46196</v>
      </c>
      <c r="B36" s="15"/>
      <c r="C36" s="15">
        <v>0</v>
      </c>
      <c r="D36">
        <v>3</v>
      </c>
      <c r="Q36" s="55">
        <v>46249</v>
      </c>
      <c r="R36" s="19">
        <v>2976</v>
      </c>
      <c r="S36" s="19">
        <v>4000</v>
      </c>
      <c r="T36" s="19">
        <v>2575</v>
      </c>
    </row>
    <row r="37" spans="1:20" x14ac:dyDescent="0.2">
      <c r="A37" s="12">
        <v>46195</v>
      </c>
      <c r="B37" s="15"/>
      <c r="C37" s="15"/>
      <c r="D37">
        <v>1</v>
      </c>
      <c r="Q37" s="18" t="s">
        <v>3094</v>
      </c>
      <c r="R37" s="19">
        <v>7965</v>
      </c>
      <c r="S37" s="19">
        <v>24000</v>
      </c>
      <c r="T37" s="19">
        <v>7087</v>
      </c>
    </row>
    <row r="38" spans="1:20" x14ac:dyDescent="0.2">
      <c r="A38" s="12">
        <v>46194</v>
      </c>
      <c r="B38" s="15"/>
      <c r="C38" s="15">
        <v>0</v>
      </c>
      <c r="D38">
        <v>5</v>
      </c>
      <c r="Q38" s="55">
        <v>46251</v>
      </c>
      <c r="R38" s="19">
        <v>4629</v>
      </c>
      <c r="S38" s="19">
        <v>8000</v>
      </c>
      <c r="T38" s="19">
        <v>3194</v>
      </c>
    </row>
    <row r="39" spans="1:20" x14ac:dyDescent="0.2">
      <c r="A39" s="12">
        <v>46193</v>
      </c>
      <c r="B39" s="15">
        <v>3000</v>
      </c>
      <c r="C39" s="15">
        <v>0</v>
      </c>
      <c r="D39">
        <v>2</v>
      </c>
      <c r="Q39" s="55">
        <v>46252</v>
      </c>
      <c r="R39" s="19">
        <v>0</v>
      </c>
      <c r="S39" s="19">
        <v>8000</v>
      </c>
      <c r="T39" s="19">
        <v>1408</v>
      </c>
    </row>
    <row r="40" spans="1:20" x14ac:dyDescent="0.2">
      <c r="A40" s="12">
        <v>46191</v>
      </c>
      <c r="B40" s="15"/>
      <c r="C40" s="15">
        <v>0</v>
      </c>
      <c r="D40">
        <v>1</v>
      </c>
      <c r="Q40" s="55">
        <v>46253</v>
      </c>
      <c r="R40" s="19">
        <v>3336</v>
      </c>
      <c r="S40" s="19">
        <v>8000</v>
      </c>
      <c r="T40" s="19">
        <v>2485</v>
      </c>
    </row>
    <row r="41" spans="1:20" x14ac:dyDescent="0.2">
      <c r="A41" s="12">
        <v>46190</v>
      </c>
      <c r="B41" s="15"/>
      <c r="C41" s="15">
        <v>0</v>
      </c>
      <c r="D41">
        <v>1</v>
      </c>
      <c r="Q41" s="55">
        <v>46254</v>
      </c>
      <c r="R41" s="19">
        <v>0</v>
      </c>
      <c r="S41" s="19"/>
      <c r="T41" s="19"/>
    </row>
    <row r="42" spans="1:20" x14ac:dyDescent="0.2">
      <c r="A42" s="12">
        <v>46188</v>
      </c>
      <c r="B42" s="15"/>
      <c r="C42" s="15">
        <v>2100</v>
      </c>
      <c r="D42">
        <v>1</v>
      </c>
      <c r="Q42" s="18" t="s">
        <v>3342</v>
      </c>
      <c r="R42" s="19">
        <v>320967</v>
      </c>
      <c r="S42" s="19">
        <v>383999.99999999988</v>
      </c>
      <c r="T42" s="19">
        <v>252555.93</v>
      </c>
    </row>
    <row r="43" spans="1:20" x14ac:dyDescent="0.2">
      <c r="A43" s="12">
        <v>46187</v>
      </c>
      <c r="B43" s="15"/>
      <c r="C43" s="15">
        <v>0</v>
      </c>
      <c r="D43">
        <v>6</v>
      </c>
    </row>
    <row r="44" spans="1:20" x14ac:dyDescent="0.2">
      <c r="A44" s="12">
        <v>46185</v>
      </c>
      <c r="B44" s="15"/>
      <c r="C44" s="15">
        <v>0</v>
      </c>
      <c r="D44">
        <v>1</v>
      </c>
    </row>
    <row r="45" spans="1:20" x14ac:dyDescent="0.2">
      <c r="A45" s="12">
        <v>46183</v>
      </c>
      <c r="B45" s="15"/>
      <c r="C45" s="15">
        <v>0</v>
      </c>
      <c r="D45">
        <v>1</v>
      </c>
    </row>
    <row r="46" spans="1:20" x14ac:dyDescent="0.2">
      <c r="A46" s="12">
        <v>46181</v>
      </c>
      <c r="B46" s="15"/>
      <c r="C46" s="15">
        <v>0</v>
      </c>
      <c r="D46">
        <v>1</v>
      </c>
    </row>
    <row r="47" spans="1:20" x14ac:dyDescent="0.2">
      <c r="A47" s="12">
        <v>46180</v>
      </c>
      <c r="B47" s="15"/>
      <c r="C47" s="15">
        <v>0</v>
      </c>
      <c r="D47">
        <v>5</v>
      </c>
    </row>
    <row r="48" spans="1:20" x14ac:dyDescent="0.2">
      <c r="A48" s="12">
        <v>46179</v>
      </c>
      <c r="B48" s="15"/>
      <c r="C48" s="15">
        <v>0</v>
      </c>
      <c r="D48">
        <v>1</v>
      </c>
    </row>
    <row r="49" spans="1:4" x14ac:dyDescent="0.2">
      <c r="A49" s="12">
        <v>46173</v>
      </c>
      <c r="B49" s="15">
        <v>0</v>
      </c>
      <c r="C49" s="15">
        <v>0</v>
      </c>
      <c r="D49">
        <v>9</v>
      </c>
    </row>
    <row r="50" spans="1:4" x14ac:dyDescent="0.2">
      <c r="A50" s="12">
        <v>46166</v>
      </c>
      <c r="B50" s="15">
        <v>0</v>
      </c>
      <c r="C50" s="15">
        <v>0</v>
      </c>
      <c r="D50">
        <v>5</v>
      </c>
    </row>
    <row r="51" spans="1:4" x14ac:dyDescent="0.2">
      <c r="A51" s="12">
        <v>46163</v>
      </c>
      <c r="B51" s="15">
        <v>0</v>
      </c>
      <c r="C51" s="15">
        <v>3853</v>
      </c>
      <c r="D51">
        <v>3</v>
      </c>
    </row>
    <row r="52" spans="1:4" x14ac:dyDescent="0.2">
      <c r="A52" s="12">
        <v>46159</v>
      </c>
      <c r="B52" s="15">
        <v>9000</v>
      </c>
      <c r="C52" s="15">
        <v>0</v>
      </c>
      <c r="D52">
        <v>3</v>
      </c>
    </row>
    <row r="53" spans="1:4" x14ac:dyDescent="0.2">
      <c r="A53" s="12">
        <v>46155</v>
      </c>
      <c r="B53" s="15">
        <v>9000</v>
      </c>
      <c r="C53" s="15">
        <v>0</v>
      </c>
      <c r="D53">
        <v>3</v>
      </c>
    </row>
    <row r="54" spans="1:4" x14ac:dyDescent="0.2">
      <c r="A54" s="12">
        <v>46152</v>
      </c>
      <c r="B54" s="15"/>
      <c r="C54" s="15">
        <v>0</v>
      </c>
      <c r="D54">
        <v>1</v>
      </c>
    </row>
    <row r="55" spans="1:4" x14ac:dyDescent="0.2">
      <c r="A55" s="10" t="s">
        <v>35</v>
      </c>
      <c r="B55" s="15">
        <v>108000</v>
      </c>
      <c r="C55" s="15">
        <v>30592</v>
      </c>
      <c r="D55">
        <v>13</v>
      </c>
    </row>
    <row r="56" spans="1:4" x14ac:dyDescent="0.2">
      <c r="A56" s="11" t="s">
        <v>47</v>
      </c>
      <c r="B56" s="15">
        <v>108000</v>
      </c>
      <c r="C56" s="15">
        <v>30592</v>
      </c>
      <c r="D56">
        <v>13</v>
      </c>
    </row>
    <row r="57" spans="1:4" x14ac:dyDescent="0.2">
      <c r="A57" s="12">
        <v>46151</v>
      </c>
      <c r="B57" s="15">
        <v>18000</v>
      </c>
      <c r="C57" s="15">
        <v>3730</v>
      </c>
      <c r="D57">
        <v>2</v>
      </c>
    </row>
    <row r="58" spans="1:4" x14ac:dyDescent="0.2">
      <c r="A58" s="12">
        <v>46150</v>
      </c>
      <c r="B58" s="15">
        <v>18000</v>
      </c>
      <c r="C58" s="15">
        <v>5774</v>
      </c>
      <c r="D58">
        <v>2</v>
      </c>
    </row>
    <row r="59" spans="1:4" x14ac:dyDescent="0.2">
      <c r="A59" s="12">
        <v>46149</v>
      </c>
      <c r="B59" s="15">
        <v>18000</v>
      </c>
      <c r="C59" s="15">
        <v>4670</v>
      </c>
      <c r="D59">
        <v>2</v>
      </c>
    </row>
    <row r="60" spans="1:4" x14ac:dyDescent="0.2">
      <c r="A60" s="12">
        <v>46148</v>
      </c>
      <c r="B60" s="15">
        <v>18000</v>
      </c>
      <c r="C60" s="15">
        <v>3942</v>
      </c>
      <c r="D60">
        <v>2</v>
      </c>
    </row>
    <row r="61" spans="1:4" x14ac:dyDescent="0.2">
      <c r="A61" s="12">
        <v>46147</v>
      </c>
      <c r="B61" s="15">
        <v>18000</v>
      </c>
      <c r="C61" s="15">
        <v>5905</v>
      </c>
      <c r="D61">
        <v>2</v>
      </c>
    </row>
    <row r="62" spans="1:4" x14ac:dyDescent="0.2">
      <c r="A62" s="12">
        <v>46146</v>
      </c>
      <c r="B62" s="15">
        <v>18000</v>
      </c>
      <c r="C62" s="15">
        <v>6571</v>
      </c>
      <c r="D62">
        <v>3</v>
      </c>
    </row>
    <row r="63" spans="1:4" x14ac:dyDescent="0.2">
      <c r="A63" s="10" t="s">
        <v>57</v>
      </c>
      <c r="B63" s="15">
        <v>75000</v>
      </c>
      <c r="C63" s="15">
        <v>23645</v>
      </c>
      <c r="D63">
        <v>12</v>
      </c>
    </row>
    <row r="64" spans="1:4" x14ac:dyDescent="0.2">
      <c r="A64" s="11" t="s">
        <v>47</v>
      </c>
      <c r="B64" s="15">
        <v>75000</v>
      </c>
      <c r="C64" s="15">
        <v>23645</v>
      </c>
      <c r="D64">
        <v>12</v>
      </c>
    </row>
    <row r="65" spans="1:4" x14ac:dyDescent="0.2">
      <c r="A65" s="12">
        <v>46158</v>
      </c>
      <c r="B65" s="15">
        <v>15000</v>
      </c>
      <c r="C65" s="15">
        <v>2378</v>
      </c>
      <c r="D65">
        <v>2</v>
      </c>
    </row>
    <row r="66" spans="1:4" x14ac:dyDescent="0.2">
      <c r="A66" s="12">
        <v>46157</v>
      </c>
      <c r="B66" s="15">
        <v>15000</v>
      </c>
      <c r="C66" s="15">
        <v>5481</v>
      </c>
      <c r="D66">
        <v>2</v>
      </c>
    </row>
    <row r="67" spans="1:4" x14ac:dyDescent="0.2">
      <c r="A67" s="12">
        <v>46156</v>
      </c>
      <c r="B67" s="15">
        <v>15000</v>
      </c>
      <c r="C67" s="15">
        <v>6222</v>
      </c>
      <c r="D67">
        <v>3</v>
      </c>
    </row>
    <row r="68" spans="1:4" x14ac:dyDescent="0.2">
      <c r="A68" s="12">
        <v>46154</v>
      </c>
      <c r="B68" s="15">
        <v>15000</v>
      </c>
      <c r="C68" s="15">
        <v>5949</v>
      </c>
      <c r="D68">
        <v>3</v>
      </c>
    </row>
    <row r="69" spans="1:4" x14ac:dyDescent="0.2">
      <c r="A69" s="12">
        <v>46153</v>
      </c>
      <c r="B69" s="15">
        <v>15000</v>
      </c>
      <c r="C69" s="15">
        <v>3615</v>
      </c>
      <c r="D69">
        <v>2</v>
      </c>
    </row>
    <row r="70" spans="1:4" x14ac:dyDescent="0.2">
      <c r="A70" s="10" t="s">
        <v>58</v>
      </c>
      <c r="B70" s="15">
        <v>90000</v>
      </c>
      <c r="C70" s="15">
        <v>26870</v>
      </c>
      <c r="D70">
        <v>20</v>
      </c>
    </row>
    <row r="71" spans="1:4" x14ac:dyDescent="0.2">
      <c r="A71" s="11" t="s">
        <v>47</v>
      </c>
      <c r="B71" s="15">
        <v>90000</v>
      </c>
      <c r="C71" s="15">
        <v>26870</v>
      </c>
      <c r="D71">
        <v>20</v>
      </c>
    </row>
    <row r="72" spans="1:4" x14ac:dyDescent="0.2">
      <c r="A72" s="12">
        <v>46165</v>
      </c>
      <c r="B72" s="15">
        <v>15000</v>
      </c>
      <c r="C72" s="15">
        <v>7593</v>
      </c>
      <c r="D72">
        <v>5</v>
      </c>
    </row>
    <row r="73" spans="1:4" x14ac:dyDescent="0.2">
      <c r="A73" s="12">
        <v>46164</v>
      </c>
      <c r="B73" s="15">
        <v>15000</v>
      </c>
      <c r="C73" s="15">
        <v>6487</v>
      </c>
      <c r="D73">
        <v>5</v>
      </c>
    </row>
    <row r="74" spans="1:4" x14ac:dyDescent="0.2">
      <c r="A74" s="12">
        <v>46163</v>
      </c>
      <c r="B74" s="15">
        <v>15000</v>
      </c>
      <c r="C74" s="15">
        <v>0</v>
      </c>
      <c r="D74">
        <v>1</v>
      </c>
    </row>
    <row r="75" spans="1:4" x14ac:dyDescent="0.2">
      <c r="A75" s="12">
        <v>46162</v>
      </c>
      <c r="B75" s="15">
        <v>15000</v>
      </c>
      <c r="C75" s="15">
        <v>3587</v>
      </c>
      <c r="D75">
        <v>3</v>
      </c>
    </row>
    <row r="76" spans="1:4" x14ac:dyDescent="0.2">
      <c r="A76" s="12">
        <v>46161</v>
      </c>
      <c r="B76" s="15">
        <v>15000</v>
      </c>
      <c r="C76" s="15">
        <v>4601</v>
      </c>
      <c r="D76">
        <v>3</v>
      </c>
    </row>
    <row r="77" spans="1:4" x14ac:dyDescent="0.2">
      <c r="A77" s="12">
        <v>46160</v>
      </c>
      <c r="B77" s="15">
        <v>15000</v>
      </c>
      <c r="C77" s="15">
        <v>4602</v>
      </c>
      <c r="D77">
        <v>3</v>
      </c>
    </row>
    <row r="78" spans="1:4" x14ac:dyDescent="0.2">
      <c r="A78" s="10" t="s">
        <v>62</v>
      </c>
      <c r="B78" s="15">
        <v>90000</v>
      </c>
      <c r="C78" s="15">
        <v>53648</v>
      </c>
      <c r="D78">
        <v>28</v>
      </c>
    </row>
    <row r="79" spans="1:4" x14ac:dyDescent="0.2">
      <c r="A79" s="11" t="s">
        <v>47</v>
      </c>
      <c r="B79" s="15">
        <v>90000</v>
      </c>
      <c r="C79" s="15">
        <v>53648</v>
      </c>
      <c r="D79">
        <v>28</v>
      </c>
    </row>
    <row r="80" spans="1:4" x14ac:dyDescent="0.2">
      <c r="A80" s="12">
        <v>46172</v>
      </c>
      <c r="B80" s="15">
        <v>15000</v>
      </c>
      <c r="C80" s="15">
        <v>7390</v>
      </c>
      <c r="D80">
        <v>5</v>
      </c>
    </row>
    <row r="81" spans="1:4" x14ac:dyDescent="0.2">
      <c r="A81" s="12">
        <v>46171</v>
      </c>
      <c r="B81" s="15">
        <v>15000</v>
      </c>
      <c r="C81" s="15">
        <v>8886</v>
      </c>
      <c r="D81">
        <v>5</v>
      </c>
    </row>
    <row r="82" spans="1:4" x14ac:dyDescent="0.2">
      <c r="A82" s="12">
        <v>46170</v>
      </c>
      <c r="B82" s="15">
        <v>15000</v>
      </c>
      <c r="C82" s="15">
        <v>8857</v>
      </c>
      <c r="D82">
        <v>4</v>
      </c>
    </row>
    <row r="83" spans="1:4" x14ac:dyDescent="0.2">
      <c r="A83" s="12">
        <v>46169</v>
      </c>
      <c r="B83" s="15">
        <v>15000</v>
      </c>
      <c r="C83" s="15">
        <v>7325</v>
      </c>
      <c r="D83">
        <v>4</v>
      </c>
    </row>
    <row r="84" spans="1:4" x14ac:dyDescent="0.2">
      <c r="A84" s="12">
        <v>46168</v>
      </c>
      <c r="B84" s="15">
        <v>15000</v>
      </c>
      <c r="C84" s="15">
        <v>9500</v>
      </c>
      <c r="D84">
        <v>5</v>
      </c>
    </row>
    <row r="85" spans="1:4" x14ac:dyDescent="0.2">
      <c r="A85" s="12">
        <v>46167</v>
      </c>
      <c r="B85" s="15">
        <v>15000</v>
      </c>
      <c r="C85" s="15">
        <v>11690</v>
      </c>
      <c r="D85">
        <v>5</v>
      </c>
    </row>
    <row r="86" spans="1:4" x14ac:dyDescent="0.2">
      <c r="A86" s="10" t="s">
        <v>64</v>
      </c>
      <c r="B86" s="15">
        <v>90000</v>
      </c>
      <c r="C86" s="15">
        <v>53123</v>
      </c>
      <c r="D86">
        <v>22</v>
      </c>
    </row>
    <row r="87" spans="1:4" x14ac:dyDescent="0.2">
      <c r="A87" s="11" t="s">
        <v>47</v>
      </c>
      <c r="B87" s="15">
        <v>90000</v>
      </c>
      <c r="C87" s="15">
        <v>53123</v>
      </c>
      <c r="D87">
        <v>22</v>
      </c>
    </row>
    <row r="88" spans="1:4" x14ac:dyDescent="0.2">
      <c r="A88" s="12">
        <v>46179</v>
      </c>
      <c r="B88" s="15">
        <v>15000</v>
      </c>
      <c r="C88" s="15">
        <v>8900</v>
      </c>
      <c r="D88">
        <v>4</v>
      </c>
    </row>
    <row r="89" spans="1:4" x14ac:dyDescent="0.2">
      <c r="A89" s="12">
        <v>46178</v>
      </c>
      <c r="B89" s="15">
        <v>15000</v>
      </c>
      <c r="C89" s="15">
        <v>9823</v>
      </c>
      <c r="D89">
        <v>3</v>
      </c>
    </row>
    <row r="90" spans="1:4" x14ac:dyDescent="0.2">
      <c r="A90" s="12">
        <v>46177</v>
      </c>
      <c r="B90" s="15">
        <v>15000</v>
      </c>
      <c r="C90" s="15">
        <v>8886</v>
      </c>
      <c r="D90">
        <v>3</v>
      </c>
    </row>
    <row r="91" spans="1:4" x14ac:dyDescent="0.2">
      <c r="A91" s="12">
        <v>46176</v>
      </c>
      <c r="B91" s="15">
        <v>15000</v>
      </c>
      <c r="C91" s="15">
        <v>6811</v>
      </c>
      <c r="D91">
        <v>4</v>
      </c>
    </row>
    <row r="92" spans="1:4" x14ac:dyDescent="0.2">
      <c r="A92" s="12">
        <v>46175</v>
      </c>
      <c r="B92" s="15">
        <v>15000</v>
      </c>
      <c r="C92" s="15">
        <v>9739</v>
      </c>
      <c r="D92">
        <v>4</v>
      </c>
    </row>
    <row r="93" spans="1:4" x14ac:dyDescent="0.2">
      <c r="A93" s="12">
        <v>46174</v>
      </c>
      <c r="B93" s="15">
        <v>15000</v>
      </c>
      <c r="C93" s="15">
        <v>8964</v>
      </c>
      <c r="D93">
        <v>4</v>
      </c>
    </row>
    <row r="94" spans="1:4" x14ac:dyDescent="0.2">
      <c r="A94" s="10" t="s">
        <v>66</v>
      </c>
      <c r="B94" s="15">
        <v>90000</v>
      </c>
      <c r="C94" s="15">
        <v>57134</v>
      </c>
      <c r="D94">
        <v>27</v>
      </c>
    </row>
    <row r="95" spans="1:4" x14ac:dyDescent="0.2">
      <c r="A95" s="11" t="s">
        <v>47</v>
      </c>
      <c r="B95" s="15">
        <v>90000</v>
      </c>
      <c r="C95" s="15">
        <v>57134</v>
      </c>
      <c r="D95">
        <v>27</v>
      </c>
    </row>
    <row r="96" spans="1:4" x14ac:dyDescent="0.2">
      <c r="A96" s="12">
        <v>46186</v>
      </c>
      <c r="B96" s="15">
        <v>15000</v>
      </c>
      <c r="C96" s="15">
        <v>7958</v>
      </c>
      <c r="D96">
        <v>5</v>
      </c>
    </row>
    <row r="97" spans="1:4" x14ac:dyDescent="0.2">
      <c r="A97" s="12">
        <v>46185</v>
      </c>
      <c r="B97" s="15">
        <v>18000</v>
      </c>
      <c r="C97" s="15">
        <v>9583</v>
      </c>
      <c r="D97">
        <v>4</v>
      </c>
    </row>
    <row r="98" spans="1:4" x14ac:dyDescent="0.2">
      <c r="A98" s="12">
        <v>46184</v>
      </c>
      <c r="B98" s="15">
        <v>15000</v>
      </c>
      <c r="C98" s="15">
        <v>15571</v>
      </c>
      <c r="D98">
        <v>5</v>
      </c>
    </row>
    <row r="99" spans="1:4" x14ac:dyDescent="0.2">
      <c r="A99" s="12">
        <v>46183</v>
      </c>
      <c r="B99" s="15">
        <v>15000</v>
      </c>
      <c r="C99" s="15">
        <v>9611</v>
      </c>
      <c r="D99">
        <v>4</v>
      </c>
    </row>
    <row r="100" spans="1:4" x14ac:dyDescent="0.2">
      <c r="A100" s="12">
        <v>46182</v>
      </c>
      <c r="B100" s="15">
        <v>15000</v>
      </c>
      <c r="C100" s="15">
        <v>7279</v>
      </c>
      <c r="D100">
        <v>5</v>
      </c>
    </row>
    <row r="101" spans="1:4" x14ac:dyDescent="0.2">
      <c r="A101" s="12">
        <v>46181</v>
      </c>
      <c r="B101" s="15">
        <v>12000</v>
      </c>
      <c r="C101" s="15">
        <v>7132</v>
      </c>
      <c r="D101">
        <v>4</v>
      </c>
    </row>
    <row r="102" spans="1:4" x14ac:dyDescent="0.2">
      <c r="A102" s="10" t="s">
        <v>68</v>
      </c>
      <c r="B102" s="15">
        <v>90000</v>
      </c>
      <c r="C102" s="15">
        <v>58295</v>
      </c>
      <c r="D102">
        <v>25</v>
      </c>
    </row>
    <row r="103" spans="1:4" x14ac:dyDescent="0.2">
      <c r="A103" s="11" t="s">
        <v>47</v>
      </c>
      <c r="B103" s="15">
        <v>90000</v>
      </c>
      <c r="C103" s="15">
        <v>58295</v>
      </c>
      <c r="D103">
        <v>25</v>
      </c>
    </row>
    <row r="104" spans="1:4" x14ac:dyDescent="0.2">
      <c r="A104" s="12">
        <v>46193</v>
      </c>
      <c r="B104" s="15">
        <v>15000</v>
      </c>
      <c r="C104" s="15">
        <v>2051</v>
      </c>
      <c r="D104">
        <v>3</v>
      </c>
    </row>
    <row r="105" spans="1:4" x14ac:dyDescent="0.2">
      <c r="A105" s="12">
        <v>46192</v>
      </c>
      <c r="B105" s="15">
        <v>15000</v>
      </c>
      <c r="C105" s="15">
        <v>13426</v>
      </c>
      <c r="D105">
        <v>5</v>
      </c>
    </row>
    <row r="106" spans="1:4" x14ac:dyDescent="0.2">
      <c r="A106" s="12">
        <v>46191</v>
      </c>
      <c r="B106" s="15">
        <v>15000</v>
      </c>
      <c r="C106" s="15">
        <v>10750</v>
      </c>
      <c r="D106">
        <v>4</v>
      </c>
    </row>
    <row r="107" spans="1:4" x14ac:dyDescent="0.2">
      <c r="A107" s="12">
        <v>46190</v>
      </c>
      <c r="B107" s="15">
        <v>15000</v>
      </c>
      <c r="C107" s="15">
        <v>12225</v>
      </c>
      <c r="D107">
        <v>4</v>
      </c>
    </row>
    <row r="108" spans="1:4" x14ac:dyDescent="0.2">
      <c r="A108" s="12">
        <v>46189</v>
      </c>
      <c r="B108" s="15">
        <v>15000</v>
      </c>
      <c r="C108" s="15">
        <v>12487</v>
      </c>
      <c r="D108">
        <v>5</v>
      </c>
    </row>
    <row r="109" spans="1:4" x14ac:dyDescent="0.2">
      <c r="A109" s="12">
        <v>46188</v>
      </c>
      <c r="B109" s="15">
        <v>15000</v>
      </c>
      <c r="C109" s="15">
        <v>7356</v>
      </c>
      <c r="D109">
        <v>4</v>
      </c>
    </row>
    <row r="110" spans="1:4" x14ac:dyDescent="0.2">
      <c r="A110" s="10" t="s">
        <v>71</v>
      </c>
      <c r="B110" s="15">
        <v>90000</v>
      </c>
      <c r="C110" s="15">
        <v>65342</v>
      </c>
      <c r="D110">
        <v>32</v>
      </c>
    </row>
    <row r="111" spans="1:4" x14ac:dyDescent="0.2">
      <c r="A111" s="11" t="s">
        <v>47</v>
      </c>
      <c r="B111" s="15">
        <v>90000</v>
      </c>
      <c r="C111" s="15">
        <v>65342</v>
      </c>
      <c r="D111">
        <v>32</v>
      </c>
    </row>
    <row r="112" spans="1:4" x14ac:dyDescent="0.2">
      <c r="A112" s="12">
        <v>46200</v>
      </c>
      <c r="B112" s="15">
        <v>15000</v>
      </c>
      <c r="C112" s="15">
        <v>10231</v>
      </c>
      <c r="D112">
        <v>5</v>
      </c>
    </row>
    <row r="113" spans="1:4" x14ac:dyDescent="0.2">
      <c r="A113" s="12">
        <v>46199</v>
      </c>
      <c r="B113" s="15">
        <v>15000</v>
      </c>
      <c r="C113" s="15">
        <v>14997</v>
      </c>
      <c r="D113">
        <v>6</v>
      </c>
    </row>
    <row r="114" spans="1:4" x14ac:dyDescent="0.2">
      <c r="A114" s="12">
        <v>46198</v>
      </c>
      <c r="B114" s="15">
        <v>15000</v>
      </c>
      <c r="C114" s="15">
        <v>12178</v>
      </c>
      <c r="D114">
        <v>6</v>
      </c>
    </row>
    <row r="115" spans="1:4" x14ac:dyDescent="0.2">
      <c r="A115" s="12">
        <v>46197</v>
      </c>
      <c r="B115" s="15">
        <v>15000</v>
      </c>
      <c r="C115" s="15">
        <v>10528</v>
      </c>
      <c r="D115">
        <v>5</v>
      </c>
    </row>
    <row r="116" spans="1:4" x14ac:dyDescent="0.2">
      <c r="A116" s="12">
        <v>46196</v>
      </c>
      <c r="B116" s="15">
        <v>15000</v>
      </c>
      <c r="C116" s="15">
        <v>6738</v>
      </c>
      <c r="D116">
        <v>4</v>
      </c>
    </row>
    <row r="117" spans="1:4" x14ac:dyDescent="0.2">
      <c r="A117" s="12">
        <v>46195</v>
      </c>
      <c r="B117" s="15">
        <v>15000</v>
      </c>
      <c r="C117" s="15">
        <v>10670</v>
      </c>
      <c r="D117">
        <v>6</v>
      </c>
    </row>
    <row r="118" spans="1:4" x14ac:dyDescent="0.2">
      <c r="A118" s="10" t="s">
        <v>559</v>
      </c>
      <c r="B118" s="15">
        <v>75000</v>
      </c>
      <c r="C118" s="15">
        <v>43641</v>
      </c>
      <c r="D118">
        <v>23</v>
      </c>
    </row>
    <row r="119" spans="1:4" x14ac:dyDescent="0.2">
      <c r="A119" s="11" t="s">
        <v>47</v>
      </c>
      <c r="B119" s="15">
        <v>75000</v>
      </c>
      <c r="C119" s="15">
        <v>43641</v>
      </c>
      <c r="D119">
        <v>23</v>
      </c>
    </row>
    <row r="120" spans="1:4" x14ac:dyDescent="0.2">
      <c r="A120" s="12">
        <v>46207</v>
      </c>
      <c r="B120" s="15">
        <v>15000</v>
      </c>
      <c r="C120" s="15">
        <v>6902</v>
      </c>
      <c r="D120">
        <v>5</v>
      </c>
    </row>
    <row r="121" spans="1:4" x14ac:dyDescent="0.2">
      <c r="A121" s="12">
        <v>46206</v>
      </c>
      <c r="B121" s="15">
        <v>15000</v>
      </c>
      <c r="C121" s="15">
        <v>8255</v>
      </c>
      <c r="D121">
        <v>5</v>
      </c>
    </row>
    <row r="122" spans="1:4" x14ac:dyDescent="0.2">
      <c r="A122" s="12">
        <v>46205</v>
      </c>
      <c r="B122" s="15">
        <v>15000</v>
      </c>
      <c r="C122" s="15">
        <v>11103</v>
      </c>
      <c r="D122">
        <v>5</v>
      </c>
    </row>
    <row r="123" spans="1:4" x14ac:dyDescent="0.2">
      <c r="A123" s="12">
        <v>46204</v>
      </c>
      <c r="B123" s="15">
        <v>15000</v>
      </c>
      <c r="C123" s="15">
        <v>8159</v>
      </c>
      <c r="D123">
        <v>4</v>
      </c>
    </row>
    <row r="124" spans="1:4" x14ac:dyDescent="0.2">
      <c r="A124" s="12">
        <v>46203</v>
      </c>
      <c r="B124" s="15">
        <v>15000</v>
      </c>
      <c r="C124" s="15">
        <v>9222</v>
      </c>
      <c r="D124">
        <v>4</v>
      </c>
    </row>
    <row r="125" spans="1:4" x14ac:dyDescent="0.2">
      <c r="A125" s="10" t="s">
        <v>982</v>
      </c>
      <c r="B125" s="15">
        <v>90000.000000000015</v>
      </c>
      <c r="C125" s="15">
        <v>87877</v>
      </c>
      <c r="D125">
        <v>40</v>
      </c>
    </row>
    <row r="126" spans="1:4" x14ac:dyDescent="0.2">
      <c r="A126" s="11" t="s">
        <v>47</v>
      </c>
      <c r="B126" s="15">
        <v>90000.000000000015</v>
      </c>
      <c r="C126" s="15">
        <v>87877</v>
      </c>
      <c r="D126">
        <v>40</v>
      </c>
    </row>
    <row r="127" spans="1:4" x14ac:dyDescent="0.2">
      <c r="A127" s="12">
        <v>46214</v>
      </c>
      <c r="B127" s="15">
        <v>15000</v>
      </c>
      <c r="C127" s="15">
        <v>8255</v>
      </c>
      <c r="D127">
        <v>7</v>
      </c>
    </row>
    <row r="128" spans="1:4" x14ac:dyDescent="0.2">
      <c r="A128" s="12">
        <v>46213</v>
      </c>
      <c r="B128" s="15">
        <v>15000</v>
      </c>
      <c r="C128" s="15">
        <v>15211</v>
      </c>
      <c r="D128">
        <v>7</v>
      </c>
    </row>
    <row r="129" spans="1:4" x14ac:dyDescent="0.2">
      <c r="A129" s="12">
        <v>46212</v>
      </c>
      <c r="B129" s="15">
        <v>15000</v>
      </c>
      <c r="C129" s="15">
        <v>14019</v>
      </c>
      <c r="D129">
        <v>7</v>
      </c>
    </row>
    <row r="130" spans="1:4" x14ac:dyDescent="0.2">
      <c r="A130" s="12">
        <v>46211</v>
      </c>
      <c r="B130" s="15">
        <v>15000</v>
      </c>
      <c r="C130" s="15">
        <v>16463</v>
      </c>
      <c r="D130">
        <v>7</v>
      </c>
    </row>
    <row r="131" spans="1:4" x14ac:dyDescent="0.2">
      <c r="A131" s="12">
        <v>46210</v>
      </c>
      <c r="B131" s="15">
        <v>15000</v>
      </c>
      <c r="C131" s="15">
        <v>15949</v>
      </c>
      <c r="D131">
        <v>6</v>
      </c>
    </row>
    <row r="132" spans="1:4" x14ac:dyDescent="0.2">
      <c r="A132" s="12">
        <v>46209</v>
      </c>
      <c r="B132" s="15">
        <v>15000</v>
      </c>
      <c r="C132" s="15">
        <v>17980</v>
      </c>
      <c r="D132">
        <v>6</v>
      </c>
    </row>
    <row r="133" spans="1:4" x14ac:dyDescent="0.2">
      <c r="A133" s="10" t="s">
        <v>1361</v>
      </c>
      <c r="B133" s="15">
        <v>90000</v>
      </c>
      <c r="C133" s="15">
        <v>91509</v>
      </c>
      <c r="D133">
        <v>38</v>
      </c>
    </row>
    <row r="134" spans="1:4" x14ac:dyDescent="0.2">
      <c r="A134" s="11" t="s">
        <v>47</v>
      </c>
      <c r="B134" s="15">
        <v>90000</v>
      </c>
      <c r="C134" s="15">
        <v>91509</v>
      </c>
      <c r="D134">
        <v>38</v>
      </c>
    </row>
    <row r="135" spans="1:4" x14ac:dyDescent="0.2">
      <c r="A135" s="12">
        <v>46221</v>
      </c>
      <c r="B135" s="15">
        <v>15000</v>
      </c>
      <c r="C135" s="15">
        <v>10654</v>
      </c>
      <c r="D135">
        <v>6</v>
      </c>
    </row>
    <row r="136" spans="1:4" x14ac:dyDescent="0.2">
      <c r="A136" s="12">
        <v>46220</v>
      </c>
      <c r="B136" s="15">
        <v>15000</v>
      </c>
      <c r="C136" s="15">
        <v>21400</v>
      </c>
      <c r="D136">
        <v>7</v>
      </c>
    </row>
    <row r="137" spans="1:4" x14ac:dyDescent="0.2">
      <c r="A137" s="12">
        <v>46219</v>
      </c>
      <c r="B137" s="15">
        <v>15000</v>
      </c>
      <c r="C137" s="15">
        <v>20676</v>
      </c>
      <c r="D137">
        <v>7</v>
      </c>
    </row>
    <row r="138" spans="1:4" x14ac:dyDescent="0.2">
      <c r="A138" s="12">
        <v>46218</v>
      </c>
      <c r="B138" s="15">
        <v>15000</v>
      </c>
      <c r="C138" s="15">
        <v>16424</v>
      </c>
      <c r="D138">
        <v>6</v>
      </c>
    </row>
    <row r="139" spans="1:4" x14ac:dyDescent="0.2">
      <c r="A139" s="12">
        <v>46217</v>
      </c>
      <c r="B139" s="15">
        <v>15000</v>
      </c>
      <c r="C139" s="15">
        <v>11845</v>
      </c>
      <c r="D139">
        <v>6</v>
      </c>
    </row>
    <row r="140" spans="1:4" x14ac:dyDescent="0.2">
      <c r="A140" s="12">
        <v>46216</v>
      </c>
      <c r="B140" s="15">
        <v>15000</v>
      </c>
      <c r="C140" s="15">
        <v>10510</v>
      </c>
      <c r="D140">
        <v>6</v>
      </c>
    </row>
    <row r="141" spans="1:4" x14ac:dyDescent="0.2">
      <c r="A141" s="10" t="s">
        <v>1827</v>
      </c>
      <c r="B141" s="15">
        <v>89999.999999999985</v>
      </c>
      <c r="C141" s="15">
        <v>88359</v>
      </c>
      <c r="D141">
        <v>37</v>
      </c>
    </row>
    <row r="142" spans="1:4" x14ac:dyDescent="0.2">
      <c r="A142" s="11" t="s">
        <v>47</v>
      </c>
      <c r="B142" s="15">
        <v>89999.999999999985</v>
      </c>
      <c r="C142" s="15">
        <v>88359</v>
      </c>
      <c r="D142">
        <v>37</v>
      </c>
    </row>
    <row r="143" spans="1:4" x14ac:dyDescent="0.2">
      <c r="A143" s="12">
        <v>46228</v>
      </c>
      <c r="B143" s="15">
        <v>15000</v>
      </c>
      <c r="C143" s="15">
        <v>11074</v>
      </c>
      <c r="D143">
        <v>7</v>
      </c>
    </row>
    <row r="144" spans="1:4" x14ac:dyDescent="0.2">
      <c r="A144" s="12">
        <v>46227</v>
      </c>
      <c r="B144" s="15">
        <v>15000</v>
      </c>
      <c r="C144" s="15">
        <v>16640</v>
      </c>
      <c r="D144">
        <v>7</v>
      </c>
    </row>
    <row r="145" spans="1:4" x14ac:dyDescent="0.2">
      <c r="A145" s="12">
        <v>46226</v>
      </c>
      <c r="B145" s="15">
        <v>15000</v>
      </c>
      <c r="C145" s="15">
        <v>14376</v>
      </c>
      <c r="D145">
        <v>6</v>
      </c>
    </row>
    <row r="146" spans="1:4" x14ac:dyDescent="0.2">
      <c r="A146" s="12">
        <v>46225</v>
      </c>
      <c r="B146" s="15">
        <v>15000</v>
      </c>
      <c r="C146" s="15">
        <v>17851</v>
      </c>
      <c r="D146">
        <v>6</v>
      </c>
    </row>
    <row r="147" spans="1:4" x14ac:dyDescent="0.2">
      <c r="A147" s="12">
        <v>46224</v>
      </c>
      <c r="B147" s="15">
        <v>15000</v>
      </c>
      <c r="C147" s="15">
        <v>14762</v>
      </c>
      <c r="D147">
        <v>5</v>
      </c>
    </row>
    <row r="148" spans="1:4" x14ac:dyDescent="0.2">
      <c r="A148" s="12">
        <v>46223</v>
      </c>
      <c r="B148" s="15">
        <v>15000</v>
      </c>
      <c r="C148" s="15">
        <v>13656</v>
      </c>
      <c r="D148">
        <v>6</v>
      </c>
    </row>
    <row r="149" spans="1:4" x14ac:dyDescent="0.2">
      <c r="A149" s="10" t="s">
        <v>2254</v>
      </c>
      <c r="B149" s="15">
        <v>90000</v>
      </c>
      <c r="C149" s="15">
        <v>73396</v>
      </c>
      <c r="D149">
        <v>34</v>
      </c>
    </row>
    <row r="150" spans="1:4" x14ac:dyDescent="0.2">
      <c r="A150" s="11" t="s">
        <v>47</v>
      </c>
      <c r="B150" s="15">
        <v>90000</v>
      </c>
      <c r="C150" s="15">
        <v>73396</v>
      </c>
      <c r="D150">
        <v>34</v>
      </c>
    </row>
    <row r="151" spans="1:4" x14ac:dyDescent="0.2">
      <c r="A151" s="12">
        <v>46235</v>
      </c>
      <c r="B151" s="15">
        <v>15000</v>
      </c>
      <c r="C151" s="15">
        <v>10880</v>
      </c>
      <c r="D151">
        <v>7</v>
      </c>
    </row>
    <row r="152" spans="1:4" x14ac:dyDescent="0.2">
      <c r="A152" s="12">
        <v>46234</v>
      </c>
      <c r="B152" s="15">
        <v>15000</v>
      </c>
      <c r="C152" s="15">
        <v>13206</v>
      </c>
      <c r="D152">
        <v>6</v>
      </c>
    </row>
    <row r="153" spans="1:4" x14ac:dyDescent="0.2">
      <c r="A153" s="12">
        <v>46233</v>
      </c>
      <c r="B153" s="15">
        <v>15000</v>
      </c>
      <c r="C153" s="15">
        <v>13528</v>
      </c>
      <c r="D153">
        <v>5</v>
      </c>
    </row>
    <row r="154" spans="1:4" x14ac:dyDescent="0.2">
      <c r="A154" s="12">
        <v>46232</v>
      </c>
      <c r="B154" s="15">
        <v>15000</v>
      </c>
      <c r="C154" s="15">
        <v>13669</v>
      </c>
      <c r="D154">
        <v>5</v>
      </c>
    </row>
    <row r="155" spans="1:4" x14ac:dyDescent="0.2">
      <c r="A155" s="12">
        <v>46231</v>
      </c>
      <c r="B155" s="15">
        <v>15000</v>
      </c>
      <c r="C155" s="15">
        <v>8290</v>
      </c>
      <c r="D155">
        <v>5</v>
      </c>
    </row>
    <row r="156" spans="1:4" x14ac:dyDescent="0.2">
      <c r="A156" s="12">
        <v>46230</v>
      </c>
      <c r="B156" s="15">
        <v>15000</v>
      </c>
      <c r="C156" s="15">
        <v>13823</v>
      </c>
      <c r="D156">
        <v>6</v>
      </c>
    </row>
    <row r="157" spans="1:4" x14ac:dyDescent="0.2">
      <c r="A157" s="10" t="s">
        <v>2681</v>
      </c>
      <c r="B157" s="15">
        <v>90000.000000000044</v>
      </c>
      <c r="C157" s="15">
        <v>75686</v>
      </c>
      <c r="D157">
        <v>36</v>
      </c>
    </row>
    <row r="158" spans="1:4" x14ac:dyDescent="0.2">
      <c r="A158" s="11" t="s">
        <v>47</v>
      </c>
      <c r="B158" s="15">
        <v>90000.000000000044</v>
      </c>
      <c r="C158" s="15">
        <v>75686</v>
      </c>
      <c r="D158">
        <v>36</v>
      </c>
    </row>
    <row r="159" spans="1:4" x14ac:dyDescent="0.2">
      <c r="A159" s="12">
        <v>46242</v>
      </c>
      <c r="B159" s="15">
        <v>15000</v>
      </c>
      <c r="C159" s="15">
        <v>9967</v>
      </c>
      <c r="D159">
        <v>4</v>
      </c>
    </row>
    <row r="160" spans="1:4" x14ac:dyDescent="0.2">
      <c r="A160" s="12">
        <v>46241</v>
      </c>
      <c r="B160" s="15">
        <v>15000</v>
      </c>
      <c r="C160" s="15">
        <v>13601</v>
      </c>
      <c r="D160">
        <v>6</v>
      </c>
    </row>
    <row r="161" spans="1:4" x14ac:dyDescent="0.2">
      <c r="A161" s="12">
        <v>46240</v>
      </c>
      <c r="B161" s="15">
        <v>15000</v>
      </c>
      <c r="C161" s="15">
        <v>12983</v>
      </c>
      <c r="D161">
        <v>7</v>
      </c>
    </row>
    <row r="162" spans="1:4" x14ac:dyDescent="0.2">
      <c r="A162" s="12">
        <v>46239</v>
      </c>
      <c r="B162" s="15">
        <v>15000</v>
      </c>
      <c r="C162" s="15">
        <v>13036</v>
      </c>
      <c r="D162">
        <v>7</v>
      </c>
    </row>
    <row r="163" spans="1:4" x14ac:dyDescent="0.2">
      <c r="A163" s="12">
        <v>46238</v>
      </c>
      <c r="B163" s="15">
        <v>15000</v>
      </c>
      <c r="C163" s="15">
        <v>10698</v>
      </c>
      <c r="D163">
        <v>5</v>
      </c>
    </row>
    <row r="164" spans="1:4" x14ac:dyDescent="0.2">
      <c r="A164" s="12">
        <v>46237</v>
      </c>
      <c r="B164" s="15">
        <v>15000</v>
      </c>
      <c r="C164" s="15">
        <v>15401</v>
      </c>
      <c r="D164">
        <v>7</v>
      </c>
    </row>
    <row r="165" spans="1:4" x14ac:dyDescent="0.2">
      <c r="A165" s="10" t="s">
        <v>2974</v>
      </c>
      <c r="B165" s="15">
        <v>90000.000000000015</v>
      </c>
      <c r="C165" s="15">
        <v>61676</v>
      </c>
      <c r="D165">
        <v>35</v>
      </c>
    </row>
    <row r="166" spans="1:4" x14ac:dyDescent="0.2">
      <c r="A166" s="11" t="s">
        <v>47</v>
      </c>
      <c r="B166" s="15">
        <v>90000.000000000015</v>
      </c>
      <c r="C166" s="15">
        <v>61676</v>
      </c>
      <c r="D166">
        <v>35</v>
      </c>
    </row>
    <row r="167" spans="1:4" x14ac:dyDescent="0.2">
      <c r="A167" s="12">
        <v>46249</v>
      </c>
      <c r="B167" s="15">
        <v>15000</v>
      </c>
      <c r="C167" s="15">
        <v>10018</v>
      </c>
      <c r="D167">
        <v>5</v>
      </c>
    </row>
    <row r="168" spans="1:4" x14ac:dyDescent="0.2">
      <c r="A168" s="12">
        <v>46248</v>
      </c>
      <c r="B168" s="15">
        <v>15000</v>
      </c>
      <c r="C168" s="15">
        <v>12349</v>
      </c>
      <c r="D168">
        <v>6</v>
      </c>
    </row>
    <row r="169" spans="1:4" x14ac:dyDescent="0.2">
      <c r="A169" s="12">
        <v>46247</v>
      </c>
      <c r="B169" s="15">
        <v>15000</v>
      </c>
      <c r="C169" s="15">
        <v>12708</v>
      </c>
      <c r="D169">
        <v>6</v>
      </c>
    </row>
    <row r="170" spans="1:4" x14ac:dyDescent="0.2">
      <c r="A170" s="12">
        <v>46246</v>
      </c>
      <c r="B170" s="15">
        <v>15000</v>
      </c>
      <c r="C170" s="15">
        <v>12153</v>
      </c>
      <c r="D170">
        <v>6</v>
      </c>
    </row>
    <row r="171" spans="1:4" x14ac:dyDescent="0.2">
      <c r="A171" s="12">
        <v>46245</v>
      </c>
      <c r="B171" s="15">
        <v>15000</v>
      </c>
      <c r="C171" s="15">
        <v>5587</v>
      </c>
      <c r="D171">
        <v>5</v>
      </c>
    </row>
    <row r="172" spans="1:4" x14ac:dyDescent="0.2">
      <c r="A172" s="12">
        <v>46244</v>
      </c>
      <c r="B172" s="15">
        <v>15000</v>
      </c>
      <c r="C172" s="15">
        <v>8861</v>
      </c>
      <c r="D172">
        <v>7</v>
      </c>
    </row>
    <row r="173" spans="1:4" x14ac:dyDescent="0.2">
      <c r="A173" s="10" t="s">
        <v>3094</v>
      </c>
      <c r="B173" s="15">
        <v>90000</v>
      </c>
      <c r="C173" s="15">
        <v>78143</v>
      </c>
      <c r="D173">
        <v>35</v>
      </c>
    </row>
    <row r="174" spans="1:4" x14ac:dyDescent="0.2">
      <c r="A174" s="11" t="s">
        <v>47</v>
      </c>
      <c r="B174" s="15">
        <v>90000</v>
      </c>
      <c r="C174" s="15">
        <v>78143</v>
      </c>
      <c r="D174">
        <v>35</v>
      </c>
    </row>
    <row r="175" spans="1:4" x14ac:dyDescent="0.2">
      <c r="A175" s="12">
        <v>46256</v>
      </c>
      <c r="B175" s="15">
        <v>15000</v>
      </c>
      <c r="C175" s="15">
        <v>11997</v>
      </c>
      <c r="D175">
        <v>5</v>
      </c>
    </row>
    <row r="176" spans="1:4" x14ac:dyDescent="0.2">
      <c r="A176" s="12">
        <v>46255</v>
      </c>
      <c r="B176" s="15">
        <v>15000</v>
      </c>
      <c r="C176" s="15">
        <v>13011</v>
      </c>
      <c r="D176">
        <v>6</v>
      </c>
    </row>
    <row r="177" spans="1:4" x14ac:dyDescent="0.2">
      <c r="A177" s="12">
        <v>46254</v>
      </c>
      <c r="B177" s="15">
        <v>15000</v>
      </c>
      <c r="C177" s="15">
        <v>9223</v>
      </c>
      <c r="D177">
        <v>6</v>
      </c>
    </row>
    <row r="178" spans="1:4" x14ac:dyDescent="0.2">
      <c r="A178" s="12">
        <v>46253</v>
      </c>
      <c r="B178" s="15">
        <v>15000</v>
      </c>
      <c r="C178" s="15">
        <v>13317</v>
      </c>
      <c r="D178">
        <v>6</v>
      </c>
    </row>
    <row r="179" spans="1:4" x14ac:dyDescent="0.2">
      <c r="A179" s="12">
        <v>46252</v>
      </c>
      <c r="B179" s="15">
        <v>15000</v>
      </c>
      <c r="C179" s="15">
        <v>14465</v>
      </c>
      <c r="D179">
        <v>6</v>
      </c>
    </row>
    <row r="180" spans="1:4" x14ac:dyDescent="0.2">
      <c r="A180" s="12">
        <v>46251</v>
      </c>
      <c r="B180" s="15">
        <v>15000</v>
      </c>
      <c r="C180" s="15">
        <v>16130</v>
      </c>
      <c r="D180">
        <v>6</v>
      </c>
    </row>
    <row r="181" spans="1:4" x14ac:dyDescent="0.2">
      <c r="A181" s="10" t="s">
        <v>3342</v>
      </c>
      <c r="B181" s="15">
        <v>1448999.9999999974</v>
      </c>
      <c r="C181" s="15">
        <v>976185</v>
      </c>
      <c r="D181">
        <v>596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3337</v>
      </c>
      <c r="B3" t="s">
        <v>3339</v>
      </c>
      <c r="C3" t="s">
        <v>3343</v>
      </c>
      <c r="O3" s="9" t="s">
        <v>3337</v>
      </c>
      <c r="P3" t="s">
        <v>3339</v>
      </c>
      <c r="Q3" t="s">
        <v>3343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>
        <v>12</v>
      </c>
      <c r="Q4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>
        <v>12</v>
      </c>
      <c r="Q5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>
        <v>12</v>
      </c>
      <c r="Q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>
        <v>12</v>
      </c>
      <c r="Q7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3344</v>
      </c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3342</v>
      </c>
      <c r="P9">
        <v>48</v>
      </c>
      <c r="Q9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3342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3345</v>
      </c>
      <c r="G3" s="17" t="s">
        <v>3346</v>
      </c>
      <c r="H3" s="17" t="s">
        <v>3347</v>
      </c>
      <c r="I3" s="17" t="s">
        <v>3348</v>
      </c>
      <c r="J3" s="17" t="s">
        <v>3349</v>
      </c>
      <c r="K3" s="17" t="s">
        <v>3350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3351</v>
      </c>
    </row>
    <row r="5" spans="6:11" x14ac:dyDescent="0.2">
      <c r="F5" s="17">
        <v>116</v>
      </c>
      <c r="H5" s="17">
        <v>110</v>
      </c>
      <c r="J5" s="17" t="s">
        <v>3352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3353</v>
      </c>
    </row>
    <row r="3" spans="1:17" x14ac:dyDescent="0.2">
      <c r="A3" s="25" t="s">
        <v>7</v>
      </c>
      <c r="B3" s="25" t="s">
        <v>3354</v>
      </c>
      <c r="C3" s="25" t="s">
        <v>3355</v>
      </c>
      <c r="D3" s="25" t="s">
        <v>3356</v>
      </c>
      <c r="E3" s="25" t="s">
        <v>3357</v>
      </c>
      <c r="F3" s="25" t="s">
        <v>3358</v>
      </c>
      <c r="H3" s="22" t="s">
        <v>3358</v>
      </c>
      <c r="I3" s="22" t="s">
        <v>3354</v>
      </c>
      <c r="J3" s="22" t="s">
        <v>3355</v>
      </c>
      <c r="K3" s="22" t="s">
        <v>3357</v>
      </c>
      <c r="L3" s="22" t="s">
        <v>3359</v>
      </c>
      <c r="M3" s="25" t="s">
        <v>3360</v>
      </c>
      <c r="O3" s="25" t="s">
        <v>7</v>
      </c>
      <c r="P3" s="25" t="s">
        <v>3357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3361</v>
      </c>
      <c r="H4" s="28" t="s">
        <v>3361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3361</v>
      </c>
      <c r="H5" s="28" t="s">
        <v>3362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3361</v>
      </c>
      <c r="H6" s="28" t="s">
        <v>3363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3361</v>
      </c>
      <c r="H7" s="28" t="s">
        <v>3364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3361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3361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3361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3361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3361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3361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3362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3362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3362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3362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3362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3362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3362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3363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3363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3363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3363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3363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3363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3363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3363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3363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3363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3363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3363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3363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3364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3364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3364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3364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3364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3364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3364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3364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3364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3364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3364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3364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3364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3364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3364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3364</v>
      </c>
    </row>
    <row r="50" spans="1:6" x14ac:dyDescent="0.2">
      <c r="A50" s="84" t="s">
        <v>3365</v>
      </c>
      <c r="B50" s="84"/>
      <c r="C50" s="84"/>
      <c r="E50" s="23">
        <f>SUM(E4:E49)</f>
        <v>12900</v>
      </c>
    </row>
    <row r="56" spans="1:6" ht="15.75" x14ac:dyDescent="0.25">
      <c r="A56" s="34" t="s">
        <v>3366</v>
      </c>
    </row>
    <row r="57" spans="1:6" ht="25.5" x14ac:dyDescent="0.2">
      <c r="A57" s="35" t="s">
        <v>3367</v>
      </c>
      <c r="B57" s="36" t="s">
        <v>3368</v>
      </c>
      <c r="C57" s="36" t="s">
        <v>3369</v>
      </c>
      <c r="D57" s="36" t="s">
        <v>3370</v>
      </c>
    </row>
    <row r="58" spans="1:6" x14ac:dyDescent="0.2">
      <c r="A58" s="40" t="s">
        <v>3371</v>
      </c>
      <c r="B58" s="37">
        <v>108384.01</v>
      </c>
      <c r="C58" s="37"/>
      <c r="D58" s="37">
        <v>108384.01</v>
      </c>
    </row>
    <row r="59" spans="1:6" x14ac:dyDescent="0.2">
      <c r="A59" s="40" t="s">
        <v>3372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3373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3374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3375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3376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3377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3378</v>
      </c>
      <c r="B65" s="37">
        <v>23860.793000000001</v>
      </c>
      <c r="C65" s="37"/>
      <c r="D65" s="37"/>
    </row>
    <row r="66" spans="1:4" x14ac:dyDescent="0.2">
      <c r="A66" s="40" t="s">
        <v>3379</v>
      </c>
      <c r="B66" s="37">
        <v>1344.431</v>
      </c>
      <c r="C66" s="37"/>
      <c r="D66" s="37"/>
    </row>
    <row r="67" spans="1:4" x14ac:dyDescent="0.2">
      <c r="A67" s="38" t="s">
        <v>3365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3380</v>
      </c>
      <c r="E2" s="48" t="s">
        <v>3381</v>
      </c>
      <c r="F2" s="48" t="s">
        <v>3382</v>
      </c>
      <c r="G2" s="48" t="s">
        <v>3383</v>
      </c>
      <c r="H2" s="48" t="s">
        <v>3384</v>
      </c>
      <c r="I2" s="48" t="s">
        <v>3385</v>
      </c>
      <c r="J2" s="48" t="s">
        <v>3386</v>
      </c>
      <c r="K2" s="48" t="s">
        <v>3387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dcterms:created xsi:type="dcterms:W3CDTF">2026-05-12T12:10:54Z</dcterms:created>
  <dcterms:modified xsi:type="dcterms:W3CDTF">2026-08-31T19:28:23Z</dcterms:modified>
  <cp:category/>
  <cp:contentStatus/>
</cp:coreProperties>
</file>