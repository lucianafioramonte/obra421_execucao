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7068" documentId="8_{CE5C6F22-4BE2-41D0-BCDC-905D26C0C4E3}" xr6:coauthVersionLast="47" xr6:coauthVersionMax="47" xr10:uidLastSave="{8C0D2F47-EE82-4598-8E29-B19CE00CF06A}"/>
  <bookViews>
    <workbookView xWindow="-120" yWindow="-120" windowWidth="20730" windowHeight="11040" tabRatio="678" activeTab="2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BD!$A$4:$AB$805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/>
  <pivotCaches>
    <pivotCache cacheId="0" r:id="rId9"/>
    <pivotCache cacheId="1" r:id="rId10"/>
    <pivotCache cacheId="2" r:id="rId11"/>
    <pivotCache cacheId="3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63" i="1" l="1"/>
  <c r="O862" i="1"/>
  <c r="O863" i="1"/>
  <c r="I862" i="1"/>
  <c r="I861" i="1"/>
  <c r="I860" i="1"/>
  <c r="I859" i="1"/>
  <c r="I858" i="1"/>
  <c r="I857" i="1"/>
  <c r="I856" i="1"/>
  <c r="I855" i="1"/>
  <c r="H829" i="1"/>
  <c r="H826" i="1"/>
  <c r="H827" i="1"/>
  <c r="H825" i="1"/>
  <c r="H823" i="1"/>
  <c r="H821" i="1"/>
  <c r="H846" i="1"/>
  <c r="H841" i="1"/>
  <c r="H842" i="1"/>
  <c r="H843" i="1"/>
  <c r="H844" i="1"/>
  <c r="H838" i="1"/>
  <c r="H833" i="1"/>
  <c r="H834" i="1"/>
  <c r="H835" i="1"/>
  <c r="H836" i="1"/>
  <c r="H831" i="1"/>
  <c r="H811" i="1"/>
  <c r="H809" i="1"/>
  <c r="H807" i="1"/>
  <c r="H805" i="1"/>
  <c r="H802" i="1"/>
  <c r="H820" i="1"/>
  <c r="H817" i="1"/>
  <c r="H818" i="1"/>
  <c r="H816" i="1"/>
  <c r="H814" i="1"/>
  <c r="H812" i="1"/>
  <c r="H801" i="1"/>
  <c r="H794" i="1"/>
  <c r="H795" i="1"/>
  <c r="H797" i="1"/>
  <c r="H798" i="1"/>
  <c r="H799" i="1"/>
  <c r="H793" i="1"/>
  <c r="H837" i="1"/>
  <c r="H845" i="1"/>
  <c r="H819" i="1"/>
  <c r="H828" i="1"/>
  <c r="H800" i="1"/>
  <c r="H810" i="1"/>
  <c r="I854" i="1"/>
  <c r="I846" i="1"/>
  <c r="I838" i="1"/>
  <c r="I853" i="1"/>
  <c r="I845" i="1"/>
  <c r="I837" i="1"/>
  <c r="I852" i="1"/>
  <c r="I844" i="1"/>
  <c r="I836" i="1"/>
  <c r="I851" i="1"/>
  <c r="I843" i="1"/>
  <c r="I835" i="1"/>
  <c r="I850" i="1"/>
  <c r="I842" i="1"/>
  <c r="I834" i="1"/>
  <c r="I849" i="1"/>
  <c r="I841" i="1"/>
  <c r="I833" i="1"/>
  <c r="I848" i="1"/>
  <c r="I840" i="1"/>
  <c r="I832" i="1"/>
  <c r="I847" i="1"/>
  <c r="I839" i="1"/>
  <c r="I831" i="1"/>
  <c r="O814" i="1"/>
  <c r="O815" i="1"/>
  <c r="O829" i="1"/>
  <c r="I829" i="1" s="1"/>
  <c r="O830" i="1"/>
  <c r="O823" i="1"/>
  <c r="O824" i="1"/>
  <c r="I820" i="1"/>
  <c r="I828" i="1"/>
  <c r="I819" i="1"/>
  <c r="I827" i="1"/>
  <c r="I818" i="1"/>
  <c r="I826" i="1"/>
  <c r="I817" i="1"/>
  <c r="I825" i="1"/>
  <c r="I816" i="1"/>
  <c r="I823" i="1"/>
  <c r="I814" i="1"/>
  <c r="I822" i="1"/>
  <c r="I813" i="1"/>
  <c r="I821" i="1"/>
  <c r="I812" i="1"/>
  <c r="O808" i="1"/>
  <c r="O807" i="1" s="1"/>
  <c r="I807" i="1" s="1"/>
  <c r="O805" i="1"/>
  <c r="O804" i="1" s="1"/>
  <c r="I804" i="1" s="1"/>
  <c r="O796" i="1"/>
  <c r="O795" i="1" s="1"/>
  <c r="I795" i="1" s="1"/>
  <c r="I811" i="1"/>
  <c r="I801" i="1"/>
  <c r="I810" i="1"/>
  <c r="I800" i="1"/>
  <c r="I809" i="1"/>
  <c r="I799" i="1"/>
  <c r="I798" i="1"/>
  <c r="I806" i="1"/>
  <c r="I797" i="1"/>
  <c r="I803" i="1"/>
  <c r="I794" i="1"/>
  <c r="I793" i="1"/>
  <c r="I802" i="1"/>
  <c r="I784" i="1"/>
  <c r="H783" i="1"/>
  <c r="H777" i="1"/>
  <c r="H780" i="1"/>
  <c r="H775" i="1"/>
  <c r="H774" i="1"/>
  <c r="H768" i="1"/>
  <c r="H769" i="1"/>
  <c r="H770" i="1"/>
  <c r="H771" i="1"/>
  <c r="H767" i="1"/>
  <c r="H766" i="1"/>
  <c r="H757" i="1"/>
  <c r="H758" i="1"/>
  <c r="H760" i="1"/>
  <c r="H761" i="1"/>
  <c r="H762" i="1"/>
  <c r="H763" i="1"/>
  <c r="H756" i="1"/>
  <c r="H750" i="1"/>
  <c r="H751" i="1"/>
  <c r="H752" i="1"/>
  <c r="H753" i="1"/>
  <c r="H754" i="1"/>
  <c r="H749" i="1"/>
  <c r="H748" i="1"/>
  <c r="H746" i="1"/>
  <c r="H744" i="1"/>
  <c r="H743" i="1"/>
  <c r="H741" i="1"/>
  <c r="H740" i="1"/>
  <c r="H733" i="1"/>
  <c r="H735" i="1"/>
  <c r="H736" i="1"/>
  <c r="H737" i="1"/>
  <c r="H738" i="1"/>
  <c r="H732" i="1"/>
  <c r="H782" i="1"/>
  <c r="H791" i="1"/>
  <c r="H773" i="1"/>
  <c r="H765" i="1"/>
  <c r="H755" i="1"/>
  <c r="H747" i="1"/>
  <c r="H739" i="1"/>
  <c r="H730" i="1"/>
  <c r="H722" i="1"/>
  <c r="H713" i="1"/>
  <c r="H703" i="1"/>
  <c r="H694" i="1"/>
  <c r="H686" i="1"/>
  <c r="H678" i="1"/>
  <c r="I792" i="1"/>
  <c r="I783" i="1"/>
  <c r="I791" i="1"/>
  <c r="I782" i="1"/>
  <c r="I790" i="1"/>
  <c r="I781" i="1"/>
  <c r="I789" i="1"/>
  <c r="I780" i="1"/>
  <c r="I788" i="1"/>
  <c r="I779" i="1"/>
  <c r="O777" i="1"/>
  <c r="O778" i="1"/>
  <c r="I778" i="1" s="1"/>
  <c r="I787" i="1"/>
  <c r="I777" i="1"/>
  <c r="I786" i="1"/>
  <c r="I776" i="1"/>
  <c r="I785" i="1"/>
  <c r="I775" i="1"/>
  <c r="I774" i="1"/>
  <c r="I773" i="1"/>
  <c r="I772" i="1"/>
  <c r="I771" i="1"/>
  <c r="I770" i="1"/>
  <c r="I769" i="1"/>
  <c r="I768" i="1"/>
  <c r="I767" i="1"/>
  <c r="I766" i="1"/>
  <c r="I765" i="1"/>
  <c r="O763" i="1"/>
  <c r="O764" i="1"/>
  <c r="I764" i="1" s="1"/>
  <c r="I763" i="1"/>
  <c r="I762" i="1"/>
  <c r="I761" i="1"/>
  <c r="I759" i="1"/>
  <c r="I760" i="1"/>
  <c r="I757" i="1"/>
  <c r="I758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O733" i="1"/>
  <c r="I733" i="1" s="1"/>
  <c r="I732" i="1"/>
  <c r="H679" i="1"/>
  <c r="H677" i="1"/>
  <c r="H676" i="1"/>
  <c r="H675" i="1"/>
  <c r="H674" i="1"/>
  <c r="H672" i="1"/>
  <c r="H723" i="1"/>
  <c r="H721" i="1"/>
  <c r="H720" i="1"/>
  <c r="H719" i="1"/>
  <c r="H718" i="1"/>
  <c r="H716" i="1"/>
  <c r="H715" i="1"/>
  <c r="H714" i="1"/>
  <c r="H712" i="1"/>
  <c r="H711" i="1"/>
  <c r="H710" i="1"/>
  <c r="H708" i="1"/>
  <c r="H706" i="1"/>
  <c r="H704" i="1"/>
  <c r="H702" i="1"/>
  <c r="H700" i="1"/>
  <c r="H699" i="1"/>
  <c r="H696" i="1"/>
  <c r="H695" i="1"/>
  <c r="H693" i="1"/>
  <c r="H692" i="1"/>
  <c r="H691" i="1"/>
  <c r="H688" i="1"/>
  <c r="H687" i="1"/>
  <c r="H685" i="1"/>
  <c r="H684" i="1"/>
  <c r="H683" i="1"/>
  <c r="H680" i="1"/>
  <c r="I724" i="1"/>
  <c r="I725" i="1"/>
  <c r="I726" i="1"/>
  <c r="I727" i="1"/>
  <c r="I728" i="1"/>
  <c r="I729" i="1"/>
  <c r="I730" i="1"/>
  <c r="I731" i="1"/>
  <c r="I723" i="1"/>
  <c r="I714" i="1"/>
  <c r="I722" i="1"/>
  <c r="I713" i="1"/>
  <c r="I721" i="1"/>
  <c r="I712" i="1"/>
  <c r="I720" i="1"/>
  <c r="I711" i="1"/>
  <c r="I719" i="1"/>
  <c r="I710" i="1"/>
  <c r="I718" i="1"/>
  <c r="I709" i="1"/>
  <c r="I716" i="1"/>
  <c r="I717" i="1"/>
  <c r="I707" i="1"/>
  <c r="I708" i="1"/>
  <c r="I715" i="1"/>
  <c r="I706" i="1"/>
  <c r="O704" i="1"/>
  <c r="I704" i="1" s="1"/>
  <c r="O705" i="1"/>
  <c r="I705" i="1" s="1"/>
  <c r="I703" i="1"/>
  <c r="I702" i="1"/>
  <c r="O700" i="1"/>
  <c r="I700" i="1" s="1"/>
  <c r="O701" i="1"/>
  <c r="I701" i="1" s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7" i="1"/>
  <c r="I678" i="1"/>
  <c r="I676" i="1"/>
  <c r="I675" i="1"/>
  <c r="I674" i="1"/>
  <c r="I673" i="1"/>
  <c r="I672" i="1"/>
  <c r="H663" i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<sst xmlns="http://schemas.openxmlformats.org/spreadsheetml/2006/main" count="10914" uniqueCount="3167">
  <si>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</si>
  <si>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</si>
  <si>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</si>
  <si>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</si>
  <si>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</si>
  <si>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</si>
  <si>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</si>
  <si>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</si>
  <si>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</si>
  <si>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</si>
  <si>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</si>
  <si>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</si>
  <si>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</si>
  <si>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</si>
  <si>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</si>
  <si>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</si>
  <si>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</si>
  <si>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</si>
  <si>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</si>
  <si>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</si>
  <si>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</si>
  <si>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</si>
  <si>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</si>
  <si>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</si>
  <si>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</si>
  <si>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</si>
  <si>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</si>
  <si>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</si>
  <si>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</si>
  <si>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</si>
  <si>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</si>
  <si>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</si>
  <si>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</si>
  <si>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</si>
  <si>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</si>
  <si>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</si>
  <si>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</si>
  <si>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</si>
  <si>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</si>
  <si>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</si>
  <si>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</si>
  <si>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</si>
  <si>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</si>
  <si>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</si>
  <si>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</si>
  <si>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</si>
  <si>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</si>
  <si>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</si>
  <si>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</si>
  <si>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</si>
  <si>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</si>
  <si>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</si>
  <si>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</si>
  <si>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</si>
  <si>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</si>
  <si>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</si>
  <si>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</si>
  <si>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</si>
  <si>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</si>
  <si>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</si>
  <si>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</si>
  <si>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</si>
  <si>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</si>
  <si>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</si>
  <si>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</si>
  <si>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</si>
  <si>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</si>
  <si>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</si>
  <si>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</si>
  <si>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</si>
  <si>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</si>
  <si>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</si>
  <si>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</si>
  <si>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</si>
  <si>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</si>
  <si>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</si>
  <si>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</si>
  <si>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</si>
  <si>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</si>
  <si>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</si>
  <si>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</si>
  <si>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</si>
  <si>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</si>
  <si>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</si>
  <si>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</si>
  <si>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</si>
  <si>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</si>
  <si>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</si>
  <si>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</si>
  <si>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</si>
  <si>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</si>
  <si>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</si>
  <si>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</si>
  <si>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</si>
  <si>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</si>
  <si>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</si>
  <si>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</si>
  <si>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</si>
  <si>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</si>
  <si>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</si>
  <si>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</si>
  <si>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</si>
  <si>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</si>
  <si>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</si>
  <si>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</si>
  <si>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</si>
  <si>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</si>
  <si>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</si>
  <si>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</si>
  <si>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</si>
  <si>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</si>
  <si>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</si>
  <si>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</si>
  <si>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</si>
  <si>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</si>
  <si>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</si>
  <si>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</si>
  <si>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</si>
  <si>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</si>
  <si>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</si>
  <si>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</si>
  <si>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</si>
  <si>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</si>
  <si>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</si>
  <si>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</si>
  <si>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</si>
  <si>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</si>
  <si>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</si>
  <si>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</si>
  <si>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</si>
  <si>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</si>
  <si>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</si>
  <si>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</si>
  <si>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</si>
  <si>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</si>
  <si>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</si>
  <si>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</si>
  <si>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</si>
  <si>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</si>
  <si>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</si>
  <si>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</si>
  <si>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</si>
  <si>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</si>
  <si>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</si>
  <si>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</si>
  <si>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</si>
  <si>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</si>
  <si>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</si>
  <si>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</si>
  <si>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</si>
  <si>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</si>
  <si>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</si>
  <si>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</si>
  <si>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</si>
  <si>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</si>
  <si>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</si>
  <si>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</si>
  <si>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</si>
  <si>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</si>
  <si>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</si>
  <si>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</si>
  <si>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</si>
  <si>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</si>
  <si>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</si>
  <si>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</si>
  <si>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</si>
  <si>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</si>
  <si>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</si>
  <si>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</si>
  <si>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</si>
  <si>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</si>
  <si>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</si>
  <si>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</si>
  <si>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</si>
  <si>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</si>
  <si>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</si>
  <si>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</si>
  <si>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</si>
  <si>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</si>
  <si>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</si>
  <si>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</si>
  <si>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</si>
  <si>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</si>
  <si>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</si>
  <si>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</si>
  <si>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</si>
  <si>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</si>
  <si>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</si>
  <si>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</si>
  <si>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</si>
  <si>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</si>
  <si>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</si>
  <si>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</si>
  <si>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</si>
  <si>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</si>
  <si>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</si>
  <si>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</si>
  <si>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</si>
  <si>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</si>
  <si>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</si>
  <si>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</si>
  <si>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</si>
  <si>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</si>
  <si>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</si>
  <si>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</si>
  <si>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</si>
  <si>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</si>
  <si>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</si>
  <si>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</si>
  <si>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</si>
  <si>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</si>
  <si>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</si>
  <si>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</si>
  <si>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</si>
  <si>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</si>
  <si>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</si>
  <si>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</si>
  <si>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</si>
  <si>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</si>
  <si>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</si>
  <si>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</si>
  <si>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</si>
  <si>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</si>
  <si>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</si>
  <si>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</si>
  <si>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</si>
  <si>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</si>
  <si>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</si>
  <si>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</si>
  <si>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</si>
  <si>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</si>
  <si>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</si>
  <si>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</si>
  <si>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</si>
  <si>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</si>
  <si>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</si>
  <si>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</si>
  <si>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</si>
  <si>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</si>
  <si>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</si>
  <si>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</si>
  <si>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</si>
  <si>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</si>
  <si>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</si>
  <si>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</si>
  <si>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</si>
  <si>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</si>
  <si>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</si>
  <si>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</si>
  <si>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</si>
  <si>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</si>
  <si>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</si>
  <si>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</si>
  <si>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</si>
  <si>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</si>
  <si>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</si>
  <si>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</si>
  <si>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</si>
  <si>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</si>
  <si>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</si>
  <si>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</si>
  <si>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</si>
  <si>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</si>
  <si>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</si>
  <si>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</si>
  <si>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</si>
  <si>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</si>
  <si>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</si>
  <si>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</si>
  <si>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</si>
  <si>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</si>
  <si>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</si>
  <si>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</si>
  <si>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</si>
  <si>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</si>
  <si>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</si>
  <si>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</si>
  <si>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</si>
  <si>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</si>
  <si>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</si>
  <si>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</si>
  <si>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</si>
  <si>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</si>
  <si>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</si>
  <si>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</si>
  <si>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</si>
  <si>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</si>
  <si>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</si>
  <si>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</si>
  <si>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</si>
  <si>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</si>
  <si>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</si>
  <si>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</si>
  <si>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</si>
  <si>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</si>
  <si>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</si>
  <si>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</si>
  <si>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</si>
  <si>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</si>
  <si>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</si>
  <si>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</si>
  <si>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</si>
  <si>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</si>
  <si>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</si>
  <si>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</si>
  <si>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</si>
  <si>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</si>
  <si>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</si>
  <si>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</si>
  <si>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</si>
  <si>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</si>
  <si>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</si>
  <si>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</si>
  <si>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</si>
  <si>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</si>
  <si>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</si>
  <si>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</si>
  <si>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</si>
  <si>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</si>
  <si>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</si>
  <si>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</si>
  <si>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</si>
  <si>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</si>
  <si>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</si>
  <si>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</si>
  <si>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</si>
  <si>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</si>
  <si>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</si>
  <si>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</si>
  <si>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</si>
  <si>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</si>
  <si>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</si>
  <si>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</si>
  <si>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</si>
  <si>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</si>
  <si>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</si>
  <si>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</si>
  <si>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</si>
  <si>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</si>
  <si>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</si>
  <si>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</si>
  <si>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</si>
  <si>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</si>
  <si>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</si>
  <si>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</si>
  <si>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</si>
  <si>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</si>
  <si>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</si>
  <si>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</si>
  <si>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</si>
  <si>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</si>
  <si>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</si>
  <si>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</si>
  <si>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</si>
  <si>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</si>
  <si>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</si>
  <si>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</si>
  <si>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</si>
  <si>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</si>
  <si>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</si>
  <si>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</si>
  <si>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</si>
  <si>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</si>
  <si>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</si>
  <si>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</si>
  <si>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</si>
  <si>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</si>
  <si>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</si>
  <si>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</si>
  <si>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</si>
  <si>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</si>
  <si>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</si>
  <si>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</si>
  <si>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</si>
  <si>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</si>
  <si>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</si>
  <si>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</si>
  <si>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</si>
  <si>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</si>
  <si>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</si>
  <si>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</si>
  <si>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</si>
  <si>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</si>
  <si>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</si>
  <si>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</si>
  <si>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</si>
  <si>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</si>
  <si>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</si>
  <si>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</si>
  <si>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</si>
  <si>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</si>
  <si>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</si>
  <si>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</si>
  <si>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</si>
  <si>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</si>
  <si>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</si>
  <si>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</si>
  <si>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</si>
  <si>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</si>
  <si>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</si>
  <si>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</si>
  <si>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</si>
  <si>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</si>
  <si>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</si>
  <si>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</si>
  <si>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</si>
  <si>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</si>
  <si>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</si>
  <si>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</si>
  <si>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</si>
  <si>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</si>
  <si>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</si>
  <si>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</si>
  <si>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</si>
  <si>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</si>
  <si>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</si>
  <si>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</si>
  <si>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</si>
  <si>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</si>
  <si>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</si>
  <si>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</si>
  <si>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</si>
  <si>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</si>
  <si>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</si>
  <si>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</si>
  <si>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</si>
  <si>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</si>
  <si>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</si>
  <si>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</si>
  <si>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</si>
  <si>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</si>
  <si>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</si>
  <si>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</si>
  <si>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</si>
  <si>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</si>
  <si>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</si>
  <si>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</si>
  <si>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</si>
  <si>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</si>
  <si>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</si>
  <si>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</si>
  <si>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</si>
  <si>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</si>
  <si>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</si>
  <si>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</si>
  <si>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</si>
  <si>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</si>
  <si>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</si>
  <si>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</si>
  <si>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</si>
  <si>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</si>
  <si>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</si>
  <si>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</si>
  <si>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</si>
  <si>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</si>
  <si>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</si>
  <si>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</si>
  <si>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</si>
  <si>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</si>
  <si>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</si>
  <si>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</si>
  <si>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</si>
  <si>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</si>
  <si>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</si>
  <si>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</si>
  <si>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</si>
  <si>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</si>
  <si>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</si>
  <si>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</si>
  <si>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</si>
  <si>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</si>
  <si>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</si>
  <si>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</si>
  <si>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</si>
  <si>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</si>
  <si>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</si>
  <si>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</si>
  <si>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</si>
  <si>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</si>
  <si>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</si>
  <si>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</si>
  <si>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</si>
  <si>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</si>
  <si>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</si>
  <si>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</si>
  <si>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</si>
  <si>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</si>
  <si>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</si>
  <si>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</si>
  <si>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</si>
  <si>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</si>
  <si>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</si>
  <si>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</si>
  <si>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</si>
  <si>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</si>
  <si>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</si>
  <si>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</si>
  <si>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</si>
  <si>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</si>
  <si>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</si>
  <si>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</si>
  <si>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</si>
  <si>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</si>
  <si>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</si>
  <si>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</si>
  <si>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</si>
  <si>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</si>
  <si>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</si>
  <si>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</si>
  <si>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</si>
  <si>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</si>
  <si>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</si>
  <si>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</si>
  <si>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</si>
  <si>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</si>
  <si>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</si>
  <si>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</si>
  <si>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</si>
  <si>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</si>
  <si>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</si>
  <si>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</si>
  <si>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</si>
  <si>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</si>
  <si>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</si>
  <si>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</si>
  <si>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</si>
  <si>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</si>
  <si>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</si>
  <si>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</si>
  <si>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</si>
  <si>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</si>
  <si>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</si>
  <si>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</si>
  <si>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</si>
  <si>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</si>
  <si>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</si>
  <si>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</si>
  <si>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</si>
  <si>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</si>
  <si>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</si>
  <si>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</si>
  <si>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</si>
  <si>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</si>
  <si>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</si>
  <si>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</si>
  <si>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</si>
  <si>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</si>
  <si>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</si>
  <si>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</si>
  <si>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</si>
  <si>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</si>
  <si>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</si>
  <si>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</si>
  <si>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</si>
  <si>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</si>
  <si>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</si>
  <si>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</si>
  <si>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</si>
  <si>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</si>
  <si>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</si>
  <si>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</si>
  <si>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</si>
  <si>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</si>
  <si>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</si>
  <si>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</si>
  <si>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</si>
  <si>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</si>
  <si>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</si>
  <si>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</si>
  <si>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</si>
  <si>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</si>
  <si>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</si>
  <si>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</si>
  <si>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</si>
  <si>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</si>
  <si>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</si>
  <si>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</si>
  <si>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</si>
  <si>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</si>
  <si>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</si>
  <si>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</si>
  <si>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</si>
  <si>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</si>
  <si>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</si>
  <si>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</si>
  <si>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</si>
  <si>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</si>
  <si>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</si>
  <si>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</si>
  <si>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</si>
  <si>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</si>
  <si>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</si>
  <si>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</si>
  <si>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</si>
  <si>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</si>
  <si>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</si>
  <si>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</si>
  <si>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</si>
  <si>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</si>
  <si>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</si>
  <si>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</si>
  <si>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</si>
  <si>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</si>
  <si>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</si>
  <si>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</si>
  <si>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</si>
  <si>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</si>
  <si>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</si>
  <si>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</si>
  <si>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</si>
  <si>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</si>
  <si>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</si>
  <si>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</si>
  <si>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</si>
  <si>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</si>
  <si>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</si>
  <si>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</si>
  <si>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</si>
  <si>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</si>
  <si>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</si>
  <si>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</si>
  <si>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</si>
  <si>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</si>
  <si>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</si>
  <si>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</si>
  <si>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</si>
  <si>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</si>
  <si>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</si>
  <si>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</si>
  <si>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</si>
  <si>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</si>
  <si>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</si>
  <si>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</si>
  <si>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</si>
  <si>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</si>
  <si>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</si>
  <si>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</si>
  <si>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</si>
  <si>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</si>
  <si>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</si>
  <si>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</si>
  <si>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</si>
  <si>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</si>
  <si>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</si>
  <si>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</si>
  <si>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</si>
  <si>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</si>
  <si>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</si>
  <si>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</si>
  <si>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</si>
  <si>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</si>
  <si>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</si>
  <si>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</si>
  <si>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</si>
  <si>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</si>
  <si>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</si>
  <si>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</si>
  <si>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</si>
  <si>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</si>
  <si>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</si>
  <si>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</si>
  <si>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</si>
  <si>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</si>
  <si>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</si>
  <si>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</si>
  <si>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</si>
  <si>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</si>
  <si>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</si>
  <si>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</si>
  <si>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</si>
  <si>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</si>
  <si>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</si>
  <si>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</si>
  <si>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</si>
  <si>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</si>
  <si>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</si>
  <si>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</si>
  <si>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</si>
  <si>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</si>
  <si>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</si>
  <si>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</si>
  <si>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</si>
  <si>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</si>
  <si>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</si>
  <si>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</si>
  <si>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</si>
  <si>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</si>
  <si>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</si>
  <si>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</si>
  <si>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</si>
  <si>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</si>
  <si>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</si>
  <si>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</si>
  <si>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</si>
  <si>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</si>
  <si>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</si>
  <si>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</si>
  <si>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</si>
  <si>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</si>
  <si>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</si>
  <si>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</si>
  <si>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</si>
  <si>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</si>
  <si>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</si>
  <si>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</si>
  <si>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</si>
  <si>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</si>
  <si>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</si>
  <si>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</si>
  <si>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</si>
  <si>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</si>
  <si>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</si>
  <si>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</si>
  <si>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</si>
  <si>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</si>
  <si>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</si>
  <si>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</si>
  <si>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</si>
  <si>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</si>
  <si>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</si>
  <si>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</si>
  <si>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</si>
  <si>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</si>
  <si>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</si>
  <si>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</si>
  <si>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</si>
  <si>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</si>
  <si>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</si>
  <si>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</si>
  <si>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</si>
  <si>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</si>
  <si>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</si>
  <si>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</si>
  <si>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</si>
  <si>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</si>
  <si>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</si>
  <si>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</si>
  <si>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</si>
  <si>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</si>
  <si>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</si>
  <si>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</si>
  <si>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</si>
  <si>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</si>
  <si>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</si>
  <si>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</si>
  <si>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</si>
  <si>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</si>
  <si>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</si>
  <si>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</si>
  <si>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</si>
  <si>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</si>
  <si>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</si>
  <si>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</si>
  <si>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</si>
  <si>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</si>
  <si>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</si>
  <si>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</si>
  <si>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</si>
  <si>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</si>
  <si>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</si>
  <si>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</si>
  <si>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</si>
  <si>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</si>
  <si>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</si>
  <si>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</si>
  <si>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</si>
  <si>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</si>
  <si>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</si>
  <si>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</si>
  <si>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</si>
  <si>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</si>
  <si>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</si>
  <si>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</si>
  <si>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</si>
  <si>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</si>
  <si>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</si>
  <si>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</si>
  <si>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</si>
  <si>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</si>
  <si>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</si>
  <si>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</si>
  <si>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</si>
  <si>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</si>
  <si>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</si>
  <si>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</si>
  <si>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</si>
  <si>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</si>
  <si>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</si>
  <si>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</si>
  <si>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</si>
  <si>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</si>
  <si>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</si>
  <si>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</si>
  <si>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</si>
  <si>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</si>
  <si>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</si>
  <si>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</si>
  <si>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</si>
  <si>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</si>
  <si>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</si>
  <si>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</si>
  <si>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</si>
  <si>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</si>
  <si>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</si>
  <si>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</si>
  <si>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</si>
  <si>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</si>
  <si>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</si>
  <si>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</si>
  <si>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</si>
  <si>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</si>
  <si>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</si>
  <si>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</si>
  <si>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</si>
  <si>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</si>
  <si>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</si>
  <si>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</si>
  <si>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</si>
  <si>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</si>
  <si>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</si>
  <si>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</si>
  <si>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</si>
  <si>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</si>
  <si>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</si>
  <si>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</si>
  <si>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</si>
  <si>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</si>
  <si>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</si>
  <si>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</si>
  <si>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</si>
  <si>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</si>
  <si>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</si>
  <si>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</si>
  <si>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</si>
  <si>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</si>
  <si>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</si>
  <si>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</si>
  <si>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</si>
  <si>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</si>
  <si>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</si>
  <si>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</si>
  <si>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</si>
  <si>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</si>
  <si>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</si>
  <si>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</si>
  <si>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</si>
  <si>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</si>
  <si>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</si>
  <si>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</si>
  <si>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</si>
  <si>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</si>
  <si>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</si>
  <si>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</si>
  <si>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</si>
  <si>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</si>
  <si>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</si>
  <si>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</si>
  <si>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</si>
  <si>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</si>
  <si>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</si>
  <si>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</si>
  <si>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</si>
  <si>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</si>
  <si>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</si>
  <si>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</si>
  <si>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</si>
  <si>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</si>
  <si>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</si>
  <si>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</si>
  <si>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</si>
  <si>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</si>
  <si>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</si>
  <si>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</si>
  <si>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</si>
  <si>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</si>
  <si>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</si>
  <si>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</si>
  <si>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</si>
  <si>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</si>
  <si>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</si>
  <si>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</si>
  <si>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</si>
  <si>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</si>
  <si>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</si>
  <si>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</si>
  <si>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</si>
  <si>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</si>
  <si>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</si>
  <si>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</si>
  <si>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</si>
  <si>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</si>
  <si>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</si>
  <si>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</si>
  <si>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</si>
  <si>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</si>
  <si>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</si>
  <si>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</si>
  <si>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</si>
  <si>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</si>
  <si>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</si>
  <si>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</si>
  <si>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</si>
  <si>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</si>
  <si>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</si>
  <si>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</si>
  <si>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</si>
  <si>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</si>
  <si>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</si>
  <si>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</si>
  <si>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</si>
  <si>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</si>
  <si>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</si>
  <si>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</si>
  <si>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</si>
  <si>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</si>
  <si>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</si>
  <si>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</si>
  <si>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</si>
  <si>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</si>
  <si>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</si>
  <si>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</si>
  <si>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</si>
  <si>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</si>
  <si>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</si>
  <si>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</si>
  <si>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</si>
  <si>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</si>
  <si>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</si>
  <si>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</si>
  <si>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</si>
  <si>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</si>
  <si>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</si>
  <si>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</si>
  <si>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</si>
  <si>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</si>
  <si>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</si>
  <si>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</si>
  <si>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</si>
  <si>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</si>
  <si>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</si>
  <si>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</si>
  <si>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</si>
  <si>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</si>
  <si>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</si>
  <si>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</si>
  <si>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</si>
  <si>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</si>
  <si>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</si>
  <si>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</si>
  <si>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</si>
  <si>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</si>
  <si>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</si>
  <si>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</si>
  <si>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</si>
  <si>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</si>
  <si>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</si>
  <si>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</si>
  <si>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</si>
  <si>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</si>
  <si>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</si>
  <si>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</si>
  <si>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</si>
  <si>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</si>
  <si>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</si>
  <si>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</si>
  <si>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</si>
  <si>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</si>
  <si>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</si>
  <si>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</si>
  <si>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</si>
  <si>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</si>
  <si>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</si>
  <si>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</si>
  <si>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</si>
  <si>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</si>
  <si>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</si>
  <si>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</si>
  <si>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</si>
  <si>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</si>
  <si>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</si>
  <si>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</si>
  <si>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</si>
  <si>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</si>
  <si>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</si>
  <si>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</si>
  <si>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</si>
  <si>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</si>
  <si>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</si>
  <si>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</si>
  <si>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</si>
  <si>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</si>
  <si>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</si>
  <si>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</si>
  <si>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</si>
  <si>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</si>
  <si>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</si>
  <si>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</si>
  <si>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</si>
  <si>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</si>
  <si>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</si>
  <si>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</si>
  <si>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</si>
  <si>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</si>
  <si>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</si>
  <si>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</si>
  <si>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</si>
  <si>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</si>
  <si>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</si>
  <si>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</si>
  <si>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</si>
  <si>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</si>
  <si>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</si>
  <si>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</si>
  <si>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</si>
  <si>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</si>
  <si>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</si>
  <si>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</si>
  <si>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</si>
  <si>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</si>
  <si>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</si>
  <si>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</si>
  <si>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</si>
  <si>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</si>
  <si>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</si>
  <si>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</si>
  <si>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</si>
  <si>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</si>
  <si>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</si>
  <si>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</si>
  <si>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</si>
  <si>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</si>
  <si>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</si>
  <si>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</si>
  <si>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</si>
  <si>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</si>
  <si>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</si>
  <si>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</si>
  <si>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</si>
  <si>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</si>
  <si>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</si>
  <si>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</si>
  <si>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</si>
  <si>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</si>
  <si>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</si>
  <si>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</si>
  <si>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</si>
  <si>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</si>
  <si>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</si>
  <si>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</si>
  <si>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</si>
  <si>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</si>
  <si>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</si>
  <si>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</si>
  <si>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</si>
  <si>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</si>
  <si>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</si>
  <si>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</si>
  <si>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</si>
  <si>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</si>
  <si>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</si>
  <si>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</si>
  <si>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</si>
  <si>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</si>
  <si>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</si>
  <si>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</si>
  <si>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</si>
  <si>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</si>
  <si>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</si>
  <si>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</si>
  <si>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</si>
  <si>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</si>
  <si>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</si>
  <si>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</si>
  <si>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</si>
  <si>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</si>
  <si>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</si>
  <si>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</si>
  <si>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</si>
  <si>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</si>
  <si>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</si>
  <si>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</si>
  <si>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</si>
  <si>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</si>
  <si>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</si>
  <si>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</si>
  <si>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</si>
  <si>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</si>
  <si>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</si>
  <si>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</si>
  <si>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</si>
  <si>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</si>
  <si>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</si>
  <si>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</si>
  <si>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</si>
  <si>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</si>
  <si>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</si>
  <si>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</si>
  <si>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</si>
  <si>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</si>
  <si>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</si>
  <si>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</si>
  <si>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</si>
  <si>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</si>
  <si>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</si>
  <si>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</si>
  <si>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</si>
  <si>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</si>
  <si>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</si>
  <si>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</si>
  <si>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</si>
  <si>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</si>
  <si>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</si>
  <si>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</si>
  <si>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</si>
  <si>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</si>
  <si>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</si>
  <si>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</si>
  <si>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</si>
  <si>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</si>
  <si>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</si>
  <si>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</si>
  <si>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</si>
  <si>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</si>
  <si>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</si>
  <si>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</si>
  <si>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</si>
  <si>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</si>
  <si>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</si>
  <si>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</si>
  <si>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</si>
  <si>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</si>
  <si>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</si>
  <si>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</si>
  <si>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</si>
  <si>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</si>
  <si>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</si>
  <si>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</si>
  <si>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</si>
  <si>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</si>
  <si>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</si>
  <si>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</si>
  <si>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</si>
  <si>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</si>
  <si>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</si>
  <si>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</si>
  <si>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</si>
  <si>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</si>
  <si>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</si>
  <si>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</si>
  <si>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</si>
  <si>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</si>
  <si>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</si>
  <si>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</si>
  <si>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</si>
  <si>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</si>
  <si>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</si>
  <si>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</si>
  <si>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</si>
  <si>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</si>
  <si>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</si>
  <si>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</si>
  <si>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</si>
  <si>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</si>
  <si>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</si>
  <si>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</si>
  <si>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</si>
  <si>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</si>
  <si>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</si>
  <si>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</si>
  <si>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</si>
  <si>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</si>
  <si>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</si>
  <si>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</si>
  <si>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</si>
  <si>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</si>
  <si>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</si>
  <si>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</si>
  <si>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</si>
  <si>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</si>
  <si>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</si>
  <si>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</si>
  <si>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</si>
  <si>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</si>
  <si>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</si>
  <si>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</si>
  <si>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</si>
  <si>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</si>
  <si>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</si>
  <si>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</si>
  <si>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</si>
  <si>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</si>
  <si>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</si>
  <si>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</si>
  <si>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</si>
  <si>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</si>
  <si>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</si>
  <si>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</si>
  <si>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</si>
  <si>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</si>
  <si>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</si>
  <si>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</si>
  <si>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</si>
  <si>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</si>
  <si>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</si>
  <si>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</si>
  <si>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</si>
  <si>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</si>
  <si>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</si>
  <si>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</si>
  <si>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</si>
  <si>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</si>
  <si>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</si>
  <si>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</si>
  <si>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</si>
  <si>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</si>
  <si>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</si>
  <si>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</si>
  <si>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</si>
  <si>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</si>
  <si>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</si>
  <si>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</si>
  <si>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</si>
  <si>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</si>
  <si>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</si>
  <si>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</si>
  <si>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</si>
  <si>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</si>
  <si>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</si>
  <si>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</si>
  <si>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</si>
  <si>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</si>
  <si>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</si>
  <si>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</si>
  <si>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</si>
  <si>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</si>
  <si>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</si>
  <si>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</si>
  <si>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</si>
  <si>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</si>
  <si>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</si>
  <si>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</si>
  <si>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</si>
  <si>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</si>
  <si>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</si>
  <si>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</si>
  <si>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</si>
  <si>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</si>
  <si>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</si>
  <si>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</si>
  <si>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</si>
  <si>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</si>
  <si>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</si>
  <si>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</si>
  <si>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</si>
  <si>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</si>
  <si>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</si>
  <si>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</si>
  <si>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</si>
  <si>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</si>
  <si>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</si>
  <si>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</si>
  <si>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</si>
  <si>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</si>
  <si>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</si>
  <si>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</si>
  <si>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</si>
  <si>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</si>
  <si>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</si>
  <si>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</si>
  <si>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</si>
  <si>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</si>
  <si>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</si>
  <si>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</si>
  <si>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</si>
  <si>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</si>
  <si>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</si>
  <si>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</si>
  <si>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</si>
  <si>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</si>
  <si>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</si>
  <si>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</si>
  <si>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</si>
  <si>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</si>
  <si>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</si>
  <si>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</si>
  <si>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</si>
  <si>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</si>
  <si>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</si>
  <si>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</si>
  <si>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</si>
  <si>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</si>
  <si>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</si>
  <si>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</si>
  <si>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</si>
  <si>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</si>
  <si>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</si>
  <si>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</si>
  <si>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</si>
  <si>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</si>
  <si>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</si>
  <si>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</si>
  <si>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</si>
  <si>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</si>
  <si>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</si>
  <si>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</si>
  <si>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</si>
  <si>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</si>
  <si>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</si>
  <si>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</si>
  <si>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</si>
  <si>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</si>
  <si>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</si>
  <si>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</si>
  <si>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</si>
  <si>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</si>
  <si>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</si>
  <si>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</si>
  <si>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</si>
  <si>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</si>
  <si>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</si>
  <si>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</si>
  <si>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</si>
  <si>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</si>
  <si>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</si>
  <si>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</si>
  <si>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</si>
  <si>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</si>
  <si>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</si>
  <si>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</si>
  <si>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</si>
  <si>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</si>
  <si>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</si>
  <si>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</si>
  <si>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</si>
  <si>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</si>
  <si>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</si>
  <si>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</si>
  <si>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</si>
  <si>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</si>
  <si>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</si>
  <si>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</si>
  <si>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</si>
  <si>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</si>
  <si>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</si>
  <si>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</si>
  <si>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</si>
  <si>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</si>
  <si>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</si>
  <si>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</si>
  <si>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</si>
  <si>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</si>
  <si>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</si>
  <si>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</si>
  <si>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</si>
  <si>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</si>
  <si>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</si>
  <si>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</si>
  <si>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</si>
  <si>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</si>
  <si>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</si>
  <si>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</si>
  <si>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</si>
  <si>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</si>
  <si>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</si>
  <si>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</si>
  <si>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</si>
  <si>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</si>
  <si>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</si>
  <si>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</si>
  <si>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</si>
  <si>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</si>
  <si>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</si>
  <si>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</si>
  <si>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</si>
  <si>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</si>
  <si>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</si>
  <si>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</si>
  <si>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</si>
  <si>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</si>
  <si>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</si>
  <si>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</si>
  <si>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</si>
  <si>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</si>
  <si>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</si>
  <si>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</si>
  <si>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</si>
  <si>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</si>
  <si>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</si>
  <si>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</si>
  <si>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</si>
  <si>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</si>
  <si>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</si>
  <si>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</si>
  <si>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</si>
  <si>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</si>
  <si>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</si>
  <si>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</si>
  <si>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</si>
  <si>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</si>
  <si>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</si>
  <si>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</si>
  <si>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</si>
  <si>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</si>
  <si>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</si>
  <si>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</si>
  <si>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</si>
  <si>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</si>
  <si>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</si>
  <si>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</si>
  <si>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</si>
  <si>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</si>
  <si>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</si>
  <si>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</si>
  <si>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</si>
  <si>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</si>
  <si>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</si>
  <si>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</si>
  <si>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</si>
  <si>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</si>
  <si>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</si>
  <si>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</si>
  <si>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</si>
  <si>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</si>
  <si>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</si>
  <si>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</si>
  <si>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</si>
  <si>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</si>
  <si>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</si>
  <si>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</si>
  <si>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</si>
  <si>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</si>
  <si>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</si>
  <si>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</si>
  <si>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</si>
  <si>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</si>
  <si>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</si>
  <si>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</si>
  <si>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</si>
  <si>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</si>
  <si>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</si>
  <si>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</si>
  <si>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</si>
  <si>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</si>
  <si>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</si>
  <si>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</si>
  <si>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</si>
  <si>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</si>
  <si>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</si>
  <si>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</si>
  <si>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</si>
  <si>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</si>
  <si>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</si>
  <si>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</si>
  <si>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</si>
  <si>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</si>
  <si>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</si>
  <si>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</si>
  <si>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</si>
  <si>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</si>
  <si>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</si>
  <si>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</si>
  <si>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</si>
  <si>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</si>
  <si>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</si>
  <si>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</si>
  <si>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</si>
  <si>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</si>
  <si>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</si>
  <si>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</si>
  <si>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</si>
  <si>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</si>
  <si>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</si>
  <si>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</si>
  <si>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</si>
  <si>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</si>
  <si>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</si>
  <si>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</si>
  <si>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</si>
  <si>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</si>
  <si>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</si>
  <si>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</si>
  <si>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</si>
  <si>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</si>
  <si>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</si>
  <si>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</si>
  <si>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</si>
  <si>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</si>
  <si>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</si>
  <si>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</si>
  <si>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</si>
  <si>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</si>
  <si>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</si>
  <si>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</si>
  <si>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</si>
  <si>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</si>
  <si>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</si>
  <si>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</si>
  <si>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</si>
  <si>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</si>
  <si>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</si>
  <si>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</si>
  <si>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</si>
  <si>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</si>
  <si>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</si>
  <si>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</si>
  <si>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</si>
  <si>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</si>
  <si>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</si>
  <si>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</si>
  <si>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</si>
  <si>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</si>
  <si>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</si>
  <si>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</si>
  <si>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</si>
  <si>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</si>
  <si>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</si>
  <si>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</si>
  <si>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</si>
  <si>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</si>
  <si>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</si>
  <si>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</si>
  <si>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</si>
  <si>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</si>
  <si>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</si>
  <si>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</si>
  <si>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</si>
  <si>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</si>
  <si>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</si>
  <si>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</si>
  <si>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</si>
  <si>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</si>
  <si>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</si>
  <si>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</si>
  <si>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</si>
  <si>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</si>
  <si>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</si>
  <si>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</si>
  <si>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</si>
  <si>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</si>
  <si>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</si>
  <si>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</si>
  <si>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</si>
  <si>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</si>
  <si>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</si>
  <si>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</si>
  <si>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</si>
  <si>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</si>
  <si>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</si>
  <si>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</si>
  <si>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</si>
  <si>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</si>
  <si>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</si>
  <si>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</si>
  <si>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</si>
  <si>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</si>
  <si>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</si>
  <si>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</si>
  <si>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</si>
  <si>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</si>
  <si>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</si>
  <si>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</si>
  <si>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</si>
  <si>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</si>
  <si>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</si>
  <si>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</si>
  <si>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</si>
  <si>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</si>
  <si>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</si>
  <si>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</si>
  <si>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</si>
  <si>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</si>
  <si>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</si>
  <si>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</si>
  <si>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</si>
  <si>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</si>
  <si>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</si>
  <si>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</si>
  <si>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</si>
  <si>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</si>
  <si>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</si>
  <si>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</si>
  <si>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</si>
  <si>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</si>
  <si>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</si>
  <si>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</si>
  <si>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</si>
  <si>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</si>
  <si>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</si>
  <si>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</si>
  <si>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</si>
  <si>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</si>
  <si>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</si>
  <si>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</si>
  <si>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</si>
  <si>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</si>
  <si>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</si>
  <si>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</si>
  <si>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</si>
  <si>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</si>
  <si>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</si>
  <si>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</si>
  <si>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</si>
  <si>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</si>
  <si>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</si>
  <si>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</si>
  <si>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</si>
  <si>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</si>
  <si>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</si>
  <si>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</si>
  <si>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</si>
  <si>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</si>
  <si>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</si>
  <si>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</si>
  <si>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</si>
  <si>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</si>
  <si>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</si>
  <si>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</si>
  <si>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</si>
  <si>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</si>
  <si>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</si>
  <si>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</si>
  <si>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</si>
  <si>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</si>
  <si>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</si>
  <si>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</si>
  <si>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</si>
  <si>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</si>
  <si>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</si>
  <si>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</si>
  <si>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</si>
  <si>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</si>
  <si>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</si>
  <si>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</si>
  <si>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</si>
  <si>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</si>
  <si>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</si>
  <si>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</si>
  <si>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</si>
  <si>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</si>
  <si>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</si>
  <si>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</si>
  <si>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</si>
  <si>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</si>
  <si>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</si>
  <si>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</si>
  <si>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</si>
  <si>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</si>
  <si>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</si>
  <si>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</si>
  <si>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</si>
  <si>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</si>
  <si>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</si>
  <si>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</si>
  <si>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</si>
  <si>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</si>
  <si>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</si>
  <si>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</si>
  <si>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</si>
  <si>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</si>
  <si>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</si>
  <si>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</si>
  <si>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</si>
  <si>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</si>
  <si>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</si>
  <si>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</si>
  <si>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</si>
  <si>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</si>
  <si>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</si>
  <si>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</si>
  <si>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</si>
  <si>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</si>
  <si>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</si>
  <si>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</si>
  <si>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</si>
  <si>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</si>
  <si>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</si>
  <si>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</si>
  <si>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</si>
  <si>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</si>
  <si>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</si>
  <si>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</si>
  <si>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</si>
  <si>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</si>
  <si>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</si>
  <si>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</si>
  <si>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</si>
  <si>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</si>
  <si>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</si>
  <si>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</si>
  <si>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</si>
  <si>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</si>
  <si>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</si>
  <si>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</si>
  <si>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</si>
  <si>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</si>
  <si>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</si>
  <si>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</si>
  <si>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</si>
  <si>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</si>
  <si>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</si>
  <si>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</si>
  <si>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</si>
  <si>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</si>
  <si>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</si>
  <si>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</si>
  <si>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</si>
  <si>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</si>
  <si>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</si>
  <si>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</si>
  <si>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</si>
  <si>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</si>
  <si>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</si>
  <si>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</si>
  <si>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</si>
  <si>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</si>
  <si>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</si>
  <si>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</si>
  <si>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</si>
  <si>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</si>
  <si>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</si>
  <si>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</si>
  <si>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</si>
  <si>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</si>
  <si>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</si>
  <si>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</si>
  <si>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</si>
  <si>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</si>
  <si>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</si>
  <si>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</si>
  <si>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</si>
  <si>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</si>
  <si>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</si>
  <si>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</si>
  <si>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</si>
  <si>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</si>
  <si>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</si>
  <si>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</si>
  <si>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</si>
  <si>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</si>
  <si>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</si>
  <si>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</si>
  <si>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</si>
  <si>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</si>
  <si>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</si>
  <si>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</si>
  <si>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</si>
  <si>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</si>
  <si>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</si>
  <si>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</si>
  <si>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</si>
  <si>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</si>
  <si>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</si>
  <si>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</si>
  <si>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</si>
  <si>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</si>
  <si>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</si>
  <si>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</si>
  <si>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</si>
  <si>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</si>
  <si>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</si>
  <si>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</si>
  <si>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</si>
  <si>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</si>
  <si>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</si>
  <si>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</si>
  <si>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</si>
  <si>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</si>
  <si>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</si>
  <si>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</si>
  <si>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</si>
  <si>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</si>
  <si>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</si>
  <si>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</si>
  <si>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</si>
  <si>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</si>
  <si>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</si>
  <si>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</si>
  <si>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</si>
  <si>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</si>
  <si>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</si>
  <si>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</si>
  <si>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</si>
  <si>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</si>
  <si>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</si>
  <si>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</si>
  <si>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</si>
  <si>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</si>
  <si>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</si>
  <si>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</si>
  <si>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</si>
  <si>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</si>
  <si>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</si>
  <si>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</si>
  <si>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</si>
  <si>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</si>
  <si>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</si>
  <si>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</si>
  <si>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</si>
  <si>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</si>
  <si>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</si>
  <si>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</si>
  <si>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</si>
  <si>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</si>
  <si>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</si>
  <si>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</si>
  <si>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</si>
  <si>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</si>
  <si>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</si>
  <si>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</si>
  <si>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</si>
  <si>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</si>
  <si>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</si>
  <si>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</si>
  <si>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</si>
  <si>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</si>
  <si>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</si>
  <si>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</si>
  <si>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</si>
  <si>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</si>
  <si>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</si>
  <si>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</si>
  <si>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</si>
  <si>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</si>
  <si>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</si>
  <si>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</si>
  <si>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</si>
  <si>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</si>
  <si>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</si>
  <si>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</si>
  <si>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</si>
  <si>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</si>
  <si>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</si>
  <si>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</si>
  <si>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</si>
  <si>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</si>
  <si>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</si>
  <si>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</si>
  <si>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</si>
  <si>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5.08</t>
  </si>
  <si>
    <t>13.78</t>
  </si>
  <si>
    <t>92.27</t>
  </si>
  <si>
    <t>5.41</t>
  </si>
  <si>
    <t>88.48</t>
  </si>
  <si>
    <t>20.21</t>
  </si>
  <si>
    <t>8819.03</t>
  </si>
  <si>
    <t>243.8</t>
  </si>
  <si>
    <t>22.11</t>
  </si>
  <si>
    <t>2.31</t>
  </si>
  <si>
    <t>21.91</t>
  </si>
  <si>
    <t>549.5</t>
  </si>
  <si>
    <t>45797</t>
  </si>
  <si>
    <t>92560</t>
  </si>
  <si>
    <t>54</t>
  </si>
  <si>
    <t>19.43</t>
  </si>
  <si>
    <t>822</t>
  </si>
  <si>
    <t>4</t>
  </si>
  <si>
    <t>116.87</t>
  </si>
  <si>
    <t>21.68</t>
  </si>
  <si>
    <t>2417.72</t>
  </si>
  <si>
    <t>156760</t>
  </si>
  <si>
    <t>298615</t>
  </si>
  <si>
    <t>315.5</t>
  </si>
  <si>
    <t>8.28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</si>
  <si>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</si>
  <si>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</si>
  <si>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</si>
  <si>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</si>
  <si>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</si>
  <si>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</si>
  <si>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</si>
  <si>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</si>
  <si>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</si>
  <si>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</si>
  <si>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13.93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</si>
  <si>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</si>
  <si>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</si>
  <si>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</si>
  <si>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</si>
  <si>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</si>
  <si>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</si>
  <si>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</si>
  <si>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</si>
  <si>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</si>
  <si>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</si>
  <si>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</si>
  <si>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</si>
  <si>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</si>
  <si>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</si>
  <si>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</si>
  <si>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</si>
  <si>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</si>
  <si>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</si>
  <si>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</si>
  <si>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</si>
  <si>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</si>
  <si>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</si>
  <si>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</si>
  <si>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</si>
  <si>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</si>
  <si>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</si>
  <si>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</si>
  <si>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</si>
  <si>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</si>
  <si>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</si>
  <si>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</si>
  <si>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</si>
  <si>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</si>
  <si>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</si>
  <si>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</si>
  <si>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</si>
  <si>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</si>
  <si>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</si>
  <si>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</si>
  <si>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</si>
  <si>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</si>
  <si>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</si>
  <si>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</si>
  <si>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</si>
  <si>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</si>
  <si>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</si>
  <si>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</si>
  <si>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</si>
  <si>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</si>
  <si>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</si>
  <si>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</si>
  <si>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</si>
  <si>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</si>
  <si>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</si>
  <si>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</si>
  <si>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</si>
  <si>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</si>
  <si>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</si>
  <si>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</si>
  <si>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</si>
  <si>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</si>
  <si>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</si>
  <si>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</si>
  <si>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</si>
  <si>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</si>
  <si>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</si>
  <si>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</si>
  <si>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</si>
  <si>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</si>
  <si>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</si>
  <si>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</si>
  <si>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</si>
  <si>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</si>
  <si>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</si>
  <si>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</si>
  <si>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</si>
  <si>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</si>
  <si>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</si>
  <si>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</si>
  <si>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</si>
  <si>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</si>
  <si>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</si>
  <si>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</si>
  <si>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</si>
  <si>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</si>
  <si>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</si>
  <si>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</si>
  <si>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</si>
  <si>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</si>
  <si>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</si>
  <si>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48.3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</si>
  <si>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</si>
  <si>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</si>
  <si>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</si>
  <si>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</si>
  <si>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</si>
  <si>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</si>
  <si>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</si>
  <si>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</si>
  <si>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</si>
  <si>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</si>
  <si>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</si>
  <si>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</si>
  <si>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</si>
  <si>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</si>
  <si>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</si>
  <si>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</si>
  <si>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</si>
  <si>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2.02</t>
  </si>
  <si>
    <t>94.07</t>
  </si>
  <si>
    <t>15.81</t>
  </si>
  <si>
    <t>8821.37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</si>
  <si>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</si>
  <si>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</si>
  <si>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</si>
  <si>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</si>
  <si>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</si>
  <si>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</si>
  <si>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</si>
  <si>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</si>
  <si>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</si>
  <si>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16.9</t>
  </si>
  <si>
    <t>2.33</t>
  </si>
  <si>
    <t>19.15</t>
  </si>
  <si>
    <t>159.93</t>
  </si>
  <si>
    <t>21.57</t>
  </si>
  <si>
    <t>2435.1</t>
  </si>
  <si>
    <t>159143</t>
  </si>
  <si>
    <t>303884</t>
  </si>
  <si>
    <t>316.6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</si>
  <si>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</si>
  <si>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</si>
  <si>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</si>
  <si>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</si>
  <si>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</si>
  <si>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</si>
  <si>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</si>
  <si>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</si>
  <si>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</si>
  <si>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</si>
  <si>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</si>
  <si>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</si>
  <si>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</si>
  <si>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</si>
  <si>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</si>
  <si>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</si>
  <si>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</si>
  <si>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</si>
  <si>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</si>
  <si>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</si>
  <si>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</si>
  <si>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</si>
  <si>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</si>
  <si>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</si>
  <si>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</si>
  <si>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</si>
  <si>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</si>
  <si>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</si>
  <si>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</si>
  <si>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</si>
  <si>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</si>
  <si>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</si>
  <si>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</si>
  <si>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</si>
  <si>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</si>
  <si>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</si>
  <si>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</si>
  <si>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</si>
  <si>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</si>
  <si>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</si>
  <si>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</si>
  <si>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12.03</t>
  </si>
  <si>
    <t>150.94</t>
  </si>
  <si>
    <t>9182.13</t>
  </si>
  <si>
    <t>84551</t>
  </si>
  <si>
    <t>125869</t>
  </si>
  <si>
    <t>288.4</t>
  </si>
  <si>
    <t>0.74</t>
  </si>
  <si>
    <t>94.56</t>
  </si>
  <si>
    <t>23.48</t>
  </si>
  <si>
    <t>8822.11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</si>
  <si>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</si>
  <si>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</si>
  <si>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</si>
  <si>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</si>
  <si>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</si>
  <si>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</si>
  <si>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</si>
  <si>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</si>
  <si>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</si>
  <si>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15.75</t>
  </si>
  <si>
    <t>1221</t>
  </si>
  <si>
    <t>16.95</t>
  </si>
  <si>
    <t>21.64</t>
  </si>
  <si>
    <t>2443.36</t>
  </si>
  <si>
    <t>160364</t>
  </si>
  <si>
    <t>306523</t>
  </si>
  <si>
    <t>318.3</t>
  </si>
  <si>
    <t>7.25</t>
  </si>
  <si>
    <t>800</t>
  </si>
  <si>
    <t>15.66</t>
  </si>
  <si>
    <t>1022.56</t>
  </si>
  <si>
    <t>106477</t>
  </si>
  <si>
    <t>236606</t>
  </si>
  <si>
    <t>108.8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</si>
  <si>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</si>
  <si>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</si>
  <si>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</si>
  <si>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</si>
  <si>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</si>
  <si>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</si>
  <si>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</si>
  <si>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</si>
  <si>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</si>
  <si>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</si>
  <si>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</si>
  <si>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8.47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</si>
  <si>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</si>
  <si>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</si>
  <si>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</si>
  <si>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</si>
  <si>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</si>
  <si>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</si>
  <si>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</si>
  <si>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</si>
  <si>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</si>
  <si>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48.4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</si>
  <si>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</si>
  <si>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</si>
  <si>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</si>
  <si>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</si>
  <si>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</si>
  <si>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</si>
  <si>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</si>
  <si>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</si>
  <si>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</si>
  <si>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</si>
  <si>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8.89</t>
  </si>
  <si>
    <t>12.94</t>
  </si>
  <si>
    <t>1106</t>
  </si>
  <si>
    <t>1.49</t>
  </si>
  <si>
    <t>10.34</t>
  </si>
  <si>
    <t>4.53</t>
  </si>
  <si>
    <t>20</t>
  </si>
  <si>
    <t>9191.02</t>
  </si>
  <si>
    <t>85657</t>
  </si>
  <si>
    <t>127522</t>
  </si>
  <si>
    <t>289.2</t>
  </si>
  <si>
    <t>4.19</t>
  </si>
  <si>
    <t>53.47</t>
  </si>
  <si>
    <t>47.79</t>
  </si>
  <si>
    <t>8826.3</t>
  </si>
  <si>
    <t>7.6</t>
  </si>
  <si>
    <t>23.69</t>
  </si>
  <si>
    <t>846</t>
  </si>
  <si>
    <t>11.9</t>
  </si>
  <si>
    <t>20.16</t>
  </si>
  <si>
    <t>582.89</t>
  </si>
  <si>
    <t>50628</t>
  </si>
  <si>
    <t>101963</t>
  </si>
  <si>
    <t>57.9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</si>
  <si>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</si>
  <si>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</si>
  <si>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</si>
  <si>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</si>
  <si>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</si>
  <si>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</si>
  <si>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</si>
  <si>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</si>
  <si>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</si>
  <si>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</si>
  <si>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</si>
  <si>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</si>
  <si>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</si>
  <si>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</si>
  <si>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</si>
  <si>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</si>
  <si>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</si>
  <si>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</si>
  <si>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</si>
  <si>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</si>
  <si>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</si>
  <si>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</si>
  <si>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</si>
  <si>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</si>
  <si>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</si>
  <si>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</si>
  <si>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</si>
  <si>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</si>
  <si>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</si>
  <si>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</si>
  <si>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</si>
  <si>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</si>
  <si>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</si>
  <si>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</si>
  <si>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</si>
  <si>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</si>
  <si>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</si>
  <si>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</si>
  <si>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</si>
  <si>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</si>
  <si>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</si>
  <si>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</si>
  <si>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</si>
  <si>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</si>
  <si>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</si>
  <si>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</si>
  <si>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</si>
  <si>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</si>
  <si>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</si>
  <si>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</si>
  <si>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</si>
  <si>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</si>
  <si>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6.13</t>
  </si>
  <si>
    <t>15.5</t>
  </si>
  <si>
    <t>845</t>
  </si>
  <si>
    <t>1.67</t>
  </si>
  <si>
    <t>13.1</t>
  </si>
  <si>
    <t>20.1</t>
  </si>
  <si>
    <t>9197.15</t>
  </si>
  <si>
    <t>86502</t>
  </si>
  <si>
    <t>128935</t>
  </si>
  <si>
    <t>289.6</t>
  </si>
  <si>
    <t>33.75</t>
  </si>
  <si>
    <t>62.46</t>
  </si>
  <si>
    <t>3.47</t>
  </si>
  <si>
    <t>57.25</t>
  </si>
  <si>
    <t>19.44</t>
  </si>
  <si>
    <t>8830.75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</si>
  <si>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</si>
  <si>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</si>
  <si>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</si>
  <si>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</si>
  <si>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</si>
  <si>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</si>
  <si>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</si>
  <si>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</si>
  <si>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4.89</t>
  </si>
  <si>
    <t>0.35</t>
  </si>
  <si>
    <t>7.15</t>
  </si>
  <si>
    <t>842</t>
  </si>
  <si>
    <t>97.47</t>
  </si>
  <si>
    <t>95.11</t>
  </si>
  <si>
    <t>2456.69</t>
  </si>
  <si>
    <t>162462</t>
  </si>
  <si>
    <t>311305</t>
  </si>
  <si>
    <t>319.3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</si>
  <si>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</si>
  <si>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</si>
  <si>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</si>
  <si>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</si>
  <si>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</si>
  <si>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</si>
  <si>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</si>
  <si>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</si>
  <si>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</si>
  <si>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</si>
  <si>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</si>
  <si>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</si>
  <si>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</si>
  <si>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</si>
  <si>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</si>
  <si>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</si>
  <si>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</si>
  <si>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</si>
  <si>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12.81</t>
  </si>
  <si>
    <t>530</t>
  </si>
  <si>
    <t>14.24</t>
  </si>
  <si>
    <t>6.55</t>
  </si>
  <si>
    <t>37.98</t>
  </si>
  <si>
    <t>6596.67</t>
  </si>
  <si>
    <t>418616</t>
  </si>
  <si>
    <t>1493839</t>
  </si>
  <si>
    <t>6.83</t>
  </si>
  <si>
    <t>13.18</t>
  </si>
  <si>
    <t>329</t>
  </si>
  <si>
    <t>182.65</t>
  </si>
  <si>
    <t>1960.89</t>
  </si>
  <si>
    <t>191393</t>
  </si>
  <si>
    <t>645287</t>
  </si>
  <si>
    <t>S31</t>
  </si>
  <si>
    <t>22.33</t>
  </si>
  <si>
    <t>810</t>
  </si>
  <si>
    <t>9.8</t>
  </si>
  <si>
    <t>9205.43</t>
  </si>
  <si>
    <t>87312</t>
  </si>
  <si>
    <t>130224</t>
  </si>
  <si>
    <t>289.7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</si>
  <si>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</si>
  <si>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</si>
  <si>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</si>
  <si>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</si>
  <si>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</si>
  <si>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</si>
  <si>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</si>
  <si>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</si>
  <si>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</si>
  <si>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</si>
  <si>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</si>
  <si>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</si>
  <si>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</si>
  <si>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</si>
  <si>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</si>
  <si>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</si>
  <si>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</si>
  <si>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</si>
  <si>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</si>
  <si>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</si>
  <si>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</si>
  <si>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</si>
  <si>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</si>
  <si>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</si>
  <si>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</si>
  <si>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</si>
  <si>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</si>
  <si>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</si>
  <si>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</si>
  <si>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</si>
  <si>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</si>
  <si>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</si>
  <si>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</si>
  <si>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</si>
  <si>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</si>
  <si>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</si>
  <si>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</si>
  <si>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</si>
  <si>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</si>
  <si>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</si>
  <si>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</si>
  <si>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</si>
  <si>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</si>
  <si>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</si>
  <si>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</si>
  <si>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</si>
  <si>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</si>
  <si>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</si>
  <si>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</si>
  <si>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</si>
  <si>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</si>
  <si>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</si>
  <si>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</si>
  <si>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</si>
  <si>
    <t>27.97</t>
  </si>
  <si>
    <t>395</t>
  </si>
  <si>
    <t>1.39</t>
  </si>
  <si>
    <t>10.47</t>
  </si>
  <si>
    <t>52.52</t>
  </si>
  <si>
    <t>48.74</t>
  </si>
  <si>
    <t>19.92</t>
  </si>
  <si>
    <t>9208.83</t>
  </si>
  <si>
    <t>87707</t>
  </si>
  <si>
    <t>130774</t>
  </si>
  <si>
    <t>0.64</t>
  </si>
  <si>
    <t>100.82</t>
  </si>
  <si>
    <t>8831.55</t>
  </si>
  <si>
    <t>10.96</t>
  </si>
  <si>
    <t>13.68</t>
  </si>
  <si>
    <t>1514</t>
  </si>
  <si>
    <t>12.25</t>
  </si>
  <si>
    <t>198.73</t>
  </si>
  <si>
    <t>21</t>
  </si>
  <si>
    <t>614.06</t>
  </si>
  <si>
    <t>54946</t>
  </si>
  <si>
    <t>109974</t>
  </si>
  <si>
    <t>58.7</t>
  </si>
  <si>
    <t>7.16</t>
  </si>
  <si>
    <t>14.66</t>
  </si>
  <si>
    <t>1022</t>
  </si>
  <si>
    <t>2.23</t>
  </si>
  <si>
    <t>137.22</t>
  </si>
  <si>
    <t>3.61</t>
  </si>
  <si>
    <t>2471.52</t>
  </si>
  <si>
    <t>164369</t>
  </si>
  <si>
    <t>315055</t>
  </si>
  <si>
    <t>320.9</t>
  </si>
  <si>
    <t>12.38</t>
  </si>
  <si>
    <t>1198</t>
  </si>
  <si>
    <t>12.14</t>
  </si>
  <si>
    <t>20.76</t>
  </si>
  <si>
    <t>1057.68</t>
  </si>
  <si>
    <t>109991</t>
  </si>
  <si>
    <t>245284</t>
  </si>
  <si>
    <t>111.5</t>
  </si>
  <si>
    <t>44.45</t>
  </si>
  <si>
    <t>184</t>
  </si>
  <si>
    <t>55.83</t>
  </si>
  <si>
    <t>5.96</t>
  </si>
  <si>
    <t>28.33</t>
  </si>
  <si>
    <t>8007.61</t>
  </si>
  <si>
    <t>124749</t>
  </si>
  <si>
    <t>368389</t>
  </si>
  <si>
    <t>8.01</t>
  </si>
  <si>
    <t>24.98</t>
  </si>
  <si>
    <t>435</t>
  </si>
  <si>
    <t>4.74</t>
  </si>
  <si>
    <t>10.08</t>
  </si>
  <si>
    <t>204.41</t>
  </si>
  <si>
    <t>4.97</t>
  </si>
  <si>
    <t>194.48</t>
  </si>
  <si>
    <t>32.37</t>
  </si>
  <si>
    <t>6611.94</t>
  </si>
  <si>
    <t>419534</t>
  </si>
  <si>
    <t>1498401</t>
  </si>
  <si>
    <t>7.01</t>
  </si>
  <si>
    <t>11.41</t>
  </si>
  <si>
    <t>869</t>
  </si>
  <si>
    <t>2.13</t>
  </si>
  <si>
    <t>7.88</t>
  </si>
  <si>
    <t>230.91</t>
  </si>
  <si>
    <t>37.18</t>
  </si>
  <si>
    <t>1975.75</t>
  </si>
  <si>
    <t>193227</t>
  </si>
  <si>
    <t>649561</t>
  </si>
  <si>
    <t>5.4</t>
  </si>
  <si>
    <t>1164</t>
  </si>
  <si>
    <t>20.25</t>
  </si>
  <si>
    <t>9217.48</t>
  </si>
  <si>
    <t>88871</t>
  </si>
  <si>
    <t>132510</t>
  </si>
  <si>
    <t>289.9</t>
  </si>
  <si>
    <t>1.97</t>
  </si>
  <si>
    <t>71.24</t>
  </si>
  <si>
    <t>8833.51</t>
  </si>
  <si>
    <t>26.25</t>
  </si>
  <si>
    <t>1023</t>
  </si>
  <si>
    <t>1.61</t>
  </si>
  <si>
    <t>11.77</t>
  </si>
  <si>
    <t>3.29</t>
  </si>
  <si>
    <t>20.5</t>
  </si>
  <si>
    <t>622.82</t>
  </si>
  <si>
    <t>55969</t>
  </si>
  <si>
    <t>111622</t>
  </si>
  <si>
    <t>59.3</t>
  </si>
  <si>
    <t>8.46</t>
  </si>
  <si>
    <t>10.05</t>
  </si>
  <si>
    <t>1257</t>
  </si>
  <si>
    <t>2.28</t>
  </si>
  <si>
    <t>16.56</t>
  </si>
  <si>
    <t>172.71</t>
  </si>
  <si>
    <t>168.92</t>
  </si>
  <si>
    <t>22.21</t>
  </si>
  <si>
    <t>2479.98</t>
  </si>
  <si>
    <t>165626</t>
  </si>
  <si>
    <t>317915</t>
  </si>
  <si>
    <t>322.3</t>
  </si>
  <si>
    <t>11.15</t>
  </si>
  <si>
    <t>13</t>
  </si>
  <si>
    <t>1046</t>
  </si>
  <si>
    <t>11.24</t>
  </si>
  <si>
    <t>209.62</t>
  </si>
  <si>
    <t>203.94</t>
  </si>
  <si>
    <t>21.02</t>
  </si>
  <si>
    <t>1068.84</t>
  </si>
  <si>
    <t>111037</t>
  </si>
  <si>
    <t>247640</t>
  </si>
  <si>
    <t>112.8</t>
  </si>
  <si>
    <t>11.74</t>
  </si>
  <si>
    <t>21.29</t>
  </si>
  <si>
    <t>1122</t>
  </si>
  <si>
    <t>15.13</t>
  </si>
  <si>
    <t>295.26</t>
  </si>
  <si>
    <t>30.36</t>
  </si>
  <si>
    <t>8019.36</t>
  </si>
  <si>
    <t>125871</t>
  </si>
  <si>
    <t>372856</t>
  </si>
  <si>
    <t>7.39</t>
  </si>
  <si>
    <t>361</t>
  </si>
  <si>
    <t>5.55</t>
  </si>
  <si>
    <t>38.46</t>
  </si>
  <si>
    <t>6619.33</t>
  </si>
  <si>
    <t>419895</t>
  </si>
  <si>
    <t>1500312</t>
  </si>
  <si>
    <t>48.7</t>
  </si>
  <si>
    <t>8.11</t>
  </si>
  <si>
    <t>14.8</t>
  </si>
  <si>
    <t>802</t>
  </si>
  <si>
    <t>281.54</t>
  </si>
  <si>
    <t>275.86</t>
  </si>
  <si>
    <t>39.92</t>
  </si>
  <si>
    <t>1983.86</t>
  </si>
  <si>
    <t>194131</t>
  </si>
  <si>
    <t>651913</t>
  </si>
  <si>
    <t>11.44</t>
  </si>
  <si>
    <t>891</t>
  </si>
  <si>
    <t>1.64</t>
  </si>
  <si>
    <t>9.59</t>
  </si>
  <si>
    <t>9225.78</t>
  </si>
  <si>
    <t>89762</t>
  </si>
  <si>
    <t>133975</t>
  </si>
  <si>
    <t>290.3</t>
  </si>
  <si>
    <t>0.19</t>
  </si>
  <si>
    <t>0.14</t>
  </si>
  <si>
    <t>26.36</t>
  </si>
  <si>
    <t>18.93</t>
  </si>
  <si>
    <t>23.71</t>
  </si>
  <si>
    <t>8833.78</t>
  </si>
  <si>
    <t>8.5</t>
  </si>
  <si>
    <t>25.29</t>
  </si>
  <si>
    <t>1173</t>
  </si>
  <si>
    <t>2.01</t>
  </si>
  <si>
    <t>16.72</t>
  </si>
  <si>
    <t>141.01</t>
  </si>
  <si>
    <t>3.3</t>
  </si>
  <si>
    <t>21.08</t>
  </si>
  <si>
    <t>631.32</t>
  </si>
  <si>
    <t>57142</t>
  </si>
  <si>
    <t>113979</t>
  </si>
  <si>
    <t>59.4</t>
  </si>
  <si>
    <t>8.57</t>
  </si>
  <si>
    <t>18.67</t>
  </si>
  <si>
    <t>1137</t>
  </si>
  <si>
    <t>16.21</t>
  </si>
  <si>
    <t>152.36</t>
  </si>
  <si>
    <t>2488.55</t>
  </si>
  <si>
    <t>166763</t>
  </si>
  <si>
    <t>320484</t>
  </si>
  <si>
    <t>322.7</t>
  </si>
  <si>
    <t>8.51</t>
  </si>
  <si>
    <t>797</t>
  </si>
  <si>
    <t>12.33</t>
  </si>
  <si>
    <t>1077.34</t>
  </si>
  <si>
    <t>111834</t>
  </si>
  <si>
    <t>249583</t>
  </si>
  <si>
    <t>113.7</t>
  </si>
  <si>
    <t>15.49</t>
  </si>
  <si>
    <t>25.83</t>
  </si>
  <si>
    <t>1240</t>
  </si>
  <si>
    <t>14.02</t>
  </si>
  <si>
    <t>363.4</t>
  </si>
  <si>
    <t>5.44</t>
  </si>
  <si>
    <t>341.63</t>
  </si>
  <si>
    <t>29.74</t>
  </si>
  <si>
    <t>8034.84</t>
  </si>
  <si>
    <t>127111</t>
  </si>
  <si>
    <t>377950</t>
  </si>
  <si>
    <t>253.4</t>
  </si>
  <si>
    <t>7.62</t>
  </si>
  <si>
    <t>728</t>
  </si>
  <si>
    <t>5.23</t>
  </si>
  <si>
    <t>13.3</t>
  </si>
  <si>
    <t>286.27</t>
  </si>
  <si>
    <t>282.96</t>
  </si>
  <si>
    <t>38.91</t>
  </si>
  <si>
    <t>6627.21</t>
  </si>
  <si>
    <t>420623</t>
  </si>
  <si>
    <t>1504119</t>
  </si>
  <si>
    <t>48.9</t>
  </si>
  <si>
    <t>17.16</t>
  </si>
  <si>
    <t>971</t>
  </si>
  <si>
    <t>10.75</t>
  </si>
  <si>
    <t>284.38</t>
  </si>
  <si>
    <t>41.17</t>
  </si>
  <si>
    <t>1992.02</t>
  </si>
  <si>
    <t>195102</t>
  </si>
  <si>
    <t>654970</t>
  </si>
  <si>
    <t>8.38</t>
  </si>
  <si>
    <t>14.91</t>
  </si>
  <si>
    <t>1.51</t>
  </si>
  <si>
    <t>19.04</t>
  </si>
  <si>
    <t>9234.17</t>
  </si>
  <si>
    <t>90734</t>
  </si>
  <si>
    <t>135446</t>
  </si>
  <si>
    <t>290.5</t>
  </si>
  <si>
    <t>5.34</t>
  </si>
  <si>
    <t>16.85</t>
  </si>
  <si>
    <t>89.43</t>
  </si>
  <si>
    <t>20.13</t>
  </si>
  <si>
    <t>8839.12</t>
  </si>
  <si>
    <t>244.1</t>
  </si>
  <si>
    <t>1.33</t>
  </si>
  <si>
    <t>56.32</t>
  </si>
  <si>
    <t>15</t>
  </si>
  <si>
    <t>11.39</t>
  </si>
  <si>
    <t>632.65</t>
  </si>
  <si>
    <t>57157</t>
  </si>
  <si>
    <t>113982</t>
  </si>
  <si>
    <t>7.45</t>
  </si>
  <si>
    <t>8.05</t>
  </si>
  <si>
    <t>12.49</t>
  </si>
  <si>
    <t>131.07</t>
  </si>
  <si>
    <t>18.72</t>
  </si>
  <si>
    <t>2496</t>
  </si>
  <si>
    <t>167585</t>
  </si>
  <si>
    <t>322121</t>
  </si>
  <si>
    <t>324.4</t>
  </si>
  <si>
    <t>9.56</t>
  </si>
  <si>
    <t>16.22</t>
  </si>
  <si>
    <t>20.69</t>
  </si>
  <si>
    <t>1086.9</t>
  </si>
  <si>
    <t>112779</t>
  </si>
  <si>
    <t>251734</t>
  </si>
  <si>
    <t>117.3</t>
  </si>
  <si>
    <t>15.35</t>
  </si>
  <si>
    <t>3.65</t>
  </si>
  <si>
    <t>23.78</t>
  </si>
  <si>
    <t>1153</t>
  </si>
  <si>
    <t>3.35</t>
  </si>
  <si>
    <t>382.8</t>
  </si>
  <si>
    <t>20.82</t>
  </si>
  <si>
    <t>5.7</t>
  </si>
  <si>
    <t>361.98</t>
  </si>
  <si>
    <t>30.94</t>
  </si>
  <si>
    <t>8050.19</t>
  </si>
  <si>
    <t>128264</t>
  </si>
  <si>
    <t>381811</t>
  </si>
  <si>
    <t>253.6</t>
  </si>
  <si>
    <t>16.66</t>
  </si>
  <si>
    <t>710</t>
  </si>
  <si>
    <t>12.77</t>
  </si>
  <si>
    <t>281.07</t>
  </si>
  <si>
    <t>6635.91</t>
  </si>
  <si>
    <t>421333</t>
  </si>
  <si>
    <t>1507708</t>
  </si>
  <si>
    <t>49</t>
  </si>
  <si>
    <t>9.26</t>
  </si>
  <si>
    <t>17.28</t>
  </si>
  <si>
    <t>1090</t>
  </si>
  <si>
    <t>318.92</t>
  </si>
  <si>
    <t>5.03</t>
  </si>
  <si>
    <t>40.59</t>
  </si>
  <si>
    <t>2001.28</t>
  </si>
  <si>
    <t>196192</t>
  </si>
  <si>
    <t>658602</t>
  </si>
  <si>
    <t>6.87</t>
  </si>
  <si>
    <t>553</t>
  </si>
  <si>
    <t>6.44</t>
  </si>
  <si>
    <t>116.4</t>
  </si>
  <si>
    <t>19.67</t>
  </si>
  <si>
    <t>9241.03</t>
  </si>
  <si>
    <t>91287</t>
  </si>
  <si>
    <t>136220</t>
  </si>
  <si>
    <t>290.7</t>
  </si>
  <si>
    <t>83.75</t>
  </si>
  <si>
    <t>77.13</t>
  </si>
  <si>
    <t>20.29</t>
  </si>
  <si>
    <t>8844.62</t>
  </si>
  <si>
    <t>5.43</t>
  </si>
  <si>
    <t>23.93</t>
  </si>
  <si>
    <t>759</t>
  </si>
  <si>
    <t>1.13</t>
  </si>
  <si>
    <t>9.67</t>
  </si>
  <si>
    <t>3.28</t>
  </si>
  <si>
    <t>84.23</t>
  </si>
  <si>
    <t>20.38</t>
  </si>
  <si>
    <t>638.08</t>
  </si>
  <si>
    <t>57916</t>
  </si>
  <si>
    <t>114838</t>
  </si>
  <si>
    <t>59.9</t>
  </si>
  <si>
    <t>6.74</t>
  </si>
  <si>
    <t>17.8</t>
  </si>
  <si>
    <t>682</t>
  </si>
  <si>
    <t>118.29</t>
  </si>
  <si>
    <t>2502.74</t>
  </si>
  <si>
    <t>168267</t>
  </si>
  <si>
    <t>323417</t>
  </si>
  <si>
    <t>326.2</t>
  </si>
  <si>
    <t>7.66</t>
  </si>
  <si>
    <t>14.37</t>
  </si>
  <si>
    <t>734</t>
  </si>
  <si>
    <t>13.79</t>
  </si>
  <si>
    <t>19.7</t>
  </si>
  <si>
    <t>1094.56</t>
  </si>
  <si>
    <t>113513</t>
  </si>
  <si>
    <t>253567</t>
  </si>
  <si>
    <t>117.4</t>
  </si>
  <si>
    <t>25.14</t>
  </si>
  <si>
    <t>744</t>
  </si>
  <si>
    <t>12.1</t>
  </si>
  <si>
    <t>213.4</t>
  </si>
  <si>
    <t>201.1</t>
  </si>
  <si>
    <t>30.7</t>
  </si>
  <si>
    <t>8058.94</t>
  </si>
  <si>
    <t>129008</t>
  </si>
  <si>
    <t>384393</t>
  </si>
  <si>
    <t>10.07</t>
  </si>
  <si>
    <t>16.39</t>
  </si>
  <si>
    <t>1050</t>
  </si>
  <si>
    <t>334.06</t>
  </si>
  <si>
    <t>5.45</t>
  </si>
  <si>
    <t>325.07</t>
  </si>
  <si>
    <t>6645.98</t>
  </si>
  <si>
    <t>422383</t>
  </si>
  <si>
    <t>1513183</t>
  </si>
  <si>
    <t>49.1</t>
  </si>
  <si>
    <t>22.54</t>
  </si>
  <si>
    <t>874</t>
  </si>
  <si>
    <t>3.73</t>
  </si>
  <si>
    <t>10.89</t>
  </si>
  <si>
    <t>299.52</t>
  </si>
  <si>
    <t>289.11</t>
  </si>
  <si>
    <t>35.06</t>
  </si>
  <si>
    <t>2011.93</t>
  </si>
  <si>
    <t>197066</t>
  </si>
  <si>
    <t>661865</t>
  </si>
  <si>
    <t>1.07</t>
  </si>
  <si>
    <t>0.17</t>
  </si>
  <si>
    <t>83.81</t>
  </si>
  <si>
    <t>9242.11</t>
  </si>
  <si>
    <t>290.8</t>
  </si>
  <si>
    <t>16.16</t>
  </si>
  <si>
    <t>733</t>
  </si>
  <si>
    <t>19.6</t>
  </si>
  <si>
    <t>197.79</t>
  </si>
  <si>
    <t>38.13</t>
  </si>
  <si>
    <t>6652.17</t>
  </si>
  <si>
    <t>423116</t>
  </si>
  <si>
    <t>1517171</t>
  </si>
  <si>
    <t>S32</t>
  </si>
  <si>
    <t>17.83</t>
  </si>
  <si>
    <t>562</t>
  </si>
  <si>
    <t>1.48</t>
  </si>
  <si>
    <t>19.55</t>
  </si>
  <si>
    <t>9249.12</t>
  </si>
  <si>
    <t>91849</t>
  </si>
  <si>
    <t>137053</t>
  </si>
  <si>
    <t>5.85</t>
  </si>
  <si>
    <t>23.94</t>
  </si>
  <si>
    <t>88.01</t>
  </si>
  <si>
    <t>82.33</t>
  </si>
  <si>
    <t>18.51</t>
  </si>
  <si>
    <t>8850.49</t>
  </si>
  <si>
    <t>244.7</t>
  </si>
  <si>
    <t>1666</t>
  </si>
  <si>
    <t>176.97</t>
  </si>
  <si>
    <t>21.67</t>
  </si>
  <si>
    <t>647.54</t>
  </si>
  <si>
    <t>59582</t>
  </si>
  <si>
    <t>118683</t>
  </si>
  <si>
    <t>60.3</t>
  </si>
  <si>
    <t>12.86</t>
  </si>
  <si>
    <t>1168</t>
  </si>
  <si>
    <t>12.61</t>
  </si>
  <si>
    <t>21.88</t>
  </si>
  <si>
    <t>2510.9</t>
  </si>
  <si>
    <t>169435</t>
  </si>
  <si>
    <t>325433</t>
  </si>
  <si>
    <t>327.7</t>
  </si>
  <si>
    <t>19.72</t>
  </si>
  <si>
    <t>327</t>
  </si>
  <si>
    <t>11.65</t>
  </si>
  <si>
    <t>61.99</t>
  </si>
  <si>
    <t>1098.11</t>
  </si>
  <si>
    <t>113840</t>
  </si>
  <si>
    <t>254289</t>
  </si>
  <si>
    <t>19.66</t>
  </si>
  <si>
    <t>644</t>
  </si>
  <si>
    <t>3.39</t>
  </si>
  <si>
    <t>10.8</t>
  </si>
  <si>
    <t>5.8</t>
  </si>
  <si>
    <t>193.06</t>
  </si>
  <si>
    <t>30.49</t>
  </si>
  <si>
    <t>8066.83</t>
  </si>
  <si>
    <t>129652</t>
  </si>
  <si>
    <t>386575</t>
  </si>
  <si>
    <t>253.7</t>
  </si>
  <si>
    <t>7.99</t>
  </si>
  <si>
    <t>1143</t>
  </si>
  <si>
    <t>38.83</t>
  </si>
  <si>
    <t>6660.16</t>
  </si>
  <si>
    <t>424259</t>
  </si>
  <si>
    <t>1523026</t>
  </si>
  <si>
    <t>20.7</t>
  </si>
  <si>
    <t>1454</t>
  </si>
  <si>
    <t>3.72</t>
  </si>
  <si>
    <t>12.73</t>
  </si>
  <si>
    <t>424.91</t>
  </si>
  <si>
    <t>4.65</t>
  </si>
  <si>
    <t>412.14</t>
  </si>
  <si>
    <t>39.11</t>
  </si>
  <si>
    <t>2025.21</t>
  </si>
  <si>
    <t>198571</t>
  </si>
  <si>
    <t>667520</t>
  </si>
  <si>
    <t>8.88</t>
  </si>
  <si>
    <t>11.63</t>
  </si>
  <si>
    <t>144.32</t>
  </si>
  <si>
    <t>136.27</t>
  </si>
  <si>
    <t>19.38</t>
  </si>
  <si>
    <t>9258</t>
  </si>
  <si>
    <t>92737</t>
  </si>
  <si>
    <t>138732</t>
  </si>
  <si>
    <t>290.9</t>
  </si>
  <si>
    <t>26.83</t>
  </si>
  <si>
    <t>163.72</t>
  </si>
  <si>
    <t>19.36</t>
  </si>
  <si>
    <t>8862.12</t>
  </si>
  <si>
    <t>249.8</t>
  </si>
  <si>
    <t>14.76</t>
  </si>
  <si>
    <t>699</t>
  </si>
  <si>
    <t>0.96</t>
  </si>
  <si>
    <t>653.64</t>
  </si>
  <si>
    <t>60281</t>
  </si>
  <si>
    <t>119356</t>
  </si>
  <si>
    <t>61.2</t>
  </si>
  <si>
    <t>17.73</t>
  </si>
  <si>
    <t>1175</t>
  </si>
  <si>
    <t>2519.37</t>
  </si>
  <si>
    <t>170610</t>
  </si>
  <si>
    <t>327610</t>
  </si>
  <si>
    <t>328.4</t>
  </si>
  <si>
    <t>34.91</t>
  </si>
  <si>
    <t>10.15</t>
  </si>
  <si>
    <t>1098.54</t>
  </si>
  <si>
    <t>686</t>
  </si>
  <si>
    <t>9.45</t>
  </si>
  <si>
    <t>218.13</t>
  </si>
  <si>
    <t>8074.34</t>
  </si>
  <si>
    <t>130338</t>
  </si>
  <si>
    <t>388659</t>
  </si>
  <si>
    <t>253.9</t>
  </si>
  <si>
    <t>7.09</t>
  </si>
  <si>
    <t>1675</t>
  </si>
  <si>
    <t>5.15</t>
  </si>
  <si>
    <t>411.66</t>
  </si>
  <si>
    <t>5.91</t>
  </si>
  <si>
    <t>406.93</t>
  </si>
  <si>
    <t>38.84</t>
  </si>
  <si>
    <t>6671.43</t>
  </si>
  <si>
    <t>425934</t>
  </si>
  <si>
    <t>1531660</t>
  </si>
  <si>
    <t>1145</t>
  </si>
  <si>
    <t>12.88</t>
  </si>
  <si>
    <t>301.89</t>
  </si>
  <si>
    <t>34.73</t>
  </si>
  <si>
    <t>2035.22</t>
  </si>
  <si>
    <t>199716</t>
  </si>
  <si>
    <t>671409</t>
  </si>
  <si>
    <t>8.72</t>
  </si>
  <si>
    <t>9.18</t>
  </si>
  <si>
    <t>1276</t>
  </si>
  <si>
    <t>14.46</t>
  </si>
  <si>
    <t>9266.72</t>
  </si>
  <si>
    <t>94013</t>
  </si>
  <si>
    <t>141106</t>
  </si>
  <si>
    <t>291.2</t>
  </si>
  <si>
    <t>15.22</t>
  </si>
  <si>
    <t>273.5</t>
  </si>
  <si>
    <t>20.68</t>
  </si>
  <si>
    <t>8877.34</t>
  </si>
  <si>
    <t>251</t>
  </si>
  <si>
    <t>8.56</t>
  </si>
  <si>
    <t>16.94</t>
  </si>
  <si>
    <t>1428</t>
  </si>
  <si>
    <t>17.37</t>
  </si>
  <si>
    <t>156.15</t>
  </si>
  <si>
    <t>21.97</t>
  </si>
  <si>
    <t>662.19</t>
  </si>
  <si>
    <t>61709</t>
  </si>
  <si>
    <t>122159</t>
  </si>
  <si>
    <t>61.6</t>
  </si>
  <si>
    <t>8.24</t>
  </si>
  <si>
    <t>939</t>
  </si>
  <si>
    <t>13.77</t>
  </si>
  <si>
    <t>139.59</t>
  </si>
  <si>
    <t>21.04</t>
  </si>
  <si>
    <t>2527.6</t>
  </si>
  <si>
    <t>171549</t>
  </si>
  <si>
    <t>329611</t>
  </si>
  <si>
    <t>6.81</t>
  </si>
  <si>
    <t>14.68</t>
  </si>
  <si>
    <t>604</t>
  </si>
  <si>
    <t>10.81</t>
  </si>
  <si>
    <t>21.25</t>
  </si>
  <si>
    <t>1105.35</t>
  </si>
  <si>
    <t>114444</t>
  </si>
  <si>
    <t>255665</t>
  </si>
  <si>
    <t>118.8</t>
  </si>
  <si>
    <t>7.63</t>
  </si>
  <si>
    <t>506</t>
  </si>
  <si>
    <t>5.77</t>
  </si>
  <si>
    <t>208.67</t>
  </si>
  <si>
    <t>31.42</t>
  </si>
  <si>
    <t>8081.97</t>
  </si>
  <si>
    <t>130844</t>
  </si>
  <si>
    <t>389863</t>
  </si>
  <si>
    <t>254.2</t>
  </si>
  <si>
    <t>10.74</t>
  </si>
  <si>
    <t>9.78</t>
  </si>
  <si>
    <t>1467</t>
  </si>
  <si>
    <t>5.38</t>
  </si>
  <si>
    <t>6682.17</t>
  </si>
  <si>
    <t>427401</t>
  </si>
  <si>
    <t>1539553</t>
  </si>
  <si>
    <t>49.2</t>
  </si>
  <si>
    <t>17.29</t>
  </si>
  <si>
    <t>669</t>
  </si>
  <si>
    <t>5.01</t>
  </si>
  <si>
    <t>42</t>
  </si>
  <si>
    <t>2040.13</t>
  </si>
  <si>
    <t>200612</t>
  </si>
  <si>
    <t>673998</t>
  </si>
  <si>
    <t>13.46</t>
  </si>
  <si>
    <t>1588</t>
  </si>
  <si>
    <t>1.87</t>
  </si>
  <si>
    <t>13.97</t>
  </si>
  <si>
    <t>206.3</t>
  </si>
  <si>
    <t>20.06</t>
  </si>
  <si>
    <t>9278.6</t>
  </si>
  <si>
    <t>95601</t>
  </si>
  <si>
    <t>144075</t>
  </si>
  <si>
    <t>291.3</t>
  </si>
  <si>
    <t>10.66</t>
  </si>
  <si>
    <t>27.21</t>
  </si>
  <si>
    <t>145.74</t>
  </si>
  <si>
    <t>18.78</t>
  </si>
  <si>
    <t>8888</t>
  </si>
  <si>
    <t>261</t>
  </si>
  <si>
    <t>691</t>
  </si>
  <si>
    <t>11.26</t>
  </si>
  <si>
    <t>102.68</t>
  </si>
  <si>
    <t>15.16</t>
  </si>
  <si>
    <t>669.77</t>
  </si>
  <si>
    <t>62400</t>
  </si>
  <si>
    <t>123315</t>
  </si>
  <si>
    <t>63.1</t>
  </si>
  <si>
    <t>2.17</t>
  </si>
  <si>
    <t>15.97</t>
  </si>
  <si>
    <t>134.86</t>
  </si>
  <si>
    <t>2535.25</t>
  </si>
  <si>
    <t>172576</t>
  </si>
  <si>
    <t>331840</t>
  </si>
  <si>
    <t>329.3</t>
  </si>
  <si>
    <t>658</t>
  </si>
  <si>
    <t>13.92</t>
  </si>
  <si>
    <t>112.14</t>
  </si>
  <si>
    <t>107.41</t>
  </si>
  <si>
    <t>16.71</t>
  </si>
  <si>
    <t>1112.98</t>
  </si>
  <si>
    <t>115102</t>
  </si>
  <si>
    <t>257226</t>
  </si>
  <si>
    <t>119.1</t>
  </si>
  <si>
    <t>513</t>
  </si>
  <si>
    <t>2.04</t>
  </si>
  <si>
    <t>30.48</t>
  </si>
  <si>
    <t>8090.08</t>
  </si>
  <si>
    <t>131357</t>
  </si>
  <si>
    <t>390910</t>
  </si>
  <si>
    <t>254.4</t>
  </si>
  <si>
    <t>762</t>
  </si>
  <si>
    <t>5.17</t>
  </si>
  <si>
    <t>11.82</t>
  </si>
  <si>
    <t>329.33</t>
  </si>
  <si>
    <t>39.81</t>
  </si>
  <si>
    <t>6691.04</t>
  </si>
  <si>
    <t>428163</t>
  </si>
  <si>
    <t>1543495</t>
  </si>
  <si>
    <t>49.3</t>
  </si>
  <si>
    <t>5.76</t>
  </si>
  <si>
    <t>32.99</t>
  </si>
  <si>
    <t>450</t>
  </si>
  <si>
    <t>3.37</t>
  </si>
  <si>
    <t>161.83</t>
  </si>
  <si>
    <t>39.72</t>
  </si>
  <si>
    <t>2045.89</t>
  </si>
  <si>
    <t>201062</t>
  </si>
  <si>
    <t>675513</t>
  </si>
  <si>
    <t>1161</t>
  </si>
  <si>
    <t>96762</t>
  </si>
  <si>
    <t>146153</t>
  </si>
  <si>
    <t>263</t>
  </si>
  <si>
    <t>1095</t>
  </si>
  <si>
    <t>63723</t>
  </si>
  <si>
    <t>125612</t>
  </si>
  <si>
    <t>912</t>
  </si>
  <si>
    <t>173488</t>
  </si>
  <si>
    <t>333598</t>
  </si>
  <si>
    <t>115579</t>
  </si>
  <si>
    <t>258145</t>
  </si>
  <si>
    <t>560</t>
  </si>
  <si>
    <t>131917</t>
  </si>
  <si>
    <t>392064</t>
  </si>
  <si>
    <t>777</t>
  </si>
  <si>
    <t>428940</t>
  </si>
  <si>
    <t>1547512</t>
  </si>
  <si>
    <t>1561</t>
  </si>
  <si>
    <t>202623</t>
  </si>
  <si>
    <t>681642</t>
  </si>
  <si>
    <t>97734</t>
  </si>
  <si>
    <t>148058</t>
  </si>
  <si>
    <t>726</t>
  </si>
  <si>
    <t>64665</t>
  </si>
  <si>
    <t>127662</t>
  </si>
  <si>
    <t>801</t>
  </si>
  <si>
    <t>174289</t>
  </si>
  <si>
    <t>334891</t>
  </si>
  <si>
    <t>1309</t>
  </si>
  <si>
    <t>117004</t>
  </si>
  <si>
    <t>261327</t>
  </si>
  <si>
    <t>541</t>
  </si>
  <si>
    <t>132458</t>
  </si>
  <si>
    <t>393555</t>
  </si>
  <si>
    <t>1430</t>
  </si>
  <si>
    <t>441</t>
  </si>
  <si>
    <t>430370</t>
  </si>
  <si>
    <t>1555089</t>
  </si>
  <si>
    <t>792</t>
  </si>
  <si>
    <t>203415</t>
  </si>
  <si>
    <t>684681</t>
  </si>
  <si>
    <t>825</t>
  </si>
  <si>
    <t>431195</t>
  </si>
  <si>
    <t>1559739</t>
  </si>
  <si>
    <t>S33</t>
  </si>
  <si>
    <t>99774</t>
  </si>
  <si>
    <t>151290</t>
  </si>
  <si>
    <t>942</t>
  </si>
  <si>
    <t>98676</t>
  </si>
  <si>
    <t>149544</t>
  </si>
  <si>
    <t>1600</t>
  </si>
  <si>
    <t>67492</t>
  </si>
  <si>
    <t>134202</t>
  </si>
  <si>
    <t>1222</t>
  </si>
  <si>
    <t>65892</t>
  </si>
  <si>
    <t>130330</t>
  </si>
  <si>
    <t>702</t>
  </si>
  <si>
    <t>174991</t>
  </si>
  <si>
    <t>336394</t>
  </si>
  <si>
    <t>838</t>
  </si>
  <si>
    <t>118709</t>
  </si>
  <si>
    <t>264250</t>
  </si>
  <si>
    <t>794</t>
  </si>
  <si>
    <t>117812</t>
  </si>
  <si>
    <t>262668</t>
  </si>
  <si>
    <t>662</t>
  </si>
  <si>
    <t>134064</t>
  </si>
  <si>
    <t>398166</t>
  </si>
  <si>
    <t>944</t>
  </si>
  <si>
    <t>133402</t>
  </si>
  <si>
    <t>396329</t>
  </si>
  <si>
    <t>433160</t>
  </si>
  <si>
    <t>1570564</t>
  </si>
  <si>
    <t>432359</t>
  </si>
  <si>
    <t>1566104</t>
  </si>
  <si>
    <t>25</t>
  </si>
  <si>
    <t>203595</t>
  </si>
  <si>
    <t>685229</t>
  </si>
  <si>
    <t>155</t>
  </si>
  <si>
    <t>203570</t>
  </si>
  <si>
    <t>685170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</si>
  <si>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</si>
  <si>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</si>
  <si>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</si>
  <si>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</si>
  <si>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</si>
  <si>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</si>
  <si>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</si>
  <si>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</si>
  <si>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</si>
  <si>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</si>
  <si>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</si>
  <si>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</si>
  <si>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</si>
  <si>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</si>
  <si>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</si>
  <si>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</si>
  <si>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</si>
  <si>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</si>
  <si>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</si>
  <si>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</si>
  <si>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</si>
  <si>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</si>
  <si>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</si>
  <si>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</si>
  <si>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</si>
  <si>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</si>
  <si>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</si>
  <si>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</si>
  <si>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</si>
  <si>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</si>
  <si>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</si>
  <si>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</si>
  <si>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</si>
  <si>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</si>
  <si>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</si>
  <si>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</si>
  <si>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</si>
  <si>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</si>
  <si>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</si>
  <si>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</si>
  <si>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</si>
  <si>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</si>
  <si>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</si>
  <si>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</si>
  <si>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</si>
  <si>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</si>
  <si>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</si>
  <si>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</si>
  <si>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</si>
  <si>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</si>
  <si>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</si>
  <si>
    <t>101604</t>
  </si>
  <si>
    <t>153865</t>
  </si>
  <si>
    <t>886</t>
  </si>
  <si>
    <t>100660</t>
  </si>
  <si>
    <t>152582</t>
  </si>
  <si>
    <t>1784</t>
  </si>
  <si>
    <t>71410</t>
  </si>
  <si>
    <t>143178</t>
  </si>
  <si>
    <t>71</t>
  </si>
  <si>
    <t>2134</t>
  </si>
  <si>
    <t>69626</t>
  </si>
  <si>
    <t>139130</t>
  </si>
  <si>
    <t>703</t>
  </si>
  <si>
    <t>176208</t>
  </si>
  <si>
    <t>338803</t>
  </si>
  <si>
    <t>514</t>
  </si>
  <si>
    <t>175505</t>
  </si>
  <si>
    <t>337244</t>
  </si>
  <si>
    <t>336</t>
  </si>
  <si>
    <t>1118</t>
  </si>
  <si>
    <t>120679</t>
  </si>
  <si>
    <t>267427</t>
  </si>
  <si>
    <t>679</t>
  </si>
  <si>
    <t>119561</t>
  </si>
  <si>
    <t>265499</t>
  </si>
  <si>
    <t>433</t>
  </si>
  <si>
    <t>135238</t>
  </si>
  <si>
    <t>401624</t>
  </si>
  <si>
    <t>741</t>
  </si>
  <si>
    <t>134805</t>
  </si>
  <si>
    <t>400219</t>
  </si>
  <si>
    <t>1091</t>
  </si>
  <si>
    <t>435278</t>
  </si>
  <si>
    <t>1580128</t>
  </si>
  <si>
    <t>434187</t>
  </si>
  <si>
    <t>1575090</t>
  </si>
  <si>
    <t>915</t>
  </si>
  <si>
    <t>205593</t>
  </si>
  <si>
    <t>691263</t>
  </si>
  <si>
    <t>204678</t>
  </si>
  <si>
    <t>687820</t>
  </si>
  <si>
    <t>102409</t>
  </si>
  <si>
    <t>155035</t>
  </si>
  <si>
    <t>102407</t>
  </si>
  <si>
    <t>633</t>
  </si>
  <si>
    <t>73532</t>
  </si>
  <si>
    <t>147456</t>
  </si>
  <si>
    <t>1489</t>
  </si>
  <si>
    <t>72899</t>
  </si>
  <si>
    <t>146058</t>
  </si>
  <si>
    <t>177396</t>
  </si>
  <si>
    <t>340879</t>
  </si>
  <si>
    <t>8</t>
  </si>
  <si>
    <t>1038</t>
  </si>
  <si>
    <t>177394</t>
  </si>
  <si>
    <t>340875</t>
  </si>
  <si>
    <t>148</t>
  </si>
  <si>
    <t>176356</t>
  </si>
  <si>
    <t>338953</t>
  </si>
  <si>
    <t>301</t>
  </si>
  <si>
    <t>122019</t>
  </si>
  <si>
    <t>269907</t>
  </si>
  <si>
    <t>1039</t>
  </si>
  <si>
    <t>121718</t>
  </si>
  <si>
    <t>269368</t>
  </si>
  <si>
    <t>137294</t>
  </si>
  <si>
    <t>408182</t>
  </si>
  <si>
    <t>1293</t>
  </si>
  <si>
    <t>763</t>
  </si>
  <si>
    <t>136001</t>
  </si>
  <si>
    <t>404067</t>
  </si>
  <si>
    <t>437029</t>
  </si>
  <si>
    <t>1588095</t>
  </si>
  <si>
    <t>598</t>
  </si>
  <si>
    <t>436431</t>
  </si>
  <si>
    <t>1585119</t>
  </si>
  <si>
    <t>516</t>
  </si>
  <si>
    <t>207021</t>
  </si>
  <si>
    <t>696842</t>
  </si>
  <si>
    <t>291</t>
  </si>
  <si>
    <t>206505</t>
  </si>
  <si>
    <t>694798</t>
  </si>
  <si>
    <t>Escavação</t>
  </si>
  <si>
    <t xml:space="preserve"> 17 Aug 2026</t>
  </si>
  <si>
    <t>798</t>
  </si>
  <si>
    <t>9348</t>
  </si>
  <si>
    <t>103207</t>
  </si>
  <si>
    <t>156001</t>
  </si>
  <si>
    <t>266</t>
  </si>
  <si>
    <t>1205</t>
  </si>
  <si>
    <t>74947</t>
  </si>
  <si>
    <t>150610</t>
  </si>
  <si>
    <t>178789</t>
  </si>
  <si>
    <t>343950</t>
  </si>
  <si>
    <t>1724</t>
  </si>
  <si>
    <t>123743</t>
  </si>
  <si>
    <t>273052</t>
  </si>
  <si>
    <t>138587</t>
  </si>
  <si>
    <t>411878</t>
  </si>
  <si>
    <t>438057</t>
  </si>
  <si>
    <t>1592724</t>
  </si>
  <si>
    <t>725</t>
  </si>
  <si>
    <t>207746</t>
  </si>
  <si>
    <t>699047</t>
  </si>
  <si>
    <t>S34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</si>
</sst>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2" x14ac:knownFonts="1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6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2" fontId="2" fillId="8" borderId="1" xfId="0" applyNumberFormat="1" applyFont="1" applyFill="1" applyBorder="1" applyAlignment="1">
      <alignment horizontal="center"/>
    </xf>
    <xf numFmtId="164" fontId="2" fillId="8" borderId="1" xfId="6" applyNumberFormat="1" applyFont="1" applyFill="1" applyBorder="1" applyAlignment="1">
      <alignment horizontal="center"/>
    </xf>
    <xf numFmtId="1" fontId="2" fillId="8" borderId="1" xfId="0" applyNumberFormat="1" applyFont="1" applyFill="1" applyBorder="1" applyAlignment="1">
      <alignment horizontal="center"/>
    </xf>
    <xf numFmtId="2" fontId="2" fillId="8" borderId="0" xfId="0" applyNumberFormat="1" applyFont="1" applyFill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2" fillId="8" borderId="1" xfId="0" applyNumberFormat="1" applyFont="1" applyFill="1" applyBorder="1" applyAlignment="1">
      <alignment horizontal="center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7"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35" formatCode="_-* #,##0.00_-;\-* #,##0.00_-;_-* &quot;-&quot;??_-;_-@_-"/>
    </dxf>
  </dxfs>
  <tableStyles count="0" defaultTableStyle="TableStyleMedium2" defaultPivotStyle="PivotStyleLight16"/>
  <colors>
    <mruColors>
      <color rgb="FFDD9411"/>
      <color rgb="FF1F4E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0048354951481585E-2"/>
              <c:y val="-6.6647110287684649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6279391424619641E-2"/>
              <c:y val="-4.183006535947713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2448132780082886E-2"/>
              <c:y val="3.921568627450980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</c:pivotFmt>
      <c:pivotFmt>
        <c:idx val="3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662517289073307E-3"/>
              <c:y val="4.705882352941174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8347110138203577E-2"/>
              <c:y val="4.8346456692913382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7"/>
      </c:pivotFmt>
      <c:pivotFmt>
        <c:idx val="38"/>
      </c:pivotFmt>
      <c:pivotFmt>
        <c:idx val="39"/>
      </c:pivotFmt>
      <c:pivotFmt>
        <c:idx val="4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2987551867218911E-3"/>
              <c:y val="-6.274509803921568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710008866111892E-2"/>
              <c:y val="-4.6629499053131497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layout>
            <c:manualLayout>
              <c:x val="0"/>
              <c:y val="-1.8133694076217861E-2"/>
            </c:manualLayout>
          </c:layout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9045643153526972E-2"/>
              <c:y val="-4.7058823529411764E-2"/>
            </c:manualLayout>
          </c:layout>
          <c:numFmt formatCode="_(* #,##0_);_(* \(#,##0\);_(* &quot;-&quot;_);_(@_)" sourceLinked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separator>. </c:separator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0746887966804978E-2"/>
              <c:y val="-6.2745098039215713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-3.0428769017980736E-2"/>
              <c:y val="-4.1830065359477135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C6B8BC96-6E2C-407D-8C7A-C6DF1291BE55}" type="VALUE">
                  <a:rPr lang="en-US" b="1">
                    <a:solidFill>
                      <a:schemeClr val="bg1"/>
                    </a:solidFill>
                  </a:rPr>
                  <a:pPr>
                    <a:defRPr/>
                  </a:pPr>
                  <a:t>[VALOR]</a:t>
                </a:fld>
                <a:endParaRPr lang="pt-BR"/>
              </a:p>
            </c:rich>
          </c:tx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15/08/2026</c:v>
                  </c:pt>
                  <c:pt idx="1">
                    <c:v>14/08/2026</c:v>
                  </c:pt>
                  <c:pt idx="2">
                    <c:v>13/08/2026</c:v>
                  </c:pt>
                  <c:pt idx="3">
                    <c:v>12/08/2026</c:v>
                  </c:pt>
                  <c:pt idx="4">
                    <c:v>11/08/2026</c:v>
                  </c:pt>
                  <c:pt idx="5">
                    <c:v>10/08/2026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S33</c:v>
                  </c:pt>
                </c:lvl>
              </c:multiLvlStrCache>
            </c:multiLvlStrRef>
          </c:cat>
          <c:val>
            <c:numRef>
              <c:f>TabDin!$C$4:$C$12</c:f>
              <c:numCache>
                <c:formatCode>_(* #,##0.00_);_(* \(#,##0.00\);_(* "-"??_);_(@_)</c:formatCode>
                <c:ptCount val="6"/>
                <c:pt idx="0">
                  <c:v>10018</c:v>
                </c:pt>
                <c:pt idx="1">
                  <c:v>12349</c:v>
                </c:pt>
                <c:pt idx="2">
                  <c:v>12708</c:v>
                </c:pt>
                <c:pt idx="3">
                  <c:v>12153</c:v>
                </c:pt>
                <c:pt idx="4">
                  <c:v>5587</c:v>
                </c:pt>
                <c:pt idx="5">
                  <c:v>8861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15/08/2026</c:v>
                  </c:pt>
                  <c:pt idx="1">
                    <c:v>14/08/2026</c:v>
                  </c:pt>
                  <c:pt idx="2">
                    <c:v>13/08/2026</c:v>
                  </c:pt>
                  <c:pt idx="3">
                    <c:v>12/08/2026</c:v>
                  </c:pt>
                  <c:pt idx="4">
                    <c:v>11/08/2026</c:v>
                  </c:pt>
                  <c:pt idx="5">
                    <c:v>10/08/2026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S33</c:v>
                  </c:pt>
                </c:lvl>
              </c:multiLvlStrCache>
            </c:multiLvlStrRef>
          </c:cat>
          <c:val>
            <c:numRef>
              <c:f>TabDin!$D$4:$D$12</c:f>
              <c:numCache>
                <c:formatCode>General</c:formatCode>
                <c:ptCount val="6"/>
                <c:pt idx="0">
                  <c:v>5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2304-451C-8119-5BD1CA49CA4F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2304-451C-8119-5BD1CA49CA4F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4"/>
              <c:layout>
                <c:manualLayout>
                  <c:x val="-3.0428769017980736E-2"/>
                  <c:y val="-4.1830065359477135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6B8BC96-6E2C-407D-8C7A-C6DF1291BE55}" type="VALUE">
                      <a:rPr lang="en-US" b="1">
                        <a:solidFill>
                          <a:schemeClr val="bg1"/>
                        </a:solidFill>
                      </a:rPr>
                      <a:pPr>
                        <a:defRPr/>
                      </a:pPr>
                      <a:t>[VALOR]</a:t>
                    </a:fld>
                    <a:endParaRPr lang="pt-BR"/>
                  </a:p>
                </c:rich>
              </c:tx>
              <c:numFmt formatCode="#,##0" sourceLinked="0"/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E2C0-47C5-880F-3A7B8D543E9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15/08/2026</c:v>
                  </c:pt>
                  <c:pt idx="1">
                    <c:v>14/08/2026</c:v>
                  </c:pt>
                  <c:pt idx="2">
                    <c:v>13/08/2026</c:v>
                  </c:pt>
                  <c:pt idx="3">
                    <c:v>12/08/2026</c:v>
                  </c:pt>
                  <c:pt idx="4">
                    <c:v>11/08/2026</c:v>
                  </c:pt>
                  <c:pt idx="5">
                    <c:v>10/08/2026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S33</c:v>
                  </c:pt>
                </c:lvl>
              </c:multiLvlStrCache>
            </c:multiLvlStrRef>
          </c:cat>
          <c:val>
            <c:numRef>
              <c:f>TabDin!$B$4:$B$12</c:f>
              <c:numCache>
                <c:formatCode>_(* #,##0.00_);_(* \(#,##0.00\);_(* "-"??_);_(@_)</c:formatCode>
                <c:ptCount val="6"/>
                <c:pt idx="0">
                  <c:v>15000</c:v>
                </c:pt>
                <c:pt idx="1">
                  <c:v>15000</c:v>
                </c:pt>
                <c:pt idx="2">
                  <c:v>15000</c:v>
                </c:pt>
                <c:pt idx="3">
                  <c:v>15000</c:v>
                </c:pt>
                <c:pt idx="4">
                  <c:v>15000</c:v>
                </c:pt>
                <c:pt idx="5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3945435466946487E-3"/>
              <c:y val="-7.7087794432548179E-2"/>
            </c:manualLayout>
          </c:layout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-1.5389996502273523E-2"/>
              <c:y val="-0.1284796573875803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fld id="{23846B20-F7CC-4069-A007-81E3FDCE0969}" type="VALUE">
                  <a:rPr lang="en-US" b="1">
                    <a:solidFill>
                      <a:schemeClr val="bg1"/>
                    </a:solidFill>
                  </a:rPr>
                  <a:pPr>
                    <a:defRPr/>
                  </a:pPr>
                  <a:t>[VALOR]</a:t>
                </a:fld>
                <a:endParaRPr lang="pt-BR"/>
              </a:p>
            </c:rich>
          </c:tx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S30</c:v>
                </c:pt>
                <c:pt idx="1">
                  <c:v>S31</c:v>
                </c:pt>
                <c:pt idx="2">
                  <c:v>S32</c:v>
                </c:pt>
                <c:pt idx="3">
                  <c:v>S33</c:v>
                </c:pt>
              </c:strCache>
            </c:strRef>
          </c:cat>
          <c:val>
            <c:numRef>
              <c:f>TabDin!$R$2:$R$6</c:f>
              <c:numCache>
                <c:formatCode>_-* #,##0_-;\-* #,##0_-;_-* "-"??_-;_-@_-</c:formatCode>
                <c:ptCount val="4"/>
                <c:pt idx="0">
                  <c:v>21413</c:v>
                </c:pt>
                <c:pt idx="1">
                  <c:v>23332</c:v>
                </c:pt>
                <c:pt idx="2">
                  <c:v>37834</c:v>
                </c:pt>
                <c:pt idx="3">
                  <c:v>28356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S30</c:v>
                </c:pt>
                <c:pt idx="1">
                  <c:v>S31</c:v>
                </c:pt>
                <c:pt idx="2">
                  <c:v>S32</c:v>
                </c:pt>
                <c:pt idx="3">
                  <c:v>S33</c:v>
                </c:pt>
              </c:strCache>
            </c:strRef>
          </c:cat>
          <c:val>
            <c:numRef>
              <c:f>TabDin!$T$2:$T$6</c:f>
              <c:numCache>
                <c:formatCode>_-* #,##0_-;\-* #,##0_-;_-* "-"??_-;_-@_-</c:formatCode>
                <c:ptCount val="4"/>
                <c:pt idx="0">
                  <c:v>17022</c:v>
                </c:pt>
                <c:pt idx="1">
                  <c:v>17642</c:v>
                </c:pt>
                <c:pt idx="2">
                  <c:v>29549</c:v>
                </c:pt>
                <c:pt idx="3">
                  <c:v>24262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184C-48DD-9D15-1F84058F6836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7E2-41C0-A5AE-E39A77C1C7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7E2-41C0-A5AE-E39A77C1C70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7E2-41C0-A5AE-E39A77C1C707}"/>
                </c:ext>
              </c:extLst>
            </c:dLbl>
            <c:dLbl>
              <c:idx val="3"/>
              <c:layout>
                <c:manualLayout>
                  <c:x val="-1.5389996502273523E-2"/>
                  <c:y val="-0.1284796573875803"/>
                </c:manualLayout>
              </c:layout>
              <c:tx>
                <c:rich>
                  <a:bodyPr/>
                  <a:lstStyle/>
                  <a:p>
                    <a:fld id="{23846B20-F7CC-4069-A007-81E3FDCE0969}" type="VALUE">
                      <a:rPr lang="en-US" b="1">
                        <a:solidFill>
                          <a:schemeClr val="bg1"/>
                        </a:solidFill>
                      </a:rPr>
                      <a:pPr/>
                      <a:t>[VALOR]</a:t>
                    </a:fld>
                    <a:endParaRPr lang="pt-BR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6-184C-48DD-9D15-1F84058F6836}"/>
                </c:ext>
              </c:extLst>
            </c:dLbl>
            <c:spPr>
              <a:solidFill>
                <a:srgbClr val="DD9411"/>
              </a:solidFill>
              <a:ln>
                <a:solidFill>
                  <a:schemeClr val="accent6">
                    <a:lumMod val="75000"/>
                  </a:schemeClr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S30</c:v>
                </c:pt>
                <c:pt idx="1">
                  <c:v>S31</c:v>
                </c:pt>
                <c:pt idx="2">
                  <c:v>S32</c:v>
                </c:pt>
                <c:pt idx="3">
                  <c:v>S33</c:v>
                </c:pt>
              </c:strCache>
            </c:strRef>
          </c:cat>
          <c:val>
            <c:numRef>
              <c:f>TabDin!$S$2:$S$6</c:f>
              <c:numCache>
                <c:formatCode>_-* #,##0_-;\-* #,##0_-;_-* "-"??_-;_-@_-</c:formatCode>
                <c:ptCount val="4"/>
                <c:pt idx="0">
                  <c:v>24000</c:v>
                </c:pt>
                <c:pt idx="1">
                  <c:v>23999.999999999996</c:v>
                </c:pt>
                <c:pt idx="2">
                  <c:v>23999.999999999996</c:v>
                </c:pt>
                <c:pt idx="3">
                  <c:v>24000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182882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1.457741550927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1.457741782404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1.457742013888" createdVersion="8" refreshedVersion="8" minRefreshableVersion="3" recordCount="855" xr:uid="{9D45AC4C-13ED-4258-A051-E1A0E0BEF410}">
  <cacheSource type="worksheet">
    <worksheetSource ref="A4:AB7112" sheet="BD"/>
  </cacheSource>
  <cacheFields count="28">
    <cacheField name="Data" numFmtId="14">
      <sharedItems containsNonDate="0" containsDate="1" containsString="0" containsBlank="1" minDate="2026-05-04T00:00:00" maxDate="2026-08-17T00:00:00" count="106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m/>
      </sharedItems>
    </cacheField>
    <cacheField name="Semana" numFmtId="0">
      <sharedItems containsBlank="1" count="17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m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8">
        <s v="Jazida de Cascalho"/>
        <s v="Drenagem"/>
        <s v="Produção"/>
        <s v="Produção/Rebaixo"/>
        <s v="Apoio"/>
        <m/>
        <s v="Limpeza"/>
        <s v="Escavação"/>
      </sharedItems>
    </cacheField>
    <cacheField name="Cascalho Real" numFmtId="0">
      <sharedItems containsBlank="1" containsMixedTypes="1" containsNumber="1" minValue="0" maxValue="636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339.7099999999991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7.4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1.457742245373" createdVersion="8" refreshedVersion="8" minRefreshableVersion="3" recordCount="855" xr:uid="{8D9D6DB7-C64F-4C80-9A78-61C3071D7139}">
  <cacheSource type="worksheet">
    <worksheetSource ref="A4:AB2546" sheet="BD"/>
  </cacheSource>
  <cacheFields count="28">
    <cacheField name="Data" numFmtId="14">
      <sharedItems containsNonDate="0" containsDate="1" containsString="0" containsBlank="1" minDate="2026-05-04T00:00:00" maxDate="2026-08-17T00:00:00" count="106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m/>
      </sharedItems>
    </cacheField>
    <cacheField name="Semana" numFmtId="0">
      <sharedItems containsBlank="1" count="18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m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8">
        <s v="Jazida de Cascalho"/>
        <s v="Drenagem"/>
        <s v="Produção"/>
        <s v="Produção/Rebaixo"/>
        <s v="Apoio"/>
        <m/>
        <s v="Limpeza"/>
        <s v="Escavação"/>
      </sharedItems>
    </cacheField>
    <cacheField name="Cascalho Real" numFmtId="0">
      <sharedItems containsBlank="1" containsMixedTypes="1" containsNumber="1" minValue="0" maxValue="636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339.7099999999991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7.4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5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n v="0"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s v="Em operação"/>
    <s v="ES 0096"/>
    <x v="2"/>
    <m/>
    <m/>
    <n v="2142.8571428571427"/>
    <n v="331.76943699731902"/>
    <n v="8.86"/>
    <n v="7.46"/>
    <n v="1.4"/>
    <n v="15.81"/>
    <s v="942"/>
    <n v="2475"/>
    <n v="1.58"/>
    <n v="9.84"/>
    <n v="150.94"/>
    <n v="6.15"/>
    <n v="4.3899999999999997"/>
    <n v="144.79"/>
    <n v="19.420000000000002"/>
    <n v="9305.5"/>
    <s v="98676"/>
    <s v="149544"/>
    <n v="0.2"/>
    <s v="0"/>
    <n v="291.8"/>
  </r>
  <r>
    <x v="98"/>
    <x v="15"/>
    <s v="Em operação"/>
    <s v="ES 0097"/>
    <x v="2"/>
    <m/>
    <m/>
    <n v="2142.8571428571427"/>
    <n v="37.313432835820898"/>
    <n v="2.46"/>
    <n v="2.0099999999999998"/>
    <n v="0.45"/>
    <n v="18.309999999999999"/>
    <s v=""/>
    <n v="75"/>
    <s v=""/>
    <s v=""/>
    <n v="35.49"/>
    <n v="1.42"/>
    <n v="3.15"/>
    <n v="34.07"/>
    <n v="16.97"/>
    <n v="8899.67"/>
    <s v=""/>
    <s v=""/>
    <n v="0.4"/>
    <s v=""/>
    <n v="263.60000000000002"/>
  </r>
  <r>
    <x v="98"/>
    <x v="15"/>
    <s v="Em operação"/>
    <s v="ES 0135"/>
    <x v="2"/>
    <m/>
    <m/>
    <n v="2142.8571428571427"/>
    <n v="258.160237388724"/>
    <n v="8.94"/>
    <n v="6.74"/>
    <n v="2.2000000000000002"/>
    <n v="24.62"/>
    <s v="1222"/>
    <n v="1740"/>
    <n v="2.1800000000000002"/>
    <n v="17.82"/>
    <n v="149.52000000000001"/>
    <n v="8.0399999999999991"/>
    <n v="3.66"/>
    <n v="141.47999999999999"/>
    <n v="21.01"/>
    <n v="694.05"/>
    <s v="65892"/>
    <s v="130330"/>
    <n v="0.8"/>
    <s v="0"/>
    <n v="67.599999999999994"/>
  </r>
  <r>
    <x v="98"/>
    <x v="15"/>
    <s v="Em operação"/>
    <s v="ES 0135"/>
    <x v="6"/>
    <m/>
    <m/>
    <m/>
    <m/>
    <m/>
    <m/>
    <m/>
    <m/>
    <m/>
    <n v="925"/>
    <m/>
    <m/>
    <m/>
    <m/>
    <m/>
    <m/>
    <m/>
    <m/>
    <m/>
    <m/>
    <m/>
    <m/>
    <m/>
  </r>
  <r>
    <x v="98"/>
    <x v="15"/>
    <s v="Em operação"/>
    <s v="ES 0110"/>
    <x v="2"/>
    <m/>
    <m/>
    <n v="2142.8571428571427"/>
    <n v="0"/>
    <n v="1.36"/>
    <n v="0.66"/>
    <n v="0.7"/>
    <n v="51.39"/>
    <s v="0"/>
    <n v="0"/>
    <s v=""/>
    <s v="0"/>
    <n v="10.88"/>
    <n v="2.37"/>
    <n v="3.38"/>
    <n v="8.52"/>
    <n v="12.86"/>
    <n v="2551.2199999999998"/>
    <s v="174289"/>
    <s v="334891"/>
    <n v="0.3"/>
    <s v=""/>
    <n v="331.8"/>
  </r>
  <r>
    <x v="98"/>
    <x v="15"/>
    <s v="Em operação"/>
    <s v="ES 0126"/>
    <x v="2"/>
    <m/>
    <m/>
    <n v="2142.8571428571427"/>
    <n v="144.85049833887044"/>
    <n v="10.73"/>
    <n v="9.0299999999999994"/>
    <n v="1.7"/>
    <n v="15.85"/>
    <s v="794"/>
    <n v="1308"/>
    <n v="1.65"/>
    <n v="6.79"/>
    <n v="192.58"/>
    <n v="6.15"/>
    <n v="3.62"/>
    <n v="186.43"/>
    <n v="20.65"/>
    <n v="1142.1500000000001"/>
    <s v="117812"/>
    <s v="262668"/>
    <n v="0.5"/>
    <s v="0"/>
    <n v="119.8"/>
  </r>
  <r>
    <x v="98"/>
    <x v="15"/>
    <s v="Em operação"/>
    <s v="ES 0099"/>
    <x v="2"/>
    <m/>
    <m/>
    <n v="2142.8571428571427"/>
    <n v="337.05953827460507"/>
    <n v="8.7799999999999994"/>
    <n v="8.23"/>
    <n v="0.55000000000000004"/>
    <n v="6.26"/>
    <s v="944"/>
    <n v="2774"/>
    <n v="2.94"/>
    <n v="10.74"/>
    <n v="258.35000000000002"/>
    <n v="3.31"/>
    <n v="6.02"/>
    <n v="255.04"/>
    <n v="30.98"/>
    <n v="8113.11"/>
    <s v="133402"/>
    <s v="396329"/>
    <n v="0.5"/>
    <s v="0"/>
    <n v="255.1"/>
  </r>
  <r>
    <x v="98"/>
    <x v="15"/>
    <s v="Em operação"/>
    <s v="ES 0101"/>
    <x v="0"/>
    <n v="6365"/>
    <m/>
    <n v="4000"/>
    <n v="601.03871576959398"/>
    <n v="11.74"/>
    <n v="10.59"/>
    <n v="1.1499999999999999"/>
    <n v="9.8000000000000007"/>
    <s v="1164"/>
    <n v="6365"/>
    <n v="5.47"/>
    <n v="15.53"/>
    <n v="409.77"/>
    <n v="7.57"/>
    <n v="6.58"/>
    <n v="402.2"/>
    <n v="37.99"/>
    <n v="6728.83"/>
    <s v="432359"/>
    <s v="1566104"/>
    <n v="0.1"/>
    <s v="0"/>
    <n v="49.4"/>
  </r>
  <r>
    <x v="98"/>
    <x v="15"/>
    <s v="Em operação"/>
    <s v="ES 0116"/>
    <x v="2"/>
    <m/>
    <m/>
    <n v="2142.8571428571427"/>
    <n v="359.55882352941171"/>
    <n v="1.96"/>
    <n v="1.36"/>
    <n v="0.6"/>
    <n v="30.64"/>
    <s v="155"/>
    <n v="489"/>
    <n v="3.15"/>
    <n v="8.99"/>
    <n v="54.42"/>
    <n v="3.79"/>
    <n v="6.31"/>
    <n v="50.63"/>
    <n v="37.270000000000003"/>
    <n v="2068.52"/>
    <s v="203570"/>
    <s v="685170"/>
    <s v="0"/>
    <s v="0"/>
    <n v="5.6"/>
  </r>
  <r>
    <x v="99"/>
    <x v="15"/>
    <s v="Em operação"/>
    <s v="ES 0096"/>
    <x v="2"/>
    <m/>
    <m/>
    <n v="3000"/>
    <n v="247.074122236671"/>
    <n v="8.24"/>
    <n v="7.69"/>
    <n v="0.55000000000000004"/>
    <n v="6.68"/>
    <s v="1098"/>
    <n v="1900"/>
    <n v="1.59"/>
    <n v="11.53"/>
    <n v="151.41999999999999"/>
    <n v="2.37"/>
    <n v="4.3"/>
    <n v="149.05000000000001"/>
    <n v="19.39"/>
    <n v="9313.74"/>
    <s v="99774"/>
    <s v="151290"/>
    <s v="0"/>
    <s v="0"/>
    <n v="291.8"/>
  </r>
  <r>
    <x v="99"/>
    <x v="15"/>
    <s v="Em operação"/>
    <s v="ES 0097"/>
    <x v="7"/>
    <m/>
    <m/>
    <m/>
    <n v="0"/>
    <s v=""/>
    <s v=""/>
    <s v=""/>
    <s v=""/>
    <s v=""/>
    <n v="450"/>
    <s v=""/>
    <s v=""/>
    <s v=""/>
    <s v=""/>
    <s v=""/>
    <s v=""/>
    <s v=""/>
    <s v=""/>
    <s v=""/>
    <s v=""/>
    <s v=""/>
    <s v=""/>
    <s v=""/>
  </r>
  <r>
    <x v="99"/>
    <x v="15"/>
    <s v="Em operação"/>
    <s v="ES 0135"/>
    <x v="6"/>
    <m/>
    <m/>
    <m/>
    <n v="307.66045548654245"/>
    <n v="13.16"/>
    <n v="9.66"/>
    <n v="3.5"/>
    <n v="26.59"/>
    <s v="1600"/>
    <n v="2972"/>
    <n v="2.42"/>
    <n v="18.18"/>
    <n v="212.93"/>
    <n v="11.36"/>
    <n v="3.24"/>
    <n v="201.57"/>
    <n v="20.86"/>
    <n v="707.22"/>
    <s v="67492"/>
    <s v="134202"/>
    <n v="0.6"/>
    <s v="0"/>
    <n v="68.2"/>
  </r>
  <r>
    <x v="99"/>
    <x v="15"/>
    <s v="Em operação"/>
    <s v="ES 0135"/>
    <x v="2"/>
    <m/>
    <m/>
    <n v="3000"/>
    <m/>
    <m/>
    <m/>
    <m/>
    <m/>
    <m/>
    <n v="900"/>
    <m/>
    <m/>
    <m/>
    <m/>
    <m/>
    <m/>
    <m/>
    <m/>
    <m/>
    <m/>
    <m/>
    <m/>
    <m/>
  </r>
  <r>
    <x v="99"/>
    <x v="15"/>
    <s v="Em operação"/>
    <s v="ES 0110"/>
    <x v="6"/>
    <m/>
    <m/>
    <m/>
    <n v="372.95285359801488"/>
    <n v="5.58"/>
    <n v="4.03"/>
    <n v="1.55"/>
    <n v="27.76"/>
    <s v="702"/>
    <n v="1503"/>
    <n v="2.14"/>
    <n v="16.12"/>
    <n v="93.22"/>
    <n v="6.15"/>
    <n v="3.97"/>
    <n v="87.06"/>
    <n v="21.59"/>
    <n v="2556.8000000000002"/>
    <s v="174991"/>
    <s v="336394"/>
    <n v="1.5"/>
    <s v="0"/>
    <n v="333.3"/>
  </r>
  <r>
    <x v="99"/>
    <x v="15"/>
    <s v="Em operação"/>
    <s v="ES 0126"/>
    <x v="2"/>
    <m/>
    <m/>
    <n v="3000"/>
    <n v="108.52618757612666"/>
    <n v="9.4600000000000009"/>
    <n v="8.2100000000000009"/>
    <n v="1.25"/>
    <n v="13.22"/>
    <s v="838"/>
    <n v="891"/>
    <n v="1.78"/>
    <n v="10.4"/>
    <n v="143.37"/>
    <n v="5.2"/>
    <n v="4.16"/>
    <n v="138.16999999999999"/>
    <n v="16.829999999999998"/>
    <n v="1151.94"/>
    <s v="118709"/>
    <s v="264250"/>
    <n v="0.6"/>
    <s v="0"/>
    <n v="120.4"/>
  </r>
  <r>
    <x v="99"/>
    <x v="15"/>
    <s v="Em operação"/>
    <s v="ES 0126"/>
    <x v="6"/>
    <m/>
    <m/>
    <m/>
    <m/>
    <m/>
    <m/>
    <m/>
    <m/>
    <m/>
    <n v="600"/>
    <m/>
    <m/>
    <m/>
    <m/>
    <m/>
    <m/>
    <m/>
    <m/>
    <m/>
    <m/>
    <m/>
    <m/>
    <m/>
  </r>
  <r>
    <x v="99"/>
    <x v="15"/>
    <s v="Em operação"/>
    <s v="ES 0099"/>
    <x v="2"/>
    <m/>
    <m/>
    <n v="3000"/>
    <n v="285.69206842923796"/>
    <n v="7.03"/>
    <n v="6.43"/>
    <n v="0.6"/>
    <n v="8.5299999999999994"/>
    <s v="662"/>
    <n v="1837"/>
    <n v="2.77"/>
    <n v="8.9"/>
    <n v="206.3"/>
    <n v="2.84"/>
    <n v="4.7300000000000004"/>
    <n v="203.47"/>
    <n v="31.64"/>
    <n v="8120.14"/>
    <s v="134064"/>
    <s v="398166"/>
    <n v="0.4"/>
    <s v="0"/>
    <n v="255.5"/>
  </r>
  <r>
    <x v="99"/>
    <x v="15"/>
    <s v="Em operação"/>
    <s v="ES 0101"/>
    <x v="0"/>
    <n v="4460"/>
    <m/>
    <n v="4000"/>
    <n v="803.60360360360357"/>
    <n v="6.1"/>
    <n v="5.55"/>
    <n v="0.55000000000000004"/>
    <n v="9.01"/>
    <s v="801"/>
    <n v="4460"/>
    <n v="5.57"/>
    <n v="20.399999999999999"/>
    <n v="218.61"/>
    <n v="3.31"/>
    <n v="6.02"/>
    <n v="215.3"/>
    <n v="38.76"/>
    <n v="6734.94"/>
    <s v="433160"/>
    <s v="1570564"/>
    <s v="0"/>
    <s v="0"/>
    <n v="49.4"/>
  </r>
  <r>
    <x v="99"/>
    <x v="15"/>
    <s v="Em operação"/>
    <s v="ES 0116"/>
    <x v="2"/>
    <m/>
    <m/>
    <n v="3000"/>
    <n v="74.683544303797461"/>
    <n v="1.0900000000000001"/>
    <n v="0.79"/>
    <n v="0.3"/>
    <n v="27.54"/>
    <s v="25"/>
    <n v="59"/>
    <n v="2.36"/>
    <n v="2.97"/>
    <n v="19.87"/>
    <n v="0.95"/>
    <n v="3.15"/>
    <n v="18.93"/>
    <n v="23.98"/>
    <n v="2069.61"/>
    <s v="203595"/>
    <s v="685229"/>
    <s v="0"/>
    <s v="0"/>
    <n v="5.6"/>
  </r>
  <r>
    <x v="100"/>
    <x v="15"/>
    <s v="Em operação"/>
    <s v="ES 0096"/>
    <x v="2"/>
    <m/>
    <m/>
    <n v="2500"/>
    <n v="234.87773487773489"/>
    <n v="8.57"/>
    <n v="7.77"/>
    <n v="0.8"/>
    <n v="9.33"/>
    <s v="886"/>
    <n v="1825"/>
    <n v="1.46"/>
    <n v="8.6999999999999993"/>
    <n v="148.58000000000001"/>
    <n v="3.31"/>
    <n v="4.1399999999999997"/>
    <n v="145.27000000000001"/>
    <n v="18.690000000000001"/>
    <n v="9322.31"/>
    <s v="100660"/>
    <s v="152582"/>
    <n v="0.4"/>
    <s v="0"/>
    <n v="292.2"/>
  </r>
  <r>
    <x v="100"/>
    <x v="15"/>
    <s v="Em operação"/>
    <s v="ES 0097"/>
    <x v="7"/>
    <m/>
    <m/>
    <m/>
    <n v="0"/>
    <n v="7.96"/>
    <n v="6.76"/>
    <n v="1.2"/>
    <n v="15.07"/>
    <s v=""/>
    <s v="-"/>
    <s v=""/>
    <s v=""/>
    <n v="151.41999999999999"/>
    <n v="5.68"/>
    <n v="4.7300000000000004"/>
    <n v="145.74"/>
    <n v="21.55"/>
    <n v="8916.3799999999992"/>
    <s v=""/>
    <s v=""/>
    <n v="0.9"/>
    <s v=""/>
    <n v="265.2"/>
  </r>
  <r>
    <x v="100"/>
    <x v="15"/>
    <s v="Em operação"/>
    <s v="ES 0135"/>
    <x v="2"/>
    <m/>
    <m/>
    <n v="2500"/>
    <n v="290.70487993803255"/>
    <n v="15.56"/>
    <n v="12.91"/>
    <n v="2.65"/>
    <n v="17.03"/>
    <s v="2134"/>
    <n v="3753"/>
    <n v="2.31"/>
    <n v="17.77"/>
    <n v="277.27999999999997"/>
    <n v="7.57"/>
    <n v="2.86"/>
    <n v="269.70999999999998"/>
    <n v="20.88"/>
    <n v="722.78"/>
    <s v="69626"/>
    <s v="139130"/>
    <n v="1.2"/>
    <s v="0"/>
    <n v="69.400000000000006"/>
  </r>
  <r>
    <x v="100"/>
    <x v="15"/>
    <s v="Em operação"/>
    <s v="ES 0135"/>
    <x v="6"/>
    <m/>
    <m/>
    <m/>
    <m/>
    <m/>
    <m/>
    <m/>
    <m/>
    <m/>
    <n v="1175"/>
    <m/>
    <m/>
    <m/>
    <m/>
    <m/>
    <m/>
    <m/>
    <m/>
    <m/>
    <m/>
    <m/>
    <m/>
    <m/>
  </r>
  <r>
    <x v="100"/>
    <x v="15"/>
    <s v="Em operação"/>
    <s v="ES 0110"/>
    <x v="2"/>
    <m/>
    <m/>
    <n v="2500"/>
    <n v="143.33895446880271"/>
    <n v="7.38"/>
    <n v="5.93"/>
    <n v="1.45"/>
    <n v="19.66"/>
    <s v="514"/>
    <n v="850"/>
    <n v="1.65"/>
    <n v="6.75"/>
    <n v="125.86"/>
    <n v="4.7300000000000004"/>
    <n v="3.26"/>
    <n v="121.13"/>
    <n v="20.440000000000001"/>
    <n v="2564.1799999999998"/>
    <s v="175505"/>
    <s v="337244"/>
    <n v="2.7"/>
    <n v="0.01"/>
    <s v="336"/>
  </r>
  <r>
    <x v="100"/>
    <x v="15"/>
    <s v="Em operação"/>
    <s v="ES 0126"/>
    <x v="2"/>
    <m/>
    <m/>
    <n v="2500"/>
    <n v="185.42024013722127"/>
    <n v="7.23"/>
    <n v="5.83"/>
    <n v="1.4"/>
    <n v="19.350000000000001"/>
    <s v="679"/>
    <n v="1081"/>
    <n v="1.59"/>
    <n v="8.7899999999999991"/>
    <n v="123.03"/>
    <n v="5.2"/>
    <n v="3.72"/>
    <n v="117.82"/>
    <n v="20.190000000000001"/>
    <n v="1159.18"/>
    <s v="119561"/>
    <s v="265499"/>
    <n v="0.7"/>
    <s v="0"/>
    <n v="121.1"/>
  </r>
  <r>
    <x v="100"/>
    <x v="15"/>
    <s v="Em operação"/>
    <s v="ES 0099"/>
    <x v="2"/>
    <m/>
    <m/>
    <n v="2500"/>
    <n v="259.21717171717171"/>
    <n v="8.52"/>
    <n v="7.92"/>
    <n v="0.6"/>
    <n v="7.04"/>
    <s v="741"/>
    <n v="2053"/>
    <n v="2.77"/>
    <n v="8.3000000000000007"/>
    <n v="247.47"/>
    <n v="5.2"/>
    <n v="8.67"/>
    <n v="242.27"/>
    <n v="30.58"/>
    <n v="8128.67"/>
    <s v="134805"/>
    <s v="400219"/>
    <n v="0.4"/>
    <s v="0"/>
    <n v="255.9"/>
  </r>
  <r>
    <x v="100"/>
    <x v="15"/>
    <s v="Em operação"/>
    <s v="ES 0101"/>
    <x v="0"/>
    <n v="3706"/>
    <m/>
    <n v="4000"/>
    <n v="459.02636916835701"/>
    <n v="11.01"/>
    <n v="9.86"/>
    <n v="1.1499999999999999"/>
    <n v="10.45"/>
    <s v="1027"/>
    <n v="4526"/>
    <n v="4.41"/>
    <n v="11.94"/>
    <n v="379.01"/>
    <n v="7.1"/>
    <n v="6.17"/>
    <n v="371.92"/>
    <n v="37.72"/>
    <n v="6745.94"/>
    <s v="434187"/>
    <s v="1575090"/>
    <n v="0.1"/>
    <s v="0"/>
    <n v="49.5"/>
  </r>
  <r>
    <x v="100"/>
    <x v="15"/>
    <s v="Em operação"/>
    <s v="ES 0116"/>
    <x v="2"/>
    <m/>
    <m/>
    <n v="2500"/>
    <n v="415.22435897435895"/>
    <n v="7.74"/>
    <n v="6.24"/>
    <n v="1.5"/>
    <n v="19.39"/>
    <s v="1083"/>
    <n v="2591"/>
    <n v="2.39"/>
    <n v="9.73"/>
    <n v="266.39999999999998"/>
    <n v="7.57"/>
    <n v="5.05"/>
    <n v="258.83"/>
    <n v="41.51"/>
    <n v="2077.35"/>
    <s v="204678"/>
    <s v="687820"/>
    <s v="0"/>
    <s v="0"/>
    <n v="5.6"/>
  </r>
  <r>
    <x v="101"/>
    <x v="15"/>
    <s v="Em operação"/>
    <s v="ES 0096"/>
    <x v="2"/>
    <m/>
    <m/>
    <n v="2500"/>
    <n v="278.53260869565219"/>
    <n v="8.36"/>
    <n v="7.36"/>
    <s v="1"/>
    <n v="11.96"/>
    <s v="944"/>
    <n v="2050"/>
    <n v="1.36"/>
    <n v="9.25"/>
    <n v="138.63999999999999"/>
    <n v="4.26"/>
    <n v="4.26"/>
    <n v="134.38"/>
    <n v="18.260000000000002"/>
    <n v="9330.67"/>
    <s v="101604"/>
    <s v="153865"/>
    <n v="0.1"/>
    <s v="0"/>
    <n v="292.3"/>
  </r>
  <r>
    <x v="101"/>
    <x v="15"/>
    <s v="Em operação"/>
    <s v="ES 0097"/>
    <x v="7"/>
    <m/>
    <m/>
    <m/>
    <n v="0"/>
    <n v="7.08"/>
    <n v="5.13"/>
    <n v="1.95"/>
    <n v="27.53"/>
    <s v=""/>
    <s v="-"/>
    <s v=""/>
    <s v=""/>
    <n v="105.52"/>
    <n v="8.0399999999999991"/>
    <n v="4.13"/>
    <n v="97.47"/>
    <n v="18.989999999999998"/>
    <n v="8923.4699999999993"/>
    <s v=""/>
    <s v=""/>
    <n v="0.1"/>
    <s v=""/>
    <n v="265.3"/>
  </r>
  <r>
    <x v="101"/>
    <x v="15"/>
    <s v="Em operação"/>
    <s v="ES 0135"/>
    <x v="2"/>
    <m/>
    <m/>
    <n v="2500"/>
    <n v="335.17823639774861"/>
    <n v="15.76"/>
    <n v="10.66"/>
    <n v="5.0999999999999996"/>
    <n v="32.36"/>
    <s v="1784"/>
    <n v="3573"/>
    <n v="2.27"/>
    <n v="17.600000000000001"/>
    <n v="229.96"/>
    <n v="16.09"/>
    <n v="3.15"/>
    <n v="213.88"/>
    <n v="20.059999999999999"/>
    <n v="738.54"/>
    <s v="71410"/>
    <s v="143178"/>
    <n v="1.6"/>
    <s v="0"/>
    <s v="71"/>
  </r>
  <r>
    <x v="101"/>
    <x v="15"/>
    <s v="Em operação"/>
    <s v="ES 0135"/>
    <x v="6"/>
    <m/>
    <m/>
    <m/>
    <m/>
    <m/>
    <m/>
    <m/>
    <m/>
    <m/>
    <n v="475"/>
    <m/>
    <m/>
    <m/>
    <m/>
    <m/>
    <m/>
    <m/>
    <m/>
    <m/>
    <m/>
    <m/>
    <m/>
    <m/>
  </r>
  <r>
    <x v="101"/>
    <x v="15"/>
    <s v="Em operação"/>
    <s v="ES 0110"/>
    <x v="2"/>
    <m/>
    <m/>
    <n v="2500"/>
    <n v="248.64433811802235"/>
    <n v="7.02"/>
    <n v="6.27"/>
    <n v="0.75"/>
    <n v="10.68"/>
    <s v="703"/>
    <n v="1559"/>
    <n v="2.2200000000000002"/>
    <n v="12.2"/>
    <n v="127.76"/>
    <n v="3.31"/>
    <n v="4.42"/>
    <n v="124.45"/>
    <n v="19.850000000000001"/>
    <n v="2571.1999999999998"/>
    <s v="176208"/>
    <s v="338803"/>
    <n v="0.4"/>
    <s v="0"/>
    <n v="336.4"/>
  </r>
  <r>
    <x v="101"/>
    <x v="15"/>
    <s v="Em operação"/>
    <s v="ES 0126"/>
    <x v="2"/>
    <m/>
    <m/>
    <n v="2500"/>
    <n v="242.2110552763819"/>
    <n v="8.61"/>
    <n v="7.96"/>
    <n v="0.65"/>
    <n v="7.55"/>
    <s v="1118"/>
    <n v="1928"/>
    <n v="1.72"/>
    <n v="10.98"/>
    <n v="175.55"/>
    <n v="2.37"/>
    <n v="3.64"/>
    <n v="173.18"/>
    <n v="21.76"/>
    <n v="1167.79"/>
    <s v="120679"/>
    <s v="267427"/>
    <s v="0"/>
    <s v="0"/>
    <n v="121.1"/>
  </r>
  <r>
    <x v="101"/>
    <x v="15"/>
    <s v="Em operação"/>
    <s v="ES 0099"/>
    <x v="2"/>
    <m/>
    <m/>
    <n v="2500"/>
    <n v="283.26612903225805"/>
    <n v="5.41"/>
    <n v="4.96"/>
    <n v="0.45"/>
    <n v="8.32"/>
    <s v="433"/>
    <n v="1405"/>
    <n v="3.24"/>
    <n v="9.0299999999999994"/>
    <n v="155.68"/>
    <n v="2.84"/>
    <n v="6.31"/>
    <n v="152.84"/>
    <n v="30.82"/>
    <n v="8134.08"/>
    <s v="135238"/>
    <s v="401624"/>
    <n v="0.2"/>
    <s v="0"/>
    <n v="256.10000000000002"/>
  </r>
  <r>
    <x v="101"/>
    <x v="15"/>
    <s v="Em operação"/>
    <s v="ES 0101"/>
    <x v="0"/>
    <n v="4252"/>
    <m/>
    <n v="4000"/>
    <n v="483.49328214971212"/>
    <n v="11.18"/>
    <n v="10.42"/>
    <n v="0.75"/>
    <n v="6.71"/>
    <s v="1091"/>
    <n v="5038"/>
    <n v="4.62"/>
    <n v="12.41"/>
    <n v="405.99"/>
    <n v="5.2"/>
    <n v="6.94"/>
    <n v="400.78"/>
    <n v="38.44"/>
    <n v="6757.12"/>
    <s v="435278"/>
    <s v="1580128"/>
    <n v="0.1"/>
    <s v="0"/>
    <n v="49.6"/>
  </r>
  <r>
    <x v="101"/>
    <x v="15"/>
    <s v="Em operação"/>
    <s v="ES 0116"/>
    <x v="2"/>
    <m/>
    <m/>
    <n v="2500"/>
    <n v="276.89393939393938"/>
    <n v="10.72"/>
    <n v="7.92"/>
    <n v="2.8"/>
    <n v="26.12"/>
    <s v="915"/>
    <n v="2193"/>
    <n v="3.76"/>
    <n v="11.09"/>
    <n v="310.39999999999998"/>
    <n v="12.3"/>
    <n v="4.3899999999999997"/>
    <n v="298.10000000000002"/>
    <n v="37.64"/>
    <n v="2088.0700000000002"/>
    <s v="205593"/>
    <s v="691263"/>
    <s v="0"/>
    <s v="0"/>
    <n v="5.6"/>
  </r>
  <r>
    <x v="101"/>
    <x v="15"/>
    <s v="Em operação"/>
    <s v="ES 0116"/>
    <x v="6"/>
    <m/>
    <m/>
    <m/>
    <m/>
    <m/>
    <m/>
    <m/>
    <m/>
    <m/>
    <n v="1250"/>
    <m/>
    <m/>
    <m/>
    <m/>
    <m/>
    <m/>
    <m/>
    <m/>
    <m/>
    <m/>
    <m/>
    <m/>
    <m/>
  </r>
  <r>
    <x v="102"/>
    <x v="15"/>
    <s v="Em operação"/>
    <s v="ES 0096"/>
    <x v="2"/>
    <m/>
    <m/>
    <n v="2500"/>
    <n v="206.18556701030928"/>
    <n v="8.44"/>
    <n v="6.79"/>
    <n v="1.65"/>
    <n v="19.55"/>
    <s v="803"/>
    <n v="1400"/>
    <n v="1.46"/>
    <n v="8.86"/>
    <n v="132.02000000000001"/>
    <n v="6.62"/>
    <n v="4.01"/>
    <n v="125.39"/>
    <n v="18.46"/>
    <n v="9339.11"/>
    <s v="102407"/>
    <s v="155035"/>
    <s v="0"/>
    <s v="0"/>
    <n v="292.3"/>
  </r>
  <r>
    <x v="102"/>
    <x v="15"/>
    <s v="Em operação"/>
    <s v="ES 0097"/>
    <x v="7"/>
    <m/>
    <m/>
    <m/>
    <n v="0"/>
    <n v="7.29"/>
    <n v="4.3899999999999997"/>
    <n v="2.9"/>
    <n v="39.770000000000003"/>
    <s v=""/>
    <s v=""/>
    <s v=""/>
    <s v=""/>
    <n v="90.38"/>
    <n v="11.83"/>
    <n v="4.08"/>
    <n v="78.55"/>
    <n v="17.89"/>
    <n v="8930.76"/>
    <s v=""/>
    <s v=""/>
    <n v="0.1"/>
    <s v=""/>
    <n v="265.39999999999998"/>
  </r>
  <r>
    <x v="102"/>
    <x v="15"/>
    <s v="Em operação"/>
    <s v="ES 0135"/>
    <x v="2"/>
    <m/>
    <m/>
    <n v="2500"/>
    <n v="335.66433566433568"/>
    <n v="11.48"/>
    <n v="8.58"/>
    <n v="2.9"/>
    <n v="25.25"/>
    <s v="1489"/>
    <n v="2880"/>
    <n v="1.93"/>
    <n v="15.65"/>
    <n v="184.07"/>
    <n v="8.99"/>
    <n v="3.1"/>
    <n v="175.08"/>
    <n v="20.39"/>
    <n v="750.02"/>
    <s v="72899"/>
    <s v="146058"/>
    <n v="1.3"/>
    <s v="0"/>
    <n v="72.3"/>
  </r>
  <r>
    <x v="102"/>
    <x v="15"/>
    <s v="Em operação"/>
    <s v="ES 0110"/>
    <x v="2"/>
    <m/>
    <m/>
    <n v="2500"/>
    <n v="35.971223021582738"/>
    <n v="5.82"/>
    <n v="4.17"/>
    <n v="1.65"/>
    <n v="28.35"/>
    <s v="148"/>
    <n v="150"/>
    <n v="1.01"/>
    <n v="2.0099999999999998"/>
    <n v="74.760000000000005"/>
    <n v="5.68"/>
    <n v="3.44"/>
    <n v="69.08"/>
    <n v="16.57"/>
    <n v="2577.02"/>
    <s v="176356"/>
    <s v="338953"/>
    <s v="1"/>
    <n v="0.01"/>
    <n v="337.4"/>
  </r>
  <r>
    <x v="102"/>
    <x v="15"/>
    <s v="Em operação"/>
    <s v="ES 0126"/>
    <x v="2"/>
    <m/>
    <m/>
    <n v="2500"/>
    <n v="243.23308270676691"/>
    <n v="8.83"/>
    <n v="7.98"/>
    <n v="0.85"/>
    <n v="9.6300000000000008"/>
    <s v="1039"/>
    <n v="1941"/>
    <n v="1.87"/>
    <n v="11.12"/>
    <n v="174.6"/>
    <n v="3.31"/>
    <n v="3.9"/>
    <n v="171.29"/>
    <n v="21.47"/>
    <n v="1176.6199999999999"/>
    <s v="121718"/>
    <s v="269368"/>
    <s v="0"/>
    <s v="0"/>
    <n v="121.1"/>
  </r>
  <r>
    <x v="102"/>
    <x v="15"/>
    <s v="Em operação"/>
    <s v="ES 0099"/>
    <x v="2"/>
    <m/>
    <m/>
    <n v="2500"/>
    <n v="309.63244613434728"/>
    <n v="9.44"/>
    <n v="7.89"/>
    <n v="1.55"/>
    <n v="16.41"/>
    <s v="763"/>
    <n v="2443"/>
    <n v="3.2"/>
    <n v="10.47"/>
    <n v="233.28"/>
    <n v="8.99"/>
    <n v="5.8"/>
    <n v="224.29"/>
    <n v="28.41"/>
    <n v="8143.52"/>
    <s v="136001"/>
    <s v="404067"/>
    <n v="0.1"/>
    <s v="0"/>
    <n v="256.2"/>
  </r>
  <r>
    <x v="102"/>
    <x v="15"/>
    <s v="Em operação"/>
    <s v="ES 0101"/>
    <x v="0"/>
    <n v="2904"/>
    <m/>
    <n v="4000"/>
    <n v="497.11155378486058"/>
    <n v="11.29"/>
    <n v="10.039999999999999"/>
    <n v="1.25"/>
    <n v="11.07"/>
    <s v="1153"/>
    <n v="4991"/>
    <n v="4.33"/>
    <n v="12.71"/>
    <n v="392.74"/>
    <n v="7.57"/>
    <n v="6.06"/>
    <n v="385.17"/>
    <n v="38.35"/>
    <n v="6768.41"/>
    <s v="436431"/>
    <s v="1585119"/>
    <s v="0"/>
    <s v="0"/>
    <n v="49.6"/>
  </r>
  <r>
    <x v="102"/>
    <x v="15"/>
    <s v="Em operação"/>
    <s v="ES 0116"/>
    <x v="2"/>
    <m/>
    <m/>
    <n v="2500"/>
    <n v="482.26466575716233"/>
    <n v="10.38"/>
    <n v="7.33"/>
    <n v="3.05"/>
    <n v="29.39"/>
    <s v="912"/>
    <n v="3535"/>
    <n v="3.88"/>
    <n v="12.15"/>
    <s v="291"/>
    <n v="11.83"/>
    <n v="3.88"/>
    <n v="279.17"/>
    <n v="38.11"/>
    <n v="2098.44"/>
    <s v="206505"/>
    <s v="694798"/>
    <s v="0"/>
    <s v="0"/>
    <n v="5.6"/>
  </r>
  <r>
    <x v="103"/>
    <x v="1"/>
    <s v="Não operacional"/>
    <s v="ES 0096"/>
    <x v="2"/>
    <m/>
    <s v="Na oficina"/>
    <m/>
    <n v="0"/>
    <n v="0.6"/>
    <n v="0.45"/>
    <n v="0.15"/>
    <n v="25.1"/>
    <s v="2"/>
    <n v="0"/>
    <s v="0"/>
    <s v="0"/>
    <n v="3.79"/>
    <n v="0.47"/>
    <n v="3.15"/>
    <n v="3.31"/>
    <n v="7.4"/>
    <n v="9339.7099999999991"/>
    <s v="102409"/>
    <s v="155035"/>
    <n v="0.1"/>
    <n v="0.05"/>
    <n v="292.39999999999998"/>
  </r>
  <r>
    <x v="103"/>
    <x v="15"/>
    <s v="Em operação"/>
    <s v="ES 0097"/>
    <x v="7"/>
    <m/>
    <m/>
    <m/>
    <n v="0"/>
    <n v="5.75"/>
    <n v="3.15"/>
    <n v="2.6"/>
    <n v="45.24"/>
    <s v=""/>
    <s v=""/>
    <s v=""/>
    <s v=""/>
    <n v="69.08"/>
    <n v="9.94"/>
    <n v="3.82"/>
    <n v="59.15"/>
    <n v="18.79"/>
    <n v="8936.51"/>
    <s v=""/>
    <s v=""/>
    <n v="0.4"/>
    <s v=""/>
    <n v="265.8"/>
  </r>
  <r>
    <x v="103"/>
    <x v="15"/>
    <s v="Em operação"/>
    <s v="ES 0135"/>
    <x v="2"/>
    <m/>
    <m/>
    <n v="3000"/>
    <n v="260.33519553072625"/>
    <n v="5.97"/>
    <n v="5.37"/>
    <n v="0.6"/>
    <n v="10.050000000000001"/>
    <s v="633"/>
    <n v="1398"/>
    <n v="2.21"/>
    <n v="17.18"/>
    <n v="81.39"/>
    <n v="2.37"/>
    <n v="3.94"/>
    <n v="79.02"/>
    <n v="14.72"/>
    <n v="755.99"/>
    <s v="73532"/>
    <s v="147456"/>
    <s v="0"/>
    <s v="0"/>
    <n v="72.3"/>
  </r>
  <r>
    <x v="103"/>
    <x v="15"/>
    <s v="Em operação"/>
    <s v="ES 0110"/>
    <x v="2"/>
    <m/>
    <m/>
    <n v="3000"/>
    <n v="278.55072463768113"/>
    <n v="7.5"/>
    <n v="6.9"/>
    <n v="0.6"/>
    <s v="8"/>
    <s v="1038"/>
    <n v="1922"/>
    <n v="1.85"/>
    <n v="13.32"/>
    <n v="144.32"/>
    <n v="3.31"/>
    <n v="5.52"/>
    <n v="141.01"/>
    <n v="20.43"/>
    <n v="2584.52"/>
    <s v="177394"/>
    <s v="340875"/>
    <s v="0"/>
    <s v="0"/>
    <n v="337.4"/>
  </r>
  <r>
    <x v="103"/>
    <x v="15"/>
    <s v="Em operação"/>
    <s v="ES 0126"/>
    <x v="2"/>
    <m/>
    <m/>
    <n v="3000"/>
    <n v="205.72519083969465"/>
    <n v="3.42"/>
    <n v="2.62"/>
    <n v="0.8"/>
    <n v="23.43"/>
    <s v="301"/>
    <n v="539"/>
    <n v="1.79"/>
    <n v="10.36"/>
    <n v="52.05"/>
    <n v="3.31"/>
    <n v="4.1399999999999997"/>
    <n v="48.74"/>
    <n v="18.64"/>
    <n v="1180.03"/>
    <s v="122019"/>
    <s v="269907"/>
    <n v="0.3"/>
    <s v="0"/>
    <n v="121.4"/>
  </r>
  <r>
    <x v="103"/>
    <x v="15"/>
    <s v="Em operação"/>
    <s v="ES 0099"/>
    <x v="2"/>
    <m/>
    <m/>
    <n v="3000"/>
    <n v="328.14992025518342"/>
    <n v="14.54"/>
    <n v="12.54"/>
    <s v="2"/>
    <n v="13.75"/>
    <s v="1293"/>
    <n v="4115"/>
    <n v="3.18"/>
    <n v="10.87"/>
    <n v="378.54"/>
    <n v="12.78"/>
    <n v="6.39"/>
    <n v="365.77"/>
    <n v="29.16"/>
    <n v="8158.06"/>
    <s v="137294"/>
    <s v="408182"/>
    <n v="0.2"/>
    <s v="0"/>
    <n v="256.39999999999998"/>
  </r>
  <r>
    <x v="103"/>
    <x v="15"/>
    <s v="Em operação"/>
    <s v="ES 0101"/>
    <x v="0"/>
    <n v="2575"/>
    <m/>
    <n v="4000"/>
    <n v="692.09302325581393"/>
    <n v="5.05"/>
    <n v="4.3"/>
    <n v="0.75"/>
    <n v="14.85"/>
    <s v="598"/>
    <n v="2976"/>
    <n v="4.9800000000000004"/>
    <n v="17.77"/>
    <n v="167.5"/>
    <n v="4.7300000000000004"/>
    <n v="6.31"/>
    <n v="162.77000000000001"/>
    <n v="37.85"/>
    <n v="6773.46"/>
    <s v="437029"/>
    <s v="1588095"/>
    <s v="0"/>
    <s v="0"/>
    <n v="49.6"/>
  </r>
  <r>
    <x v="103"/>
    <x v="15"/>
    <s v="Em operação"/>
    <s v="ES 0116"/>
    <x v="2"/>
    <m/>
    <m/>
    <n v="3000"/>
    <n v="504.6913580246914"/>
    <n v="5.65"/>
    <n v="4.05"/>
    <n v="1.6"/>
    <n v="28.31"/>
    <s v="516"/>
    <n v="2044"/>
    <n v="3.96"/>
    <n v="12.67"/>
    <n v="161.35"/>
    <n v="7.57"/>
    <n v="4.7300000000000004"/>
    <n v="153.78"/>
    <n v="37.96"/>
    <n v="2104.1"/>
    <s v="207021"/>
    <s v="696842"/>
    <n v="0.1"/>
    <s v="0"/>
    <n v="5.7"/>
  </r>
  <r>
    <x v="104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339.7099999999991"/>
    <s v="102409"/>
    <s v="155035"/>
    <s v="0"/>
    <s v=""/>
    <n v="292.39999999999998"/>
  </r>
  <r>
    <x v="104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36.51"/>
    <s v=""/>
    <s v=""/>
    <s v="0"/>
    <s v=""/>
    <n v="265.8"/>
  </r>
  <r>
    <x v="104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110"/>
    <x v="2"/>
    <m/>
    <m/>
    <m/>
    <n v="0"/>
    <n v="0.17"/>
    <n v="7.0000000000000007E-2"/>
    <n v="0.1"/>
    <n v="60.31"/>
    <s v="2"/>
    <n v="0"/>
    <s v="2"/>
    <n v="2.11"/>
    <n v="1.89"/>
    <n v="0.47"/>
    <n v="4.7300000000000004"/>
    <n v="1.42"/>
    <n v="21.57"/>
    <n v="2584.69"/>
    <s v="177396"/>
    <s v="340879"/>
    <s v="0"/>
    <s v="0"/>
    <n v="337.4"/>
  </r>
  <r>
    <x v="104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58.06"/>
    <s v="137294"/>
    <s v="408182"/>
    <s v="0"/>
    <s v=""/>
    <n v="256.39999999999998"/>
  </r>
  <r>
    <x v="104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n v="6773.46"/>
    <s v="437029"/>
    <s v="1588095"/>
    <s v="0"/>
    <s v=""/>
    <n v="49.6"/>
  </r>
  <r>
    <x v="10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5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n v="0"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s v="Em operação"/>
    <s v="ES 0096"/>
    <x v="2"/>
    <m/>
    <m/>
    <n v="2142.8571428571427"/>
    <n v="331.76943699731902"/>
    <n v="8.86"/>
    <n v="7.46"/>
    <n v="1.4"/>
    <n v="15.81"/>
    <s v="942"/>
    <n v="2475"/>
    <n v="1.58"/>
    <n v="9.84"/>
    <n v="150.94"/>
    <n v="6.15"/>
    <n v="4.3899999999999997"/>
    <n v="144.79"/>
    <n v="19.420000000000002"/>
    <n v="9305.5"/>
    <s v="98676"/>
    <s v="149544"/>
    <n v="0.2"/>
    <s v="0"/>
    <n v="291.8"/>
  </r>
  <r>
    <x v="98"/>
    <x v="15"/>
    <s v="Em operação"/>
    <s v="ES 0097"/>
    <x v="2"/>
    <m/>
    <m/>
    <n v="2142.8571428571427"/>
    <n v="37.313432835820898"/>
    <n v="2.46"/>
    <n v="2.0099999999999998"/>
    <n v="0.45"/>
    <n v="18.309999999999999"/>
    <s v=""/>
    <n v="75"/>
    <s v=""/>
    <s v=""/>
    <n v="35.49"/>
    <n v="1.42"/>
    <n v="3.15"/>
    <n v="34.07"/>
    <n v="16.97"/>
    <n v="8899.67"/>
    <s v=""/>
    <s v=""/>
    <n v="0.4"/>
    <s v=""/>
    <n v="263.60000000000002"/>
  </r>
  <r>
    <x v="98"/>
    <x v="15"/>
    <s v="Em operação"/>
    <s v="ES 0135"/>
    <x v="2"/>
    <m/>
    <m/>
    <n v="2142.8571428571427"/>
    <n v="258.160237388724"/>
    <n v="8.94"/>
    <n v="6.74"/>
    <n v="2.2000000000000002"/>
    <n v="24.62"/>
    <s v="1222"/>
    <n v="1740"/>
    <n v="2.1800000000000002"/>
    <n v="17.82"/>
    <n v="149.52000000000001"/>
    <n v="8.0399999999999991"/>
    <n v="3.66"/>
    <n v="141.47999999999999"/>
    <n v="21.01"/>
    <n v="694.05"/>
    <s v="65892"/>
    <s v="130330"/>
    <n v="0.8"/>
    <s v="0"/>
    <n v="67.599999999999994"/>
  </r>
  <r>
    <x v="98"/>
    <x v="15"/>
    <s v="Em operação"/>
    <s v="ES 0135"/>
    <x v="6"/>
    <m/>
    <m/>
    <m/>
    <m/>
    <m/>
    <m/>
    <m/>
    <m/>
    <m/>
    <n v="925"/>
    <m/>
    <m/>
    <m/>
    <m/>
    <m/>
    <m/>
    <m/>
    <m/>
    <m/>
    <m/>
    <m/>
    <m/>
    <m/>
  </r>
  <r>
    <x v="98"/>
    <x v="15"/>
    <s v="Em operação"/>
    <s v="ES 0110"/>
    <x v="2"/>
    <m/>
    <m/>
    <n v="2142.8571428571427"/>
    <n v="0"/>
    <n v="1.36"/>
    <n v="0.66"/>
    <n v="0.7"/>
    <n v="51.39"/>
    <s v="0"/>
    <n v="0"/>
    <s v=""/>
    <s v="0"/>
    <n v="10.88"/>
    <n v="2.37"/>
    <n v="3.38"/>
    <n v="8.52"/>
    <n v="12.86"/>
    <n v="2551.2199999999998"/>
    <s v="174289"/>
    <s v="334891"/>
    <n v="0.3"/>
    <s v=""/>
    <n v="331.8"/>
  </r>
  <r>
    <x v="98"/>
    <x v="15"/>
    <s v="Em operação"/>
    <s v="ES 0126"/>
    <x v="2"/>
    <m/>
    <m/>
    <n v="2142.8571428571427"/>
    <n v="144.85049833887044"/>
    <n v="10.73"/>
    <n v="9.0299999999999994"/>
    <n v="1.7"/>
    <n v="15.85"/>
    <s v="794"/>
    <n v="1308"/>
    <n v="1.65"/>
    <n v="6.79"/>
    <n v="192.58"/>
    <n v="6.15"/>
    <n v="3.62"/>
    <n v="186.43"/>
    <n v="20.65"/>
    <n v="1142.1500000000001"/>
    <s v="117812"/>
    <s v="262668"/>
    <n v="0.5"/>
    <s v="0"/>
    <n v="119.8"/>
  </r>
  <r>
    <x v="98"/>
    <x v="15"/>
    <s v="Em operação"/>
    <s v="ES 0099"/>
    <x v="2"/>
    <m/>
    <m/>
    <n v="2142.8571428571427"/>
    <n v="337.05953827460507"/>
    <n v="8.7799999999999994"/>
    <n v="8.23"/>
    <n v="0.55000000000000004"/>
    <n v="6.26"/>
    <s v="944"/>
    <n v="2774"/>
    <n v="2.94"/>
    <n v="10.74"/>
    <n v="258.35000000000002"/>
    <n v="3.31"/>
    <n v="6.02"/>
    <n v="255.04"/>
    <n v="30.98"/>
    <n v="8113.11"/>
    <s v="133402"/>
    <s v="396329"/>
    <n v="0.5"/>
    <s v="0"/>
    <n v="255.1"/>
  </r>
  <r>
    <x v="98"/>
    <x v="15"/>
    <s v="Em operação"/>
    <s v="ES 0101"/>
    <x v="0"/>
    <n v="6365"/>
    <m/>
    <n v="4000"/>
    <n v="601.03871576959398"/>
    <n v="11.74"/>
    <n v="10.59"/>
    <n v="1.1499999999999999"/>
    <n v="9.8000000000000007"/>
    <s v="1164"/>
    <n v="6365"/>
    <n v="5.47"/>
    <n v="15.53"/>
    <n v="409.77"/>
    <n v="7.57"/>
    <n v="6.58"/>
    <n v="402.2"/>
    <n v="37.99"/>
    <n v="6728.83"/>
    <s v="432359"/>
    <s v="1566104"/>
    <n v="0.1"/>
    <s v="0"/>
    <n v="49.4"/>
  </r>
  <r>
    <x v="98"/>
    <x v="15"/>
    <s v="Em operação"/>
    <s v="ES 0116"/>
    <x v="2"/>
    <m/>
    <m/>
    <n v="2142.8571428571427"/>
    <n v="359.55882352941171"/>
    <n v="1.96"/>
    <n v="1.36"/>
    <n v="0.6"/>
    <n v="30.64"/>
    <s v="155"/>
    <n v="489"/>
    <n v="3.15"/>
    <n v="8.99"/>
    <n v="54.42"/>
    <n v="3.79"/>
    <n v="6.31"/>
    <n v="50.63"/>
    <n v="37.270000000000003"/>
    <n v="2068.52"/>
    <s v="203570"/>
    <s v="685170"/>
    <s v="0"/>
    <s v="0"/>
    <n v="5.6"/>
  </r>
  <r>
    <x v="99"/>
    <x v="15"/>
    <s v="Em operação"/>
    <s v="ES 0096"/>
    <x v="2"/>
    <m/>
    <m/>
    <n v="3000"/>
    <n v="247.074122236671"/>
    <n v="8.24"/>
    <n v="7.69"/>
    <n v="0.55000000000000004"/>
    <n v="6.68"/>
    <s v="1098"/>
    <n v="1900"/>
    <n v="1.59"/>
    <n v="11.53"/>
    <n v="151.41999999999999"/>
    <n v="2.37"/>
    <n v="4.3"/>
    <n v="149.05000000000001"/>
    <n v="19.39"/>
    <n v="9313.74"/>
    <s v="99774"/>
    <s v="151290"/>
    <s v="0"/>
    <s v="0"/>
    <n v="291.8"/>
  </r>
  <r>
    <x v="99"/>
    <x v="15"/>
    <s v="Em operação"/>
    <s v="ES 0097"/>
    <x v="7"/>
    <m/>
    <m/>
    <m/>
    <n v="0"/>
    <s v=""/>
    <s v=""/>
    <s v=""/>
    <s v=""/>
    <s v=""/>
    <n v="450"/>
    <s v=""/>
    <s v=""/>
    <s v=""/>
    <s v=""/>
    <s v=""/>
    <s v=""/>
    <s v=""/>
    <s v=""/>
    <s v=""/>
    <s v=""/>
    <s v=""/>
    <s v=""/>
    <s v=""/>
  </r>
  <r>
    <x v="99"/>
    <x v="15"/>
    <s v="Em operação"/>
    <s v="ES 0135"/>
    <x v="6"/>
    <m/>
    <m/>
    <m/>
    <n v="307.66045548654245"/>
    <n v="13.16"/>
    <n v="9.66"/>
    <n v="3.5"/>
    <n v="26.59"/>
    <s v="1600"/>
    <n v="2972"/>
    <n v="2.42"/>
    <n v="18.18"/>
    <n v="212.93"/>
    <n v="11.36"/>
    <n v="3.24"/>
    <n v="201.57"/>
    <n v="20.86"/>
    <n v="707.22"/>
    <s v="67492"/>
    <s v="134202"/>
    <n v="0.6"/>
    <s v="0"/>
    <n v="68.2"/>
  </r>
  <r>
    <x v="99"/>
    <x v="15"/>
    <s v="Em operação"/>
    <s v="ES 0135"/>
    <x v="2"/>
    <m/>
    <m/>
    <n v="3000"/>
    <m/>
    <m/>
    <m/>
    <m/>
    <m/>
    <m/>
    <n v="900"/>
    <m/>
    <m/>
    <m/>
    <m/>
    <m/>
    <m/>
    <m/>
    <m/>
    <m/>
    <m/>
    <m/>
    <m/>
    <m/>
  </r>
  <r>
    <x v="99"/>
    <x v="15"/>
    <s v="Em operação"/>
    <s v="ES 0110"/>
    <x v="6"/>
    <m/>
    <m/>
    <m/>
    <n v="372.95285359801488"/>
    <n v="5.58"/>
    <n v="4.03"/>
    <n v="1.55"/>
    <n v="27.76"/>
    <s v="702"/>
    <n v="1503"/>
    <n v="2.14"/>
    <n v="16.12"/>
    <n v="93.22"/>
    <n v="6.15"/>
    <n v="3.97"/>
    <n v="87.06"/>
    <n v="21.59"/>
    <n v="2556.8000000000002"/>
    <s v="174991"/>
    <s v="336394"/>
    <n v="1.5"/>
    <s v="0"/>
    <n v="333.3"/>
  </r>
  <r>
    <x v="99"/>
    <x v="15"/>
    <s v="Em operação"/>
    <s v="ES 0126"/>
    <x v="2"/>
    <m/>
    <m/>
    <n v="3000"/>
    <n v="108.52618757612666"/>
    <n v="9.4600000000000009"/>
    <n v="8.2100000000000009"/>
    <n v="1.25"/>
    <n v="13.22"/>
    <s v="838"/>
    <n v="891"/>
    <n v="1.78"/>
    <n v="10.4"/>
    <n v="143.37"/>
    <n v="5.2"/>
    <n v="4.16"/>
    <n v="138.16999999999999"/>
    <n v="16.829999999999998"/>
    <n v="1151.94"/>
    <s v="118709"/>
    <s v="264250"/>
    <n v="0.6"/>
    <s v="0"/>
    <n v="120.4"/>
  </r>
  <r>
    <x v="99"/>
    <x v="15"/>
    <s v="Em operação"/>
    <s v="ES 0126"/>
    <x v="6"/>
    <m/>
    <m/>
    <m/>
    <m/>
    <m/>
    <m/>
    <m/>
    <m/>
    <m/>
    <n v="600"/>
    <m/>
    <m/>
    <m/>
    <m/>
    <m/>
    <m/>
    <m/>
    <m/>
    <m/>
    <m/>
    <m/>
    <m/>
    <m/>
  </r>
  <r>
    <x v="99"/>
    <x v="15"/>
    <s v="Em operação"/>
    <s v="ES 0099"/>
    <x v="2"/>
    <m/>
    <m/>
    <n v="3000"/>
    <n v="285.69206842923796"/>
    <n v="7.03"/>
    <n v="6.43"/>
    <n v="0.6"/>
    <n v="8.5299999999999994"/>
    <s v="662"/>
    <n v="1837"/>
    <n v="2.77"/>
    <n v="8.9"/>
    <n v="206.3"/>
    <n v="2.84"/>
    <n v="4.7300000000000004"/>
    <n v="203.47"/>
    <n v="31.64"/>
    <n v="8120.14"/>
    <s v="134064"/>
    <s v="398166"/>
    <n v="0.4"/>
    <s v="0"/>
    <n v="255.5"/>
  </r>
  <r>
    <x v="99"/>
    <x v="15"/>
    <s v="Em operação"/>
    <s v="ES 0101"/>
    <x v="0"/>
    <n v="4460"/>
    <m/>
    <n v="4000"/>
    <n v="803.60360360360357"/>
    <n v="6.1"/>
    <n v="5.55"/>
    <n v="0.55000000000000004"/>
    <n v="9.01"/>
    <s v="801"/>
    <n v="4460"/>
    <n v="5.57"/>
    <n v="20.399999999999999"/>
    <n v="218.61"/>
    <n v="3.31"/>
    <n v="6.02"/>
    <n v="215.3"/>
    <n v="38.76"/>
    <n v="6734.94"/>
    <s v="433160"/>
    <s v="1570564"/>
    <s v="0"/>
    <s v="0"/>
    <n v="49.4"/>
  </r>
  <r>
    <x v="99"/>
    <x v="15"/>
    <s v="Em operação"/>
    <s v="ES 0116"/>
    <x v="2"/>
    <m/>
    <m/>
    <n v="3000"/>
    <n v="74.683544303797461"/>
    <n v="1.0900000000000001"/>
    <n v="0.79"/>
    <n v="0.3"/>
    <n v="27.54"/>
    <s v="25"/>
    <n v="59"/>
    <n v="2.36"/>
    <n v="2.97"/>
    <n v="19.87"/>
    <n v="0.95"/>
    <n v="3.15"/>
    <n v="18.93"/>
    <n v="23.98"/>
    <n v="2069.61"/>
    <s v="203595"/>
    <s v="685229"/>
    <s v="0"/>
    <s v="0"/>
    <n v="5.6"/>
  </r>
  <r>
    <x v="100"/>
    <x v="15"/>
    <s v="Em operação"/>
    <s v="ES 0096"/>
    <x v="2"/>
    <m/>
    <m/>
    <n v="2500"/>
    <n v="234.87773487773489"/>
    <n v="8.57"/>
    <n v="7.77"/>
    <n v="0.8"/>
    <n v="9.33"/>
    <s v="886"/>
    <n v="1825"/>
    <n v="1.46"/>
    <n v="8.6999999999999993"/>
    <n v="148.58000000000001"/>
    <n v="3.31"/>
    <n v="4.1399999999999997"/>
    <n v="145.27000000000001"/>
    <n v="18.690000000000001"/>
    <n v="9322.31"/>
    <s v="100660"/>
    <s v="152582"/>
    <n v="0.4"/>
    <s v="0"/>
    <n v="292.2"/>
  </r>
  <r>
    <x v="100"/>
    <x v="15"/>
    <s v="Em operação"/>
    <s v="ES 0097"/>
    <x v="7"/>
    <m/>
    <m/>
    <m/>
    <n v="0"/>
    <n v="7.96"/>
    <n v="6.76"/>
    <n v="1.2"/>
    <n v="15.07"/>
    <s v=""/>
    <s v="-"/>
    <s v=""/>
    <s v=""/>
    <n v="151.41999999999999"/>
    <n v="5.68"/>
    <n v="4.7300000000000004"/>
    <n v="145.74"/>
    <n v="21.55"/>
    <n v="8916.3799999999992"/>
    <s v=""/>
    <s v=""/>
    <n v="0.9"/>
    <s v=""/>
    <n v="265.2"/>
  </r>
  <r>
    <x v="100"/>
    <x v="15"/>
    <s v="Em operação"/>
    <s v="ES 0135"/>
    <x v="2"/>
    <m/>
    <m/>
    <n v="2500"/>
    <n v="290.70487993803255"/>
    <n v="15.56"/>
    <n v="12.91"/>
    <n v="2.65"/>
    <n v="17.03"/>
    <s v="2134"/>
    <n v="3753"/>
    <n v="2.31"/>
    <n v="17.77"/>
    <n v="277.27999999999997"/>
    <n v="7.57"/>
    <n v="2.86"/>
    <n v="269.70999999999998"/>
    <n v="20.88"/>
    <n v="722.78"/>
    <s v="69626"/>
    <s v="139130"/>
    <n v="1.2"/>
    <s v="0"/>
    <n v="69.400000000000006"/>
  </r>
  <r>
    <x v="100"/>
    <x v="15"/>
    <s v="Em operação"/>
    <s v="ES 0135"/>
    <x v="6"/>
    <m/>
    <m/>
    <m/>
    <m/>
    <m/>
    <m/>
    <m/>
    <m/>
    <m/>
    <n v="1175"/>
    <m/>
    <m/>
    <m/>
    <m/>
    <m/>
    <m/>
    <m/>
    <m/>
    <m/>
    <m/>
    <m/>
    <m/>
    <m/>
  </r>
  <r>
    <x v="100"/>
    <x v="15"/>
    <s v="Em operação"/>
    <s v="ES 0110"/>
    <x v="2"/>
    <m/>
    <m/>
    <n v="2500"/>
    <n v="143.33895446880271"/>
    <n v="7.38"/>
    <n v="5.93"/>
    <n v="1.45"/>
    <n v="19.66"/>
    <s v="514"/>
    <n v="850"/>
    <n v="1.65"/>
    <n v="6.75"/>
    <n v="125.86"/>
    <n v="4.7300000000000004"/>
    <n v="3.26"/>
    <n v="121.13"/>
    <n v="20.440000000000001"/>
    <n v="2564.1799999999998"/>
    <s v="175505"/>
    <s v="337244"/>
    <n v="2.7"/>
    <n v="0.01"/>
    <s v="336"/>
  </r>
  <r>
    <x v="100"/>
    <x v="15"/>
    <s v="Em operação"/>
    <s v="ES 0126"/>
    <x v="2"/>
    <m/>
    <m/>
    <n v="2500"/>
    <n v="185.42024013722127"/>
    <n v="7.23"/>
    <n v="5.83"/>
    <n v="1.4"/>
    <n v="19.350000000000001"/>
    <s v="679"/>
    <n v="1081"/>
    <n v="1.59"/>
    <n v="8.7899999999999991"/>
    <n v="123.03"/>
    <n v="5.2"/>
    <n v="3.72"/>
    <n v="117.82"/>
    <n v="20.190000000000001"/>
    <n v="1159.18"/>
    <s v="119561"/>
    <s v="265499"/>
    <n v="0.7"/>
    <s v="0"/>
    <n v="121.1"/>
  </r>
  <r>
    <x v="100"/>
    <x v="15"/>
    <s v="Em operação"/>
    <s v="ES 0099"/>
    <x v="2"/>
    <m/>
    <m/>
    <n v="2500"/>
    <n v="259.21717171717171"/>
    <n v="8.52"/>
    <n v="7.92"/>
    <n v="0.6"/>
    <n v="7.04"/>
    <s v="741"/>
    <n v="2053"/>
    <n v="2.77"/>
    <n v="8.3000000000000007"/>
    <n v="247.47"/>
    <n v="5.2"/>
    <n v="8.67"/>
    <n v="242.27"/>
    <n v="30.58"/>
    <n v="8128.67"/>
    <s v="134805"/>
    <s v="400219"/>
    <n v="0.4"/>
    <s v="0"/>
    <n v="255.9"/>
  </r>
  <r>
    <x v="100"/>
    <x v="15"/>
    <s v="Em operação"/>
    <s v="ES 0101"/>
    <x v="0"/>
    <n v="3706"/>
    <m/>
    <n v="4000"/>
    <n v="459.02636916835701"/>
    <n v="11.01"/>
    <n v="9.86"/>
    <n v="1.1499999999999999"/>
    <n v="10.45"/>
    <s v="1027"/>
    <n v="4526"/>
    <n v="4.41"/>
    <n v="11.94"/>
    <n v="379.01"/>
    <n v="7.1"/>
    <n v="6.17"/>
    <n v="371.92"/>
    <n v="37.72"/>
    <n v="6745.94"/>
    <s v="434187"/>
    <s v="1575090"/>
    <n v="0.1"/>
    <s v="0"/>
    <n v="49.5"/>
  </r>
  <r>
    <x v="100"/>
    <x v="15"/>
    <s v="Em operação"/>
    <s v="ES 0116"/>
    <x v="2"/>
    <m/>
    <m/>
    <n v="2500"/>
    <n v="415.22435897435895"/>
    <n v="7.74"/>
    <n v="6.24"/>
    <n v="1.5"/>
    <n v="19.39"/>
    <s v="1083"/>
    <n v="2591"/>
    <n v="2.39"/>
    <n v="9.73"/>
    <n v="266.39999999999998"/>
    <n v="7.57"/>
    <n v="5.05"/>
    <n v="258.83"/>
    <n v="41.51"/>
    <n v="2077.35"/>
    <s v="204678"/>
    <s v="687820"/>
    <s v="0"/>
    <s v="0"/>
    <n v="5.6"/>
  </r>
  <r>
    <x v="101"/>
    <x v="15"/>
    <s v="Em operação"/>
    <s v="ES 0096"/>
    <x v="2"/>
    <m/>
    <m/>
    <n v="2500"/>
    <n v="278.53260869565219"/>
    <n v="8.36"/>
    <n v="7.36"/>
    <s v="1"/>
    <n v="11.96"/>
    <s v="944"/>
    <n v="2050"/>
    <n v="1.36"/>
    <n v="9.25"/>
    <n v="138.63999999999999"/>
    <n v="4.26"/>
    <n v="4.26"/>
    <n v="134.38"/>
    <n v="18.260000000000002"/>
    <n v="9330.67"/>
    <s v="101604"/>
    <s v="153865"/>
    <n v="0.1"/>
    <s v="0"/>
    <n v="292.3"/>
  </r>
  <r>
    <x v="101"/>
    <x v="15"/>
    <s v="Em operação"/>
    <s v="ES 0097"/>
    <x v="7"/>
    <m/>
    <m/>
    <m/>
    <n v="0"/>
    <n v="7.08"/>
    <n v="5.13"/>
    <n v="1.95"/>
    <n v="27.53"/>
    <s v=""/>
    <s v="-"/>
    <s v=""/>
    <s v=""/>
    <n v="105.52"/>
    <n v="8.0399999999999991"/>
    <n v="4.13"/>
    <n v="97.47"/>
    <n v="18.989999999999998"/>
    <n v="8923.4699999999993"/>
    <s v=""/>
    <s v=""/>
    <n v="0.1"/>
    <s v=""/>
    <n v="265.3"/>
  </r>
  <r>
    <x v="101"/>
    <x v="15"/>
    <s v="Em operação"/>
    <s v="ES 0135"/>
    <x v="2"/>
    <m/>
    <m/>
    <n v="2500"/>
    <n v="335.17823639774861"/>
    <n v="15.76"/>
    <n v="10.66"/>
    <n v="5.0999999999999996"/>
    <n v="32.36"/>
    <s v="1784"/>
    <n v="3573"/>
    <n v="2.27"/>
    <n v="17.600000000000001"/>
    <n v="229.96"/>
    <n v="16.09"/>
    <n v="3.15"/>
    <n v="213.88"/>
    <n v="20.059999999999999"/>
    <n v="738.54"/>
    <s v="71410"/>
    <s v="143178"/>
    <n v="1.6"/>
    <s v="0"/>
    <s v="71"/>
  </r>
  <r>
    <x v="101"/>
    <x v="15"/>
    <s v="Em operação"/>
    <s v="ES 0135"/>
    <x v="6"/>
    <m/>
    <m/>
    <m/>
    <m/>
    <m/>
    <m/>
    <m/>
    <m/>
    <m/>
    <n v="475"/>
    <m/>
    <m/>
    <m/>
    <m/>
    <m/>
    <m/>
    <m/>
    <m/>
    <m/>
    <m/>
    <m/>
    <m/>
    <m/>
  </r>
  <r>
    <x v="101"/>
    <x v="15"/>
    <s v="Em operação"/>
    <s v="ES 0110"/>
    <x v="2"/>
    <m/>
    <m/>
    <n v="2500"/>
    <n v="248.64433811802235"/>
    <n v="7.02"/>
    <n v="6.27"/>
    <n v="0.75"/>
    <n v="10.68"/>
    <s v="703"/>
    <n v="1559"/>
    <n v="2.2200000000000002"/>
    <n v="12.2"/>
    <n v="127.76"/>
    <n v="3.31"/>
    <n v="4.42"/>
    <n v="124.45"/>
    <n v="19.850000000000001"/>
    <n v="2571.1999999999998"/>
    <s v="176208"/>
    <s v="338803"/>
    <n v="0.4"/>
    <s v="0"/>
    <n v="336.4"/>
  </r>
  <r>
    <x v="101"/>
    <x v="15"/>
    <s v="Em operação"/>
    <s v="ES 0126"/>
    <x v="2"/>
    <m/>
    <m/>
    <n v="2500"/>
    <n v="242.2110552763819"/>
    <n v="8.61"/>
    <n v="7.96"/>
    <n v="0.65"/>
    <n v="7.55"/>
    <s v="1118"/>
    <n v="1928"/>
    <n v="1.72"/>
    <n v="10.98"/>
    <n v="175.55"/>
    <n v="2.37"/>
    <n v="3.64"/>
    <n v="173.18"/>
    <n v="21.76"/>
    <n v="1167.79"/>
    <s v="120679"/>
    <s v="267427"/>
    <s v="0"/>
    <s v="0"/>
    <n v="121.1"/>
  </r>
  <r>
    <x v="101"/>
    <x v="15"/>
    <s v="Em operação"/>
    <s v="ES 0099"/>
    <x v="2"/>
    <m/>
    <m/>
    <n v="2500"/>
    <n v="283.26612903225805"/>
    <n v="5.41"/>
    <n v="4.96"/>
    <n v="0.45"/>
    <n v="8.32"/>
    <s v="433"/>
    <n v="1405"/>
    <n v="3.24"/>
    <n v="9.0299999999999994"/>
    <n v="155.68"/>
    <n v="2.84"/>
    <n v="6.31"/>
    <n v="152.84"/>
    <n v="30.82"/>
    <n v="8134.08"/>
    <s v="135238"/>
    <s v="401624"/>
    <n v="0.2"/>
    <s v="0"/>
    <n v="256.10000000000002"/>
  </r>
  <r>
    <x v="101"/>
    <x v="15"/>
    <s v="Em operação"/>
    <s v="ES 0101"/>
    <x v="0"/>
    <n v="4252"/>
    <m/>
    <n v="4000"/>
    <n v="483.49328214971212"/>
    <n v="11.18"/>
    <n v="10.42"/>
    <n v="0.75"/>
    <n v="6.71"/>
    <s v="1091"/>
    <n v="5038"/>
    <n v="4.62"/>
    <n v="12.41"/>
    <n v="405.99"/>
    <n v="5.2"/>
    <n v="6.94"/>
    <n v="400.78"/>
    <n v="38.44"/>
    <n v="6757.12"/>
    <s v="435278"/>
    <s v="1580128"/>
    <n v="0.1"/>
    <s v="0"/>
    <n v="49.6"/>
  </r>
  <r>
    <x v="101"/>
    <x v="15"/>
    <s v="Em operação"/>
    <s v="ES 0116"/>
    <x v="2"/>
    <m/>
    <m/>
    <n v="2500"/>
    <n v="276.89393939393938"/>
    <n v="10.72"/>
    <n v="7.92"/>
    <n v="2.8"/>
    <n v="26.12"/>
    <s v="915"/>
    <n v="2193"/>
    <n v="3.76"/>
    <n v="11.09"/>
    <n v="310.39999999999998"/>
    <n v="12.3"/>
    <n v="4.3899999999999997"/>
    <n v="298.10000000000002"/>
    <n v="37.64"/>
    <n v="2088.0700000000002"/>
    <s v="205593"/>
    <s v="691263"/>
    <s v="0"/>
    <s v="0"/>
    <n v="5.6"/>
  </r>
  <r>
    <x v="101"/>
    <x v="15"/>
    <s v="Em operação"/>
    <s v="ES 0116"/>
    <x v="6"/>
    <m/>
    <m/>
    <m/>
    <m/>
    <m/>
    <m/>
    <m/>
    <m/>
    <m/>
    <n v="1250"/>
    <m/>
    <m/>
    <m/>
    <m/>
    <m/>
    <m/>
    <m/>
    <m/>
    <m/>
    <m/>
    <m/>
    <m/>
    <m/>
  </r>
  <r>
    <x v="102"/>
    <x v="15"/>
    <s v="Em operação"/>
    <s v="ES 0096"/>
    <x v="2"/>
    <m/>
    <m/>
    <n v="2500"/>
    <n v="206.18556701030928"/>
    <n v="8.44"/>
    <n v="6.79"/>
    <n v="1.65"/>
    <n v="19.55"/>
    <s v="803"/>
    <n v="1400"/>
    <n v="1.46"/>
    <n v="8.86"/>
    <n v="132.02000000000001"/>
    <n v="6.62"/>
    <n v="4.01"/>
    <n v="125.39"/>
    <n v="18.46"/>
    <n v="9339.11"/>
    <s v="102407"/>
    <s v="155035"/>
    <s v="0"/>
    <s v="0"/>
    <n v="292.3"/>
  </r>
  <r>
    <x v="102"/>
    <x v="15"/>
    <s v="Em operação"/>
    <s v="ES 0097"/>
    <x v="7"/>
    <m/>
    <m/>
    <m/>
    <n v="0"/>
    <n v="7.29"/>
    <n v="4.3899999999999997"/>
    <n v="2.9"/>
    <n v="39.770000000000003"/>
    <s v=""/>
    <s v=""/>
    <s v=""/>
    <s v=""/>
    <n v="90.38"/>
    <n v="11.83"/>
    <n v="4.08"/>
    <n v="78.55"/>
    <n v="17.89"/>
    <n v="8930.76"/>
    <s v=""/>
    <s v=""/>
    <n v="0.1"/>
    <s v=""/>
    <n v="265.39999999999998"/>
  </r>
  <r>
    <x v="102"/>
    <x v="15"/>
    <s v="Em operação"/>
    <s v="ES 0135"/>
    <x v="2"/>
    <m/>
    <m/>
    <n v="2500"/>
    <n v="335.66433566433568"/>
    <n v="11.48"/>
    <n v="8.58"/>
    <n v="2.9"/>
    <n v="25.25"/>
    <s v="1489"/>
    <n v="2880"/>
    <n v="1.93"/>
    <n v="15.65"/>
    <n v="184.07"/>
    <n v="8.99"/>
    <n v="3.1"/>
    <n v="175.08"/>
    <n v="20.39"/>
    <n v="750.02"/>
    <s v="72899"/>
    <s v="146058"/>
    <n v="1.3"/>
    <s v="0"/>
    <n v="72.3"/>
  </r>
  <r>
    <x v="102"/>
    <x v="15"/>
    <s v="Em operação"/>
    <s v="ES 0110"/>
    <x v="2"/>
    <m/>
    <m/>
    <n v="2500"/>
    <n v="35.971223021582738"/>
    <n v="5.82"/>
    <n v="4.17"/>
    <n v="1.65"/>
    <n v="28.35"/>
    <s v="148"/>
    <n v="150"/>
    <n v="1.01"/>
    <n v="2.0099999999999998"/>
    <n v="74.760000000000005"/>
    <n v="5.68"/>
    <n v="3.44"/>
    <n v="69.08"/>
    <n v="16.57"/>
    <n v="2577.02"/>
    <s v="176356"/>
    <s v="338953"/>
    <s v="1"/>
    <n v="0.01"/>
    <n v="337.4"/>
  </r>
  <r>
    <x v="102"/>
    <x v="15"/>
    <s v="Em operação"/>
    <s v="ES 0126"/>
    <x v="2"/>
    <m/>
    <m/>
    <n v="2500"/>
    <n v="243.23308270676691"/>
    <n v="8.83"/>
    <n v="7.98"/>
    <n v="0.85"/>
    <n v="9.6300000000000008"/>
    <s v="1039"/>
    <n v="1941"/>
    <n v="1.87"/>
    <n v="11.12"/>
    <n v="174.6"/>
    <n v="3.31"/>
    <n v="3.9"/>
    <n v="171.29"/>
    <n v="21.47"/>
    <n v="1176.6199999999999"/>
    <s v="121718"/>
    <s v="269368"/>
    <s v="0"/>
    <s v="0"/>
    <n v="121.1"/>
  </r>
  <r>
    <x v="102"/>
    <x v="15"/>
    <s v="Em operação"/>
    <s v="ES 0099"/>
    <x v="2"/>
    <m/>
    <m/>
    <n v="2500"/>
    <n v="309.63244613434728"/>
    <n v="9.44"/>
    <n v="7.89"/>
    <n v="1.55"/>
    <n v="16.41"/>
    <s v="763"/>
    <n v="2443"/>
    <n v="3.2"/>
    <n v="10.47"/>
    <n v="233.28"/>
    <n v="8.99"/>
    <n v="5.8"/>
    <n v="224.29"/>
    <n v="28.41"/>
    <n v="8143.52"/>
    <s v="136001"/>
    <s v="404067"/>
    <n v="0.1"/>
    <s v="0"/>
    <n v="256.2"/>
  </r>
  <r>
    <x v="102"/>
    <x v="15"/>
    <s v="Em operação"/>
    <s v="ES 0101"/>
    <x v="0"/>
    <n v="2904"/>
    <m/>
    <n v="4000"/>
    <n v="497.11155378486058"/>
    <n v="11.29"/>
    <n v="10.039999999999999"/>
    <n v="1.25"/>
    <n v="11.07"/>
    <s v="1153"/>
    <n v="4991"/>
    <n v="4.33"/>
    <n v="12.71"/>
    <n v="392.74"/>
    <n v="7.57"/>
    <n v="6.06"/>
    <n v="385.17"/>
    <n v="38.35"/>
    <n v="6768.41"/>
    <s v="436431"/>
    <s v="1585119"/>
    <s v="0"/>
    <s v="0"/>
    <n v="49.6"/>
  </r>
  <r>
    <x v="102"/>
    <x v="15"/>
    <s v="Em operação"/>
    <s v="ES 0116"/>
    <x v="2"/>
    <m/>
    <m/>
    <n v="2500"/>
    <n v="482.26466575716233"/>
    <n v="10.38"/>
    <n v="7.33"/>
    <n v="3.05"/>
    <n v="29.39"/>
    <s v="912"/>
    <n v="3535"/>
    <n v="3.88"/>
    <n v="12.15"/>
    <s v="291"/>
    <n v="11.83"/>
    <n v="3.88"/>
    <n v="279.17"/>
    <n v="38.11"/>
    <n v="2098.44"/>
    <s v="206505"/>
    <s v="694798"/>
    <s v="0"/>
    <s v="0"/>
    <n v="5.6"/>
  </r>
  <r>
    <x v="103"/>
    <x v="1"/>
    <s v="Não operacional"/>
    <s v="ES 0096"/>
    <x v="2"/>
    <m/>
    <s v="Na oficina"/>
    <m/>
    <n v="0"/>
    <n v="0.6"/>
    <n v="0.45"/>
    <n v="0.15"/>
    <n v="25.1"/>
    <s v="2"/>
    <n v="0"/>
    <s v="0"/>
    <s v="0"/>
    <n v="3.79"/>
    <n v="0.47"/>
    <n v="3.15"/>
    <n v="3.31"/>
    <n v="7.4"/>
    <n v="9339.7099999999991"/>
    <s v="102409"/>
    <s v="155035"/>
    <n v="0.1"/>
    <n v="0.05"/>
    <n v="292.39999999999998"/>
  </r>
  <r>
    <x v="103"/>
    <x v="15"/>
    <s v="Em operação"/>
    <s v="ES 0097"/>
    <x v="7"/>
    <m/>
    <m/>
    <m/>
    <n v="0"/>
    <n v="5.75"/>
    <n v="3.15"/>
    <n v="2.6"/>
    <n v="45.24"/>
    <s v=""/>
    <s v=""/>
    <s v=""/>
    <s v=""/>
    <n v="69.08"/>
    <n v="9.94"/>
    <n v="3.82"/>
    <n v="59.15"/>
    <n v="18.79"/>
    <n v="8936.51"/>
    <s v=""/>
    <s v=""/>
    <n v="0.4"/>
    <s v=""/>
    <n v="265.8"/>
  </r>
  <r>
    <x v="103"/>
    <x v="15"/>
    <s v="Em operação"/>
    <s v="ES 0135"/>
    <x v="2"/>
    <m/>
    <m/>
    <n v="3000"/>
    <n v="260.33519553072625"/>
    <n v="5.97"/>
    <n v="5.37"/>
    <n v="0.6"/>
    <n v="10.050000000000001"/>
    <s v="633"/>
    <n v="1398"/>
    <n v="2.21"/>
    <n v="17.18"/>
    <n v="81.39"/>
    <n v="2.37"/>
    <n v="3.94"/>
    <n v="79.02"/>
    <n v="14.72"/>
    <n v="755.99"/>
    <s v="73532"/>
    <s v="147456"/>
    <s v="0"/>
    <s v="0"/>
    <n v="72.3"/>
  </r>
  <r>
    <x v="103"/>
    <x v="15"/>
    <s v="Em operação"/>
    <s v="ES 0110"/>
    <x v="2"/>
    <m/>
    <m/>
    <n v="3000"/>
    <n v="278.55072463768113"/>
    <n v="7.5"/>
    <n v="6.9"/>
    <n v="0.6"/>
    <s v="8"/>
    <s v="1038"/>
    <n v="1922"/>
    <n v="1.85"/>
    <n v="13.32"/>
    <n v="144.32"/>
    <n v="3.31"/>
    <n v="5.52"/>
    <n v="141.01"/>
    <n v="20.43"/>
    <n v="2584.52"/>
    <s v="177394"/>
    <s v="340875"/>
    <s v="0"/>
    <s v="0"/>
    <n v="337.4"/>
  </r>
  <r>
    <x v="103"/>
    <x v="15"/>
    <s v="Em operação"/>
    <s v="ES 0126"/>
    <x v="2"/>
    <m/>
    <m/>
    <n v="3000"/>
    <n v="205.72519083969465"/>
    <n v="3.42"/>
    <n v="2.62"/>
    <n v="0.8"/>
    <n v="23.43"/>
    <s v="301"/>
    <n v="539"/>
    <n v="1.79"/>
    <n v="10.36"/>
    <n v="52.05"/>
    <n v="3.31"/>
    <n v="4.1399999999999997"/>
    <n v="48.74"/>
    <n v="18.64"/>
    <n v="1180.03"/>
    <s v="122019"/>
    <s v="269907"/>
    <n v="0.3"/>
    <s v="0"/>
    <n v="121.4"/>
  </r>
  <r>
    <x v="103"/>
    <x v="15"/>
    <s v="Em operação"/>
    <s v="ES 0099"/>
    <x v="2"/>
    <m/>
    <m/>
    <n v="3000"/>
    <n v="328.14992025518342"/>
    <n v="14.54"/>
    <n v="12.54"/>
    <s v="2"/>
    <n v="13.75"/>
    <s v="1293"/>
    <n v="4115"/>
    <n v="3.18"/>
    <n v="10.87"/>
    <n v="378.54"/>
    <n v="12.78"/>
    <n v="6.39"/>
    <n v="365.77"/>
    <n v="29.16"/>
    <n v="8158.06"/>
    <s v="137294"/>
    <s v="408182"/>
    <n v="0.2"/>
    <s v="0"/>
    <n v="256.39999999999998"/>
  </r>
  <r>
    <x v="103"/>
    <x v="15"/>
    <s v="Em operação"/>
    <s v="ES 0101"/>
    <x v="0"/>
    <n v="2575"/>
    <m/>
    <n v="4000"/>
    <n v="692.09302325581393"/>
    <n v="5.05"/>
    <n v="4.3"/>
    <n v="0.75"/>
    <n v="14.85"/>
    <s v="598"/>
    <n v="2976"/>
    <n v="4.9800000000000004"/>
    <n v="17.77"/>
    <n v="167.5"/>
    <n v="4.7300000000000004"/>
    <n v="6.31"/>
    <n v="162.77000000000001"/>
    <n v="37.85"/>
    <n v="6773.46"/>
    <s v="437029"/>
    <s v="1588095"/>
    <s v="0"/>
    <s v="0"/>
    <n v="49.6"/>
  </r>
  <r>
    <x v="103"/>
    <x v="15"/>
    <s v="Em operação"/>
    <s v="ES 0116"/>
    <x v="2"/>
    <m/>
    <m/>
    <n v="3000"/>
    <n v="504.6913580246914"/>
    <n v="5.65"/>
    <n v="4.05"/>
    <n v="1.6"/>
    <n v="28.31"/>
    <s v="516"/>
    <n v="2044"/>
    <n v="3.96"/>
    <n v="12.67"/>
    <n v="161.35"/>
    <n v="7.57"/>
    <n v="4.7300000000000004"/>
    <n v="153.78"/>
    <n v="37.96"/>
    <n v="2104.1"/>
    <s v="207021"/>
    <s v="696842"/>
    <n v="0.1"/>
    <s v="0"/>
    <n v="5.7"/>
  </r>
  <r>
    <x v="104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339.7099999999991"/>
    <s v="102409"/>
    <s v="155035"/>
    <s v="0"/>
    <s v=""/>
    <n v="292.39999999999998"/>
  </r>
  <r>
    <x v="104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36.51"/>
    <s v=""/>
    <s v=""/>
    <s v="0"/>
    <s v=""/>
    <n v="265.8"/>
  </r>
  <r>
    <x v="104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110"/>
    <x v="2"/>
    <m/>
    <m/>
    <m/>
    <n v="0"/>
    <n v="0.17"/>
    <n v="7.0000000000000007E-2"/>
    <n v="0.1"/>
    <n v="60.31"/>
    <s v="2"/>
    <n v="0"/>
    <s v="2"/>
    <n v="2.11"/>
    <n v="1.89"/>
    <n v="0.47"/>
    <n v="4.7300000000000004"/>
    <n v="1.42"/>
    <n v="21.57"/>
    <n v="2584.69"/>
    <s v="177396"/>
    <s v="340879"/>
    <s v="0"/>
    <s v="0"/>
    <n v="337.4"/>
  </r>
  <r>
    <x v="104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58.06"/>
    <s v="137294"/>
    <s v="408182"/>
    <s v="0"/>
    <s v=""/>
    <n v="256.39999999999998"/>
  </r>
  <r>
    <x v="104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n v="6773.46"/>
    <s v="437029"/>
    <s v="1588095"/>
    <s v="0"/>
    <s v=""/>
    <n v="49.6"/>
  </r>
  <r>
    <x v="10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6" firstHeaderRow="0" firstDataRow="1" firstDataCol="1"/>
  <pivotFields count="28">
    <pivotField axis="axisRow" showAll="0" sortType="ascending">
      <items count="10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t="default"/>
      </items>
    </pivotField>
    <pivotField axis="axisRow" showAll="0" sortType="ascending">
      <items count="18">
        <item h="1" x="1"/>
        <item h="1" sd="0" x="0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h="1" sd="0" x="10"/>
        <item h="1" sd="0" x="11"/>
        <item sd="0" x="12"/>
        <item sd="0" x="13"/>
        <item sd="0" x="14"/>
        <item sd="0" x="15"/>
        <item h="1" x="16"/>
        <item t="default"/>
      </items>
    </pivotField>
    <pivotField showAll="0"/>
    <pivotField showAll="0"/>
    <pivotField showAll="0">
      <items count="9">
        <item h="1" x="4"/>
        <item h="1" x="1"/>
        <item h="1" x="7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5">
    <i>
      <x v="12"/>
    </i>
    <i>
      <x v="13"/>
    </i>
    <i>
      <x v="14"/>
    </i>
    <i>
      <x v="1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5">
      <pivotArea outline="0" collapsedLevelsAreSubtotals="1" fieldPosition="0"/>
    </format>
    <format dxfId="4">
      <pivotArea dataOnly="0" labelOnly="1" fieldPosition="0">
        <references count="1">
          <reference field="1" count="0"/>
        </references>
      </pivotArea>
    </format>
    <format dxfId="3">
      <pivotArea dataOnly="0" labelOnly="1" grandRow="1" outline="0" fieldPosition="0"/>
    </format>
    <format dxfId="2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1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0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45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  <chartFormat chart="25" format="30">
      <pivotArea type="data" outline="0" fieldPosition="0">
        <references count="2">
          <reference field="4294967294" count="1" selected="0">
            <x v="1"/>
          </reference>
          <reference field="1" count="1" selected="0">
            <x v="12"/>
          </reference>
        </references>
      </pivotArea>
    </chartFormat>
    <chartFormat chart="25" format="31">
      <pivotArea type="data" outline="0" fieldPosition="0">
        <references count="2">
          <reference field="4294967294" count="1" selected="0">
            <x v="1"/>
          </reference>
          <reference field="1" count="1" selected="0">
            <x v="13"/>
          </reference>
        </references>
      </pivotArea>
    </chartFormat>
    <chartFormat chart="25" format="32">
      <pivotArea type="data" outline="0" fieldPosition="0">
        <references count="2">
          <reference field="4294967294" count="1" selected="0">
            <x v="1"/>
          </reference>
          <reference field="1" count="1" selected="0">
            <x v="14"/>
          </reference>
        </references>
      </pivotArea>
    </chartFormat>
    <chartFormat chart="25" format="33">
      <pivotArea type="data" outline="0" fieldPosition="0">
        <references count="2">
          <reference field="4294967294" count="1" selected="0">
            <x v="1"/>
          </reference>
          <reference field="1" count="1" selected="0">
            <x v="1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3">
  <location ref="A3:D12" firstHeaderRow="0" firstDataRow="1" firstDataCol="1"/>
  <pivotFields count="28">
    <pivotField axis="axisRow" showAll="0" sortType="descending">
      <items count="107"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19">
        <item h="1" x="1"/>
        <item h="1" m="1" x="17"/>
        <item h="1" x="0"/>
        <item h="1" x="16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x="15"/>
        <item t="default"/>
      </items>
    </pivotField>
    <pivotField showAll="0"/>
    <pivotField dataField="1" showAll="0"/>
    <pivotField axis="axisRow" showAll="0">
      <items count="9">
        <item h="1" x="4"/>
        <item h="1" x="1"/>
        <item h="1" x="0"/>
        <item x="2"/>
        <item h="1" x="5"/>
        <item h="1" x="3"/>
        <item h="1" x="6"/>
        <item h="1"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9">
    <i>
      <x v="17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6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6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100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87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100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86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101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60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54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55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40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41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42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39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38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37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34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33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35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25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28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25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26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8">
      <pivotArea type="data" outline="0" fieldPosition="0">
        <references count="4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49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0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1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2">
      <pivotArea type="data" outline="0" fieldPosition="0">
        <references count="4">
          <reference field="4294967294" count="1" selected="0">
            <x v="0"/>
          </reference>
          <reference field="0" count="1" selected="0">
            <x v="17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3">
      <pivotArea type="data" outline="0" fieldPosition="0">
        <references count="4">
          <reference field="4294967294" count="1" selected="0">
            <x v="0"/>
          </reference>
          <reference field="0" count="1" selected="0">
            <x v="16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4">
      <pivotArea type="data" outline="0" fieldPosition="0">
        <references count="4">
          <reference field="4294967294" count="1" selected="0">
            <x v="0"/>
          </reference>
          <reference field="0" count="1" selected="0">
            <x v="9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5">
      <pivotArea type="data" outline="0" fieldPosition="0">
        <references count="4">
          <reference field="4294967294" count="1" selected="0">
            <x v="0"/>
          </reference>
          <reference field="0" count="1" selected="0">
            <x v="10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6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7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8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9">
      <pivotArea type="data" outline="0" fieldPosition="0">
        <references count="4">
          <reference field="4294967294" count="1" selected="0">
            <x v="0"/>
          </reference>
          <reference field="0" count="1" selected="0">
            <x v="11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60">
      <pivotArea type="data" outline="0" fieldPosition="0">
        <references count="4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1">
      <pivotArea type="data" outline="0" fieldPosition="0">
        <references count="4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2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3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4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5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18">
        <i x="1"/>
        <i x="0"/>
        <i x="2"/>
        <i x="3"/>
        <i x="4"/>
        <i x="5"/>
        <i x="6"/>
        <i x="7"/>
        <i x="8"/>
        <i x="9"/>
        <i x="10"/>
        <i x="11"/>
        <i x="12"/>
        <i x="13"/>
        <i x="14"/>
        <i x="15" s="1"/>
        <i x="17" nd="1"/>
        <i x="16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8">
        <i x="7"/>
        <i x="0"/>
        <i x="6"/>
        <i x="2" s="1"/>
        <i x="4" nd="1"/>
        <i x="1" nd="1"/>
        <i x="3" nd="1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7">
        <i x="1"/>
        <i x="0"/>
        <i x="2"/>
        <i x="3"/>
        <i x="4"/>
        <i x="5"/>
        <i x="6"/>
        <i x="7"/>
        <i x="8"/>
        <i x="9"/>
        <i x="10"/>
        <i x="11"/>
        <i x="12" s="1"/>
        <i x="13" s="1"/>
        <i x="14" s="1"/>
        <i x="15" s="1"/>
        <i x="16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8">
        <i x="7"/>
        <i x="0" s="1"/>
        <i x="6"/>
        <i x="2"/>
        <i x="4" nd="1"/>
        <i x="1" nd="1"/>
        <i x="3" nd="1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9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9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zoomScaleNormal="100" workbookViewId="0">
      <selection activeCell="S11" sqref="S11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46244</v>
      </c>
      <c r="D2" s="81"/>
      <c r="E2" s="62" t="s">
        <v>1</v>
      </c>
      <c r="F2" s="81">
        <v>46250</v>
      </c>
      <c r="G2" s="81"/>
      <c r="H2" s="61"/>
      <c r="I2" s="82" t="s">
        <v>2</v>
      </c>
      <c r="J2" s="82"/>
      <c r="K2" s="61">
        <f>_xlfn.ISOWEEKNUM(C2)</f>
        <v>33</v>
      </c>
      <c r="L2" s="61" t="s">
        <v>1</v>
      </c>
      <c r="M2" s="61">
        <f>_xlfn.ISOWEEKNUM(F2)</f>
        <v>33</v>
      </c>
      <c r="U2" s="63"/>
      <c r="V2" s="63"/>
      <c r="W2" s="63"/>
      <c r="X2" s="63"/>
      <c r="Y2" s="63"/>
      <c r="Z2" s="63"/>
      <c r="AA2" s="63"/>
    </row>
    <row r="3" spans="1:27" x14ac:dyDescent="0.2">
      <c r="C3" t="s">
        <v>3</v>
      </c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workbookViewId="0">
      <selection activeCell="R7" sqref="R7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46223</v>
      </c>
      <c r="D2" s="81"/>
      <c r="E2" s="62" t="s">
        <v>1</v>
      </c>
      <c r="F2" s="81">
        <v>46250</v>
      </c>
      <c r="G2" s="81"/>
      <c r="H2" s="61"/>
      <c r="I2" s="82" t="s">
        <v>2</v>
      </c>
      <c r="J2" s="82"/>
      <c r="K2" s="61">
        <f>_xlfn.ISOWEEKNUM(C2)</f>
        <v>30</v>
      </c>
      <c r="L2" s="61" t="s">
        <v>1</v>
      </c>
      <c r="M2" s="61">
        <f>_xlfn.ISOWEEKNUM(F2)</f>
        <v>33</v>
      </c>
      <c r="U2" s="63"/>
      <c r="V2" s="63"/>
      <c r="W2" s="63"/>
      <c r="X2" s="63"/>
      <c r="Y2" s="63"/>
      <c r="Z2" s="63"/>
      <c r="AA2" s="63"/>
    </row>
    <row r="3" spans="1:27" x14ac:dyDescent="0.2"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863"/>
  <sheetViews>
    <sheetView tabSelected="1" zoomScaleNormal="100" workbookViewId="0">
      <pane ySplit="4" topLeftCell="A856" activePane="bottomLeft" state="frozen"/>
      <selection pane="bottomLeft" activeCell="A863" sqref="A863"/>
    </sheetView>
  </sheetViews>
  <sheetFormatPr defaultColWidth="9.140625" defaultRowHeight="15" x14ac:dyDescent="0.25"/>
  <cols>
    <col min="1" max="1" width="16.140625" style="53" customWidth="1"/>
    <col min="2" max="5" width="20.7109375" style="1" customWidth="1"/>
    <col min="6" max="6" width="15" style="41" customWidth="1"/>
    <col min="7" max="7" width="10.85546875" style="57" customWidth="1"/>
    <col min="8" max="8" width="16" style="1" customWidth="1"/>
    <col min="9" max="9" width="20.42578125" style="1" customWidth="1"/>
    <col min="10" max="12" width="20.7109375" style="1" customWidth="1"/>
    <col min="13" max="13" width="21.7109375" style="1" customWidth="1"/>
    <col min="14" max="14" width="20.7109375" style="1" customWidth="1"/>
    <col min="15" max="15" width="20.7109375" style="80" customWidth="1"/>
    <col min="16" max="19" width="20.7109375" style="1" customWidth="1"/>
    <col min="20" max="20" width="26" style="1" customWidth="1"/>
    <col min="21" max="21" width="20.7109375" style="1" customWidth="1"/>
    <col min="22" max="22" width="23.7109375" style="1" customWidth="1"/>
    <col min="23" max="24" width="20.7109375" style="1" customWidth="1"/>
    <col min="25" max="25" width="23" style="1" customWidth="1"/>
    <col min="26" max="27" width="20.7109375" style="1" customWidth="1"/>
    <col min="28" max="28" width="22.42578125" style="1" customWidth="1"/>
    <col min="29" max="29" width="9.140625" style="1" customWidth="1"/>
    <col min="30" max="16384" width="9.140625" style="1"/>
  </cols>
  <sheetData>
    <row r="1" spans="1:28" x14ac:dyDescent="0.25">
      <c r="A1" s="53" t="s">
        <v>4</v>
      </c>
      <c r="O1" s="75"/>
    </row>
    <row r="2" spans="1:28" x14ac:dyDescent="0.25">
      <c r="A2" s="53" t="s">
        <v>5</v>
      </c>
      <c r="H2" s="1">
        <f>15000/7</f>
        <v>2142.8571428571427</v>
      </c>
      <c r="O2" s="75"/>
    </row>
    <row r="3" spans="1:28" x14ac:dyDescent="0.25">
      <c r="A3" s="53" t="s">
        <v>6</v>
      </c>
      <c r="O3" s="75"/>
    </row>
    <row r="4" spans="1:28" x14ac:dyDescent="0.25">
      <c r="A4" s="54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58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6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 x14ac:dyDescent="0.25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59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7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x14ac:dyDescent="0.25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59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5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 x14ac:dyDescent="0.25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59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5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 x14ac:dyDescent="0.25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59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5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 x14ac:dyDescent="0.25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59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5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 x14ac:dyDescent="0.25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59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5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 x14ac:dyDescent="0.25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0"/>
      <c r="H11" s="44">
        <v>9000</v>
      </c>
      <c r="I11" s="44"/>
      <c r="J11" s="42"/>
      <c r="K11" s="42"/>
      <c r="L11" s="42"/>
      <c r="M11" s="42"/>
      <c r="N11" s="42"/>
      <c r="O11" s="5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 x14ac:dyDescent="0.25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59"/>
      <c r="H12" s="6">
        <v>3000</v>
      </c>
      <c r="I12" s="6">
        <f t="shared" ref="I12:I17" si="0"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5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 x14ac:dyDescent="0.25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59"/>
      <c r="H13" s="6">
        <v>3000</v>
      </c>
      <c r="I13" s="6">
        <f t="shared" si="0"/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5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 x14ac:dyDescent="0.25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59"/>
      <c r="H14" s="6" t="s">
        <v>42</v>
      </c>
      <c r="I14" s="6">
        <f t="shared" si="0"/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5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 x14ac:dyDescent="0.25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59" t="s">
        <v>44</v>
      </c>
      <c r="H15" s="6" t="s">
        <v>42</v>
      </c>
      <c r="I15" s="6">
        <f t="shared" si="0"/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5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 x14ac:dyDescent="0.25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59"/>
      <c r="H16" s="6">
        <v>3000</v>
      </c>
      <c r="I16" s="6">
        <f t="shared" si="0"/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5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 x14ac:dyDescent="0.25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59"/>
      <c r="H17" s="6">
        <v>3000</v>
      </c>
      <c r="I17" s="6">
        <f t="shared" si="0"/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5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 x14ac:dyDescent="0.25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0"/>
      <c r="H18" s="44">
        <v>9000</v>
      </c>
      <c r="I18" s="44"/>
      <c r="J18" s="42"/>
      <c r="K18" s="42"/>
      <c r="L18" s="42"/>
      <c r="M18" s="42"/>
      <c r="N18" s="42"/>
      <c r="O18" s="5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 x14ac:dyDescent="0.25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0"/>
      <c r="H19" s="44">
        <v>3000</v>
      </c>
      <c r="I19" s="44"/>
      <c r="J19" s="42"/>
      <c r="K19" s="42"/>
      <c r="L19" s="42"/>
      <c r="M19" s="42"/>
      <c r="N19" s="42"/>
      <c r="O19" s="5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 x14ac:dyDescent="0.25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59"/>
      <c r="H20" s="6">
        <v>4000</v>
      </c>
      <c r="I20" s="6">
        <f t="shared" ref="I20:I26" si="1"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7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 x14ac:dyDescent="0.25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59"/>
      <c r="H21" s="6">
        <v>3000</v>
      </c>
      <c r="I21" s="6">
        <f t="shared" si="1"/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5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 x14ac:dyDescent="0.25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59"/>
      <c r="H22" s="6">
        <v>3000</v>
      </c>
      <c r="I22" s="6">
        <f t="shared" si="1"/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5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 x14ac:dyDescent="0.25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59"/>
      <c r="H23" s="6" t="s">
        <v>42</v>
      </c>
      <c r="I23" s="6">
        <f t="shared" si="1"/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5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 x14ac:dyDescent="0.25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59" t="s">
        <v>44</v>
      </c>
      <c r="H24" s="6" t="s">
        <v>42</v>
      </c>
      <c r="I24" s="6">
        <f t="shared" si="1"/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5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 x14ac:dyDescent="0.25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59"/>
      <c r="H25" s="6">
        <v>3000</v>
      </c>
      <c r="I25" s="6">
        <f t="shared" si="1"/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5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 x14ac:dyDescent="0.25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59"/>
      <c r="H26" s="6">
        <v>3000</v>
      </c>
      <c r="I26" s="6">
        <f t="shared" si="1"/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5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 x14ac:dyDescent="0.25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0"/>
      <c r="H27" s="44">
        <v>9000</v>
      </c>
      <c r="I27" s="44"/>
      <c r="J27" s="42"/>
      <c r="K27" s="42"/>
      <c r="L27" s="42"/>
      <c r="M27" s="42"/>
      <c r="N27" s="42"/>
      <c r="O27" s="5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 x14ac:dyDescent="0.25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0"/>
      <c r="H28" s="44">
        <v>3000</v>
      </c>
      <c r="I28" s="44"/>
      <c r="J28" s="42"/>
      <c r="K28" s="42"/>
      <c r="L28" s="42"/>
      <c r="M28" s="42"/>
      <c r="N28" s="42"/>
      <c r="O28" s="5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 x14ac:dyDescent="0.25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59"/>
      <c r="H29" s="6">
        <v>4000</v>
      </c>
      <c r="I29" s="6">
        <f t="shared" ref="I29:I35" si="2"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7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 x14ac:dyDescent="0.25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59"/>
      <c r="H30" s="6">
        <v>3000</v>
      </c>
      <c r="I30" s="6">
        <f t="shared" si="2"/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5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 x14ac:dyDescent="0.25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59"/>
      <c r="H31" s="6">
        <v>3000</v>
      </c>
      <c r="I31" s="6">
        <f t="shared" si="2"/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5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 x14ac:dyDescent="0.25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59"/>
      <c r="H32" s="6" t="s">
        <v>42</v>
      </c>
      <c r="I32" s="6">
        <f t="shared" si="2"/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5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 x14ac:dyDescent="0.25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59" t="s">
        <v>44</v>
      </c>
      <c r="H33" s="6" t="s">
        <v>42</v>
      </c>
      <c r="I33" s="6">
        <f t="shared" si="2"/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5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 x14ac:dyDescent="0.25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59"/>
      <c r="H34" s="6">
        <v>3000</v>
      </c>
      <c r="I34" s="6">
        <f t="shared" si="2"/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5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 x14ac:dyDescent="0.25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59"/>
      <c r="H35" s="6">
        <v>3000</v>
      </c>
      <c r="I35" s="6">
        <f t="shared" si="2"/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5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 x14ac:dyDescent="0.25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0"/>
      <c r="H36" s="44">
        <v>12000</v>
      </c>
      <c r="I36" s="44"/>
      <c r="J36" s="42"/>
      <c r="K36" s="42"/>
      <c r="L36" s="42"/>
      <c r="M36" s="42"/>
      <c r="N36" s="42"/>
      <c r="O36" s="5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 x14ac:dyDescent="0.25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59"/>
      <c r="H37" s="6">
        <v>4000</v>
      </c>
      <c r="I37" s="6">
        <f t="shared" ref="I37:I43" si="3"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7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 x14ac:dyDescent="0.25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59"/>
      <c r="H38" s="6">
        <v>3000</v>
      </c>
      <c r="I38" s="6">
        <f t="shared" si="3"/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5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 x14ac:dyDescent="0.25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59"/>
      <c r="H39" s="6">
        <v>3000</v>
      </c>
      <c r="I39" s="6">
        <f t="shared" si="3"/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5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 x14ac:dyDescent="0.25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59"/>
      <c r="H40" s="6" t="s">
        <v>42</v>
      </c>
      <c r="I40" s="6">
        <f t="shared" si="3"/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5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 x14ac:dyDescent="0.25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59" t="s">
        <v>44</v>
      </c>
      <c r="H41" s="6" t="s">
        <v>42</v>
      </c>
      <c r="I41" s="6">
        <f t="shared" si="3"/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5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 x14ac:dyDescent="0.25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59"/>
      <c r="H42" s="6">
        <v>3000</v>
      </c>
      <c r="I42" s="6">
        <f t="shared" si="3"/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5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 x14ac:dyDescent="0.25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59"/>
      <c r="H43" s="6">
        <v>3000</v>
      </c>
      <c r="I43" s="6">
        <f t="shared" si="3"/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5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 x14ac:dyDescent="0.25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0"/>
      <c r="H44" s="44">
        <v>12000</v>
      </c>
      <c r="I44" s="44"/>
      <c r="J44" s="42"/>
      <c r="K44" s="42"/>
      <c r="L44" s="42"/>
      <c r="M44" s="42"/>
      <c r="N44" s="42"/>
      <c r="O44" s="5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 x14ac:dyDescent="0.25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59"/>
      <c r="H45" s="6">
        <v>4000</v>
      </c>
      <c r="I45" s="6">
        <f t="shared" ref="I45:I51" si="4"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7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 x14ac:dyDescent="0.25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59"/>
      <c r="H46" s="6">
        <v>3000</v>
      </c>
      <c r="I46" s="6">
        <f t="shared" si="4"/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5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 x14ac:dyDescent="0.25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59"/>
      <c r="H47" s="6">
        <v>3000</v>
      </c>
      <c r="I47" s="6">
        <f t="shared" si="4"/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5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 x14ac:dyDescent="0.25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59"/>
      <c r="H48" s="6" t="s">
        <v>42</v>
      </c>
      <c r="I48" s="6">
        <f t="shared" si="4"/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5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 x14ac:dyDescent="0.25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59" t="s">
        <v>44</v>
      </c>
      <c r="H49" s="6" t="s">
        <v>42</v>
      </c>
      <c r="I49" s="6">
        <f t="shared" si="4"/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5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 x14ac:dyDescent="0.25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59"/>
      <c r="H50" s="6">
        <v>3000</v>
      </c>
      <c r="I50" s="6">
        <f t="shared" si="4"/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5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 x14ac:dyDescent="0.25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59"/>
      <c r="H51" s="6">
        <v>3000</v>
      </c>
      <c r="I51" s="6">
        <f t="shared" si="4"/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5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 x14ac:dyDescent="0.25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0"/>
      <c r="H52" s="44">
        <v>12000</v>
      </c>
      <c r="I52" s="44"/>
      <c r="J52" s="42"/>
      <c r="K52" s="42"/>
      <c r="L52" s="42"/>
      <c r="M52" s="42"/>
      <c r="N52" s="42"/>
      <c r="O52" s="5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 x14ac:dyDescent="0.25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59"/>
      <c r="H53" s="6">
        <v>4000</v>
      </c>
      <c r="I53" s="6">
        <f t="shared" ref="I53:I68" si="5"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7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 x14ac:dyDescent="0.25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59"/>
      <c r="H54" s="6" t="s">
        <v>42</v>
      </c>
      <c r="I54" s="6">
        <f t="shared" si="5"/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5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 x14ac:dyDescent="0.25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59"/>
      <c r="H55" s="6">
        <v>3000</v>
      </c>
      <c r="I55" s="6">
        <f t="shared" si="5"/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5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 x14ac:dyDescent="0.25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59"/>
      <c r="H56" s="6"/>
      <c r="I56" s="6">
        <f t="shared" si="5"/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5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 x14ac:dyDescent="0.25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59"/>
      <c r="H57" s="6"/>
      <c r="I57" s="6">
        <f t="shared" si="5"/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5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 x14ac:dyDescent="0.25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59"/>
      <c r="H58" s="6"/>
      <c r="I58" s="6">
        <f t="shared" si="5"/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5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 x14ac:dyDescent="0.25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59"/>
      <c r="H59" s="6">
        <f>24000/7</f>
        <v>3428.5714285714284</v>
      </c>
      <c r="I59" s="6">
        <f t="shared" si="5"/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7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 x14ac:dyDescent="0.25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59"/>
      <c r="H60" s="6"/>
      <c r="I60" s="6">
        <f t="shared" si="5"/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5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 x14ac:dyDescent="0.25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59"/>
      <c r="H61" s="6"/>
      <c r="I61" s="6">
        <f t="shared" si="5"/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5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 x14ac:dyDescent="0.25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59"/>
      <c r="H62" s="6"/>
      <c r="I62" s="6">
        <f t="shared" si="5"/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5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 x14ac:dyDescent="0.25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59"/>
      <c r="H63" s="6" t="s">
        <v>42</v>
      </c>
      <c r="I63" s="6">
        <f t="shared" si="5"/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5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 x14ac:dyDescent="0.25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59" t="s">
        <v>44</v>
      </c>
      <c r="H64" s="6" t="s">
        <v>42</v>
      </c>
      <c r="I64" s="6">
        <f t="shared" si="5"/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5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 x14ac:dyDescent="0.25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59"/>
      <c r="H65" s="6">
        <v>3000</v>
      </c>
      <c r="I65" s="6">
        <f t="shared" si="5"/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5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 x14ac:dyDescent="0.25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59"/>
      <c r="H66" s="6">
        <v>3000</v>
      </c>
      <c r="I66" s="6">
        <f t="shared" si="5"/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5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 x14ac:dyDescent="0.25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59"/>
      <c r="H67" s="6">
        <f>24000/7</f>
        <v>3428.5714285714284</v>
      </c>
      <c r="I67" s="6">
        <f t="shared" si="5"/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7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 x14ac:dyDescent="0.25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59"/>
      <c r="H68" s="6" t="s">
        <v>42</v>
      </c>
      <c r="I68" s="6">
        <f t="shared" si="5"/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5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 x14ac:dyDescent="0.25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0"/>
      <c r="H69" s="44">
        <f>15000-6000</f>
        <v>9000</v>
      </c>
      <c r="I69" s="44"/>
      <c r="J69" s="42"/>
      <c r="K69" s="42"/>
      <c r="L69" s="42"/>
      <c r="M69" s="42"/>
      <c r="N69" s="42"/>
      <c r="O69" s="5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 x14ac:dyDescent="0.25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59"/>
      <c r="H70" s="6">
        <v>3000</v>
      </c>
      <c r="I70" s="6">
        <f t="shared" ref="I70:I77" si="6"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5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 x14ac:dyDescent="0.25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59"/>
      <c r="H71" s="6" t="s">
        <v>42</v>
      </c>
      <c r="I71" s="6">
        <f t="shared" si="6"/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5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 x14ac:dyDescent="0.25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59" t="s">
        <v>44</v>
      </c>
      <c r="H72" s="6" t="s">
        <v>42</v>
      </c>
      <c r="I72" s="6">
        <f t="shared" si="6"/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5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 x14ac:dyDescent="0.25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59"/>
      <c r="H73" s="6">
        <f>24000/7</f>
        <v>3428.5714285714284</v>
      </c>
      <c r="I73" s="6">
        <f t="shared" si="6"/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7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 x14ac:dyDescent="0.25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59"/>
      <c r="H74" s="6" t="s">
        <v>42</v>
      </c>
      <c r="I74" s="6">
        <f t="shared" si="6"/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5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 x14ac:dyDescent="0.25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59"/>
      <c r="H75" s="6">
        <v>3000</v>
      </c>
      <c r="I75" s="6">
        <f t="shared" si="6"/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5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 x14ac:dyDescent="0.25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59"/>
      <c r="H76" s="6">
        <v>3000</v>
      </c>
      <c r="I76" s="6">
        <f t="shared" si="6"/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5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 x14ac:dyDescent="0.25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59"/>
      <c r="H77" s="6">
        <v>3000</v>
      </c>
      <c r="I77" s="6">
        <f t="shared" si="6"/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5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 x14ac:dyDescent="0.25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0"/>
      <c r="H78" s="44">
        <v>6000</v>
      </c>
      <c r="I78" s="44"/>
      <c r="J78" s="42"/>
      <c r="K78" s="42"/>
      <c r="L78" s="42"/>
      <c r="M78" s="42"/>
      <c r="N78" s="42"/>
      <c r="O78" s="5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 x14ac:dyDescent="0.25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59"/>
      <c r="H79" s="6" t="s">
        <v>42</v>
      </c>
      <c r="I79" s="6">
        <f t="shared" ref="I79:I92" si="7"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5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 x14ac:dyDescent="0.25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59" t="s">
        <v>53</v>
      </c>
      <c r="H80" s="6" t="s">
        <v>42</v>
      </c>
      <c r="I80" s="6">
        <f t="shared" si="7"/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5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 x14ac:dyDescent="0.25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59"/>
      <c r="H81" s="6">
        <f>24000/7</f>
        <v>3428.5714285714284</v>
      </c>
      <c r="I81" s="6">
        <f t="shared" si="7"/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7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 x14ac:dyDescent="0.25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59"/>
      <c r="H82" s="6" t="s">
        <v>42</v>
      </c>
      <c r="I82" s="6">
        <f t="shared" si="7"/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5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 x14ac:dyDescent="0.25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59"/>
      <c r="H83" s="6">
        <v>3000</v>
      </c>
      <c r="I83" s="6">
        <f t="shared" si="7"/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5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 x14ac:dyDescent="0.25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59"/>
      <c r="H84" s="6">
        <v>3000</v>
      </c>
      <c r="I84" s="6">
        <f t="shared" si="7"/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5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 x14ac:dyDescent="0.25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59"/>
      <c r="H85" s="6">
        <v>3000</v>
      </c>
      <c r="I85" s="6">
        <f t="shared" si="7"/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5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 x14ac:dyDescent="0.25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59"/>
      <c r="H86" s="6" t="s">
        <v>42</v>
      </c>
      <c r="I86" s="6">
        <f t="shared" si="7"/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5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 x14ac:dyDescent="0.25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59" t="s">
        <v>53</v>
      </c>
      <c r="H87" s="6" t="s">
        <v>42</v>
      </c>
      <c r="I87" s="6">
        <f t="shared" si="7"/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5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 x14ac:dyDescent="0.25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59"/>
      <c r="H88" s="6">
        <f>24000/7</f>
        <v>3428.5714285714284</v>
      </c>
      <c r="I88" s="6">
        <f t="shared" si="7"/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7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 x14ac:dyDescent="0.25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59"/>
      <c r="H89" s="6" t="s">
        <v>42</v>
      </c>
      <c r="I89" s="6">
        <f t="shared" si="7"/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5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 x14ac:dyDescent="0.25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59"/>
      <c r="H90" s="6">
        <v>3000</v>
      </c>
      <c r="I90" s="6">
        <f t="shared" si="7"/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5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 x14ac:dyDescent="0.25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59"/>
      <c r="H91" s="6">
        <v>3000</v>
      </c>
      <c r="I91" s="6">
        <f t="shared" si="7"/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5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 x14ac:dyDescent="0.25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59"/>
      <c r="H92" s="6">
        <v>3000</v>
      </c>
      <c r="I92" s="6">
        <f t="shared" si="7"/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5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 x14ac:dyDescent="0.25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0"/>
      <c r="H93" s="44">
        <v>6000</v>
      </c>
      <c r="I93" s="44"/>
      <c r="J93" s="42"/>
      <c r="K93" s="42"/>
      <c r="L93" s="42"/>
      <c r="M93" s="42"/>
      <c r="N93" s="42"/>
      <c r="O93" s="5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 x14ac:dyDescent="0.25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59"/>
      <c r="H94" s="6" t="s">
        <v>42</v>
      </c>
      <c r="I94" s="6">
        <f t="shared" ref="I94:I99" si="8"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5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 x14ac:dyDescent="0.25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59" t="s">
        <v>53</v>
      </c>
      <c r="H95" s="6" t="s">
        <v>42</v>
      </c>
      <c r="I95" s="6">
        <f t="shared" si="8"/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5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 x14ac:dyDescent="0.25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59"/>
      <c r="H96" s="6">
        <f>24000/7</f>
        <v>3428.5714285714284</v>
      </c>
      <c r="I96" s="6">
        <f t="shared" si="8"/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7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 x14ac:dyDescent="0.25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59"/>
      <c r="H97" s="6" t="s">
        <v>42</v>
      </c>
      <c r="I97" s="6">
        <f t="shared" si="8"/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5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 x14ac:dyDescent="0.25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59"/>
      <c r="H98" s="6">
        <v>3000</v>
      </c>
      <c r="I98" s="6">
        <f t="shared" si="8"/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5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 x14ac:dyDescent="0.25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59"/>
      <c r="H99" s="6">
        <v>3000</v>
      </c>
      <c r="I99" s="6">
        <f t="shared" si="8"/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5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 x14ac:dyDescent="0.25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0"/>
      <c r="H100" s="44">
        <v>9000</v>
      </c>
      <c r="I100" s="44"/>
      <c r="J100" s="42"/>
      <c r="K100" s="42"/>
      <c r="L100" s="42"/>
      <c r="M100" s="42"/>
      <c r="N100" s="42"/>
      <c r="O100" s="5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 x14ac:dyDescent="0.25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59"/>
      <c r="H101" s="6" t="s">
        <v>42</v>
      </c>
      <c r="I101" s="6">
        <f t="shared" ref="I101:I107" si="9"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5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 x14ac:dyDescent="0.25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59"/>
      <c r="H102" s="6" t="s">
        <v>42</v>
      </c>
      <c r="I102" s="6">
        <f t="shared" si="9"/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5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 x14ac:dyDescent="0.25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59" t="s">
        <v>53</v>
      </c>
      <c r="H103" s="6" t="s">
        <v>42</v>
      </c>
      <c r="I103" s="6">
        <f t="shared" si="9"/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5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 x14ac:dyDescent="0.25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59"/>
      <c r="H104" s="6">
        <f>24000/7</f>
        <v>3428.5714285714284</v>
      </c>
      <c r="I104" s="6">
        <f t="shared" si="9"/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7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 x14ac:dyDescent="0.25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59"/>
      <c r="H105" s="6" t="s">
        <v>42</v>
      </c>
      <c r="I105" s="6">
        <f t="shared" si="9"/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5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 x14ac:dyDescent="0.25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59"/>
      <c r="H106" s="6">
        <v>3000</v>
      </c>
      <c r="I106" s="6">
        <f t="shared" si="9"/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5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 x14ac:dyDescent="0.25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59"/>
      <c r="H107" s="6">
        <v>3000</v>
      </c>
      <c r="I107" s="6">
        <f t="shared" si="9"/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5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 x14ac:dyDescent="0.25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0"/>
      <c r="H108" s="44">
        <v>9000</v>
      </c>
      <c r="I108" s="44"/>
      <c r="J108" s="42"/>
      <c r="K108" s="42"/>
      <c r="L108" s="42"/>
      <c r="M108" s="42"/>
      <c r="N108" s="42"/>
      <c r="O108" s="5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 x14ac:dyDescent="0.25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59"/>
      <c r="H109" s="6" t="s">
        <v>42</v>
      </c>
      <c r="I109" s="6">
        <f t="shared" ref="I109:I120" si="10"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5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 x14ac:dyDescent="0.25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59"/>
      <c r="H110" s="6" t="s">
        <v>42</v>
      </c>
      <c r="I110" s="6">
        <f t="shared" si="10"/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5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 x14ac:dyDescent="0.25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59" t="s">
        <v>53</v>
      </c>
      <c r="H111" s="6" t="s">
        <v>42</v>
      </c>
      <c r="I111" s="6">
        <f t="shared" si="10"/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5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 x14ac:dyDescent="0.25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59"/>
      <c r="H112" s="6">
        <f>24000/8</f>
        <v>3000</v>
      </c>
      <c r="I112" s="6">
        <f t="shared" si="10"/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7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 x14ac:dyDescent="0.25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59"/>
      <c r="H113" s="6" t="s">
        <v>42</v>
      </c>
      <c r="I113" s="6">
        <f t="shared" si="10"/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5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 x14ac:dyDescent="0.25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59"/>
      <c r="H114" s="6">
        <v>3000</v>
      </c>
      <c r="I114" s="6">
        <f t="shared" si="10"/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5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 x14ac:dyDescent="0.25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59"/>
      <c r="H115" s="6">
        <v>3000</v>
      </c>
      <c r="I115" s="6">
        <f t="shared" si="10"/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5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 x14ac:dyDescent="0.25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59"/>
      <c r="H116" s="6">
        <v>3000</v>
      </c>
      <c r="I116" s="6">
        <f t="shared" si="10"/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5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 x14ac:dyDescent="0.25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59"/>
      <c r="H117" s="6" t="s">
        <v>42</v>
      </c>
      <c r="I117" s="6">
        <f t="shared" si="10"/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5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 x14ac:dyDescent="0.25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59" t="s">
        <v>53</v>
      </c>
      <c r="H118" s="6" t="s">
        <v>42</v>
      </c>
      <c r="I118" s="6">
        <f t="shared" si="10"/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5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 x14ac:dyDescent="0.25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59"/>
      <c r="H119" s="6">
        <f>24000/8</f>
        <v>3000</v>
      </c>
      <c r="I119" s="6">
        <f t="shared" si="10"/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7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 x14ac:dyDescent="0.25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59"/>
      <c r="H120" s="6" t="s">
        <v>42</v>
      </c>
      <c r="I120" s="6">
        <f t="shared" si="10"/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5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 x14ac:dyDescent="0.25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59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5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 x14ac:dyDescent="0.25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59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5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 x14ac:dyDescent="0.25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59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5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 x14ac:dyDescent="0.25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0"/>
      <c r="H124" s="44">
        <v>6000</v>
      </c>
      <c r="I124" s="44"/>
      <c r="J124" s="42"/>
      <c r="K124" s="42"/>
      <c r="L124" s="42"/>
      <c r="M124" s="42"/>
      <c r="N124" s="42"/>
      <c r="O124" s="5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 x14ac:dyDescent="0.25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59"/>
      <c r="H125" s="6" t="s">
        <v>42</v>
      </c>
      <c r="I125" s="6">
        <f t="shared" ref="I125:I131" si="11"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5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 x14ac:dyDescent="0.25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59" t="s">
        <v>53</v>
      </c>
      <c r="H126" s="6" t="s">
        <v>42</v>
      </c>
      <c r="I126" s="6">
        <f t="shared" si="11"/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5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 x14ac:dyDescent="0.25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59"/>
      <c r="H127" s="6">
        <f>24000/8</f>
        <v>3000</v>
      </c>
      <c r="I127" s="6">
        <f t="shared" si="11"/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7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 x14ac:dyDescent="0.25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59"/>
      <c r="H128" s="6" t="s">
        <v>42</v>
      </c>
      <c r="I128" s="6">
        <f t="shared" si="11"/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5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 x14ac:dyDescent="0.25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59" t="s">
        <v>60</v>
      </c>
      <c r="H129" s="6">
        <v>3000</v>
      </c>
      <c r="I129" s="6">
        <f t="shared" si="11"/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5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 x14ac:dyDescent="0.25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59"/>
      <c r="H130" s="6">
        <v>3000</v>
      </c>
      <c r="I130" s="6">
        <f t="shared" si="11"/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5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 x14ac:dyDescent="0.25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59"/>
      <c r="H131" s="6">
        <v>3000</v>
      </c>
      <c r="I131" s="6">
        <f t="shared" si="11"/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5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 x14ac:dyDescent="0.25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0"/>
      <c r="H132" s="44">
        <v>6000</v>
      </c>
      <c r="I132" s="44"/>
      <c r="J132" s="42"/>
      <c r="K132" s="42"/>
      <c r="L132" s="42"/>
      <c r="M132" s="42"/>
      <c r="N132" s="42"/>
      <c r="O132" s="5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 x14ac:dyDescent="0.25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59"/>
      <c r="H133" s="6" t="s">
        <v>42</v>
      </c>
      <c r="I133" s="6">
        <f t="shared" ref="I133:I139" si="12"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5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 x14ac:dyDescent="0.25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59" t="s">
        <v>53</v>
      </c>
      <c r="H134" s="6" t="s">
        <v>42</v>
      </c>
      <c r="I134" s="6">
        <f t="shared" si="12"/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5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 x14ac:dyDescent="0.25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59"/>
      <c r="H135" s="6">
        <f>24000/8</f>
        <v>3000</v>
      </c>
      <c r="I135" s="6">
        <f t="shared" si="12"/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7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 x14ac:dyDescent="0.25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59"/>
      <c r="H136" s="6" t="s">
        <v>42</v>
      </c>
      <c r="I136" s="6">
        <f t="shared" si="12"/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5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 x14ac:dyDescent="0.25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59"/>
      <c r="H137" s="6">
        <v>3000</v>
      </c>
      <c r="I137" s="6">
        <f t="shared" si="12"/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5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 x14ac:dyDescent="0.25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59"/>
      <c r="H138" s="6">
        <v>3000</v>
      </c>
      <c r="I138" s="6">
        <f t="shared" si="12"/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5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 x14ac:dyDescent="0.25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59"/>
      <c r="H139" s="6">
        <v>3000</v>
      </c>
      <c r="I139" s="6">
        <f t="shared" si="12"/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5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 x14ac:dyDescent="0.25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0"/>
      <c r="H140" s="44">
        <v>6000</v>
      </c>
      <c r="I140" s="44"/>
      <c r="J140" s="42"/>
      <c r="K140" s="42"/>
      <c r="L140" s="42"/>
      <c r="M140" s="42"/>
      <c r="N140" s="42"/>
      <c r="O140" s="5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 x14ac:dyDescent="0.25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59"/>
      <c r="H141" s="6">
        <v>3000</v>
      </c>
      <c r="I141" s="6">
        <f t="shared" ref="I141:I147" si="13"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5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 x14ac:dyDescent="0.25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59"/>
      <c r="H142" s="6">
        <f>24000/8</f>
        <v>3000</v>
      </c>
      <c r="I142" s="6">
        <f t="shared" si="13"/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7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 x14ac:dyDescent="0.25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59"/>
      <c r="H143" s="6" t="s">
        <v>42</v>
      </c>
      <c r="I143" s="6">
        <f t="shared" si="13"/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5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 x14ac:dyDescent="0.25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59" t="s">
        <v>60</v>
      </c>
      <c r="H144" s="6">
        <v>3000</v>
      </c>
      <c r="I144" s="6">
        <f t="shared" si="13"/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5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 x14ac:dyDescent="0.25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59"/>
      <c r="H145" s="6" t="s">
        <v>42</v>
      </c>
      <c r="I145" s="6">
        <f t="shared" si="13"/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5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 x14ac:dyDescent="0.25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59"/>
      <c r="H146" s="6" t="s">
        <v>42</v>
      </c>
      <c r="I146" s="6">
        <f t="shared" si="13"/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5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 x14ac:dyDescent="0.25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59" t="s">
        <v>53</v>
      </c>
      <c r="H147" s="6" t="s">
        <v>42</v>
      </c>
      <c r="I147" s="6">
        <f t="shared" si="13"/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5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 x14ac:dyDescent="0.25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0"/>
      <c r="H148" s="44">
        <v>12000</v>
      </c>
      <c r="I148" s="44"/>
      <c r="J148" s="42"/>
      <c r="K148" s="42"/>
      <c r="L148" s="42"/>
      <c r="M148" s="42"/>
      <c r="N148" s="42"/>
      <c r="O148" s="5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 x14ac:dyDescent="0.25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59"/>
      <c r="H149" s="6">
        <v>2500</v>
      </c>
      <c r="I149" s="6">
        <f t="shared" ref="I149:I155" si="14"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5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 x14ac:dyDescent="0.25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59"/>
      <c r="H150" s="6">
        <f>24000/8</f>
        <v>3000</v>
      </c>
      <c r="I150" s="6">
        <f t="shared" si="14"/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7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 x14ac:dyDescent="0.25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59" t="s">
        <v>60</v>
      </c>
      <c r="H151" s="6">
        <v>3000</v>
      </c>
      <c r="I151" s="6">
        <f t="shared" si="14"/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78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 x14ac:dyDescent="0.25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59"/>
      <c r="H152" s="6">
        <v>3000</v>
      </c>
      <c r="I152" s="6">
        <f t="shared" si="14"/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5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 x14ac:dyDescent="0.25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59"/>
      <c r="H153" s="6">
        <v>3000</v>
      </c>
      <c r="I153" s="6">
        <f t="shared" si="14"/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5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 x14ac:dyDescent="0.25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59"/>
      <c r="H154" s="6">
        <v>3000</v>
      </c>
      <c r="I154" s="6">
        <f t="shared" si="14"/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5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 x14ac:dyDescent="0.25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59"/>
      <c r="H155" s="6">
        <v>3000</v>
      </c>
      <c r="I155" s="6">
        <f t="shared" si="14"/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5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 x14ac:dyDescent="0.25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0"/>
      <c r="H156" s="44">
        <v>0</v>
      </c>
      <c r="I156" s="44"/>
      <c r="J156" s="42"/>
      <c r="K156" s="42"/>
      <c r="L156" s="42"/>
      <c r="M156" s="42"/>
      <c r="N156" s="42"/>
      <c r="O156" s="5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 x14ac:dyDescent="0.25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59"/>
      <c r="H157" s="6">
        <v>2500</v>
      </c>
      <c r="I157" s="6">
        <f t="shared" ref="I157:I163" si="15"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5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 x14ac:dyDescent="0.25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59"/>
      <c r="H158" s="6">
        <v>3000</v>
      </c>
      <c r="I158" s="6">
        <f t="shared" si="15"/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5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 x14ac:dyDescent="0.25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59"/>
      <c r="H159" s="6">
        <f>24000/8</f>
        <v>3000</v>
      </c>
      <c r="I159" s="6">
        <f t="shared" si="15"/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7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 x14ac:dyDescent="0.25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59" t="s">
        <v>60</v>
      </c>
      <c r="H160" s="6">
        <v>3000</v>
      </c>
      <c r="I160" s="6">
        <f t="shared" si="15"/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78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 x14ac:dyDescent="0.25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59"/>
      <c r="H161" s="6">
        <v>3000</v>
      </c>
      <c r="I161" s="6">
        <f t="shared" si="15"/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5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 x14ac:dyDescent="0.25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59"/>
      <c r="H162" s="6">
        <v>3000</v>
      </c>
      <c r="I162" s="6">
        <f t="shared" si="15"/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5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 x14ac:dyDescent="0.25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59"/>
      <c r="H163" s="6">
        <v>3000</v>
      </c>
      <c r="I163" s="6">
        <f t="shared" si="15"/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5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 x14ac:dyDescent="0.25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0"/>
      <c r="H164" s="44"/>
      <c r="I164" s="44"/>
      <c r="J164" s="42"/>
      <c r="K164" s="42"/>
      <c r="L164" s="42"/>
      <c r="M164" s="42"/>
      <c r="N164" s="42"/>
      <c r="O164" s="5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 x14ac:dyDescent="0.25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59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5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 x14ac:dyDescent="0.25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59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5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 x14ac:dyDescent="0.25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59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7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 x14ac:dyDescent="0.25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59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5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 x14ac:dyDescent="0.25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59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5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 x14ac:dyDescent="0.25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59"/>
      <c r="H170" s="6" t="s">
        <v>42</v>
      </c>
      <c r="I170" s="6">
        <f t="shared" ref="I170:I177" si="16"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5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 x14ac:dyDescent="0.25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59"/>
      <c r="H171" s="6" t="s">
        <v>42</v>
      </c>
      <c r="I171" s="6">
        <f t="shared" si="16"/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5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 x14ac:dyDescent="0.25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59"/>
      <c r="H172" s="6">
        <v>3000</v>
      </c>
      <c r="I172" s="6">
        <f t="shared" si="16"/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5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 x14ac:dyDescent="0.25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59"/>
      <c r="H173" s="6">
        <v>3000</v>
      </c>
      <c r="I173" s="6">
        <f t="shared" si="16"/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5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 x14ac:dyDescent="0.25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59"/>
      <c r="H174" s="6"/>
      <c r="I174" s="6">
        <f t="shared" si="16"/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5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 x14ac:dyDescent="0.25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59"/>
      <c r="H175" s="6">
        <f>24000/7</f>
        <v>3428.5714285714284</v>
      </c>
      <c r="I175" s="6">
        <f t="shared" si="16"/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7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 x14ac:dyDescent="0.25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59"/>
      <c r="H176" s="6">
        <f>24000/8</f>
        <v>3000</v>
      </c>
      <c r="I176" s="6">
        <f t="shared" si="16"/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5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 x14ac:dyDescent="0.25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59"/>
      <c r="H177" s="6">
        <f>24000/8</f>
        <v>3000</v>
      </c>
      <c r="I177" s="6">
        <f t="shared" si="16"/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5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 x14ac:dyDescent="0.25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0"/>
      <c r="H178" s="44"/>
      <c r="I178" s="44"/>
      <c r="J178" s="42"/>
      <c r="K178" s="42"/>
      <c r="L178" s="42"/>
      <c r="M178" s="42"/>
      <c r="N178" s="42"/>
      <c r="O178" s="5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 x14ac:dyDescent="0.25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59"/>
      <c r="H179" s="6">
        <f>24000/8</f>
        <v>3000</v>
      </c>
      <c r="I179" s="6">
        <f t="shared" ref="I179:I185" si="17"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5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 x14ac:dyDescent="0.25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59"/>
      <c r="H180" s="6">
        <v>3000</v>
      </c>
      <c r="I180" s="6">
        <f t="shared" si="17"/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5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 x14ac:dyDescent="0.25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59"/>
      <c r="H181" s="6"/>
      <c r="I181" s="6">
        <f t="shared" si="17"/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5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 x14ac:dyDescent="0.25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59"/>
      <c r="H182" s="6">
        <f>24000/7</f>
        <v>3428.5714285714284</v>
      </c>
      <c r="I182" s="6">
        <f t="shared" si="17"/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7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 x14ac:dyDescent="0.25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59"/>
      <c r="H183" s="6">
        <v>3000</v>
      </c>
      <c r="I183" s="6">
        <f t="shared" si="17"/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5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 x14ac:dyDescent="0.25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59"/>
      <c r="H184" s="6">
        <f>24000/8</f>
        <v>3000</v>
      </c>
      <c r="I184" s="6">
        <f t="shared" si="17"/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5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 x14ac:dyDescent="0.25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59"/>
      <c r="H185" s="6">
        <f>24000/8</f>
        <v>3000</v>
      </c>
      <c r="I185" s="6">
        <f t="shared" si="17"/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5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 x14ac:dyDescent="0.25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0"/>
      <c r="H186" s="44"/>
      <c r="I186" s="44"/>
      <c r="J186" s="42"/>
      <c r="K186" s="42"/>
      <c r="L186" s="42"/>
      <c r="M186" s="42"/>
      <c r="N186" s="42"/>
      <c r="O186" s="5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 x14ac:dyDescent="0.25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59"/>
      <c r="H187" s="6">
        <f>24000/8</f>
        <v>3000</v>
      </c>
      <c r="I187" s="6">
        <f t="shared" ref="I187:I193" si="18"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5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 x14ac:dyDescent="0.25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59"/>
      <c r="H188" s="6"/>
      <c r="I188" s="6">
        <f t="shared" si="18"/>
        <v>0</v>
      </c>
      <c r="J188" s="2">
        <v>6.24</v>
      </c>
      <c r="K188" s="2">
        <v>4.79</v>
      </c>
      <c r="L188" s="2">
        <v>1.45</v>
      </c>
      <c r="M188" s="2"/>
      <c r="N188" s="2"/>
      <c r="O188" s="5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 x14ac:dyDescent="0.25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59"/>
      <c r="H189" s="6"/>
      <c r="I189" s="6">
        <f t="shared" si="18"/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5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 x14ac:dyDescent="0.25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59"/>
      <c r="H190" s="6">
        <f>24000/7</f>
        <v>3428.5714285714284</v>
      </c>
      <c r="I190" s="6">
        <f t="shared" si="18"/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7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 x14ac:dyDescent="0.25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59"/>
      <c r="H191" s="6">
        <v>3000</v>
      </c>
      <c r="I191" s="6">
        <f t="shared" si="18"/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5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 x14ac:dyDescent="0.25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59"/>
      <c r="H192" s="6">
        <f>24000/8</f>
        <v>3000</v>
      </c>
      <c r="I192" s="6">
        <f t="shared" si="18"/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5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 x14ac:dyDescent="0.25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59"/>
      <c r="H193" s="6">
        <f>24000/8</f>
        <v>3000</v>
      </c>
      <c r="I193" s="6">
        <f t="shared" si="18"/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5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 x14ac:dyDescent="0.25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0"/>
      <c r="H194" s="44">
        <v>3000</v>
      </c>
      <c r="I194" s="44"/>
      <c r="J194" s="42"/>
      <c r="K194" s="42"/>
      <c r="L194" s="42"/>
      <c r="M194" s="42"/>
      <c r="N194" s="42"/>
      <c r="O194" s="5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 x14ac:dyDescent="0.25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59"/>
      <c r="H195" s="6">
        <f>24000/8</f>
        <v>3000</v>
      </c>
      <c r="I195" s="6">
        <f t="shared" ref="I195:I201" si="19"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5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 x14ac:dyDescent="0.25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59"/>
      <c r="H196" s="6"/>
      <c r="I196" s="6">
        <f t="shared" si="19"/>
        <v>0</v>
      </c>
      <c r="J196" s="2">
        <v>6.49</v>
      </c>
      <c r="K196" s="2">
        <v>5.69</v>
      </c>
      <c r="L196" s="2">
        <v>0.8</v>
      </c>
      <c r="M196" s="2"/>
      <c r="N196" s="2"/>
      <c r="O196" s="5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 x14ac:dyDescent="0.25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59"/>
      <c r="H197" s="6"/>
      <c r="I197" s="6">
        <f t="shared" si="19"/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5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 x14ac:dyDescent="0.25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59"/>
      <c r="H198" s="6">
        <f>24000/7</f>
        <v>3428.5714285714284</v>
      </c>
      <c r="I198" s="6">
        <f t="shared" si="19"/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7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 x14ac:dyDescent="0.25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59"/>
      <c r="H199" s="6">
        <v>3000</v>
      </c>
      <c r="I199" s="6">
        <f t="shared" si="19"/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5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 x14ac:dyDescent="0.25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59"/>
      <c r="H200" s="6">
        <f>24000/8</f>
        <v>3000</v>
      </c>
      <c r="I200" s="6">
        <f t="shared" si="19"/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5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 x14ac:dyDescent="0.25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59"/>
      <c r="H201" s="6">
        <f>24000/8</f>
        <v>3000</v>
      </c>
      <c r="I201" s="6">
        <f t="shared" si="19"/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5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 x14ac:dyDescent="0.25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0"/>
      <c r="H202" s="44">
        <v>3000</v>
      </c>
      <c r="I202" s="44"/>
      <c r="J202" s="42"/>
      <c r="K202" s="42"/>
      <c r="L202" s="42"/>
      <c r="M202" s="42"/>
      <c r="N202" s="42"/>
      <c r="O202" s="5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 x14ac:dyDescent="0.25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59"/>
      <c r="H203" s="6">
        <f>24000/8</f>
        <v>3000</v>
      </c>
      <c r="I203" s="6">
        <f t="shared" ref="I203:I209" si="20"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5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 x14ac:dyDescent="0.25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59"/>
      <c r="H204" s="6"/>
      <c r="I204" s="6">
        <f t="shared" si="20"/>
        <v>0</v>
      </c>
      <c r="J204" s="2">
        <v>6.68</v>
      </c>
      <c r="K204" s="2">
        <v>5.88</v>
      </c>
      <c r="L204" s="2">
        <v>0.8</v>
      </c>
      <c r="M204" s="2"/>
      <c r="N204" s="2"/>
      <c r="O204" s="5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 x14ac:dyDescent="0.25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59"/>
      <c r="H205" s="6">
        <f>24000/7</f>
        <v>3428.5714285714284</v>
      </c>
      <c r="I205" s="6">
        <f t="shared" si="20"/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7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 x14ac:dyDescent="0.25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59"/>
      <c r="H206" s="6">
        <v>3000</v>
      </c>
      <c r="I206" s="6">
        <f t="shared" si="20"/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5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 x14ac:dyDescent="0.25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59"/>
      <c r="H207" s="6">
        <v>3000</v>
      </c>
      <c r="I207" s="6">
        <f t="shared" si="20"/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5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 x14ac:dyDescent="0.25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59"/>
      <c r="H208" s="6">
        <f>24000/8</f>
        <v>3000</v>
      </c>
      <c r="I208" s="6">
        <f t="shared" si="20"/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5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 x14ac:dyDescent="0.25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59"/>
      <c r="H209" s="6">
        <f>24000/8</f>
        <v>3000</v>
      </c>
      <c r="I209" s="6">
        <f t="shared" si="20"/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5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 x14ac:dyDescent="0.25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0"/>
      <c r="H210" s="44"/>
      <c r="I210" s="44"/>
      <c r="J210" s="42"/>
      <c r="K210" s="42"/>
      <c r="L210" s="42"/>
      <c r="M210" s="42"/>
      <c r="N210" s="42"/>
      <c r="O210" s="5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 x14ac:dyDescent="0.25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59"/>
      <c r="H211" s="6">
        <f>24000/8</f>
        <v>3000</v>
      </c>
      <c r="I211" s="6">
        <f t="shared" ref="I211:I217" si="21"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5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 x14ac:dyDescent="0.25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59"/>
      <c r="H212" s="6"/>
      <c r="I212" s="6">
        <f t="shared" si="21"/>
        <v>0</v>
      </c>
      <c r="J212" s="2">
        <v>3.79</v>
      </c>
      <c r="K212" s="2">
        <v>3.14</v>
      </c>
      <c r="L212" s="2">
        <v>0.65</v>
      </c>
      <c r="M212" s="2"/>
      <c r="N212" s="2"/>
      <c r="O212" s="5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 x14ac:dyDescent="0.25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59"/>
      <c r="H213" s="6">
        <f>24000/7</f>
        <v>3428.5714285714284</v>
      </c>
      <c r="I213" s="6">
        <f t="shared" si="21"/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7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 x14ac:dyDescent="0.25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59"/>
      <c r="H214" s="6">
        <v>3000</v>
      </c>
      <c r="I214" s="6">
        <f t="shared" si="21"/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5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 x14ac:dyDescent="0.25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59"/>
      <c r="H215" s="6">
        <v>3000</v>
      </c>
      <c r="I215" s="6">
        <f t="shared" si="21"/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5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 x14ac:dyDescent="0.25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59"/>
      <c r="H216" s="6">
        <f>24000/8</f>
        <v>3000</v>
      </c>
      <c r="I216" s="6">
        <f t="shared" si="21"/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5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 x14ac:dyDescent="0.25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59"/>
      <c r="H217" s="6">
        <f>24000/8</f>
        <v>3000</v>
      </c>
      <c r="I217" s="6">
        <f t="shared" si="21"/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5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 x14ac:dyDescent="0.25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0"/>
      <c r="H218" s="44"/>
      <c r="I218" s="44"/>
      <c r="J218" s="42"/>
      <c r="K218" s="42"/>
      <c r="L218" s="42"/>
      <c r="M218" s="42"/>
      <c r="N218" s="42"/>
      <c r="O218" s="5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 x14ac:dyDescent="0.25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59"/>
      <c r="H219" s="6">
        <f>24000/8</f>
        <v>3000</v>
      </c>
      <c r="I219" s="6">
        <f t="shared" ref="I219:I240" si="22"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5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 x14ac:dyDescent="0.25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59"/>
      <c r="H220" s="6"/>
      <c r="I220" s="6">
        <f t="shared" si="22"/>
        <v>0</v>
      </c>
      <c r="J220" s="2">
        <v>0</v>
      </c>
      <c r="K220" s="2">
        <v>0</v>
      </c>
      <c r="L220" s="2">
        <v>0</v>
      </c>
      <c r="M220" s="2"/>
      <c r="N220" s="2"/>
      <c r="O220" s="5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 x14ac:dyDescent="0.25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59"/>
      <c r="H221" s="6">
        <f>24000/7</f>
        <v>3428.5714285714284</v>
      </c>
      <c r="I221" s="6">
        <f t="shared" si="22"/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7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 x14ac:dyDescent="0.25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59"/>
      <c r="H222" s="6">
        <v>0</v>
      </c>
      <c r="I222" s="6">
        <f t="shared" si="22"/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5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 x14ac:dyDescent="0.25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59"/>
      <c r="H223" s="6"/>
      <c r="I223" s="6">
        <f t="shared" si="22"/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5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 x14ac:dyDescent="0.25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59"/>
      <c r="H224" s="6"/>
      <c r="I224" s="6">
        <f t="shared" si="22"/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5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 x14ac:dyDescent="0.25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59"/>
      <c r="H225" s="6"/>
      <c r="I225" s="6">
        <f t="shared" si="22"/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5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 x14ac:dyDescent="0.25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59"/>
      <c r="H226" s="6"/>
      <c r="I226" s="6">
        <f t="shared" si="22"/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5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 x14ac:dyDescent="0.25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59"/>
      <c r="H227" s="6"/>
      <c r="I227" s="6">
        <f t="shared" si="22"/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5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 x14ac:dyDescent="0.25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59"/>
      <c r="H228" s="6"/>
      <c r="I228" s="6">
        <f t="shared" si="22"/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5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 x14ac:dyDescent="0.25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59"/>
      <c r="H229" s="6"/>
      <c r="I229" s="6">
        <f t="shared" si="22"/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5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 x14ac:dyDescent="0.25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59" t="s">
        <v>63</v>
      </c>
      <c r="H230" s="6">
        <f>24000/8</f>
        <v>3000</v>
      </c>
      <c r="I230" s="6">
        <f t="shared" si="22"/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7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 x14ac:dyDescent="0.25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59"/>
      <c r="H231" s="6"/>
      <c r="I231" s="6">
        <f t="shared" si="22"/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5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 x14ac:dyDescent="0.25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59"/>
      <c r="H232" s="6"/>
      <c r="I232" s="6">
        <f t="shared" si="22"/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5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 x14ac:dyDescent="0.25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59"/>
      <c r="H233" s="6"/>
      <c r="I233" s="6">
        <f t="shared" si="22"/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5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 x14ac:dyDescent="0.25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59"/>
      <c r="H234" s="6"/>
      <c r="I234" s="6">
        <f t="shared" si="22"/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5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 x14ac:dyDescent="0.25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59"/>
      <c r="H235" s="6"/>
      <c r="I235" s="6">
        <f t="shared" si="22"/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5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 x14ac:dyDescent="0.25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59"/>
      <c r="H236" s="6">
        <v>3000</v>
      </c>
      <c r="I236" s="6">
        <f t="shared" si="22"/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5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 x14ac:dyDescent="0.25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59"/>
      <c r="H237" s="6">
        <f>24000/7</f>
        <v>3428.5714285714284</v>
      </c>
      <c r="I237" s="6">
        <f t="shared" si="22"/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7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 x14ac:dyDescent="0.25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59"/>
      <c r="H238" s="6">
        <v>3000</v>
      </c>
      <c r="I238" s="6">
        <f t="shared" si="22"/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5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 x14ac:dyDescent="0.25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59"/>
      <c r="H239" s="6">
        <v>3000</v>
      </c>
      <c r="I239" s="6">
        <f t="shared" si="22"/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5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 x14ac:dyDescent="0.25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59"/>
      <c r="H240" s="6">
        <v>3000</v>
      </c>
      <c r="I240" s="6">
        <f t="shared" si="22"/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5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 x14ac:dyDescent="0.25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0"/>
      <c r="H241" s="44">
        <v>3000</v>
      </c>
      <c r="I241" s="44"/>
      <c r="J241" s="42"/>
      <c r="K241" s="42"/>
      <c r="L241" s="42"/>
      <c r="M241" s="42"/>
      <c r="N241" s="42"/>
      <c r="O241" s="60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 x14ac:dyDescent="0.25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59"/>
      <c r="H242" s="6"/>
      <c r="I242" s="6">
        <f t="shared" ref="I242:I248" si="23"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5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 x14ac:dyDescent="0.25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59"/>
      <c r="H243" s="6"/>
      <c r="I243" s="6">
        <f t="shared" si="23"/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5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 x14ac:dyDescent="0.25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59"/>
      <c r="H244" s="6">
        <v>3000</v>
      </c>
      <c r="I244" s="6">
        <f t="shared" si="23"/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5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 x14ac:dyDescent="0.25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59"/>
      <c r="H245" s="6">
        <f>24000/7</f>
        <v>3428.5714285714284</v>
      </c>
      <c r="I245" s="6">
        <f t="shared" si="23"/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7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 x14ac:dyDescent="0.25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59"/>
      <c r="H246" s="6">
        <v>3000</v>
      </c>
      <c r="I246" s="6">
        <f t="shared" si="23"/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5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 x14ac:dyDescent="0.25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59"/>
      <c r="H247" s="6">
        <v>3000</v>
      </c>
      <c r="I247" s="6">
        <f t="shared" si="23"/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5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 x14ac:dyDescent="0.25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59"/>
      <c r="H248" s="6">
        <v>3000</v>
      </c>
      <c r="I248" s="6">
        <f t="shared" si="23"/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5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 x14ac:dyDescent="0.25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0"/>
      <c r="H249" s="44">
        <v>3000</v>
      </c>
      <c r="I249" s="44"/>
      <c r="J249" s="42"/>
      <c r="K249" s="42"/>
      <c r="L249" s="42"/>
      <c r="M249" s="42"/>
      <c r="N249" s="42"/>
      <c r="O249" s="60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 x14ac:dyDescent="0.25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59"/>
      <c r="H250" s="6"/>
      <c r="I250" s="6">
        <f t="shared" ref="I250:I256" si="24"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5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 x14ac:dyDescent="0.25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59"/>
      <c r="H251" s="6"/>
      <c r="I251" s="6">
        <f t="shared" si="24"/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5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 x14ac:dyDescent="0.25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59"/>
      <c r="H252" s="6">
        <v>3000</v>
      </c>
      <c r="I252" s="6">
        <f t="shared" si="24"/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5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 x14ac:dyDescent="0.25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59"/>
      <c r="H253" s="6">
        <f>24000/7</f>
        <v>3428.5714285714284</v>
      </c>
      <c r="I253" s="6">
        <f t="shared" si="24"/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7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 x14ac:dyDescent="0.25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59"/>
      <c r="H254" s="6">
        <v>3000</v>
      </c>
      <c r="I254" s="6">
        <f t="shared" si="24"/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5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 x14ac:dyDescent="0.25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59"/>
      <c r="H255" s="6">
        <v>3000</v>
      </c>
      <c r="I255" s="6">
        <f t="shared" si="24"/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5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 x14ac:dyDescent="0.25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59"/>
      <c r="H256" s="6">
        <v>3000</v>
      </c>
      <c r="I256" s="6">
        <f t="shared" si="24"/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5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 x14ac:dyDescent="0.25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0"/>
      <c r="H257" s="44">
        <v>3000</v>
      </c>
      <c r="I257" s="44"/>
      <c r="J257" s="42"/>
      <c r="K257" s="42"/>
      <c r="L257" s="42"/>
      <c r="M257" s="42"/>
      <c r="N257" s="42"/>
      <c r="O257" s="60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 x14ac:dyDescent="0.25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59"/>
      <c r="H258" s="6">
        <v>3000</v>
      </c>
      <c r="I258" s="6">
        <f t="shared" ref="I258:I264" si="25"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5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 x14ac:dyDescent="0.25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59"/>
      <c r="H259" s="6"/>
      <c r="I259" s="6">
        <f t="shared" si="25"/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5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 x14ac:dyDescent="0.25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59"/>
      <c r="H260" s="6">
        <f>24000/7</f>
        <v>3428.5714285714284</v>
      </c>
      <c r="I260" s="6">
        <f t="shared" si="25"/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7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 x14ac:dyDescent="0.25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59"/>
      <c r="H261" s="6"/>
      <c r="I261" s="6">
        <f t="shared" si="25"/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7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 x14ac:dyDescent="0.25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59"/>
      <c r="H262" s="6"/>
      <c r="I262" s="6">
        <f t="shared" si="25"/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5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 x14ac:dyDescent="0.25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59"/>
      <c r="H263" s="6">
        <v>3000</v>
      </c>
      <c r="I263" s="6">
        <f t="shared" si="25"/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5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 x14ac:dyDescent="0.25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59"/>
      <c r="H264" s="6">
        <v>3000</v>
      </c>
      <c r="I264" s="6">
        <f t="shared" si="25"/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5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 x14ac:dyDescent="0.25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0"/>
      <c r="H265" s="44">
        <v>6000</v>
      </c>
      <c r="I265" s="44"/>
      <c r="J265" s="42"/>
      <c r="K265" s="42"/>
      <c r="L265" s="42"/>
      <c r="M265" s="42"/>
      <c r="N265" s="42"/>
      <c r="O265" s="60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 x14ac:dyDescent="0.25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59"/>
      <c r="H266" s="6">
        <v>3000</v>
      </c>
      <c r="I266" s="6">
        <f t="shared" ref="I266:I272" si="26"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5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 x14ac:dyDescent="0.25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59"/>
      <c r="H267" s="6"/>
      <c r="I267" s="6">
        <f t="shared" si="26"/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5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 x14ac:dyDescent="0.25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59"/>
      <c r="H268" s="6">
        <f>24000/7</f>
        <v>3428.5714285714284</v>
      </c>
      <c r="I268" s="6">
        <f t="shared" si="26"/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7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 x14ac:dyDescent="0.25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59"/>
      <c r="H269" s="6"/>
      <c r="I269" s="6">
        <f t="shared" si="26"/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7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 x14ac:dyDescent="0.25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59"/>
      <c r="H270" s="6"/>
      <c r="I270" s="6">
        <f t="shared" si="26"/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5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 x14ac:dyDescent="0.25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59"/>
      <c r="H271" s="6">
        <v>3000</v>
      </c>
      <c r="I271" s="6">
        <f t="shared" si="26"/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5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 x14ac:dyDescent="0.25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59"/>
      <c r="H272" s="6">
        <v>3000</v>
      </c>
      <c r="I272" s="6">
        <f t="shared" si="26"/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5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 x14ac:dyDescent="0.25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0"/>
      <c r="H273" s="44">
        <v>6000</v>
      </c>
      <c r="I273" s="44"/>
      <c r="J273" s="42"/>
      <c r="K273" s="42"/>
      <c r="L273" s="42"/>
      <c r="M273" s="42"/>
      <c r="N273" s="42"/>
      <c r="O273" s="60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 x14ac:dyDescent="0.25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59"/>
      <c r="H274" s="6">
        <v>3000</v>
      </c>
      <c r="I274" s="6">
        <f t="shared" ref="I274:I280" si="27"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5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 x14ac:dyDescent="0.25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59"/>
      <c r="H275" s="6"/>
      <c r="I275" s="6">
        <f t="shared" si="27"/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5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 x14ac:dyDescent="0.25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59"/>
      <c r="H276" s="6"/>
      <c r="I276" s="6">
        <f t="shared" si="27"/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5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 x14ac:dyDescent="0.25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59"/>
      <c r="H277" s="6">
        <f>24000/7</f>
        <v>3428.5714285714284</v>
      </c>
      <c r="I277" s="6">
        <f t="shared" si="27"/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7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 x14ac:dyDescent="0.25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59"/>
      <c r="H278" s="6">
        <v>3000</v>
      </c>
      <c r="I278" s="6">
        <f t="shared" si="27"/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5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 x14ac:dyDescent="0.25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59"/>
      <c r="H279" s="6">
        <v>3000</v>
      </c>
      <c r="I279" s="6">
        <f t="shared" si="27"/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5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 x14ac:dyDescent="0.25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59"/>
      <c r="H280" s="6">
        <v>3000</v>
      </c>
      <c r="I280" s="6">
        <f t="shared" si="27"/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5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 x14ac:dyDescent="0.25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0"/>
      <c r="H281" s="44">
        <v>3000</v>
      </c>
      <c r="I281" s="44"/>
      <c r="J281" s="42"/>
      <c r="K281" s="42"/>
      <c r="L281" s="42"/>
      <c r="M281" s="42"/>
      <c r="N281" s="42"/>
      <c r="O281" s="60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 x14ac:dyDescent="0.25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59"/>
      <c r="H282" s="6"/>
      <c r="I282" s="6"/>
      <c r="J282" s="2"/>
      <c r="K282" s="2"/>
      <c r="L282" s="2"/>
      <c r="M282" s="2"/>
      <c r="N282" s="2"/>
      <c r="O282" s="5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 x14ac:dyDescent="0.25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59"/>
      <c r="H283" s="6"/>
      <c r="I283" s="6">
        <f t="shared" ref="I283:I295" si="28"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5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 x14ac:dyDescent="0.25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59"/>
      <c r="H284" s="6"/>
      <c r="I284" s="6">
        <f t="shared" si="28"/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5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 x14ac:dyDescent="0.25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59"/>
      <c r="H285" s="6">
        <f>24000/7</f>
        <v>3428.5714285714284</v>
      </c>
      <c r="I285" s="6">
        <f t="shared" si="28"/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7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 x14ac:dyDescent="0.25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59"/>
      <c r="H286" s="6"/>
      <c r="I286" s="6">
        <f t="shared" si="28"/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5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 x14ac:dyDescent="0.25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59"/>
      <c r="H287" s="6"/>
      <c r="I287" s="6">
        <f t="shared" si="28"/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5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 x14ac:dyDescent="0.25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59"/>
      <c r="H288" s="6"/>
      <c r="I288" s="6">
        <f t="shared" si="28"/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5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 x14ac:dyDescent="0.25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59" t="s">
        <v>53</v>
      </c>
      <c r="H289" s="6"/>
      <c r="I289" s="6">
        <f t="shared" si="28"/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6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 x14ac:dyDescent="0.25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59"/>
      <c r="H290" s="6"/>
      <c r="I290" s="6">
        <f t="shared" si="28"/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5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 x14ac:dyDescent="0.25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59"/>
      <c r="H291" s="6">
        <v>3000</v>
      </c>
      <c r="I291" s="6">
        <f t="shared" si="28"/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5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 x14ac:dyDescent="0.25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59"/>
      <c r="H292" s="6">
        <v>3000</v>
      </c>
      <c r="I292" s="6">
        <f t="shared" si="28"/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5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 x14ac:dyDescent="0.25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59"/>
      <c r="H293" s="6">
        <v>3000</v>
      </c>
      <c r="I293" s="6">
        <f t="shared" si="28"/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5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 x14ac:dyDescent="0.25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59"/>
      <c r="H294" s="6">
        <f>24000/6</f>
        <v>4000</v>
      </c>
      <c r="I294" s="6">
        <f t="shared" si="28"/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7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 x14ac:dyDescent="0.25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59"/>
      <c r="H295" s="6">
        <v>3000</v>
      </c>
      <c r="I295" s="6">
        <f t="shared" si="28"/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5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 x14ac:dyDescent="0.25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0"/>
      <c r="H296" s="44"/>
      <c r="I296" s="44"/>
      <c r="J296" s="42"/>
      <c r="K296" s="42"/>
      <c r="L296" s="42"/>
      <c r="M296" s="42"/>
      <c r="N296" s="42"/>
      <c r="O296" s="60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 x14ac:dyDescent="0.25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59"/>
      <c r="H297" s="6">
        <v>3000</v>
      </c>
      <c r="I297" s="6">
        <f t="shared" ref="I297:I310" si="29"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5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 x14ac:dyDescent="0.25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59"/>
      <c r="H298" s="6"/>
      <c r="I298" s="6">
        <f t="shared" si="29"/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5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 x14ac:dyDescent="0.25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59"/>
      <c r="H299" s="6">
        <v>3000</v>
      </c>
      <c r="I299" s="6">
        <f t="shared" si="29"/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5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 x14ac:dyDescent="0.25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59"/>
      <c r="H300" s="6">
        <v>3000</v>
      </c>
      <c r="I300" s="6">
        <f t="shared" si="29"/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5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 x14ac:dyDescent="0.25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59"/>
      <c r="H301" s="6">
        <v>3000</v>
      </c>
      <c r="I301" s="6">
        <f t="shared" si="29"/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5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 x14ac:dyDescent="0.25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59"/>
      <c r="H302" s="6">
        <f>24000/6</f>
        <v>4000</v>
      </c>
      <c r="I302" s="6">
        <f t="shared" si="29"/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7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 x14ac:dyDescent="0.25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59"/>
      <c r="H303" s="6">
        <v>3000</v>
      </c>
      <c r="I303" s="6">
        <f t="shared" si="29"/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5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 x14ac:dyDescent="0.25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59" t="s">
        <v>53</v>
      </c>
      <c r="H304" s="6"/>
      <c r="I304" s="6">
        <f t="shared" si="29"/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5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 x14ac:dyDescent="0.25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59" t="s">
        <v>53</v>
      </c>
      <c r="H305" s="6"/>
      <c r="I305" s="6">
        <f t="shared" si="29"/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5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 x14ac:dyDescent="0.25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59"/>
      <c r="H306" s="6">
        <v>3000</v>
      </c>
      <c r="I306" s="6">
        <f t="shared" si="29"/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5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 x14ac:dyDescent="0.25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59"/>
      <c r="H307" s="6">
        <v>3000</v>
      </c>
      <c r="I307" s="6">
        <f t="shared" si="29"/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5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 x14ac:dyDescent="0.25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59"/>
      <c r="H308" s="6">
        <v>3000</v>
      </c>
      <c r="I308" s="6">
        <f t="shared" si="29"/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5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 x14ac:dyDescent="0.25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59"/>
      <c r="H309" s="6">
        <f>24000/6</f>
        <v>4000</v>
      </c>
      <c r="I309" s="6">
        <f t="shared" si="29"/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7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 x14ac:dyDescent="0.25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59"/>
      <c r="H310" s="6">
        <v>3000</v>
      </c>
      <c r="I310" s="6">
        <f t="shared" si="29"/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5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 x14ac:dyDescent="0.25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0"/>
      <c r="H311" s="44">
        <v>3000</v>
      </c>
      <c r="I311" s="44"/>
      <c r="J311" s="42"/>
      <c r="K311" s="42"/>
      <c r="L311" s="42"/>
      <c r="M311" s="42"/>
      <c r="N311" s="42"/>
      <c r="O311" s="60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 x14ac:dyDescent="0.25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59"/>
      <c r="H312" s="6">
        <v>3000</v>
      </c>
      <c r="I312" s="6">
        <f t="shared" ref="I312:I325" si="30"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5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 x14ac:dyDescent="0.25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59" t="s">
        <v>53</v>
      </c>
      <c r="H313" s="6"/>
      <c r="I313" s="6">
        <f t="shared" si="30"/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5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 x14ac:dyDescent="0.25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59"/>
      <c r="H314" s="6">
        <v>3000</v>
      </c>
      <c r="I314" s="6">
        <f t="shared" si="30"/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5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 x14ac:dyDescent="0.25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59"/>
      <c r="H315" s="6">
        <v>3000</v>
      </c>
      <c r="I315" s="6">
        <f t="shared" si="30"/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5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 x14ac:dyDescent="0.25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59"/>
      <c r="H316" s="6">
        <v>3000</v>
      </c>
      <c r="I316" s="6">
        <f t="shared" si="30"/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5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 x14ac:dyDescent="0.25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59"/>
      <c r="H317" s="6">
        <f>24000/6</f>
        <v>4000</v>
      </c>
      <c r="I317" s="6">
        <f t="shared" si="30"/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7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 x14ac:dyDescent="0.25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59"/>
      <c r="H318" s="6">
        <v>3000</v>
      </c>
      <c r="I318" s="6">
        <f t="shared" si="30"/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5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 x14ac:dyDescent="0.25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59" t="s">
        <v>53</v>
      </c>
      <c r="H319" s="6"/>
      <c r="I319" s="6">
        <f t="shared" si="30"/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5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 x14ac:dyDescent="0.25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59" t="s">
        <v>53</v>
      </c>
      <c r="H320" s="6"/>
      <c r="I320" s="6">
        <f t="shared" si="30"/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5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 x14ac:dyDescent="0.25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59"/>
      <c r="H321" s="6">
        <v>3000</v>
      </c>
      <c r="I321" s="6">
        <f t="shared" si="30"/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5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 x14ac:dyDescent="0.25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59"/>
      <c r="H322" s="6">
        <v>3000</v>
      </c>
      <c r="I322" s="6">
        <f t="shared" si="30"/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5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 x14ac:dyDescent="0.25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59"/>
      <c r="H323" s="6">
        <v>3000</v>
      </c>
      <c r="I323" s="6">
        <f t="shared" si="30"/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5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 x14ac:dyDescent="0.25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59"/>
      <c r="H324" s="6">
        <f>24000/6</f>
        <v>4000</v>
      </c>
      <c r="I324" s="6">
        <f t="shared" si="30"/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7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 x14ac:dyDescent="0.25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59"/>
      <c r="H325" s="6">
        <v>3000</v>
      </c>
      <c r="I325" s="6">
        <f t="shared" si="30"/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5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 x14ac:dyDescent="0.25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0"/>
      <c r="H326" s="44">
        <v>3000</v>
      </c>
      <c r="I326" s="44"/>
      <c r="J326" s="42"/>
      <c r="K326" s="42"/>
      <c r="L326" s="42"/>
      <c r="M326" s="42"/>
      <c r="N326" s="42"/>
      <c r="O326" s="60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 x14ac:dyDescent="0.25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0"/>
      <c r="H327" s="44">
        <v>3000</v>
      </c>
      <c r="I327" s="44"/>
      <c r="J327" s="42"/>
      <c r="K327" s="42"/>
      <c r="L327" s="42"/>
      <c r="M327" s="42"/>
      <c r="N327" s="42"/>
      <c r="O327" s="60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 x14ac:dyDescent="0.25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59" t="s">
        <v>53</v>
      </c>
      <c r="H328" s="6"/>
      <c r="I328" s="6">
        <f t="shared" ref="I328:I349" si="31"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5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 x14ac:dyDescent="0.25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59"/>
      <c r="H329" s="6">
        <v>3000</v>
      </c>
      <c r="I329" s="6">
        <f t="shared" si="31"/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5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 x14ac:dyDescent="0.25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59"/>
      <c r="H330" s="6">
        <v>3000</v>
      </c>
      <c r="I330" s="6">
        <f t="shared" si="31"/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5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 x14ac:dyDescent="0.25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59"/>
      <c r="H331" s="6">
        <v>3000</v>
      </c>
      <c r="I331" s="6">
        <f t="shared" si="31"/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5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 x14ac:dyDescent="0.25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59"/>
      <c r="H332" s="6">
        <f>24000/6</f>
        <v>4000</v>
      </c>
      <c r="I332" s="6">
        <f t="shared" si="31"/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7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 x14ac:dyDescent="0.25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59"/>
      <c r="H333" s="6">
        <v>3000</v>
      </c>
      <c r="I333" s="6">
        <f t="shared" si="31"/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5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 x14ac:dyDescent="0.25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59"/>
      <c r="H334" s="6">
        <v>3000</v>
      </c>
      <c r="I334" s="6">
        <f t="shared" si="31"/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5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 x14ac:dyDescent="0.25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59" t="s">
        <v>53</v>
      </c>
      <c r="H335" s="6"/>
      <c r="I335" s="6">
        <f t="shared" si="31"/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5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 x14ac:dyDescent="0.25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59" t="s">
        <v>53</v>
      </c>
      <c r="H336" s="6"/>
      <c r="I336" s="6">
        <f t="shared" si="31"/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5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 x14ac:dyDescent="0.25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59"/>
      <c r="H337" s="6"/>
      <c r="I337" s="6">
        <f t="shared" si="31"/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5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 x14ac:dyDescent="0.25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59"/>
      <c r="H338" s="6"/>
      <c r="I338" s="6">
        <f t="shared" si="31"/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5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 x14ac:dyDescent="0.25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59"/>
      <c r="H339" s="6"/>
      <c r="I339" s="6">
        <f t="shared" si="31"/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5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 x14ac:dyDescent="0.25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59"/>
      <c r="H340" s="6">
        <v>0</v>
      </c>
      <c r="I340" s="6">
        <f t="shared" si="31"/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7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 x14ac:dyDescent="0.25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59"/>
      <c r="H341" s="6"/>
      <c r="I341" s="6">
        <f t="shared" si="31"/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5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 x14ac:dyDescent="0.25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59"/>
      <c r="H342" s="6"/>
      <c r="I342" s="6">
        <f t="shared" si="31"/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5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 x14ac:dyDescent="0.25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59"/>
      <c r="H343" s="6"/>
      <c r="I343" s="6">
        <f t="shared" si="31"/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5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 x14ac:dyDescent="0.25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59" t="s">
        <v>53</v>
      </c>
      <c r="H344" s="6"/>
      <c r="I344" s="6">
        <f t="shared" si="31"/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5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 x14ac:dyDescent="0.25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59"/>
      <c r="H345" s="6">
        <v>3000</v>
      </c>
      <c r="I345" s="6">
        <f t="shared" si="31"/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5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 x14ac:dyDescent="0.25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59"/>
      <c r="H346" s="6">
        <v>3000</v>
      </c>
      <c r="I346" s="6">
        <f t="shared" si="31"/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5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 x14ac:dyDescent="0.25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59"/>
      <c r="H347" s="6">
        <f>24000/5</f>
        <v>4800</v>
      </c>
      <c r="I347" s="6">
        <f t="shared" si="31"/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7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 x14ac:dyDescent="0.25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59"/>
      <c r="H348" s="6">
        <v>3000</v>
      </c>
      <c r="I348" s="6">
        <f t="shared" si="31"/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5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 x14ac:dyDescent="0.25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59"/>
      <c r="H349" s="6">
        <v>3000</v>
      </c>
      <c r="I349" s="6">
        <f t="shared" si="31"/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5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 x14ac:dyDescent="0.25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0"/>
      <c r="H350" s="44">
        <v>3000</v>
      </c>
      <c r="I350" s="44"/>
      <c r="J350" s="42"/>
      <c r="K350" s="42"/>
      <c r="L350" s="42"/>
      <c r="M350" s="42"/>
      <c r="N350" s="42"/>
      <c r="O350" s="60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 x14ac:dyDescent="0.25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59"/>
      <c r="H351" s="6">
        <v>3000</v>
      </c>
      <c r="I351" s="6">
        <f t="shared" ref="I351:I364" si="32"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5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 x14ac:dyDescent="0.25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59" t="s">
        <v>53</v>
      </c>
      <c r="H352" s="6"/>
      <c r="I352" s="6">
        <f t="shared" si="32"/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5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 x14ac:dyDescent="0.25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59"/>
      <c r="H353" s="6">
        <v>3000</v>
      </c>
      <c r="I353" s="6">
        <f t="shared" si="32"/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5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 x14ac:dyDescent="0.25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59"/>
      <c r="H354" s="6">
        <v>3000</v>
      </c>
      <c r="I354" s="6">
        <f t="shared" si="32"/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5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 x14ac:dyDescent="0.25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59"/>
      <c r="H355" s="6">
        <v>3000</v>
      </c>
      <c r="I355" s="6">
        <f t="shared" si="32"/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5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 x14ac:dyDescent="0.25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59"/>
      <c r="H356" s="6">
        <f>24000/5</f>
        <v>4800</v>
      </c>
      <c r="I356" s="6">
        <f t="shared" si="32"/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7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 x14ac:dyDescent="0.25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59"/>
      <c r="H357" s="6">
        <v>3000</v>
      </c>
      <c r="I357" s="6">
        <f t="shared" si="32"/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5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 x14ac:dyDescent="0.25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 t="shared" si="32"/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5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 x14ac:dyDescent="0.25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59" t="s">
        <v>53</v>
      </c>
      <c r="H359" s="6"/>
      <c r="I359" s="6">
        <f t="shared" si="32"/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5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 x14ac:dyDescent="0.25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59"/>
      <c r="H360" s="6">
        <v>3000</v>
      </c>
      <c r="I360" s="6">
        <f t="shared" si="32"/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5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 x14ac:dyDescent="0.25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59"/>
      <c r="H361" s="6">
        <v>3000</v>
      </c>
      <c r="I361" s="6">
        <f t="shared" si="32"/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5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 x14ac:dyDescent="0.25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59"/>
      <c r="H362" s="6">
        <v>3000</v>
      </c>
      <c r="I362" s="6">
        <f t="shared" si="32"/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5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 x14ac:dyDescent="0.25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59"/>
      <c r="H363" s="6">
        <f>24000/5</f>
        <v>4800</v>
      </c>
      <c r="I363" s="6">
        <f t="shared" si="32"/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7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 x14ac:dyDescent="0.25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59"/>
      <c r="H364" s="6">
        <v>3000</v>
      </c>
      <c r="I364" s="6">
        <f t="shared" si="32"/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5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 x14ac:dyDescent="0.25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0"/>
      <c r="H365" s="44">
        <v>3000</v>
      </c>
      <c r="I365" s="44"/>
      <c r="J365" s="42"/>
      <c r="K365" s="42"/>
      <c r="L365" s="42"/>
      <c r="M365" s="42"/>
      <c r="N365" s="42"/>
      <c r="O365" s="60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 x14ac:dyDescent="0.25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 t="shared" ref="I366:I372" si="33"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5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 x14ac:dyDescent="0.25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59" t="s">
        <v>53</v>
      </c>
      <c r="H367" s="6"/>
      <c r="I367" s="6">
        <f t="shared" si="33"/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5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 x14ac:dyDescent="0.25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59"/>
      <c r="H368" s="6">
        <v>3000</v>
      </c>
      <c r="I368" s="6">
        <f t="shared" si="33"/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5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 x14ac:dyDescent="0.25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59"/>
      <c r="H369" s="6">
        <v>3000</v>
      </c>
      <c r="I369" s="6">
        <f t="shared" si="33"/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5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 x14ac:dyDescent="0.25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59"/>
      <c r="H370" s="6">
        <v>3000</v>
      </c>
      <c r="I370" s="6">
        <f t="shared" si="33"/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5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 x14ac:dyDescent="0.25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59"/>
      <c r="H371" s="6">
        <f>24000/5</f>
        <v>4800</v>
      </c>
      <c r="I371" s="6">
        <f t="shared" si="33"/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7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 x14ac:dyDescent="0.25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59"/>
      <c r="H372" s="6">
        <v>3000</v>
      </c>
      <c r="I372" s="6">
        <f t="shared" si="33"/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5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 x14ac:dyDescent="0.25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0"/>
      <c r="H373" s="44">
        <v>3000</v>
      </c>
      <c r="I373" s="44"/>
      <c r="J373" s="42"/>
      <c r="K373" s="42"/>
      <c r="L373" s="42"/>
      <c r="M373" s="42"/>
      <c r="N373" s="42"/>
      <c r="O373" s="60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 x14ac:dyDescent="0.25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59" t="s">
        <v>53</v>
      </c>
      <c r="H374" s="6"/>
      <c r="I374" s="6">
        <f t="shared" ref="I374:I409" si="34"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5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 x14ac:dyDescent="0.25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 t="shared" si="34"/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5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 x14ac:dyDescent="0.25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59"/>
      <c r="H376" s="6">
        <v>3000</v>
      </c>
      <c r="I376" s="6">
        <f t="shared" si="34"/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5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 x14ac:dyDescent="0.25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59"/>
      <c r="H377" s="6">
        <v>3000</v>
      </c>
      <c r="I377" s="6">
        <f t="shared" si="34"/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5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 x14ac:dyDescent="0.25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59"/>
      <c r="H378" s="6">
        <f>24000/5</f>
        <v>4800</v>
      </c>
      <c r="I378" s="6">
        <f t="shared" si="34"/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7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 x14ac:dyDescent="0.25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59"/>
      <c r="H379" s="6">
        <v>3000</v>
      </c>
      <c r="I379" s="6">
        <f t="shared" si="34"/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5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 x14ac:dyDescent="0.25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59"/>
      <c r="H380" s="6">
        <v>3000</v>
      </c>
      <c r="I380" s="6">
        <f t="shared" si="34"/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5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 x14ac:dyDescent="0.25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 t="shared" si="34"/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5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 x14ac:dyDescent="0.25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59" t="s">
        <v>53</v>
      </c>
      <c r="H382" s="6"/>
      <c r="I382" s="6">
        <f t="shared" si="34"/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5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 x14ac:dyDescent="0.25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59"/>
      <c r="H383" s="6">
        <v>3000</v>
      </c>
      <c r="I383" s="6">
        <f t="shared" si="34"/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5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 x14ac:dyDescent="0.25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59"/>
      <c r="H384" s="6">
        <v>3000</v>
      </c>
      <c r="I384" s="6">
        <f t="shared" si="34"/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5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 x14ac:dyDescent="0.25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59"/>
      <c r="H385" s="6"/>
      <c r="I385" s="6">
        <f t="shared" si="34"/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7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 x14ac:dyDescent="0.25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59"/>
      <c r="H386" s="6">
        <v>3000</v>
      </c>
      <c r="I386" s="6">
        <f t="shared" si="34"/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5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 x14ac:dyDescent="0.25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59" t="s">
        <v>70</v>
      </c>
      <c r="H387" s="6">
        <v>3000</v>
      </c>
      <c r="I387" s="6">
        <f t="shared" si="34"/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5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 x14ac:dyDescent="0.25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0"/>
      <c r="H388" s="44">
        <v>6000</v>
      </c>
      <c r="I388" s="6">
        <f t="shared" si="34"/>
        <v>0</v>
      </c>
      <c r="J388" s="42"/>
      <c r="K388" s="42"/>
      <c r="L388" s="42"/>
      <c r="M388" s="42"/>
      <c r="N388" s="42"/>
      <c r="O388" s="60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 x14ac:dyDescent="0.25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 t="shared" si="34"/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5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 x14ac:dyDescent="0.25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59" t="s">
        <v>53</v>
      </c>
      <c r="H390" s="6"/>
      <c r="I390" s="6">
        <f t="shared" si="34"/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5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 x14ac:dyDescent="0.25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59"/>
      <c r="H391" s="6"/>
      <c r="I391" s="6">
        <f t="shared" si="34"/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5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 x14ac:dyDescent="0.25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59"/>
      <c r="H392" s="6"/>
      <c r="I392" s="6">
        <f t="shared" si="34"/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5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 x14ac:dyDescent="0.25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59"/>
      <c r="H393" s="6"/>
      <c r="I393" s="6">
        <f t="shared" si="34"/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5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 x14ac:dyDescent="0.25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59"/>
      <c r="H394" s="6"/>
      <c r="I394" s="6">
        <f t="shared" si="34"/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7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 x14ac:dyDescent="0.25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59"/>
      <c r="H395" s="6"/>
      <c r="I395" s="6">
        <f t="shared" si="34"/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5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 x14ac:dyDescent="0.25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59"/>
      <c r="H396" s="6">
        <f>15000/6</f>
        <v>2500</v>
      </c>
      <c r="I396" s="6">
        <f t="shared" si="34"/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5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 x14ac:dyDescent="0.25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59"/>
      <c r="H397" s="6">
        <f>15000/6</f>
        <v>2500</v>
      </c>
      <c r="I397" s="6">
        <f t="shared" si="34"/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5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 x14ac:dyDescent="0.25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59"/>
      <c r="H398" s="6">
        <f>24000/6</f>
        <v>4000</v>
      </c>
      <c r="I398" s="6">
        <f t="shared" si="34"/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7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 x14ac:dyDescent="0.25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59"/>
      <c r="H399" s="6">
        <f>15000/6</f>
        <v>2500</v>
      </c>
      <c r="I399" s="6">
        <f t="shared" si="34"/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5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 x14ac:dyDescent="0.25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59"/>
      <c r="H400" s="6">
        <f>15000/6</f>
        <v>2500</v>
      </c>
      <c r="I400" s="6">
        <f t="shared" si="34"/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5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 x14ac:dyDescent="0.25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59"/>
      <c r="H401" s="6">
        <f>15000/6</f>
        <v>2500</v>
      </c>
      <c r="I401" s="6">
        <f t="shared" si="34"/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5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 x14ac:dyDescent="0.25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59" t="s">
        <v>146</v>
      </c>
      <c r="H402" s="6"/>
      <c r="I402" s="6">
        <f t="shared" si="34"/>
        <v>0</v>
      </c>
      <c r="J402" s="2"/>
      <c r="K402" s="2"/>
      <c r="L402" s="2"/>
      <c r="M402" s="2"/>
      <c r="N402" s="2"/>
      <c r="O402" s="5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x14ac:dyDescent="0.25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59"/>
      <c r="H403" s="6">
        <f>15000/6</f>
        <v>2500</v>
      </c>
      <c r="I403" s="6">
        <f t="shared" si="34"/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5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 x14ac:dyDescent="0.25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59" t="s">
        <v>146</v>
      </c>
      <c r="H404" s="6"/>
      <c r="I404" s="6">
        <f t="shared" si="34"/>
        <v>0</v>
      </c>
      <c r="J404" s="2"/>
      <c r="K404" s="2"/>
      <c r="L404" s="2"/>
      <c r="M404" s="2"/>
      <c r="N404" s="2"/>
      <c r="O404" s="5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x14ac:dyDescent="0.25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59"/>
      <c r="H405" s="6">
        <f>15000/5</f>
        <v>3000</v>
      </c>
      <c r="I405" s="6">
        <f t="shared" si="34"/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5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 x14ac:dyDescent="0.25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59"/>
      <c r="H406" s="6">
        <f>15000/5</f>
        <v>3000</v>
      </c>
      <c r="I406" s="6">
        <f t="shared" si="34"/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5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 x14ac:dyDescent="0.25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59"/>
      <c r="H407" s="6">
        <f>24000/6</f>
        <v>4000</v>
      </c>
      <c r="I407" s="6">
        <f t="shared" si="34"/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7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 x14ac:dyDescent="0.25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59"/>
      <c r="H408" s="6">
        <f>15000/5</f>
        <v>3000</v>
      </c>
      <c r="I408" s="6">
        <f t="shared" si="34"/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5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 x14ac:dyDescent="0.25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59"/>
      <c r="H409" s="6">
        <f>15000/5</f>
        <v>3000</v>
      </c>
      <c r="I409" s="6">
        <f t="shared" si="34"/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5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 x14ac:dyDescent="0.25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0"/>
      <c r="H410" s="44">
        <v>3000</v>
      </c>
      <c r="I410" s="44"/>
      <c r="J410" s="42"/>
      <c r="K410" s="42"/>
      <c r="L410" s="42"/>
      <c r="M410" s="42"/>
      <c r="N410" s="42"/>
      <c r="O410" s="60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 x14ac:dyDescent="0.25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59"/>
      <c r="H411" s="6"/>
      <c r="I411" s="6">
        <f t="shared" ref="I411:I442" si="35"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5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 x14ac:dyDescent="0.25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59"/>
      <c r="H412" s="6"/>
      <c r="I412" s="6">
        <f t="shared" si="35"/>
        <v>0</v>
      </c>
      <c r="J412" s="2"/>
      <c r="K412" s="2"/>
      <c r="L412" s="2"/>
      <c r="M412" s="2"/>
      <c r="N412" s="2"/>
      <c r="O412" s="5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x14ac:dyDescent="0.25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59" t="s">
        <v>146</v>
      </c>
      <c r="H413" s="6"/>
      <c r="I413" s="6">
        <f t="shared" si="35"/>
        <v>0</v>
      </c>
      <c r="J413" s="2"/>
      <c r="K413" s="2"/>
      <c r="L413" s="2"/>
      <c r="M413" s="2"/>
      <c r="N413" s="2"/>
      <c r="O413" s="5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x14ac:dyDescent="0.25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59"/>
      <c r="H414" s="6">
        <v>3000</v>
      </c>
      <c r="I414" s="6">
        <f t="shared" si="35"/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5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 x14ac:dyDescent="0.25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59"/>
      <c r="H415" s="6">
        <v>3000</v>
      </c>
      <c r="I415" s="6">
        <f t="shared" si="35"/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5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 x14ac:dyDescent="0.25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59"/>
      <c r="H416" s="6">
        <f>24000/6</f>
        <v>4000</v>
      </c>
      <c r="I416" s="6">
        <f t="shared" si="35"/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7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 x14ac:dyDescent="0.25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59"/>
      <c r="H417" s="6">
        <v>3000</v>
      </c>
      <c r="I417" s="6">
        <f t="shared" si="35"/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5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 x14ac:dyDescent="0.25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59"/>
      <c r="H418" s="6">
        <v>3000</v>
      </c>
      <c r="I418" s="6">
        <f t="shared" si="35"/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5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 x14ac:dyDescent="0.25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59"/>
      <c r="H419" s="6">
        <v>3000</v>
      </c>
      <c r="I419" s="6">
        <f t="shared" si="35"/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5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 x14ac:dyDescent="0.25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59"/>
      <c r="H420" s="6"/>
      <c r="I420" s="6">
        <f t="shared" si="35"/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5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 x14ac:dyDescent="0.25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59" t="s">
        <v>146</v>
      </c>
      <c r="H421" s="6"/>
      <c r="I421" s="6">
        <f t="shared" si="35"/>
        <v>0</v>
      </c>
      <c r="J421" s="2"/>
      <c r="K421" s="2"/>
      <c r="L421" s="2"/>
      <c r="M421" s="2"/>
      <c r="N421" s="2"/>
      <c r="O421" s="5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x14ac:dyDescent="0.25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59"/>
      <c r="H422" s="6">
        <v>2500</v>
      </c>
      <c r="I422" s="6">
        <f t="shared" si="35"/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5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 x14ac:dyDescent="0.25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59"/>
      <c r="H423" s="6">
        <v>2500</v>
      </c>
      <c r="I423" s="6">
        <f t="shared" si="35"/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5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 x14ac:dyDescent="0.25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59"/>
      <c r="H424" s="6">
        <f>24000/6</f>
        <v>4000</v>
      </c>
      <c r="I424" s="6">
        <f t="shared" si="35"/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7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 x14ac:dyDescent="0.25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59"/>
      <c r="H425" s="6">
        <v>2500</v>
      </c>
      <c r="I425" s="6">
        <f t="shared" si="35"/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5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 x14ac:dyDescent="0.25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59"/>
      <c r="H426" s="6">
        <v>2500</v>
      </c>
      <c r="I426" s="6">
        <f t="shared" si="35"/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5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 x14ac:dyDescent="0.25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59"/>
      <c r="H427" s="6">
        <v>2500</v>
      </c>
      <c r="I427" s="6">
        <f t="shared" si="35"/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5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 x14ac:dyDescent="0.25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59"/>
      <c r="H428" s="6">
        <v>2500</v>
      </c>
      <c r="I428" s="6">
        <f t="shared" si="35"/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5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 x14ac:dyDescent="0.25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59" t="s">
        <v>146</v>
      </c>
      <c r="H429" s="6"/>
      <c r="I429" s="6">
        <f t="shared" si="35"/>
        <v>0</v>
      </c>
      <c r="J429" s="2"/>
      <c r="K429" s="2"/>
      <c r="L429" s="2"/>
      <c r="M429" s="2"/>
      <c r="N429" s="2"/>
      <c r="O429" s="5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x14ac:dyDescent="0.25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59"/>
      <c r="H430" s="6">
        <v>2500</v>
      </c>
      <c r="I430" s="6">
        <f t="shared" si="35"/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5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 x14ac:dyDescent="0.25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59"/>
      <c r="H431" s="6">
        <v>2500</v>
      </c>
      <c r="I431" s="6">
        <f t="shared" si="35"/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5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 x14ac:dyDescent="0.25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59"/>
      <c r="H432" s="6">
        <f>24000/6</f>
        <v>4000</v>
      </c>
      <c r="I432" s="6">
        <f t="shared" si="35"/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7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 x14ac:dyDescent="0.25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59"/>
      <c r="H433" s="6">
        <v>2500</v>
      </c>
      <c r="I433" s="6">
        <f t="shared" si="35"/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5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 x14ac:dyDescent="0.25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59"/>
      <c r="H434" s="6">
        <v>2500</v>
      </c>
      <c r="I434" s="6">
        <f t="shared" si="35"/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5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 x14ac:dyDescent="0.25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59"/>
      <c r="H435" s="6">
        <v>2500</v>
      </c>
      <c r="I435" s="6">
        <f t="shared" si="35"/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5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 x14ac:dyDescent="0.25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59"/>
      <c r="H436" s="6">
        <v>2500</v>
      </c>
      <c r="I436" s="6">
        <f t="shared" si="35"/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5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 x14ac:dyDescent="0.25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59" t="s">
        <v>146</v>
      </c>
      <c r="H437" s="6"/>
      <c r="I437" s="6">
        <f t="shared" si="35"/>
        <v>0</v>
      </c>
      <c r="J437" s="2"/>
      <c r="K437" s="2"/>
      <c r="L437" s="2"/>
      <c r="M437" s="2"/>
      <c r="N437" s="2"/>
      <c r="O437" s="5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x14ac:dyDescent="0.25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59"/>
      <c r="H438" s="6">
        <v>3000</v>
      </c>
      <c r="I438" s="6">
        <f t="shared" si="35"/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5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 x14ac:dyDescent="0.25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59"/>
      <c r="H439" s="6"/>
      <c r="I439" s="6">
        <f t="shared" si="35"/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5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 x14ac:dyDescent="0.25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59"/>
      <c r="H440" s="6">
        <f>24000/6</f>
        <v>4000</v>
      </c>
      <c r="I440" s="6">
        <f t="shared" si="35"/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7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 x14ac:dyDescent="0.25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59"/>
      <c r="H441" s="6">
        <v>3000</v>
      </c>
      <c r="I441" s="6">
        <f t="shared" si="35"/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5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 x14ac:dyDescent="0.25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59"/>
      <c r="H442" s="6">
        <v>3000</v>
      </c>
      <c r="I442" s="6">
        <f t="shared" si="35"/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5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 x14ac:dyDescent="0.25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59"/>
      <c r="H443" s="6">
        <v>3000</v>
      </c>
      <c r="I443" s="6">
        <f t="shared" ref="I443:I465" si="36"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5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 x14ac:dyDescent="0.25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59"/>
      <c r="H444" s="6">
        <v>3000</v>
      </c>
      <c r="I444" s="6">
        <f t="shared" si="36"/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5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 x14ac:dyDescent="0.25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59"/>
      <c r="H445" s="6"/>
      <c r="I445" s="6">
        <f t="shared" si="36"/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5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 x14ac:dyDescent="0.25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59" t="s">
        <v>146</v>
      </c>
      <c r="H446" s="6"/>
      <c r="I446" s="6">
        <f t="shared" si="36"/>
        <v>0</v>
      </c>
      <c r="J446" s="2"/>
      <c r="K446" s="2"/>
      <c r="L446" s="2"/>
      <c r="M446" s="2"/>
      <c r="N446" s="2"/>
      <c r="O446" s="5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x14ac:dyDescent="0.25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59"/>
      <c r="H447" s="6"/>
      <c r="I447" s="6">
        <f t="shared" si="36"/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7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 x14ac:dyDescent="0.25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59"/>
      <c r="H448" s="6"/>
      <c r="I448" s="6">
        <f t="shared" si="36"/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5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 x14ac:dyDescent="0.25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59"/>
      <c r="H449" s="6"/>
      <c r="I449" s="6">
        <f t="shared" si="36"/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5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 x14ac:dyDescent="0.25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59"/>
      <c r="H450" s="6"/>
      <c r="I450" s="6">
        <f t="shared" si="36"/>
        <v>0</v>
      </c>
      <c r="J450" s="2"/>
      <c r="K450" s="2"/>
      <c r="L450" s="2"/>
      <c r="M450" s="2"/>
      <c r="N450" s="2"/>
      <c r="O450" s="5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x14ac:dyDescent="0.25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59"/>
      <c r="H451" s="6"/>
      <c r="I451" s="6">
        <f t="shared" si="36"/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5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 x14ac:dyDescent="0.25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59"/>
      <c r="H452" s="6"/>
      <c r="I452" s="6">
        <f t="shared" si="36"/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5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 x14ac:dyDescent="0.25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59"/>
      <c r="H453" s="6"/>
      <c r="I453" s="6">
        <f t="shared" si="36"/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5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 x14ac:dyDescent="0.25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59"/>
      <c r="H454" s="6"/>
      <c r="I454" s="6">
        <f t="shared" si="36"/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5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 x14ac:dyDescent="0.25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59"/>
      <c r="H455" s="6"/>
      <c r="I455" s="6">
        <f t="shared" si="36"/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5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 x14ac:dyDescent="0.25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59"/>
      <c r="H456" s="6"/>
      <c r="I456" s="6">
        <f t="shared" si="36"/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5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 x14ac:dyDescent="0.25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59"/>
      <c r="H457" s="6">
        <f>24000/5</f>
        <v>4800</v>
      </c>
      <c r="I457" s="6">
        <f t="shared" si="36"/>
        <v>210.94890510948903</v>
      </c>
      <c r="J457" s="68" t="s">
        <v>560</v>
      </c>
      <c r="K457" s="68">
        <v>2.74</v>
      </c>
      <c r="L457" s="68" t="s">
        <v>561</v>
      </c>
      <c r="M457" s="68" t="s">
        <v>562</v>
      </c>
      <c r="N457" s="68" t="s">
        <v>563</v>
      </c>
      <c r="O457" s="77">
        <v>578</v>
      </c>
      <c r="P457" s="68" t="s">
        <v>564</v>
      </c>
      <c r="Q457" s="68" t="s">
        <v>565</v>
      </c>
      <c r="R457" s="68" t="s">
        <v>566</v>
      </c>
      <c r="S457" s="68" t="s">
        <v>567</v>
      </c>
      <c r="T457" s="68" t="s">
        <v>568</v>
      </c>
      <c r="U457" s="68" t="s">
        <v>569</v>
      </c>
      <c r="V457" s="68" t="s">
        <v>570</v>
      </c>
      <c r="W457" s="68" t="s">
        <v>571</v>
      </c>
      <c r="X457" s="68" t="s">
        <v>572</v>
      </c>
      <c r="Y457" s="68" t="s">
        <v>573</v>
      </c>
      <c r="Z457" s="68" t="s">
        <v>548</v>
      </c>
      <c r="AA457" s="68" t="s">
        <v>548</v>
      </c>
      <c r="AB457" s="68" t="s">
        <v>574</v>
      </c>
    </row>
    <row r="458" spans="1:28" x14ac:dyDescent="0.25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59"/>
      <c r="H458" s="6"/>
      <c r="I458" s="6">
        <f t="shared" si="36"/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5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 x14ac:dyDescent="0.25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59"/>
      <c r="H459" s="6"/>
      <c r="I459" s="6">
        <f t="shared" si="36"/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5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 x14ac:dyDescent="0.25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59" t="s">
        <v>146</v>
      </c>
      <c r="H460" s="6"/>
      <c r="I460" s="6">
        <f t="shared" si="36"/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5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 x14ac:dyDescent="0.25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59"/>
      <c r="H461" s="6">
        <v>3000</v>
      </c>
      <c r="I461" s="6">
        <f t="shared" si="36"/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5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 x14ac:dyDescent="0.25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59"/>
      <c r="H462" s="6">
        <v>3000</v>
      </c>
      <c r="I462" s="6">
        <f t="shared" si="36"/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5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 x14ac:dyDescent="0.25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59"/>
      <c r="H463" s="6">
        <v>3000</v>
      </c>
      <c r="I463" s="6">
        <f t="shared" si="36"/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5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 x14ac:dyDescent="0.25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59"/>
      <c r="H464" s="6">
        <v>4800</v>
      </c>
      <c r="I464" s="6">
        <f t="shared" si="36"/>
        <v>542.76485788113689</v>
      </c>
      <c r="J464" s="68" t="s">
        <v>635</v>
      </c>
      <c r="K464" s="68">
        <v>7.74</v>
      </c>
      <c r="L464" s="68" t="s">
        <v>636</v>
      </c>
      <c r="M464" s="68" t="s">
        <v>637</v>
      </c>
      <c r="N464" s="68" t="s">
        <v>638</v>
      </c>
      <c r="O464" s="77">
        <v>4201</v>
      </c>
      <c r="P464" s="68" t="s">
        <v>639</v>
      </c>
      <c r="Q464" s="68" t="s">
        <v>640</v>
      </c>
      <c r="R464" s="68" t="s">
        <v>641</v>
      </c>
      <c r="S464" s="68" t="s">
        <v>642</v>
      </c>
      <c r="T464" s="68" t="s">
        <v>643</v>
      </c>
      <c r="U464" s="68" t="s">
        <v>644</v>
      </c>
      <c r="V464" s="68" t="s">
        <v>645</v>
      </c>
      <c r="W464" s="68" t="s">
        <v>646</v>
      </c>
      <c r="X464" s="68" t="s">
        <v>647</v>
      </c>
      <c r="Y464" s="68" t="s">
        <v>648</v>
      </c>
      <c r="Z464" s="68" t="s">
        <v>649</v>
      </c>
      <c r="AA464" s="68" t="s">
        <v>548</v>
      </c>
      <c r="AB464" s="68" t="s">
        <v>650</v>
      </c>
    </row>
    <row r="465" spans="1:28" x14ac:dyDescent="0.25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59"/>
      <c r="H465" s="6">
        <v>3000</v>
      </c>
      <c r="I465" s="6">
        <f t="shared" si="36"/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5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 x14ac:dyDescent="0.25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0"/>
      <c r="H466" s="44">
        <v>3000</v>
      </c>
      <c r="I466" s="44"/>
      <c r="J466" s="42"/>
      <c r="K466" s="42"/>
      <c r="L466" s="42"/>
      <c r="M466" s="42"/>
      <c r="N466" s="42"/>
      <c r="O466" s="60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 x14ac:dyDescent="0.25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59"/>
      <c r="H467" s="6"/>
      <c r="I467" s="6">
        <f t="shared" ref="I467:I474" si="37"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5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 x14ac:dyDescent="0.25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59" t="s">
        <v>146</v>
      </c>
      <c r="H468" s="6"/>
      <c r="I468" s="6">
        <f t="shared" si="37"/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5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 x14ac:dyDescent="0.25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59"/>
      <c r="H469" s="6">
        <v>3000</v>
      </c>
      <c r="I469" s="6">
        <f t="shared" si="37"/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5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 x14ac:dyDescent="0.25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59"/>
      <c r="H470" s="6">
        <v>3000</v>
      </c>
      <c r="I470" s="6">
        <f t="shared" si="37"/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5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 x14ac:dyDescent="0.25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59"/>
      <c r="H471" s="6">
        <v>3000</v>
      </c>
      <c r="I471" s="6">
        <f t="shared" si="37"/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5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 x14ac:dyDescent="0.25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59"/>
      <c r="H472" s="6">
        <v>3000</v>
      </c>
      <c r="I472" s="6">
        <f t="shared" si="37"/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5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 x14ac:dyDescent="0.25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4"/>
      <c r="H473" s="6">
        <v>4800</v>
      </c>
      <c r="I473" s="6">
        <f t="shared" si="37"/>
        <v>403.66492146596858</v>
      </c>
      <c r="J473" s="68" t="s">
        <v>743</v>
      </c>
      <c r="K473" s="68">
        <v>1.91</v>
      </c>
      <c r="L473" s="68" t="s">
        <v>719</v>
      </c>
      <c r="M473" s="68" t="s">
        <v>744</v>
      </c>
      <c r="N473" s="68" t="s">
        <v>745</v>
      </c>
      <c r="O473" s="77">
        <v>771</v>
      </c>
      <c r="P473" s="68" t="s">
        <v>746</v>
      </c>
      <c r="Q473" s="68" t="s">
        <v>747</v>
      </c>
      <c r="R473" s="68" t="s">
        <v>748</v>
      </c>
      <c r="S473" s="68" t="s">
        <v>749</v>
      </c>
      <c r="T473" s="68" t="s">
        <v>712</v>
      </c>
      <c r="U473" s="68" t="s">
        <v>750</v>
      </c>
      <c r="V473" s="68" t="s">
        <v>751</v>
      </c>
      <c r="W473" s="68" t="s">
        <v>752</v>
      </c>
      <c r="X473" s="68" t="s">
        <v>753</v>
      </c>
      <c r="Y473" s="68" t="s">
        <v>754</v>
      </c>
      <c r="Z473" s="68" t="s">
        <v>548</v>
      </c>
      <c r="AA473" s="68" t="s">
        <v>548</v>
      </c>
      <c r="AB473" s="68" t="s">
        <v>650</v>
      </c>
    </row>
    <row r="474" spans="1:28" x14ac:dyDescent="0.25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59"/>
      <c r="H474" s="6">
        <v>3000</v>
      </c>
      <c r="I474" s="6">
        <f t="shared" si="37"/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5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 x14ac:dyDescent="0.25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0"/>
      <c r="H475" s="44">
        <v>3000</v>
      </c>
      <c r="I475" s="44"/>
      <c r="J475" s="42"/>
      <c r="K475" s="42"/>
      <c r="L475" s="42"/>
      <c r="M475" s="42"/>
      <c r="N475" s="42"/>
      <c r="O475" s="60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 x14ac:dyDescent="0.25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59"/>
      <c r="H476" s="6">
        <v>3000</v>
      </c>
      <c r="I476" s="6">
        <f t="shared" ref="I476:I539" si="38"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5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 x14ac:dyDescent="0.25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59"/>
      <c r="H477" s="6">
        <v>3000</v>
      </c>
      <c r="I477" s="6">
        <f t="shared" si="38"/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5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 x14ac:dyDescent="0.25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59"/>
      <c r="H478" s="6">
        <v>3000</v>
      </c>
      <c r="I478" s="6">
        <f t="shared" si="38"/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5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 x14ac:dyDescent="0.25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59"/>
      <c r="H479" s="6">
        <v>3000</v>
      </c>
      <c r="I479" s="6">
        <f t="shared" si="38"/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5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 x14ac:dyDescent="0.25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59"/>
      <c r="H480" s="6"/>
      <c r="I480" s="6">
        <f t="shared" si="38"/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5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 x14ac:dyDescent="0.25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59"/>
      <c r="H481" s="6"/>
      <c r="I481" s="6">
        <f t="shared" si="38"/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7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 x14ac:dyDescent="0.25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59"/>
      <c r="H482" s="6">
        <v>3000</v>
      </c>
      <c r="I482" s="6">
        <f t="shared" si="38"/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5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 x14ac:dyDescent="0.25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59"/>
      <c r="H483" s="6">
        <v>3000</v>
      </c>
      <c r="I483" s="6">
        <f t="shared" si="38"/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5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 x14ac:dyDescent="0.25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59"/>
      <c r="H484" s="6">
        <v>3000</v>
      </c>
      <c r="I484" s="6">
        <f t="shared" si="38"/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5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 x14ac:dyDescent="0.25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59"/>
      <c r="H485" s="6">
        <v>3000</v>
      </c>
      <c r="I485" s="6">
        <f t="shared" si="38"/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5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 x14ac:dyDescent="0.25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59"/>
      <c r="H486" s="6">
        <v>3000</v>
      </c>
      <c r="I486" s="6">
        <f t="shared" si="38"/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5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 x14ac:dyDescent="0.25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59"/>
      <c r="H487" s="6">
        <v>3000</v>
      </c>
      <c r="I487" s="6">
        <f t="shared" si="38"/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5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 x14ac:dyDescent="0.25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59"/>
      <c r="H488" s="6">
        <v>4800</v>
      </c>
      <c r="I488" s="6">
        <f t="shared" si="38"/>
        <v>598.07692307692309</v>
      </c>
      <c r="J488" s="68" t="s">
        <v>721</v>
      </c>
      <c r="K488" s="68">
        <v>5.2</v>
      </c>
      <c r="L488" s="68" t="s">
        <v>884</v>
      </c>
      <c r="M488" s="68" t="s">
        <v>885</v>
      </c>
      <c r="N488" s="68" t="s">
        <v>886</v>
      </c>
      <c r="O488" s="77">
        <v>3110</v>
      </c>
      <c r="P488" s="68" t="s">
        <v>887</v>
      </c>
      <c r="Q488" s="68" t="s">
        <v>888</v>
      </c>
      <c r="R488" s="68" t="s">
        <v>889</v>
      </c>
      <c r="S488" s="68" t="s">
        <v>890</v>
      </c>
      <c r="T488" s="68" t="s">
        <v>891</v>
      </c>
      <c r="U488" s="68" t="s">
        <v>892</v>
      </c>
      <c r="V488" s="68" t="s">
        <v>893</v>
      </c>
      <c r="W488" s="68" t="s">
        <v>894</v>
      </c>
      <c r="X488" s="68" t="s">
        <v>895</v>
      </c>
      <c r="Y488" s="68" t="s">
        <v>896</v>
      </c>
      <c r="Z488" s="68" t="s">
        <v>548</v>
      </c>
      <c r="AA488" s="68" t="s">
        <v>548</v>
      </c>
      <c r="AB488" s="68" t="s">
        <v>650</v>
      </c>
    </row>
    <row r="489" spans="1:28" x14ac:dyDescent="0.25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59"/>
      <c r="H489" s="6">
        <v>3000</v>
      </c>
      <c r="I489" s="6">
        <f t="shared" si="38"/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5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 x14ac:dyDescent="0.25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59"/>
      <c r="H490" s="6">
        <v>3000</v>
      </c>
      <c r="I490" s="6">
        <f t="shared" si="38"/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5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 x14ac:dyDescent="0.25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59"/>
      <c r="H491" s="6">
        <v>3000</v>
      </c>
      <c r="I491" s="6">
        <f t="shared" si="38"/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5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 x14ac:dyDescent="0.25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59"/>
      <c r="H492" s="6">
        <v>3000</v>
      </c>
      <c r="I492" s="6">
        <f t="shared" si="38"/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5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 x14ac:dyDescent="0.25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59"/>
      <c r="H493" s="6">
        <v>3000</v>
      </c>
      <c r="I493" s="6">
        <f t="shared" si="38"/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5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 x14ac:dyDescent="0.25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59"/>
      <c r="H494" s="6"/>
      <c r="I494" s="6">
        <f t="shared" si="38"/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5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 x14ac:dyDescent="0.25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59"/>
      <c r="H495" s="6">
        <v>4800</v>
      </c>
      <c r="I495" s="6">
        <f t="shared" si="38"/>
        <v>597.51166407465007</v>
      </c>
      <c r="J495" s="68" t="s">
        <v>954</v>
      </c>
      <c r="K495" s="68">
        <v>6.43</v>
      </c>
      <c r="L495" s="68" t="s">
        <v>955</v>
      </c>
      <c r="M495" s="68" t="s">
        <v>956</v>
      </c>
      <c r="N495" s="68" t="s">
        <v>957</v>
      </c>
      <c r="O495" s="77">
        <v>3842</v>
      </c>
      <c r="P495" s="68" t="s">
        <v>958</v>
      </c>
      <c r="Q495" s="68" t="s">
        <v>959</v>
      </c>
      <c r="R495" s="68" t="s">
        <v>960</v>
      </c>
      <c r="S495" s="68" t="s">
        <v>737</v>
      </c>
      <c r="T495" s="68" t="s">
        <v>961</v>
      </c>
      <c r="U495" s="68" t="s">
        <v>962</v>
      </c>
      <c r="V495" s="68" t="s">
        <v>963</v>
      </c>
      <c r="W495" s="68" t="s">
        <v>964</v>
      </c>
      <c r="X495" s="68" t="s">
        <v>965</v>
      </c>
      <c r="Y495" s="68" t="s">
        <v>966</v>
      </c>
      <c r="Z495" s="68" t="s">
        <v>548</v>
      </c>
      <c r="AA495" s="68" t="s">
        <v>548</v>
      </c>
      <c r="AB495" s="68" t="s">
        <v>650</v>
      </c>
    </row>
    <row r="496" spans="1:28" x14ac:dyDescent="0.25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59"/>
      <c r="H496" s="6">
        <v>3000</v>
      </c>
      <c r="I496" s="6">
        <f t="shared" si="38"/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5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 x14ac:dyDescent="0.25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59"/>
      <c r="H497" s="6"/>
      <c r="I497" s="6">
        <f t="shared" si="38"/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5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 x14ac:dyDescent="0.25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59"/>
      <c r="H498" s="6"/>
      <c r="I498" s="6">
        <f t="shared" si="38"/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5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 x14ac:dyDescent="0.25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59"/>
      <c r="H499" s="6"/>
      <c r="I499" s="6">
        <f t="shared" si="38"/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5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 x14ac:dyDescent="0.25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59"/>
      <c r="H500" s="6"/>
      <c r="I500" s="6">
        <f t="shared" si="38"/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5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 x14ac:dyDescent="0.25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59"/>
      <c r="H501" s="6"/>
      <c r="I501" s="6">
        <f t="shared" si="38"/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5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 x14ac:dyDescent="0.25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59"/>
      <c r="H502" s="6"/>
      <c r="I502" s="6">
        <f t="shared" si="38"/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7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 x14ac:dyDescent="0.25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59"/>
      <c r="H503" s="6"/>
      <c r="I503" s="6">
        <f t="shared" si="38"/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5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 x14ac:dyDescent="0.25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59"/>
      <c r="H504" s="6">
        <v>2500</v>
      </c>
      <c r="I504" s="6">
        <f t="shared" si="38"/>
        <v>278.15934065934067</v>
      </c>
      <c r="J504" s="69" t="s">
        <v>983</v>
      </c>
      <c r="K504" s="2">
        <v>7.28</v>
      </c>
      <c r="L504" s="69" t="s">
        <v>636</v>
      </c>
      <c r="M504" s="69" t="s">
        <v>984</v>
      </c>
      <c r="N504" s="69" t="s">
        <v>985</v>
      </c>
      <c r="O504" s="56">
        <v>2025</v>
      </c>
      <c r="P504" s="69" t="s">
        <v>985</v>
      </c>
      <c r="Q504" s="69" t="s">
        <v>985</v>
      </c>
      <c r="R504" s="69" t="s">
        <v>986</v>
      </c>
      <c r="S504" s="69" t="s">
        <v>961</v>
      </c>
      <c r="T504" s="69" t="s">
        <v>685</v>
      </c>
      <c r="U504" s="69" t="s">
        <v>987</v>
      </c>
      <c r="V504" s="69" t="s">
        <v>988</v>
      </c>
      <c r="W504" s="69" t="s">
        <v>989</v>
      </c>
      <c r="X504" s="69" t="s">
        <v>985</v>
      </c>
      <c r="Y504" s="69" t="s">
        <v>985</v>
      </c>
      <c r="Z504" s="69" t="s">
        <v>649</v>
      </c>
      <c r="AA504" s="69" t="s">
        <v>985</v>
      </c>
      <c r="AB504" s="69" t="s">
        <v>990</v>
      </c>
    </row>
    <row r="505" spans="1:28" x14ac:dyDescent="0.25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 t="shared" si="38"/>
        <v>293.52226720647775</v>
      </c>
      <c r="J505" s="70" t="s">
        <v>991</v>
      </c>
      <c r="K505" s="71">
        <v>7.41</v>
      </c>
      <c r="L505" s="70">
        <v>2</v>
      </c>
      <c r="M505" s="70" t="s">
        <v>992</v>
      </c>
      <c r="N505" s="70">
        <v>41</v>
      </c>
      <c r="O505" s="56">
        <v>2175</v>
      </c>
      <c r="P505" s="70" t="s">
        <v>993</v>
      </c>
      <c r="Q505" s="70" t="s">
        <v>994</v>
      </c>
      <c r="R505" s="70" t="s">
        <v>725</v>
      </c>
      <c r="S505" s="70" t="s">
        <v>712</v>
      </c>
      <c r="T505" s="70" t="s">
        <v>749</v>
      </c>
      <c r="U505" s="70" t="s">
        <v>995</v>
      </c>
      <c r="V505" s="70" t="s">
        <v>996</v>
      </c>
      <c r="W505" s="70" t="s">
        <v>997</v>
      </c>
      <c r="X505" s="70">
        <v>32724</v>
      </c>
      <c r="Y505" s="70">
        <v>65424</v>
      </c>
      <c r="Z505" s="70" t="s">
        <v>998</v>
      </c>
      <c r="AA505" s="70" t="s">
        <v>999</v>
      </c>
      <c r="AB505" s="70" t="s">
        <v>1000</v>
      </c>
    </row>
    <row r="506" spans="1:28" x14ac:dyDescent="0.25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 t="shared" si="38"/>
        <v>346.00246002460023</v>
      </c>
      <c r="J506" s="69" t="s">
        <v>1001</v>
      </c>
      <c r="K506" s="71">
        <v>8.1300000000000008</v>
      </c>
      <c r="L506" s="69">
        <v>1</v>
      </c>
      <c r="M506" s="69" t="s">
        <v>1002</v>
      </c>
      <c r="N506" s="69">
        <v>1352</v>
      </c>
      <c r="O506" s="56">
        <v>2813</v>
      </c>
      <c r="P506" s="69" t="s">
        <v>1003</v>
      </c>
      <c r="Q506" s="69" t="s">
        <v>1004</v>
      </c>
      <c r="R506" s="69" t="s">
        <v>1005</v>
      </c>
      <c r="S506" s="69" t="s">
        <v>839</v>
      </c>
      <c r="T506" s="69" t="s">
        <v>839</v>
      </c>
      <c r="U506" s="69" t="s">
        <v>1006</v>
      </c>
      <c r="V506" s="69" t="s">
        <v>1007</v>
      </c>
      <c r="W506" s="69" t="s">
        <v>1008</v>
      </c>
      <c r="X506" s="69">
        <v>144455</v>
      </c>
      <c r="Y506" s="69">
        <v>271852</v>
      </c>
      <c r="Z506" s="69" t="s">
        <v>800</v>
      </c>
      <c r="AA506" s="69">
        <v>0</v>
      </c>
      <c r="AB506" s="69" t="s">
        <v>1009</v>
      </c>
    </row>
    <row r="507" spans="1:28" x14ac:dyDescent="0.25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 t="shared" si="38"/>
        <v>372.95850066934406</v>
      </c>
      <c r="J507" s="70" t="s">
        <v>1010</v>
      </c>
      <c r="K507" s="72">
        <v>7.47</v>
      </c>
      <c r="L507" s="70" t="s">
        <v>585</v>
      </c>
      <c r="M507" s="70" t="s">
        <v>1011</v>
      </c>
      <c r="N507" s="70">
        <v>1279</v>
      </c>
      <c r="O507" s="56">
        <v>2786</v>
      </c>
      <c r="P507" s="70" t="s">
        <v>1012</v>
      </c>
      <c r="Q507" s="70" t="s">
        <v>1013</v>
      </c>
      <c r="R507" s="70" t="s">
        <v>1014</v>
      </c>
      <c r="S507" s="70" t="s">
        <v>685</v>
      </c>
      <c r="T507" s="70" t="s">
        <v>1015</v>
      </c>
      <c r="U507" s="70" t="s">
        <v>1016</v>
      </c>
      <c r="V507" s="70" t="s">
        <v>1017</v>
      </c>
      <c r="W507" s="70" t="s">
        <v>1018</v>
      </c>
      <c r="X507" s="70">
        <v>87035</v>
      </c>
      <c r="Y507" s="70">
        <v>188000</v>
      </c>
      <c r="Z507" s="70" t="s">
        <v>649</v>
      </c>
      <c r="AA507" s="70">
        <v>0</v>
      </c>
      <c r="AB507" s="70" t="s">
        <v>1019</v>
      </c>
    </row>
    <row r="508" spans="1:28" x14ac:dyDescent="0.25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59" t="s">
        <v>146</v>
      </c>
      <c r="H508" s="6"/>
      <c r="I508" s="6">
        <f t="shared" si="38"/>
        <v>0</v>
      </c>
      <c r="J508" s="72"/>
      <c r="K508" s="72"/>
      <c r="L508" s="72"/>
      <c r="M508" s="72"/>
      <c r="N508" s="72"/>
      <c r="O508" s="56"/>
      <c r="P508" s="72"/>
      <c r="Q508" s="72"/>
      <c r="R508" s="72"/>
      <c r="S508" s="72"/>
      <c r="T508" s="72"/>
      <c r="U508" s="72"/>
      <c r="V508" s="72"/>
      <c r="W508" s="70" t="s">
        <v>985</v>
      </c>
      <c r="X508" s="70" t="s">
        <v>985</v>
      </c>
      <c r="Y508" s="70" t="s">
        <v>985</v>
      </c>
      <c r="Z508" s="70" t="s">
        <v>985</v>
      </c>
      <c r="AA508" s="70" t="s">
        <v>985</v>
      </c>
      <c r="AB508" s="70" t="s">
        <v>985</v>
      </c>
    </row>
    <row r="509" spans="1:28" x14ac:dyDescent="0.25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 t="shared" si="38"/>
        <v>559.77229601518036</v>
      </c>
      <c r="J509" s="73" t="s">
        <v>1020</v>
      </c>
      <c r="K509" s="72">
        <v>10.54</v>
      </c>
      <c r="L509" s="73" t="s">
        <v>1021</v>
      </c>
      <c r="M509" s="73" t="s">
        <v>1022</v>
      </c>
      <c r="N509" s="73">
        <v>0</v>
      </c>
      <c r="O509" s="56">
        <v>5900</v>
      </c>
      <c r="P509" s="73" t="s">
        <v>985</v>
      </c>
      <c r="Q509" s="73">
        <v>0</v>
      </c>
      <c r="R509" s="73" t="s">
        <v>1023</v>
      </c>
      <c r="S509" s="73" t="s">
        <v>816</v>
      </c>
      <c r="T509" s="73" t="s">
        <v>1024</v>
      </c>
      <c r="U509" s="73" t="s">
        <v>1025</v>
      </c>
      <c r="V509" s="73" t="s">
        <v>1026</v>
      </c>
      <c r="W509" s="70" t="s">
        <v>1027</v>
      </c>
      <c r="X509" s="70">
        <v>109978</v>
      </c>
      <c r="Y509" s="70">
        <v>316475</v>
      </c>
      <c r="Z509" s="70" t="s">
        <v>719</v>
      </c>
      <c r="AA509" s="70" t="s">
        <v>985</v>
      </c>
      <c r="AB509" s="70" t="s">
        <v>1028</v>
      </c>
    </row>
    <row r="510" spans="1:28" x14ac:dyDescent="0.25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 t="shared" si="38"/>
        <v>291.68797953964196</v>
      </c>
      <c r="J510" s="73" t="s">
        <v>1029</v>
      </c>
      <c r="K510" s="72">
        <v>7.82</v>
      </c>
      <c r="L510" s="73" t="s">
        <v>585</v>
      </c>
      <c r="M510" s="73" t="s">
        <v>1030</v>
      </c>
      <c r="N510" s="73">
        <v>935</v>
      </c>
      <c r="O510" s="56">
        <v>2281</v>
      </c>
      <c r="P510" s="73" t="s">
        <v>1031</v>
      </c>
      <c r="Q510" s="73" t="s">
        <v>1032</v>
      </c>
      <c r="R510" s="73" t="s">
        <v>1033</v>
      </c>
      <c r="S510" s="73" t="s">
        <v>839</v>
      </c>
      <c r="T510" s="73" t="s">
        <v>1034</v>
      </c>
      <c r="U510" s="73" t="s">
        <v>1035</v>
      </c>
      <c r="V510" s="73" t="s">
        <v>1036</v>
      </c>
      <c r="W510" s="70" t="s">
        <v>1037</v>
      </c>
      <c r="X510" s="70">
        <v>179637</v>
      </c>
      <c r="Y510" s="70">
        <v>610615</v>
      </c>
      <c r="Z510" s="70">
        <v>0</v>
      </c>
      <c r="AA510" s="70">
        <v>0</v>
      </c>
      <c r="AB510" s="70">
        <v>5</v>
      </c>
    </row>
    <row r="511" spans="1:28" x14ac:dyDescent="0.25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59">
        <v>2768</v>
      </c>
      <c r="G511" s="8" t="s">
        <v>985</v>
      </c>
      <c r="H511" s="6">
        <v>6000</v>
      </c>
      <c r="I511" s="6">
        <f t="shared" si="38"/>
        <v>580.72487644151568</v>
      </c>
      <c r="J511" s="69" t="s">
        <v>1038</v>
      </c>
      <c r="K511" s="72">
        <v>6.07</v>
      </c>
      <c r="L511" s="69" t="s">
        <v>678</v>
      </c>
      <c r="M511" s="69" t="s">
        <v>1039</v>
      </c>
      <c r="N511" s="69">
        <v>773</v>
      </c>
      <c r="O511" s="77">
        <v>3525</v>
      </c>
      <c r="P511" s="69" t="s">
        <v>1040</v>
      </c>
      <c r="Q511" s="69" t="s">
        <v>1041</v>
      </c>
      <c r="R511" s="69" t="s">
        <v>1042</v>
      </c>
      <c r="S511" s="69" t="s">
        <v>747</v>
      </c>
      <c r="T511" s="69" t="s">
        <v>1043</v>
      </c>
      <c r="U511" s="69" t="s">
        <v>1044</v>
      </c>
      <c r="V511" s="69" t="s">
        <v>1045</v>
      </c>
      <c r="W511" s="69" t="s">
        <v>1046</v>
      </c>
      <c r="X511" s="69">
        <v>410134</v>
      </c>
      <c r="Y511" s="69">
        <v>1454712</v>
      </c>
      <c r="Z511" s="69" t="s">
        <v>649</v>
      </c>
      <c r="AA511" s="69">
        <v>0</v>
      </c>
      <c r="AB511" s="69" t="s">
        <v>1047</v>
      </c>
    </row>
    <row r="512" spans="1:28" x14ac:dyDescent="0.25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59" t="s">
        <v>146</v>
      </c>
      <c r="H512" s="6"/>
      <c r="I512" s="6">
        <f t="shared" si="38"/>
        <v>0</v>
      </c>
      <c r="J512" s="72"/>
      <c r="K512" s="72"/>
      <c r="L512" s="72"/>
      <c r="M512" s="72"/>
      <c r="N512" s="72"/>
      <c r="O512" s="56"/>
      <c r="P512" s="72"/>
      <c r="Q512" s="72"/>
      <c r="R512" s="72"/>
      <c r="S512" s="72"/>
      <c r="T512" s="72"/>
      <c r="U512" s="72"/>
      <c r="V512" s="72"/>
      <c r="W512" s="70" t="s">
        <v>985</v>
      </c>
      <c r="X512" s="70" t="s">
        <v>985</v>
      </c>
      <c r="Y512" s="70" t="s">
        <v>985</v>
      </c>
      <c r="Z512" s="70" t="s">
        <v>985</v>
      </c>
      <c r="AA512" s="70" t="s">
        <v>985</v>
      </c>
      <c r="AB512" s="70" t="s">
        <v>985</v>
      </c>
    </row>
    <row r="513" spans="1:28" x14ac:dyDescent="0.25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59"/>
      <c r="H513" s="6">
        <v>2500</v>
      </c>
      <c r="I513" s="6">
        <f t="shared" si="38"/>
        <v>348.67503486750348</v>
      </c>
      <c r="J513" s="69" t="s">
        <v>1048</v>
      </c>
      <c r="K513" s="71">
        <v>7.17</v>
      </c>
      <c r="L513" s="69" t="s">
        <v>756</v>
      </c>
      <c r="M513" s="69" t="s">
        <v>1049</v>
      </c>
      <c r="N513" s="69" t="s">
        <v>985</v>
      </c>
      <c r="O513" s="56">
        <v>2500</v>
      </c>
      <c r="P513" s="69" t="s">
        <v>985</v>
      </c>
      <c r="Q513" s="69" t="s">
        <v>985</v>
      </c>
      <c r="R513" s="69">
        <v>150</v>
      </c>
      <c r="S513" s="69" t="s">
        <v>567</v>
      </c>
      <c r="T513" s="69" t="s">
        <v>762</v>
      </c>
      <c r="U513" s="69" t="s">
        <v>1050</v>
      </c>
      <c r="V513" s="69" t="s">
        <v>1051</v>
      </c>
      <c r="W513" s="69" t="s">
        <v>1052</v>
      </c>
      <c r="X513" s="69" t="s">
        <v>985</v>
      </c>
      <c r="Y513" s="69" t="s">
        <v>985</v>
      </c>
      <c r="Z513" s="69" t="s">
        <v>649</v>
      </c>
      <c r="AA513" s="69" t="s">
        <v>985</v>
      </c>
      <c r="AB513" s="69" t="s">
        <v>1053</v>
      </c>
    </row>
    <row r="514" spans="1:28" x14ac:dyDescent="0.25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 t="shared" si="38"/>
        <v>204.75460122699388</v>
      </c>
      <c r="J514" s="70" t="s">
        <v>1054</v>
      </c>
      <c r="K514" s="72">
        <v>6.52</v>
      </c>
      <c r="L514" s="70" t="s">
        <v>678</v>
      </c>
      <c r="M514" s="70" t="s">
        <v>1055</v>
      </c>
      <c r="N514" s="70">
        <v>1225</v>
      </c>
      <c r="O514" s="56">
        <v>1335</v>
      </c>
      <c r="P514" s="70" t="s">
        <v>1056</v>
      </c>
      <c r="Q514" s="70" t="s">
        <v>867</v>
      </c>
      <c r="R514" s="70" t="s">
        <v>1057</v>
      </c>
      <c r="S514" s="70" t="s">
        <v>658</v>
      </c>
      <c r="T514" s="70" t="s">
        <v>1058</v>
      </c>
      <c r="U514" s="70" t="s">
        <v>1059</v>
      </c>
      <c r="V514" s="70" t="s">
        <v>1060</v>
      </c>
      <c r="W514" s="70" t="s">
        <v>1061</v>
      </c>
      <c r="X514" s="70">
        <v>33949</v>
      </c>
      <c r="Y514" s="70">
        <v>67308</v>
      </c>
      <c r="Z514" s="70" t="s">
        <v>800</v>
      </c>
      <c r="AA514" s="70">
        <v>0</v>
      </c>
      <c r="AB514" s="70" t="s">
        <v>1062</v>
      </c>
    </row>
    <row r="515" spans="1:28" x14ac:dyDescent="0.25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 t="shared" si="38"/>
        <v>333.94607843137254</v>
      </c>
      <c r="J515" s="70" t="s">
        <v>1063</v>
      </c>
      <c r="K515" s="72">
        <v>8.16</v>
      </c>
      <c r="L515" s="70" t="s">
        <v>1064</v>
      </c>
      <c r="M515" s="70" t="s">
        <v>1065</v>
      </c>
      <c r="N515" s="70">
        <v>1387</v>
      </c>
      <c r="O515" s="56">
        <v>2725</v>
      </c>
      <c r="P515" s="70" t="s">
        <v>1066</v>
      </c>
      <c r="Q515" s="70" t="s">
        <v>1067</v>
      </c>
      <c r="R515" s="70" t="s">
        <v>1068</v>
      </c>
      <c r="S515" s="70" t="s">
        <v>582</v>
      </c>
      <c r="T515" s="70" t="s">
        <v>1069</v>
      </c>
      <c r="U515" s="70" t="s">
        <v>1070</v>
      </c>
      <c r="V515" s="70" t="s">
        <v>1071</v>
      </c>
      <c r="W515" s="70" t="s">
        <v>1072</v>
      </c>
      <c r="X515" s="70">
        <v>145842</v>
      </c>
      <c r="Y515" s="70">
        <v>274577</v>
      </c>
      <c r="Z515" s="70" t="s">
        <v>800</v>
      </c>
      <c r="AA515" s="70">
        <v>0</v>
      </c>
      <c r="AB515" s="70">
        <v>311</v>
      </c>
    </row>
    <row r="516" spans="1:28" x14ac:dyDescent="0.25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 t="shared" si="38"/>
        <v>303.17829457364343</v>
      </c>
      <c r="J516" s="70" t="s">
        <v>1073</v>
      </c>
      <c r="K516" s="72">
        <v>12.9</v>
      </c>
      <c r="L516" s="70" t="s">
        <v>621</v>
      </c>
      <c r="M516" s="70" t="s">
        <v>830</v>
      </c>
      <c r="N516" s="70">
        <v>1616</v>
      </c>
      <c r="O516" s="56">
        <v>3911</v>
      </c>
      <c r="P516" s="70" t="s">
        <v>1074</v>
      </c>
      <c r="Q516" s="70" t="s">
        <v>1075</v>
      </c>
      <c r="R516" s="70" t="s">
        <v>1076</v>
      </c>
      <c r="S516" s="70" t="s">
        <v>627</v>
      </c>
      <c r="T516" s="70" t="s">
        <v>628</v>
      </c>
      <c r="U516" s="70" t="s">
        <v>1077</v>
      </c>
      <c r="V516" s="70" t="s">
        <v>1078</v>
      </c>
      <c r="W516" s="70" t="s">
        <v>1079</v>
      </c>
      <c r="X516" s="70">
        <v>88651</v>
      </c>
      <c r="Y516" s="70">
        <v>191911</v>
      </c>
      <c r="Z516" s="70">
        <v>4</v>
      </c>
      <c r="AA516" s="70">
        <v>0</v>
      </c>
      <c r="AB516" s="70" t="s">
        <v>1080</v>
      </c>
    </row>
    <row r="517" spans="1:28" x14ac:dyDescent="0.25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 t="shared" si="38"/>
        <v>470.89041095890411</v>
      </c>
      <c r="J517" s="70" t="s">
        <v>1081</v>
      </c>
      <c r="K517" s="72">
        <v>8.76</v>
      </c>
      <c r="L517" s="70" t="s">
        <v>702</v>
      </c>
      <c r="M517" s="70" t="s">
        <v>1082</v>
      </c>
      <c r="N517" s="70">
        <v>421</v>
      </c>
      <c r="O517" s="56">
        <v>4125</v>
      </c>
      <c r="P517" s="70" t="s">
        <v>1083</v>
      </c>
      <c r="Q517" s="70" t="s">
        <v>1084</v>
      </c>
      <c r="R517" s="70" t="s">
        <v>1085</v>
      </c>
      <c r="S517" s="70" t="s">
        <v>988</v>
      </c>
      <c r="T517" s="70" t="s">
        <v>1086</v>
      </c>
      <c r="U517" s="70" t="s">
        <v>1087</v>
      </c>
      <c r="V517" s="70" t="s">
        <v>1088</v>
      </c>
      <c r="W517" s="70" t="s">
        <v>1089</v>
      </c>
      <c r="X517" s="70">
        <v>110399</v>
      </c>
      <c r="Y517" s="70">
        <v>318000</v>
      </c>
      <c r="Z517" s="70">
        <v>1</v>
      </c>
      <c r="AA517" s="70">
        <v>0</v>
      </c>
      <c r="AB517" s="70" t="s">
        <v>1090</v>
      </c>
    </row>
    <row r="518" spans="1:28" x14ac:dyDescent="0.25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 t="shared" si="38"/>
        <v>220.7177814029364</v>
      </c>
      <c r="J518" s="69" t="s">
        <v>1091</v>
      </c>
      <c r="K518" s="72">
        <v>6.13</v>
      </c>
      <c r="L518" s="69" t="s">
        <v>1092</v>
      </c>
      <c r="M518" s="69" t="s">
        <v>1093</v>
      </c>
      <c r="N518" s="69">
        <v>517</v>
      </c>
      <c r="O518" s="56">
        <v>1353</v>
      </c>
      <c r="P518" s="69" t="s">
        <v>1094</v>
      </c>
      <c r="Q518" s="69" t="s">
        <v>1095</v>
      </c>
      <c r="R518" s="69" t="s">
        <v>1096</v>
      </c>
      <c r="S518" s="69" t="s">
        <v>685</v>
      </c>
      <c r="T518" s="69" t="s">
        <v>1097</v>
      </c>
      <c r="U518" s="69" t="s">
        <v>1098</v>
      </c>
      <c r="V518" s="69" t="s">
        <v>1099</v>
      </c>
      <c r="W518" s="69" t="s">
        <v>1100</v>
      </c>
      <c r="X518" s="69">
        <v>180154</v>
      </c>
      <c r="Y518" s="69">
        <v>611968</v>
      </c>
      <c r="Z518" s="69">
        <v>0</v>
      </c>
      <c r="AA518" s="69">
        <v>0</v>
      </c>
      <c r="AB518" s="69">
        <v>5</v>
      </c>
    </row>
    <row r="519" spans="1:28" x14ac:dyDescent="0.25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59">
        <v>2467</v>
      </c>
      <c r="G519" s="8" t="s">
        <v>985</v>
      </c>
      <c r="H519" s="6">
        <v>6000</v>
      </c>
      <c r="I519" s="6">
        <f t="shared" si="38"/>
        <v>691.82004089979557</v>
      </c>
      <c r="J519" s="70" t="s">
        <v>1101</v>
      </c>
      <c r="K519" s="72">
        <v>4.8899999999999997</v>
      </c>
      <c r="L519" s="70" t="s">
        <v>998</v>
      </c>
      <c r="M519" s="70" t="s">
        <v>1102</v>
      </c>
      <c r="N519" s="70">
        <v>723</v>
      </c>
      <c r="O519" s="77">
        <v>3383</v>
      </c>
      <c r="P519" s="70" t="s">
        <v>1103</v>
      </c>
      <c r="Q519" s="70" t="s">
        <v>1104</v>
      </c>
      <c r="R519" s="70" t="s">
        <v>1105</v>
      </c>
      <c r="S519" s="70" t="s">
        <v>658</v>
      </c>
      <c r="T519" s="70" t="s">
        <v>1106</v>
      </c>
      <c r="U519" s="70" t="s">
        <v>671</v>
      </c>
      <c r="V519" s="70" t="s">
        <v>975</v>
      </c>
      <c r="W519" s="70" t="s">
        <v>1107</v>
      </c>
      <c r="X519" s="70">
        <v>410857</v>
      </c>
      <c r="Y519" s="70">
        <v>1458095</v>
      </c>
      <c r="Z519" s="70">
        <v>0</v>
      </c>
      <c r="AA519" s="70">
        <v>0</v>
      </c>
      <c r="AB519" s="70" t="s">
        <v>1047</v>
      </c>
    </row>
    <row r="520" spans="1:28" x14ac:dyDescent="0.25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59"/>
      <c r="H520" s="6">
        <f t="shared" ref="H520:H526" si="39">15000/7</f>
        <v>2142.8571428571427</v>
      </c>
      <c r="I520" s="6">
        <f t="shared" si="38"/>
        <v>168.13953488372093</v>
      </c>
      <c r="J520" s="69" t="s">
        <v>1108</v>
      </c>
      <c r="K520" s="71">
        <v>4.3</v>
      </c>
      <c r="L520" s="69" t="s">
        <v>726</v>
      </c>
      <c r="M520" s="69" t="s">
        <v>1109</v>
      </c>
      <c r="N520" s="69">
        <v>497</v>
      </c>
      <c r="O520" s="56">
        <v>723</v>
      </c>
      <c r="P520" s="69" t="s">
        <v>777</v>
      </c>
      <c r="Q520" s="69" t="s">
        <v>1110</v>
      </c>
      <c r="R520" s="69" t="s">
        <v>1111</v>
      </c>
      <c r="S520" s="69" t="s">
        <v>793</v>
      </c>
      <c r="T520" s="69">
        <v>4</v>
      </c>
      <c r="U520" s="69" t="s">
        <v>1112</v>
      </c>
      <c r="V520" s="69" t="s">
        <v>1113</v>
      </c>
      <c r="W520" s="69" t="s">
        <v>1114</v>
      </c>
      <c r="X520" s="69">
        <v>72885</v>
      </c>
      <c r="Y520" s="69">
        <v>107406</v>
      </c>
      <c r="Z520" s="69">
        <v>0</v>
      </c>
      <c r="AA520" s="69">
        <v>0</v>
      </c>
      <c r="AB520" s="69" t="s">
        <v>1115</v>
      </c>
    </row>
    <row r="521" spans="1:28" x14ac:dyDescent="0.25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59"/>
      <c r="H521" s="6">
        <f t="shared" si="39"/>
        <v>2142.8571428571427</v>
      </c>
      <c r="I521" s="6">
        <f t="shared" si="38"/>
        <v>156.9678407350689</v>
      </c>
      <c r="J521" s="70" t="s">
        <v>1116</v>
      </c>
      <c r="K521" s="72">
        <v>6.53</v>
      </c>
      <c r="L521" s="70" t="s">
        <v>1117</v>
      </c>
      <c r="M521" s="70" t="s">
        <v>1118</v>
      </c>
      <c r="N521" s="70" t="s">
        <v>985</v>
      </c>
      <c r="O521" s="56">
        <v>1025</v>
      </c>
      <c r="P521" s="70" t="s">
        <v>985</v>
      </c>
      <c r="Q521" s="70" t="s">
        <v>985</v>
      </c>
      <c r="R521" s="70" t="s">
        <v>1119</v>
      </c>
      <c r="S521" s="70" t="s">
        <v>1120</v>
      </c>
      <c r="T521" s="70" t="s">
        <v>1121</v>
      </c>
      <c r="U521" s="70" t="s">
        <v>1122</v>
      </c>
      <c r="V521" s="70" t="s">
        <v>1123</v>
      </c>
      <c r="W521" s="70" t="s">
        <v>1124</v>
      </c>
      <c r="X521" s="70" t="s">
        <v>985</v>
      </c>
      <c r="Y521" s="70" t="s">
        <v>985</v>
      </c>
      <c r="Z521" s="70">
        <v>1</v>
      </c>
      <c r="AA521" s="70" t="s">
        <v>985</v>
      </c>
      <c r="AB521" s="70" t="s">
        <v>1125</v>
      </c>
    </row>
    <row r="522" spans="1:28" x14ac:dyDescent="0.25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 t="shared" si="39"/>
        <v>2142.8571428571427</v>
      </c>
      <c r="I522" s="6">
        <f t="shared" si="38"/>
        <v>155.29411764705884</v>
      </c>
      <c r="J522" s="70" t="s">
        <v>1126</v>
      </c>
      <c r="K522" s="72">
        <v>6.8</v>
      </c>
      <c r="L522" s="70" t="s">
        <v>777</v>
      </c>
      <c r="M522" s="70" t="s">
        <v>1127</v>
      </c>
      <c r="N522" s="70">
        <v>845</v>
      </c>
      <c r="O522" s="56">
        <v>1056</v>
      </c>
      <c r="P522" s="70" t="s">
        <v>1128</v>
      </c>
      <c r="Q522" s="70" t="s">
        <v>1129</v>
      </c>
      <c r="R522" s="70" t="s">
        <v>1130</v>
      </c>
      <c r="S522" s="70" t="s">
        <v>567</v>
      </c>
      <c r="T522" s="70" t="s">
        <v>1131</v>
      </c>
      <c r="U522" s="70" t="s">
        <v>1132</v>
      </c>
      <c r="V522" s="70" t="s">
        <v>1133</v>
      </c>
      <c r="W522" s="70" t="s">
        <v>1134</v>
      </c>
      <c r="X522" s="70">
        <v>34794</v>
      </c>
      <c r="Y522" s="70">
        <v>68685</v>
      </c>
      <c r="Z522" s="70" t="s">
        <v>602</v>
      </c>
      <c r="AA522" s="70">
        <v>0</v>
      </c>
      <c r="AB522" s="70">
        <v>42</v>
      </c>
    </row>
    <row r="523" spans="1:28" x14ac:dyDescent="0.25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 t="shared" si="39"/>
        <v>2142.8571428571427</v>
      </c>
      <c r="I523" s="6">
        <f t="shared" si="38"/>
        <v>310.79234972677597</v>
      </c>
      <c r="J523" s="70" t="s">
        <v>1048</v>
      </c>
      <c r="K523" s="72">
        <v>7.32</v>
      </c>
      <c r="L523" s="70" t="s">
        <v>734</v>
      </c>
      <c r="M523" s="70" t="s">
        <v>1135</v>
      </c>
      <c r="N523" s="70">
        <v>1110</v>
      </c>
      <c r="O523" s="56">
        <v>2275</v>
      </c>
      <c r="P523" s="70" t="s">
        <v>946</v>
      </c>
      <c r="Q523" s="70" t="s">
        <v>1136</v>
      </c>
      <c r="R523" s="70" t="s">
        <v>727</v>
      </c>
      <c r="S523" s="70" t="s">
        <v>839</v>
      </c>
      <c r="T523" s="70" t="s">
        <v>912</v>
      </c>
      <c r="U523" s="70" t="s">
        <v>986</v>
      </c>
      <c r="V523" s="70" t="s">
        <v>1137</v>
      </c>
      <c r="W523" s="70" t="s">
        <v>1138</v>
      </c>
      <c r="X523" s="70">
        <v>146952</v>
      </c>
      <c r="Y523" s="70">
        <v>276852</v>
      </c>
      <c r="Z523" s="70" t="s">
        <v>621</v>
      </c>
      <c r="AA523" s="70">
        <v>0</v>
      </c>
      <c r="AB523" s="70" t="s">
        <v>1139</v>
      </c>
    </row>
    <row r="524" spans="1:28" x14ac:dyDescent="0.25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 t="shared" si="39"/>
        <v>2142.8571428571427</v>
      </c>
      <c r="I524" s="6">
        <f t="shared" si="38"/>
        <v>311.08126259234382</v>
      </c>
      <c r="J524" s="70" t="s">
        <v>1140</v>
      </c>
      <c r="K524" s="72">
        <v>14.89</v>
      </c>
      <c r="L524" s="70" t="s">
        <v>585</v>
      </c>
      <c r="M524" s="70">
        <v>6</v>
      </c>
      <c r="N524" s="70">
        <v>1922</v>
      </c>
      <c r="O524" s="56">
        <v>4632</v>
      </c>
      <c r="P524" s="70" t="s">
        <v>743</v>
      </c>
      <c r="Q524" s="70" t="s">
        <v>1141</v>
      </c>
      <c r="R524" s="70" t="s">
        <v>1142</v>
      </c>
      <c r="S524" s="70" t="s">
        <v>749</v>
      </c>
      <c r="T524" s="70" t="s">
        <v>1143</v>
      </c>
      <c r="U524" s="70" t="s">
        <v>1144</v>
      </c>
      <c r="V524" s="70" t="s">
        <v>782</v>
      </c>
      <c r="W524" s="70" t="s">
        <v>1145</v>
      </c>
      <c r="X524" s="70">
        <v>90573</v>
      </c>
      <c r="Y524" s="70">
        <v>196543</v>
      </c>
      <c r="Z524" s="70" t="s">
        <v>580</v>
      </c>
      <c r="AA524" s="70">
        <v>0</v>
      </c>
      <c r="AB524" s="70">
        <v>87</v>
      </c>
    </row>
    <row r="525" spans="1:28" x14ac:dyDescent="0.25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 t="shared" si="39"/>
        <v>2142.8571428571427</v>
      </c>
      <c r="I525" s="6">
        <f t="shared" si="38"/>
        <v>362.18611521418023</v>
      </c>
      <c r="J525" s="69" t="s">
        <v>902</v>
      </c>
      <c r="K525" s="71">
        <v>6.77</v>
      </c>
      <c r="L525" s="69" t="s">
        <v>1146</v>
      </c>
      <c r="M525" s="69" t="s">
        <v>1147</v>
      </c>
      <c r="N525" s="69">
        <v>815</v>
      </c>
      <c r="O525" s="56">
        <v>2452</v>
      </c>
      <c r="P525" s="69" t="s">
        <v>1148</v>
      </c>
      <c r="Q525" s="69" t="s">
        <v>1149</v>
      </c>
      <c r="R525" s="69" t="s">
        <v>1150</v>
      </c>
      <c r="S525" s="69" t="s">
        <v>1151</v>
      </c>
      <c r="T525" s="69" t="s">
        <v>1152</v>
      </c>
      <c r="U525" s="69" t="s">
        <v>1153</v>
      </c>
      <c r="V525" s="69" t="s">
        <v>1154</v>
      </c>
      <c r="W525" s="69" t="s">
        <v>1155</v>
      </c>
      <c r="X525" s="69">
        <v>111214</v>
      </c>
      <c r="Y525" s="69">
        <v>320452</v>
      </c>
      <c r="Z525" s="69" t="s">
        <v>580</v>
      </c>
      <c r="AA525" s="69">
        <v>0</v>
      </c>
      <c r="AB525" s="69" t="s">
        <v>1156</v>
      </c>
    </row>
    <row r="526" spans="1:28" x14ac:dyDescent="0.25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 t="shared" si="39"/>
        <v>2142.8571428571427</v>
      </c>
      <c r="I526" s="6">
        <f t="shared" si="38"/>
        <v>669.78193146417448</v>
      </c>
      <c r="J526" s="70" t="s">
        <v>1157</v>
      </c>
      <c r="K526" s="71">
        <v>6.42</v>
      </c>
      <c r="L526" s="70" t="s">
        <v>955</v>
      </c>
      <c r="M526" s="70" t="s">
        <v>1158</v>
      </c>
      <c r="N526" s="70">
        <v>1042</v>
      </c>
      <c r="O526" s="56">
        <v>4300</v>
      </c>
      <c r="P526" s="70" t="s">
        <v>1159</v>
      </c>
      <c r="Q526" s="70" t="s">
        <v>844</v>
      </c>
      <c r="R526" s="70" t="s">
        <v>1087</v>
      </c>
      <c r="S526" s="70" t="s">
        <v>567</v>
      </c>
      <c r="T526" s="70" t="s">
        <v>1160</v>
      </c>
      <c r="U526" s="70" t="s">
        <v>736</v>
      </c>
      <c r="V526" s="70" t="s">
        <v>1161</v>
      </c>
      <c r="W526" s="70" t="s">
        <v>1162</v>
      </c>
      <c r="X526" s="70">
        <v>181196</v>
      </c>
      <c r="Y526" s="70">
        <v>616268</v>
      </c>
      <c r="Z526" s="70">
        <v>0</v>
      </c>
      <c r="AA526" s="70">
        <v>0</v>
      </c>
      <c r="AB526" s="70">
        <v>5</v>
      </c>
    </row>
    <row r="527" spans="1:28" x14ac:dyDescent="0.25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59">
        <v>3244</v>
      </c>
      <c r="G527" s="8" t="s">
        <v>985</v>
      </c>
      <c r="H527" s="6">
        <v>6000</v>
      </c>
      <c r="I527" s="6">
        <f t="shared" si="38"/>
        <v>811.86440677966107</v>
      </c>
      <c r="J527" s="69" t="s">
        <v>1163</v>
      </c>
      <c r="K527" s="71">
        <v>4.72</v>
      </c>
      <c r="L527" s="69" t="s">
        <v>585</v>
      </c>
      <c r="M527" s="69" t="s">
        <v>1164</v>
      </c>
      <c r="N527" s="69">
        <v>725</v>
      </c>
      <c r="O527" s="77">
        <v>3832</v>
      </c>
      <c r="P527" s="69" t="s">
        <v>565</v>
      </c>
      <c r="Q527" s="69" t="s">
        <v>1165</v>
      </c>
      <c r="R527" s="69" t="s">
        <v>1166</v>
      </c>
      <c r="S527" s="69" t="s">
        <v>961</v>
      </c>
      <c r="T527" s="69" t="s">
        <v>1167</v>
      </c>
      <c r="U527" s="69" t="s">
        <v>1168</v>
      </c>
      <c r="V527" s="69" t="s">
        <v>975</v>
      </c>
      <c r="W527" s="69" t="s">
        <v>1169</v>
      </c>
      <c r="X527" s="69">
        <v>411582</v>
      </c>
      <c r="Y527" s="69">
        <v>1461927</v>
      </c>
      <c r="Z527" s="69">
        <v>0</v>
      </c>
      <c r="AA527" s="69">
        <v>0</v>
      </c>
      <c r="AB527" s="69" t="s">
        <v>1047</v>
      </c>
    </row>
    <row r="528" spans="1:28" x14ac:dyDescent="0.25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59"/>
      <c r="H528" s="6">
        <f t="shared" ref="H528:H534" si="40">15000/7</f>
        <v>2142.8571428571427</v>
      </c>
      <c r="I528" s="6">
        <f t="shared" si="38"/>
        <v>94.896551724137936</v>
      </c>
      <c r="J528" s="70" t="s">
        <v>1170</v>
      </c>
      <c r="K528" s="72">
        <v>7.25</v>
      </c>
      <c r="L528" s="70" t="s">
        <v>602</v>
      </c>
      <c r="M528" s="70" t="s">
        <v>1171</v>
      </c>
      <c r="N528" s="70">
        <v>434</v>
      </c>
      <c r="O528" s="56">
        <v>688</v>
      </c>
      <c r="P528" s="70" t="s">
        <v>1172</v>
      </c>
      <c r="Q528" s="70" t="s">
        <v>1173</v>
      </c>
      <c r="R528" s="70" t="s">
        <v>1174</v>
      </c>
      <c r="S528" s="70" t="s">
        <v>685</v>
      </c>
      <c r="T528" s="70" t="s">
        <v>1175</v>
      </c>
      <c r="U528" s="70" t="s">
        <v>1176</v>
      </c>
      <c r="V528" s="70" t="s">
        <v>1177</v>
      </c>
      <c r="W528" s="70" t="s">
        <v>1178</v>
      </c>
      <c r="X528" s="70">
        <v>73319</v>
      </c>
      <c r="Y528" s="70">
        <v>108094</v>
      </c>
      <c r="Z528" s="70">
        <v>1</v>
      </c>
      <c r="AA528" s="70">
        <v>0</v>
      </c>
      <c r="AB528" s="70" t="s">
        <v>1179</v>
      </c>
    </row>
    <row r="529" spans="1:28" x14ac:dyDescent="0.25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59"/>
      <c r="H529" s="6">
        <f t="shared" si="40"/>
        <v>2142.8571428571427</v>
      </c>
      <c r="I529" s="6">
        <f t="shared" si="38"/>
        <v>191.36807817589579</v>
      </c>
      <c r="J529" s="70" t="s">
        <v>1180</v>
      </c>
      <c r="K529" s="72">
        <v>6.14</v>
      </c>
      <c r="L529" s="70" t="s">
        <v>734</v>
      </c>
      <c r="M529" s="70" t="s">
        <v>1181</v>
      </c>
      <c r="N529" s="70" t="s">
        <v>985</v>
      </c>
      <c r="O529" s="56">
        <v>1175</v>
      </c>
      <c r="P529" s="70" t="s">
        <v>985</v>
      </c>
      <c r="Q529" s="70" t="s">
        <v>985</v>
      </c>
      <c r="R529" s="70" t="s">
        <v>1182</v>
      </c>
      <c r="S529" s="70" t="s">
        <v>749</v>
      </c>
      <c r="T529" s="70" t="s">
        <v>1183</v>
      </c>
      <c r="U529" s="70" t="s">
        <v>939</v>
      </c>
      <c r="V529" s="70" t="s">
        <v>1184</v>
      </c>
      <c r="W529" s="70" t="s">
        <v>1185</v>
      </c>
      <c r="X529" s="70" t="s">
        <v>985</v>
      </c>
      <c r="Y529" s="70" t="s">
        <v>985</v>
      </c>
      <c r="Z529" s="70" t="s">
        <v>719</v>
      </c>
      <c r="AA529" s="70" t="s">
        <v>985</v>
      </c>
      <c r="AB529" s="70" t="s">
        <v>578</v>
      </c>
    </row>
    <row r="530" spans="1:28" x14ac:dyDescent="0.25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 t="shared" si="40"/>
        <v>2142.8571428571427</v>
      </c>
      <c r="I530" s="6">
        <f t="shared" si="38"/>
        <v>229.69230769230768</v>
      </c>
      <c r="J530" s="70" t="s">
        <v>1186</v>
      </c>
      <c r="K530" s="72">
        <v>6.5</v>
      </c>
      <c r="L530" s="70" t="s">
        <v>1187</v>
      </c>
      <c r="M530" s="70" t="s">
        <v>1188</v>
      </c>
      <c r="N530" s="70">
        <v>752</v>
      </c>
      <c r="O530" s="56">
        <v>1493</v>
      </c>
      <c r="P530" s="70" t="s">
        <v>1189</v>
      </c>
      <c r="Q530" s="70" t="s">
        <v>900</v>
      </c>
      <c r="R530" s="70" t="s">
        <v>1190</v>
      </c>
      <c r="S530" s="70" t="s">
        <v>658</v>
      </c>
      <c r="T530" s="70" t="s">
        <v>1191</v>
      </c>
      <c r="U530" s="70" t="s">
        <v>1192</v>
      </c>
      <c r="V530" s="70" t="s">
        <v>1193</v>
      </c>
      <c r="W530" s="70" t="s">
        <v>1194</v>
      </c>
      <c r="X530" s="70">
        <v>35546</v>
      </c>
      <c r="Y530" s="70">
        <v>70178</v>
      </c>
      <c r="Z530" s="70" t="s">
        <v>580</v>
      </c>
      <c r="AA530" s="70">
        <v>0</v>
      </c>
      <c r="AB530" s="70" t="s">
        <v>1195</v>
      </c>
    </row>
    <row r="531" spans="1:28" x14ac:dyDescent="0.25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 t="shared" si="40"/>
        <v>2142.8571428571427</v>
      </c>
      <c r="I531" s="6">
        <f t="shared" si="38"/>
        <v>349.51185495118551</v>
      </c>
      <c r="J531" s="70" t="s">
        <v>1196</v>
      </c>
      <c r="K531" s="72">
        <v>7.17</v>
      </c>
      <c r="L531" s="70" t="s">
        <v>777</v>
      </c>
      <c r="M531" s="70" t="s">
        <v>1197</v>
      </c>
      <c r="N531" s="70">
        <v>1137</v>
      </c>
      <c r="O531" s="56">
        <v>2506</v>
      </c>
      <c r="P531" s="70" t="s">
        <v>693</v>
      </c>
      <c r="Q531" s="70" t="s">
        <v>1198</v>
      </c>
      <c r="R531" s="70" t="s">
        <v>995</v>
      </c>
      <c r="S531" s="70" t="s">
        <v>839</v>
      </c>
      <c r="T531" s="70" t="s">
        <v>1199</v>
      </c>
      <c r="U531" s="70">
        <v>150</v>
      </c>
      <c r="V531" s="70" t="s">
        <v>1200</v>
      </c>
      <c r="W531" s="70" t="s">
        <v>1201</v>
      </c>
      <c r="X531" s="70">
        <v>148089</v>
      </c>
      <c r="Y531" s="70">
        <v>279358</v>
      </c>
      <c r="Z531" s="70" t="s">
        <v>800</v>
      </c>
      <c r="AA531" s="70">
        <v>0</v>
      </c>
      <c r="AB531" s="70" t="s">
        <v>1202</v>
      </c>
    </row>
    <row r="532" spans="1:28" x14ac:dyDescent="0.25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 t="shared" si="40"/>
        <v>2142.8571428571427</v>
      </c>
      <c r="I532" s="6">
        <f t="shared" si="38"/>
        <v>253.39901477832512</v>
      </c>
      <c r="J532" s="69" t="s">
        <v>1203</v>
      </c>
      <c r="K532" s="71">
        <v>10.15</v>
      </c>
      <c r="L532" s="69" t="s">
        <v>719</v>
      </c>
      <c r="M532" s="69" t="s">
        <v>1204</v>
      </c>
      <c r="N532" s="69">
        <v>1456</v>
      </c>
      <c r="O532" s="56">
        <v>2572</v>
      </c>
      <c r="P532" s="69" t="s">
        <v>1205</v>
      </c>
      <c r="Q532" s="69" t="s">
        <v>1206</v>
      </c>
      <c r="R532" s="69" t="s">
        <v>1207</v>
      </c>
      <c r="S532" s="69" t="s">
        <v>1208</v>
      </c>
      <c r="T532" s="69" t="s">
        <v>582</v>
      </c>
      <c r="U532" s="69" t="s">
        <v>1209</v>
      </c>
      <c r="V532" s="69" t="s">
        <v>1210</v>
      </c>
      <c r="W532" s="69" t="s">
        <v>1211</v>
      </c>
      <c r="X532" s="69">
        <v>92029</v>
      </c>
      <c r="Y532" s="69">
        <v>199731</v>
      </c>
      <c r="Z532" s="69" t="s">
        <v>719</v>
      </c>
      <c r="AA532" s="69">
        <v>0</v>
      </c>
      <c r="AB532" s="69" t="s">
        <v>1212</v>
      </c>
    </row>
    <row r="533" spans="1:28" x14ac:dyDescent="0.25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 t="shared" si="40"/>
        <v>2142.8571428571427</v>
      </c>
      <c r="I533" s="6">
        <f t="shared" si="38"/>
        <v>363.45966958211858</v>
      </c>
      <c r="J533" s="70" t="s">
        <v>1213</v>
      </c>
      <c r="K533" s="71">
        <v>10.29</v>
      </c>
      <c r="L533" s="70">
        <v>3</v>
      </c>
      <c r="M533" s="70" t="s">
        <v>562</v>
      </c>
      <c r="N533" s="70">
        <v>985</v>
      </c>
      <c r="O533" s="56">
        <v>3740</v>
      </c>
      <c r="P533" s="70" t="s">
        <v>1214</v>
      </c>
      <c r="Q533" s="70" t="s">
        <v>1215</v>
      </c>
      <c r="R533" s="70" t="s">
        <v>1025</v>
      </c>
      <c r="S533" s="70" t="s">
        <v>1216</v>
      </c>
      <c r="T533" s="70" t="s">
        <v>961</v>
      </c>
      <c r="U533" s="70" t="s">
        <v>1217</v>
      </c>
      <c r="V533" s="70" t="s">
        <v>1218</v>
      </c>
      <c r="W533" s="70" t="s">
        <v>1219</v>
      </c>
      <c r="X533" s="70">
        <v>112199</v>
      </c>
      <c r="Y533" s="70">
        <v>324192</v>
      </c>
      <c r="Z533" s="70" t="s">
        <v>800</v>
      </c>
      <c r="AA533" s="70">
        <v>0</v>
      </c>
      <c r="AB533" s="70" t="s">
        <v>1220</v>
      </c>
    </row>
    <row r="534" spans="1:28" x14ac:dyDescent="0.25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 t="shared" si="40"/>
        <v>2142.8571428571427</v>
      </c>
      <c r="I534" s="6">
        <f t="shared" si="38"/>
        <v>469.46564885496178</v>
      </c>
      <c r="J534" s="69" t="s">
        <v>1221</v>
      </c>
      <c r="K534" s="71">
        <v>3.93</v>
      </c>
      <c r="L534" s="69" t="s">
        <v>1222</v>
      </c>
      <c r="M534" s="69" t="s">
        <v>1223</v>
      </c>
      <c r="N534" s="69">
        <v>535</v>
      </c>
      <c r="O534" s="56">
        <v>1845</v>
      </c>
      <c r="P534" s="69" t="s">
        <v>1224</v>
      </c>
      <c r="Q534" s="69" t="s">
        <v>1225</v>
      </c>
      <c r="R534" s="69" t="s">
        <v>1226</v>
      </c>
      <c r="S534" s="69" t="s">
        <v>1120</v>
      </c>
      <c r="T534" s="69" t="s">
        <v>1227</v>
      </c>
      <c r="U534" s="69" t="s">
        <v>1228</v>
      </c>
      <c r="V534" s="69" t="s">
        <v>832</v>
      </c>
      <c r="W534" s="69" t="s">
        <v>1229</v>
      </c>
      <c r="X534" s="69">
        <v>181731</v>
      </c>
      <c r="Y534" s="69">
        <v>618113</v>
      </c>
      <c r="Z534" s="69">
        <v>0</v>
      </c>
      <c r="AA534" s="69">
        <v>0</v>
      </c>
      <c r="AB534" s="69">
        <v>5</v>
      </c>
    </row>
    <row r="535" spans="1:28" x14ac:dyDescent="0.25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59" t="s">
        <v>146</v>
      </c>
      <c r="H535" s="6" t="s">
        <v>985</v>
      </c>
      <c r="I535" s="6">
        <f t="shared" si="38"/>
        <v>0</v>
      </c>
      <c r="J535" s="70" t="s">
        <v>618</v>
      </c>
      <c r="K535" s="72">
        <v>0.5</v>
      </c>
      <c r="L535" s="70" t="s">
        <v>800</v>
      </c>
      <c r="M535" s="70" t="s">
        <v>1230</v>
      </c>
      <c r="N535" s="70">
        <v>28</v>
      </c>
      <c r="O535" s="77">
        <v>0</v>
      </c>
      <c r="P535" s="70" t="s">
        <v>1231</v>
      </c>
      <c r="Q535" s="70" t="s">
        <v>1232</v>
      </c>
      <c r="R535" s="70" t="s">
        <v>1233</v>
      </c>
      <c r="S535" s="70" t="s">
        <v>583</v>
      </c>
      <c r="T535" s="70" t="s">
        <v>1120</v>
      </c>
      <c r="U535" s="70" t="s">
        <v>1234</v>
      </c>
      <c r="V535" s="70" t="s">
        <v>1235</v>
      </c>
      <c r="W535" s="70" t="s">
        <v>1236</v>
      </c>
      <c r="X535" s="70">
        <v>411610</v>
      </c>
      <c r="Y535" s="70">
        <v>1462081</v>
      </c>
      <c r="Z535" s="70">
        <v>0</v>
      </c>
      <c r="AA535" s="70">
        <v>0</v>
      </c>
      <c r="AB535" s="70" t="s">
        <v>1047</v>
      </c>
    </row>
    <row r="536" spans="1:28" x14ac:dyDescent="0.25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59"/>
      <c r="H536" s="6">
        <f t="shared" ref="H536:H542" si="41">15000/7</f>
        <v>2142.8571428571427</v>
      </c>
      <c r="I536" s="6">
        <f t="shared" si="38"/>
        <v>268.32797427652736</v>
      </c>
      <c r="J536" s="70" t="s">
        <v>1237</v>
      </c>
      <c r="K536" s="72">
        <v>6.22</v>
      </c>
      <c r="L536" s="70" t="s">
        <v>946</v>
      </c>
      <c r="M536" s="70" t="s">
        <v>1238</v>
      </c>
      <c r="N536" s="70">
        <v>1046</v>
      </c>
      <c r="O536" s="56">
        <v>1669</v>
      </c>
      <c r="P536" s="70" t="s">
        <v>817</v>
      </c>
      <c r="Q536" s="70" t="s">
        <v>1239</v>
      </c>
      <c r="R536" s="70" t="s">
        <v>1240</v>
      </c>
      <c r="S536" s="70" t="s">
        <v>611</v>
      </c>
      <c r="T536" s="70" t="s">
        <v>659</v>
      </c>
      <c r="U536" s="70" t="s">
        <v>973</v>
      </c>
      <c r="V536" s="70" t="s">
        <v>1241</v>
      </c>
      <c r="W536" s="70" t="s">
        <v>1242</v>
      </c>
      <c r="X536" s="70">
        <v>74365</v>
      </c>
      <c r="Y536" s="70">
        <v>109763</v>
      </c>
      <c r="Z536" s="70" t="s">
        <v>649</v>
      </c>
      <c r="AA536" s="70">
        <v>0</v>
      </c>
      <c r="AB536" s="70" t="s">
        <v>1243</v>
      </c>
    </row>
    <row r="537" spans="1:28" x14ac:dyDescent="0.25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59"/>
      <c r="H537" s="6">
        <f t="shared" si="41"/>
        <v>2142.8571428571427</v>
      </c>
      <c r="I537" s="6">
        <f t="shared" si="38"/>
        <v>284.21052631578948</v>
      </c>
      <c r="J537" s="70" t="s">
        <v>1244</v>
      </c>
      <c r="K537" s="72">
        <v>4.75</v>
      </c>
      <c r="L537" s="70" t="s">
        <v>1245</v>
      </c>
      <c r="M537" s="70" t="s">
        <v>1246</v>
      </c>
      <c r="N537" s="70" t="s">
        <v>985</v>
      </c>
      <c r="O537" s="56">
        <v>1350</v>
      </c>
      <c r="P537" s="70" t="s">
        <v>985</v>
      </c>
      <c r="Q537" s="70" t="s">
        <v>985</v>
      </c>
      <c r="R537" s="70" t="s">
        <v>1247</v>
      </c>
      <c r="S537" s="70" t="s">
        <v>1248</v>
      </c>
      <c r="T537" s="70" t="s">
        <v>1249</v>
      </c>
      <c r="U537" s="70" t="s">
        <v>1250</v>
      </c>
      <c r="V537" s="70" t="s">
        <v>1251</v>
      </c>
      <c r="W537" s="70" t="s">
        <v>1252</v>
      </c>
      <c r="X537" s="70" t="s">
        <v>985</v>
      </c>
      <c r="Y537" s="70" t="s">
        <v>985</v>
      </c>
      <c r="Z537" s="70" t="s">
        <v>561</v>
      </c>
      <c r="AA537" s="70" t="s">
        <v>985</v>
      </c>
      <c r="AB537" s="70" t="s">
        <v>1253</v>
      </c>
    </row>
    <row r="538" spans="1:28" x14ac:dyDescent="0.25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 t="shared" si="41"/>
        <v>2142.8571428571427</v>
      </c>
      <c r="I538" s="6">
        <f t="shared" si="38"/>
        <v>66.372795969773293</v>
      </c>
      <c r="J538" s="70" t="s">
        <v>1254</v>
      </c>
      <c r="K538" s="72">
        <v>7.94</v>
      </c>
      <c r="L538" s="70" t="s">
        <v>1255</v>
      </c>
      <c r="M538" s="70" t="s">
        <v>1256</v>
      </c>
      <c r="N538" s="70">
        <v>654</v>
      </c>
      <c r="O538" s="56">
        <v>527</v>
      </c>
      <c r="P538" s="70" t="s">
        <v>1257</v>
      </c>
      <c r="Q538" s="70" t="s">
        <v>628</v>
      </c>
      <c r="R538" s="70" t="s">
        <v>1258</v>
      </c>
      <c r="S538" s="70" t="s">
        <v>627</v>
      </c>
      <c r="T538" s="70" t="s">
        <v>1259</v>
      </c>
      <c r="U538" s="70" t="s">
        <v>1260</v>
      </c>
      <c r="V538" s="70" t="s">
        <v>1261</v>
      </c>
      <c r="W538" s="70" t="s">
        <v>1262</v>
      </c>
      <c r="X538" s="70">
        <v>36200</v>
      </c>
      <c r="Y538" s="70">
        <v>70705</v>
      </c>
      <c r="Z538" s="70" t="s">
        <v>719</v>
      </c>
      <c r="AA538" s="70">
        <v>0</v>
      </c>
      <c r="AB538" s="70" t="s">
        <v>1263</v>
      </c>
    </row>
    <row r="539" spans="1:28" x14ac:dyDescent="0.25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 t="shared" si="41"/>
        <v>2142.8571428571427</v>
      </c>
      <c r="I539" s="6">
        <f t="shared" si="38"/>
        <v>439.15416098226467</v>
      </c>
      <c r="J539" s="69" t="s">
        <v>983</v>
      </c>
      <c r="K539" s="72">
        <v>7.33</v>
      </c>
      <c r="L539" s="69" t="s">
        <v>777</v>
      </c>
      <c r="M539" s="69" t="s">
        <v>1264</v>
      </c>
      <c r="N539" s="69">
        <v>1333</v>
      </c>
      <c r="O539" s="56">
        <v>3219</v>
      </c>
      <c r="P539" s="69" t="s">
        <v>743</v>
      </c>
      <c r="Q539" s="69" t="s">
        <v>1265</v>
      </c>
      <c r="R539" s="69" t="s">
        <v>1266</v>
      </c>
      <c r="S539" s="69" t="s">
        <v>658</v>
      </c>
      <c r="T539" s="69" t="s">
        <v>1267</v>
      </c>
      <c r="U539" s="69" t="s">
        <v>1268</v>
      </c>
      <c r="V539" s="69" t="s">
        <v>1078</v>
      </c>
      <c r="W539" s="69" t="s">
        <v>1269</v>
      </c>
      <c r="X539" s="69">
        <v>149422</v>
      </c>
      <c r="Y539" s="69">
        <v>282577</v>
      </c>
      <c r="Z539" s="69" t="s">
        <v>649</v>
      </c>
      <c r="AA539" s="69">
        <v>0</v>
      </c>
      <c r="AB539" s="69" t="s">
        <v>1270</v>
      </c>
    </row>
    <row r="540" spans="1:28" x14ac:dyDescent="0.25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 t="shared" si="41"/>
        <v>2142.8571428571427</v>
      </c>
      <c r="I540" s="6">
        <f t="shared" ref="I540:I603" si="42">IFERROR(O540/K540,)</f>
        <v>296.55831739961758</v>
      </c>
      <c r="J540" s="70" t="s">
        <v>1271</v>
      </c>
      <c r="K540" s="72">
        <v>10.46</v>
      </c>
      <c r="L540" s="70" t="s">
        <v>1272</v>
      </c>
      <c r="M540" s="70" t="s">
        <v>1273</v>
      </c>
      <c r="N540" s="70">
        <v>1189</v>
      </c>
      <c r="O540" s="56">
        <v>3102</v>
      </c>
      <c r="P540" s="70" t="s">
        <v>1274</v>
      </c>
      <c r="Q540" s="70" t="s">
        <v>1275</v>
      </c>
      <c r="R540" s="70" t="s">
        <v>1276</v>
      </c>
      <c r="S540" s="70" t="s">
        <v>1151</v>
      </c>
      <c r="T540" s="70" t="s">
        <v>1277</v>
      </c>
      <c r="U540" s="70" t="s">
        <v>1278</v>
      </c>
      <c r="V540" s="70" t="s">
        <v>1279</v>
      </c>
      <c r="W540" s="70" t="s">
        <v>1280</v>
      </c>
      <c r="X540" s="70">
        <v>93218</v>
      </c>
      <c r="Y540" s="70">
        <v>202833</v>
      </c>
      <c r="Z540" s="70" t="s">
        <v>602</v>
      </c>
      <c r="AA540" s="70">
        <v>0</v>
      </c>
      <c r="AB540" s="70" t="s">
        <v>1281</v>
      </c>
    </row>
    <row r="541" spans="1:28" x14ac:dyDescent="0.25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 t="shared" si="41"/>
        <v>2142.8571428571427</v>
      </c>
      <c r="I541" s="6">
        <f t="shared" si="42"/>
        <v>352.11822660098522</v>
      </c>
      <c r="J541" s="69">
        <v>12</v>
      </c>
      <c r="K541" s="71">
        <v>10.15</v>
      </c>
      <c r="L541" s="69" t="s">
        <v>1187</v>
      </c>
      <c r="M541" s="69" t="s">
        <v>1282</v>
      </c>
      <c r="N541" s="69">
        <v>916</v>
      </c>
      <c r="O541" s="56">
        <v>3574</v>
      </c>
      <c r="P541" s="69" t="s">
        <v>771</v>
      </c>
      <c r="Q541" s="69" t="s">
        <v>1283</v>
      </c>
      <c r="R541" s="69" t="s">
        <v>1284</v>
      </c>
      <c r="S541" s="69" t="s">
        <v>1248</v>
      </c>
      <c r="T541" s="69" t="s">
        <v>1285</v>
      </c>
      <c r="U541" s="69" t="s">
        <v>695</v>
      </c>
      <c r="V541" s="69" t="s">
        <v>1286</v>
      </c>
      <c r="W541" s="69" t="s">
        <v>1287</v>
      </c>
      <c r="X541" s="69">
        <v>113115</v>
      </c>
      <c r="Y541" s="69">
        <v>327766</v>
      </c>
      <c r="Z541" s="69" t="s">
        <v>719</v>
      </c>
      <c r="AA541" s="69">
        <v>0</v>
      </c>
      <c r="AB541" s="69" t="s">
        <v>1288</v>
      </c>
    </row>
    <row r="542" spans="1:28" x14ac:dyDescent="0.25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 t="shared" si="41"/>
        <v>2142.8571428571427</v>
      </c>
      <c r="I542" s="6">
        <f t="shared" si="42"/>
        <v>300</v>
      </c>
      <c r="J542" s="70" t="s">
        <v>1289</v>
      </c>
      <c r="K542" s="72">
        <v>5.9</v>
      </c>
      <c r="L542" s="70" t="s">
        <v>652</v>
      </c>
      <c r="M542" s="70" t="s">
        <v>1290</v>
      </c>
      <c r="N542" s="70">
        <v>765</v>
      </c>
      <c r="O542" s="56">
        <v>1770</v>
      </c>
      <c r="P542" s="70" t="s">
        <v>1291</v>
      </c>
      <c r="Q542" s="70" t="s">
        <v>1292</v>
      </c>
      <c r="R542" s="70" t="s">
        <v>1293</v>
      </c>
      <c r="S542" s="70" t="s">
        <v>712</v>
      </c>
      <c r="T542" s="70" t="s">
        <v>839</v>
      </c>
      <c r="U542" s="70" t="s">
        <v>597</v>
      </c>
      <c r="V542" s="70" t="s">
        <v>963</v>
      </c>
      <c r="W542" s="70" t="s">
        <v>1294</v>
      </c>
      <c r="X542" s="70">
        <v>182496</v>
      </c>
      <c r="Y542" s="70">
        <v>620509</v>
      </c>
      <c r="Z542" s="70" t="s">
        <v>649</v>
      </c>
      <c r="AA542" s="70">
        <v>0</v>
      </c>
      <c r="AB542" s="70" t="s">
        <v>1295</v>
      </c>
    </row>
    <row r="543" spans="1:28" x14ac:dyDescent="0.25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59" t="s">
        <v>42</v>
      </c>
      <c r="G543" s="8" t="s">
        <v>985</v>
      </c>
      <c r="H543" s="6">
        <v>6000</v>
      </c>
      <c r="I543" s="6">
        <f t="shared" si="42"/>
        <v>563.69047619047626</v>
      </c>
      <c r="J543" s="70" t="s">
        <v>1296</v>
      </c>
      <c r="K543" s="72">
        <v>3.36</v>
      </c>
      <c r="L543" s="70" t="s">
        <v>803</v>
      </c>
      <c r="M543" s="70" t="s">
        <v>1297</v>
      </c>
      <c r="N543" s="70">
        <v>423</v>
      </c>
      <c r="O543" s="77">
        <v>1894</v>
      </c>
      <c r="P543" s="70" t="s">
        <v>903</v>
      </c>
      <c r="Q543" s="70" t="s">
        <v>1298</v>
      </c>
      <c r="R543" s="70" t="s">
        <v>1299</v>
      </c>
      <c r="S543" s="70" t="s">
        <v>582</v>
      </c>
      <c r="T543" s="70" t="s">
        <v>1300</v>
      </c>
      <c r="U543" s="70" t="s">
        <v>1301</v>
      </c>
      <c r="V543" s="70" t="s">
        <v>764</v>
      </c>
      <c r="W543" s="70" t="s">
        <v>1302</v>
      </c>
      <c r="X543" s="70">
        <v>412033</v>
      </c>
      <c r="Y543" s="70">
        <v>1463975</v>
      </c>
      <c r="Z543" s="70">
        <v>0</v>
      </c>
      <c r="AA543" s="70">
        <v>0</v>
      </c>
      <c r="AB543" s="70" t="s">
        <v>1047</v>
      </c>
    </row>
    <row r="544" spans="1:28" x14ac:dyDescent="0.25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 t="shared" si="42"/>
        <v>157.53424657534245</v>
      </c>
      <c r="J544" s="70" t="s">
        <v>1303</v>
      </c>
      <c r="K544" s="72">
        <v>5.1100000000000003</v>
      </c>
      <c r="L544" s="70" t="s">
        <v>1092</v>
      </c>
      <c r="M544" s="70" t="s">
        <v>1304</v>
      </c>
      <c r="N544" s="70">
        <v>464</v>
      </c>
      <c r="O544" s="56">
        <v>805</v>
      </c>
      <c r="P544" s="70" t="s">
        <v>993</v>
      </c>
      <c r="Q544" s="70" t="s">
        <v>1305</v>
      </c>
      <c r="R544" s="70" t="s">
        <v>1306</v>
      </c>
      <c r="S544" s="70" t="s">
        <v>582</v>
      </c>
      <c r="T544" s="70" t="s">
        <v>685</v>
      </c>
      <c r="U544" s="70" t="s">
        <v>569</v>
      </c>
      <c r="V544" s="70" t="s">
        <v>1307</v>
      </c>
      <c r="W544" s="70" t="s">
        <v>1308</v>
      </c>
      <c r="X544" s="70">
        <v>74829</v>
      </c>
      <c r="Y544" s="70">
        <v>110568</v>
      </c>
      <c r="Z544" s="70">
        <v>0</v>
      </c>
      <c r="AA544" s="70">
        <v>0</v>
      </c>
      <c r="AB544" s="70" t="s">
        <v>1243</v>
      </c>
    </row>
    <row r="545" spans="1:28" x14ac:dyDescent="0.25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59" t="s">
        <v>146</v>
      </c>
      <c r="H545" s="6" t="s">
        <v>985</v>
      </c>
      <c r="I545" s="6">
        <f t="shared" si="42"/>
        <v>0</v>
      </c>
      <c r="J545" s="70" t="s">
        <v>1309</v>
      </c>
      <c r="K545" s="72">
        <v>0.27</v>
      </c>
      <c r="L545" s="70" t="s">
        <v>1310</v>
      </c>
      <c r="M545" s="70" t="s">
        <v>1311</v>
      </c>
      <c r="N545" s="70">
        <v>0</v>
      </c>
      <c r="O545" s="77">
        <v>0</v>
      </c>
      <c r="P545" s="70" t="s">
        <v>985</v>
      </c>
      <c r="Q545" s="70">
        <v>0</v>
      </c>
      <c r="R545" s="70" t="s">
        <v>712</v>
      </c>
      <c r="S545" s="70" t="s">
        <v>1312</v>
      </c>
      <c r="T545" s="70" t="s">
        <v>1120</v>
      </c>
      <c r="U545" s="70" t="s">
        <v>658</v>
      </c>
      <c r="V545" s="70" t="s">
        <v>1313</v>
      </c>
      <c r="W545" s="70" t="s">
        <v>1314</v>
      </c>
      <c r="X545" s="70">
        <v>412033</v>
      </c>
      <c r="Y545" s="70">
        <v>1463975</v>
      </c>
      <c r="Z545" s="70">
        <v>0</v>
      </c>
      <c r="AA545" s="70" t="s">
        <v>985</v>
      </c>
      <c r="AB545" s="70" t="s">
        <v>1047</v>
      </c>
    </row>
    <row r="546" spans="1:28" x14ac:dyDescent="0.25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 t="shared" ref="H546:H551" si="43">15000/7</f>
        <v>2142.8571428571427</v>
      </c>
      <c r="I546" s="6">
        <f t="shared" si="42"/>
        <v>157.52032520325204</v>
      </c>
      <c r="J546" s="69" t="s">
        <v>1315</v>
      </c>
      <c r="K546" s="72">
        <v>4.92</v>
      </c>
      <c r="L546" s="69" t="s">
        <v>946</v>
      </c>
      <c r="M546" s="69" t="s">
        <v>1316</v>
      </c>
      <c r="N546" s="69" t="s">
        <v>985</v>
      </c>
      <c r="O546" s="56">
        <v>775</v>
      </c>
      <c r="P546" s="69" t="s">
        <v>985</v>
      </c>
      <c r="Q546" s="69" t="s">
        <v>985</v>
      </c>
      <c r="R546" s="69" t="s">
        <v>566</v>
      </c>
      <c r="S546" s="69" t="s">
        <v>642</v>
      </c>
      <c r="T546" s="69" t="s">
        <v>1317</v>
      </c>
      <c r="U546" s="69" t="s">
        <v>1111</v>
      </c>
      <c r="V546" s="69" t="s">
        <v>1318</v>
      </c>
      <c r="W546" s="69" t="s">
        <v>1319</v>
      </c>
      <c r="X546" s="69" t="s">
        <v>985</v>
      </c>
      <c r="Y546" s="69" t="s">
        <v>985</v>
      </c>
      <c r="Z546" s="69">
        <v>0</v>
      </c>
      <c r="AA546" s="69" t="s">
        <v>985</v>
      </c>
      <c r="AB546" s="69" t="s">
        <v>1253</v>
      </c>
    </row>
    <row r="547" spans="1:28" x14ac:dyDescent="0.25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 t="shared" si="43"/>
        <v>2142.8571428571427</v>
      </c>
      <c r="I547" s="6">
        <f t="shared" si="42"/>
        <v>110.45918367346938</v>
      </c>
      <c r="J547" s="70" t="s">
        <v>1320</v>
      </c>
      <c r="K547" s="72">
        <v>3.92</v>
      </c>
      <c r="L547" s="70" t="s">
        <v>1321</v>
      </c>
      <c r="M547" s="70" t="s">
        <v>1322</v>
      </c>
      <c r="N547" s="70">
        <v>224</v>
      </c>
      <c r="O547" s="56">
        <v>433</v>
      </c>
      <c r="P547" s="70" t="s">
        <v>1323</v>
      </c>
      <c r="Q547" s="70" t="s">
        <v>1324</v>
      </c>
      <c r="R547" s="70" t="s">
        <v>1325</v>
      </c>
      <c r="S547" s="70" t="s">
        <v>567</v>
      </c>
      <c r="T547" s="70" t="s">
        <v>1326</v>
      </c>
      <c r="U547" s="70" t="s">
        <v>1327</v>
      </c>
      <c r="V547" s="70" t="s">
        <v>1328</v>
      </c>
      <c r="W547" s="70" t="s">
        <v>1329</v>
      </c>
      <c r="X547" s="70">
        <v>36718</v>
      </c>
      <c r="Y547" s="70">
        <v>71552</v>
      </c>
      <c r="Z547" s="70" t="s">
        <v>817</v>
      </c>
      <c r="AA547" s="70" t="s">
        <v>1330</v>
      </c>
      <c r="AB547" s="70" t="s">
        <v>1331</v>
      </c>
    </row>
    <row r="548" spans="1:28" x14ac:dyDescent="0.25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 t="shared" si="43"/>
        <v>2142.8571428571427</v>
      </c>
      <c r="I548" s="6">
        <f t="shared" si="42"/>
        <v>353.83275261324042</v>
      </c>
      <c r="J548" s="69" t="s">
        <v>710</v>
      </c>
      <c r="K548" s="72">
        <v>5.74</v>
      </c>
      <c r="L548" s="69" t="s">
        <v>734</v>
      </c>
      <c r="M548" s="69" t="s">
        <v>1332</v>
      </c>
      <c r="N548" s="69">
        <v>920</v>
      </c>
      <c r="O548" s="56">
        <v>2031</v>
      </c>
      <c r="P548" s="69" t="s">
        <v>1333</v>
      </c>
      <c r="Q548" s="69" t="s">
        <v>1334</v>
      </c>
      <c r="R548" s="69" t="s">
        <v>838</v>
      </c>
      <c r="S548" s="69" t="s">
        <v>749</v>
      </c>
      <c r="T548" s="69" t="s">
        <v>1183</v>
      </c>
      <c r="U548" s="69" t="s">
        <v>1335</v>
      </c>
      <c r="V548" s="69" t="s">
        <v>1336</v>
      </c>
      <c r="W548" s="69" t="s">
        <v>1337</v>
      </c>
      <c r="X548" s="69">
        <v>150342</v>
      </c>
      <c r="Y548" s="69">
        <v>284608</v>
      </c>
      <c r="Z548" s="69">
        <v>0</v>
      </c>
      <c r="AA548" s="69">
        <v>0</v>
      </c>
      <c r="AB548" s="69" t="s">
        <v>1270</v>
      </c>
    </row>
    <row r="549" spans="1:28" x14ac:dyDescent="0.25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 t="shared" si="43"/>
        <v>2142.8571428571427</v>
      </c>
      <c r="I549" s="6">
        <f t="shared" si="42"/>
        <v>192.35412474849096</v>
      </c>
      <c r="J549" s="70" t="s">
        <v>1338</v>
      </c>
      <c r="K549" s="72">
        <v>4.97</v>
      </c>
      <c r="L549" s="70" t="s">
        <v>602</v>
      </c>
      <c r="M549" s="70" t="s">
        <v>1339</v>
      </c>
      <c r="N549" s="70">
        <v>337</v>
      </c>
      <c r="O549" s="56">
        <v>956</v>
      </c>
      <c r="P549" s="70" t="s">
        <v>582</v>
      </c>
      <c r="Q549" s="70" t="s">
        <v>1340</v>
      </c>
      <c r="R549" s="70" t="s">
        <v>1341</v>
      </c>
      <c r="S549" s="70" t="s">
        <v>749</v>
      </c>
      <c r="T549" s="70" t="s">
        <v>919</v>
      </c>
      <c r="U549" s="70" t="s">
        <v>1342</v>
      </c>
      <c r="V549" s="70" t="s">
        <v>1343</v>
      </c>
      <c r="W549" s="70" t="s">
        <v>1344</v>
      </c>
      <c r="X549" s="70">
        <v>93585</v>
      </c>
      <c r="Y549" s="70">
        <v>203866</v>
      </c>
      <c r="Z549" s="70">
        <v>1</v>
      </c>
      <c r="AA549" s="70">
        <v>0</v>
      </c>
      <c r="AB549" s="70" t="s">
        <v>1345</v>
      </c>
    </row>
    <row r="550" spans="1:28" x14ac:dyDescent="0.25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 t="shared" si="43"/>
        <v>2142.8571428571427</v>
      </c>
      <c r="I550" s="6">
        <f t="shared" si="42"/>
        <v>444.04761904761904</v>
      </c>
      <c r="J550" s="70" t="s">
        <v>658</v>
      </c>
      <c r="K550" s="72">
        <v>4.2</v>
      </c>
      <c r="L550" s="70" t="s">
        <v>709</v>
      </c>
      <c r="M550" s="70" t="s">
        <v>1346</v>
      </c>
      <c r="N550" s="70">
        <v>474</v>
      </c>
      <c r="O550" s="56">
        <v>1865</v>
      </c>
      <c r="P550" s="70" t="s">
        <v>1347</v>
      </c>
      <c r="Q550" s="70" t="s">
        <v>1348</v>
      </c>
      <c r="R550" s="70" t="s">
        <v>1349</v>
      </c>
      <c r="S550" s="70" t="s">
        <v>1248</v>
      </c>
      <c r="T550" s="70" t="s">
        <v>1350</v>
      </c>
      <c r="U550" s="70" t="s">
        <v>1351</v>
      </c>
      <c r="V550" s="70" t="s">
        <v>1352</v>
      </c>
      <c r="W550" s="70" t="s">
        <v>1353</v>
      </c>
      <c r="X550" s="70">
        <v>113589</v>
      </c>
      <c r="Y550" s="70">
        <v>329631</v>
      </c>
      <c r="Z550" s="70">
        <v>0</v>
      </c>
      <c r="AA550" s="70">
        <v>0</v>
      </c>
      <c r="AB550" s="70" t="s">
        <v>1288</v>
      </c>
    </row>
    <row r="551" spans="1:28" x14ac:dyDescent="0.25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 t="shared" si="43"/>
        <v>2142.8571428571427</v>
      </c>
      <c r="I551" s="6">
        <f t="shared" si="42"/>
        <v>252.72727272727272</v>
      </c>
      <c r="J551" s="70" t="s">
        <v>1354</v>
      </c>
      <c r="K551" s="72">
        <v>5.5</v>
      </c>
      <c r="L551" s="70" t="s">
        <v>621</v>
      </c>
      <c r="M551" s="70" t="s">
        <v>1355</v>
      </c>
      <c r="N551" s="70">
        <v>403</v>
      </c>
      <c r="O551" s="56">
        <v>1390</v>
      </c>
      <c r="P551" s="70" t="s">
        <v>1224</v>
      </c>
      <c r="Q551" s="70" t="s">
        <v>1356</v>
      </c>
      <c r="R551" s="70" t="s">
        <v>1357</v>
      </c>
      <c r="S551" s="70" t="s">
        <v>627</v>
      </c>
      <c r="T551" s="70" t="s">
        <v>628</v>
      </c>
      <c r="U551" s="70" t="s">
        <v>1358</v>
      </c>
      <c r="V551" s="70" t="s">
        <v>1359</v>
      </c>
      <c r="W551" s="70" t="s">
        <v>1360</v>
      </c>
      <c r="X551" s="70">
        <v>182899</v>
      </c>
      <c r="Y551" s="70">
        <v>621899</v>
      </c>
      <c r="Z551" s="70">
        <v>0</v>
      </c>
      <c r="AA551" s="70">
        <v>0</v>
      </c>
      <c r="AB551" s="70" t="s">
        <v>1295</v>
      </c>
    </row>
    <row r="552" spans="1:28" x14ac:dyDescent="0.25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 t="shared" si="42"/>
        <v>0</v>
      </c>
      <c r="J552" s="70">
        <v>0</v>
      </c>
      <c r="K552" s="72">
        <v>0</v>
      </c>
      <c r="L552" s="70">
        <v>0</v>
      </c>
      <c r="M552" s="70" t="s">
        <v>985</v>
      </c>
      <c r="N552" s="70">
        <v>0</v>
      </c>
      <c r="O552" s="56">
        <v>0</v>
      </c>
      <c r="P552" s="70" t="s">
        <v>985</v>
      </c>
      <c r="Q552" s="70" t="s">
        <v>985</v>
      </c>
      <c r="R552" s="70">
        <v>0</v>
      </c>
      <c r="S552" s="70">
        <v>0</v>
      </c>
      <c r="T552" s="70" t="s">
        <v>985</v>
      </c>
      <c r="U552" s="70">
        <v>0</v>
      </c>
      <c r="V552" s="70" t="s">
        <v>985</v>
      </c>
      <c r="W552" s="70" t="s">
        <v>1308</v>
      </c>
      <c r="X552" s="70">
        <v>74829</v>
      </c>
      <c r="Y552" s="70">
        <v>110568</v>
      </c>
      <c r="Z552" s="70">
        <v>0</v>
      </c>
      <c r="AA552" s="70" t="s">
        <v>985</v>
      </c>
      <c r="AB552" s="70" t="s">
        <v>1243</v>
      </c>
    </row>
    <row r="553" spans="1:28" x14ac:dyDescent="0.25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 t="shared" si="42"/>
        <v>0</v>
      </c>
      <c r="J553" s="69">
        <v>0</v>
      </c>
      <c r="K553" s="72">
        <v>0</v>
      </c>
      <c r="L553" s="69">
        <v>0</v>
      </c>
      <c r="M553" s="69" t="s">
        <v>985</v>
      </c>
      <c r="N553" s="69" t="s">
        <v>985</v>
      </c>
      <c r="O553" s="56" t="s">
        <v>985</v>
      </c>
      <c r="P553" s="69" t="s">
        <v>985</v>
      </c>
      <c r="Q553" s="69" t="s">
        <v>985</v>
      </c>
      <c r="R553" s="69">
        <v>0</v>
      </c>
      <c r="S553" s="69">
        <v>0</v>
      </c>
      <c r="T553" s="69" t="s">
        <v>985</v>
      </c>
      <c r="U553" s="69">
        <v>0</v>
      </c>
      <c r="V553" s="69" t="s">
        <v>985</v>
      </c>
      <c r="W553" s="69" t="s">
        <v>1319</v>
      </c>
      <c r="X553" s="69" t="s">
        <v>985</v>
      </c>
      <c r="Y553" s="69" t="s">
        <v>985</v>
      </c>
      <c r="Z553" s="69">
        <v>0</v>
      </c>
      <c r="AA553" s="69" t="s">
        <v>985</v>
      </c>
      <c r="AB553" s="69" t="s">
        <v>1253</v>
      </c>
    </row>
    <row r="554" spans="1:28" x14ac:dyDescent="0.25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 t="shared" si="42"/>
        <v>0</v>
      </c>
      <c r="J554" s="70" t="s">
        <v>985</v>
      </c>
      <c r="K554" s="72" t="s">
        <v>985</v>
      </c>
      <c r="L554" s="70" t="s">
        <v>985</v>
      </c>
      <c r="M554" s="70" t="s">
        <v>985</v>
      </c>
      <c r="N554" s="70" t="s">
        <v>985</v>
      </c>
      <c r="O554" s="56" t="s">
        <v>985</v>
      </c>
      <c r="P554" s="70" t="s">
        <v>985</v>
      </c>
      <c r="Q554" s="70" t="s">
        <v>985</v>
      </c>
      <c r="R554" s="70" t="s">
        <v>985</v>
      </c>
      <c r="S554" s="70" t="s">
        <v>985</v>
      </c>
      <c r="T554" s="70" t="s">
        <v>985</v>
      </c>
      <c r="U554" s="70" t="s">
        <v>985</v>
      </c>
      <c r="V554" s="70" t="s">
        <v>985</v>
      </c>
      <c r="W554" s="70" t="s">
        <v>985</v>
      </c>
      <c r="X554" s="70" t="s">
        <v>985</v>
      </c>
      <c r="Y554" s="70" t="s">
        <v>985</v>
      </c>
      <c r="Z554" s="70" t="s">
        <v>985</v>
      </c>
      <c r="AA554" s="70" t="s">
        <v>985</v>
      </c>
      <c r="AB554" s="70" t="s">
        <v>985</v>
      </c>
    </row>
    <row r="555" spans="1:28" x14ac:dyDescent="0.25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 t="shared" si="42"/>
        <v>0</v>
      </c>
      <c r="J555" s="70">
        <v>0</v>
      </c>
      <c r="K555" s="72">
        <v>0</v>
      </c>
      <c r="L555" s="70">
        <v>0</v>
      </c>
      <c r="M555" s="70" t="s">
        <v>985</v>
      </c>
      <c r="N555" s="70">
        <v>0</v>
      </c>
      <c r="O555" s="56">
        <v>0</v>
      </c>
      <c r="P555" s="70" t="s">
        <v>985</v>
      </c>
      <c r="Q555" s="70" t="s">
        <v>985</v>
      </c>
      <c r="R555" s="70">
        <v>0</v>
      </c>
      <c r="S555" s="70">
        <v>0</v>
      </c>
      <c r="T555" s="70" t="s">
        <v>985</v>
      </c>
      <c r="U555" s="70">
        <v>0</v>
      </c>
      <c r="V555" s="70" t="s">
        <v>985</v>
      </c>
      <c r="W555" s="70" t="s">
        <v>1337</v>
      </c>
      <c r="X555" s="70">
        <v>150342</v>
      </c>
      <c r="Y555" s="70">
        <v>284608</v>
      </c>
      <c r="Z555" s="70">
        <v>0</v>
      </c>
      <c r="AA555" s="70" t="s">
        <v>985</v>
      </c>
      <c r="AB555" s="70" t="s">
        <v>1270</v>
      </c>
    </row>
    <row r="556" spans="1:28" x14ac:dyDescent="0.25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 t="shared" si="42"/>
        <v>0</v>
      </c>
      <c r="J556" s="70" t="s">
        <v>985</v>
      </c>
      <c r="K556" s="72" t="s">
        <v>985</v>
      </c>
      <c r="L556" s="70" t="s">
        <v>985</v>
      </c>
      <c r="M556" s="70" t="s">
        <v>985</v>
      </c>
      <c r="N556" s="70" t="s">
        <v>985</v>
      </c>
      <c r="O556" s="56" t="s">
        <v>985</v>
      </c>
      <c r="P556" s="70" t="s">
        <v>985</v>
      </c>
      <c r="Q556" s="70" t="s">
        <v>985</v>
      </c>
      <c r="R556" s="70" t="s">
        <v>985</v>
      </c>
      <c r="S556" s="70" t="s">
        <v>985</v>
      </c>
      <c r="T556" s="70" t="s">
        <v>985</v>
      </c>
      <c r="U556" s="70" t="s">
        <v>985</v>
      </c>
      <c r="V556" s="70" t="s">
        <v>985</v>
      </c>
      <c r="W556" s="70" t="s">
        <v>985</v>
      </c>
      <c r="X556" s="70" t="s">
        <v>985</v>
      </c>
      <c r="Y556" s="70" t="s">
        <v>985</v>
      </c>
      <c r="Z556" s="70" t="s">
        <v>985</v>
      </c>
      <c r="AA556" s="70" t="s">
        <v>985</v>
      </c>
      <c r="AB556" s="70" t="s">
        <v>985</v>
      </c>
    </row>
    <row r="557" spans="1:28" x14ac:dyDescent="0.25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 t="shared" si="42"/>
        <v>0</v>
      </c>
      <c r="J557" s="70">
        <v>0</v>
      </c>
      <c r="K557" s="72">
        <v>0</v>
      </c>
      <c r="L557" s="70">
        <v>0</v>
      </c>
      <c r="M557" s="70" t="s">
        <v>985</v>
      </c>
      <c r="N557" s="70">
        <v>0</v>
      </c>
      <c r="O557" s="56">
        <v>0</v>
      </c>
      <c r="P557" s="70" t="s">
        <v>985</v>
      </c>
      <c r="Q557" s="70" t="s">
        <v>985</v>
      </c>
      <c r="R557" s="70">
        <v>0</v>
      </c>
      <c r="S557" s="70">
        <v>0</v>
      </c>
      <c r="T557" s="70" t="s">
        <v>985</v>
      </c>
      <c r="U557" s="70">
        <v>0</v>
      </c>
      <c r="V557" s="70" t="s">
        <v>985</v>
      </c>
      <c r="W557" s="70" t="s">
        <v>1353</v>
      </c>
      <c r="X557" s="70">
        <v>113589</v>
      </c>
      <c r="Y557" s="70">
        <v>329631</v>
      </c>
      <c r="Z557" s="70">
        <v>0</v>
      </c>
      <c r="AA557" s="70" t="s">
        <v>985</v>
      </c>
      <c r="AB557" s="70" t="s">
        <v>1288</v>
      </c>
    </row>
    <row r="558" spans="1:28" x14ac:dyDescent="0.25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 t="shared" si="42"/>
        <v>0</v>
      </c>
      <c r="J558" s="70">
        <v>0</v>
      </c>
      <c r="K558" s="72">
        <v>0</v>
      </c>
      <c r="L558" s="70">
        <v>0</v>
      </c>
      <c r="M558" s="70" t="s">
        <v>985</v>
      </c>
      <c r="N558" s="70">
        <v>0</v>
      </c>
      <c r="O558" s="77">
        <v>0</v>
      </c>
      <c r="P558" s="70" t="s">
        <v>985</v>
      </c>
      <c r="Q558" s="70" t="s">
        <v>985</v>
      </c>
      <c r="R558" s="70">
        <v>0</v>
      </c>
      <c r="S558" s="70">
        <v>0</v>
      </c>
      <c r="T558" s="70" t="s">
        <v>985</v>
      </c>
      <c r="U558" s="70">
        <v>0</v>
      </c>
      <c r="V558" s="70" t="s">
        <v>985</v>
      </c>
      <c r="W558" s="70" t="s">
        <v>1314</v>
      </c>
      <c r="X558" s="70">
        <v>412033</v>
      </c>
      <c r="Y558" s="70">
        <v>1463975</v>
      </c>
      <c r="Z558" s="70">
        <v>0</v>
      </c>
      <c r="AA558" s="70" t="s">
        <v>985</v>
      </c>
      <c r="AB558" s="70" t="s">
        <v>1047</v>
      </c>
    </row>
    <row r="559" spans="1:28" x14ac:dyDescent="0.25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 t="shared" si="42"/>
        <v>0</v>
      </c>
      <c r="J559" s="70" t="s">
        <v>985</v>
      </c>
      <c r="K559" s="72" t="s">
        <v>985</v>
      </c>
      <c r="L559" s="70" t="s">
        <v>985</v>
      </c>
      <c r="M559" s="70" t="s">
        <v>985</v>
      </c>
      <c r="N559" s="70" t="s">
        <v>985</v>
      </c>
      <c r="O559" s="56" t="s">
        <v>985</v>
      </c>
      <c r="P559" s="70" t="s">
        <v>985</v>
      </c>
      <c r="Q559" s="70" t="s">
        <v>985</v>
      </c>
      <c r="R559" s="70" t="s">
        <v>985</v>
      </c>
      <c r="S559" s="70" t="s">
        <v>985</v>
      </c>
      <c r="T559" s="70" t="s">
        <v>985</v>
      </c>
      <c r="U559" s="70" t="s">
        <v>985</v>
      </c>
      <c r="V559" s="70" t="s">
        <v>985</v>
      </c>
      <c r="W559" s="70" t="s">
        <v>985</v>
      </c>
      <c r="X559" s="70" t="s">
        <v>985</v>
      </c>
      <c r="Y559" s="70" t="s">
        <v>985</v>
      </c>
      <c r="Z559" s="70" t="s">
        <v>985</v>
      </c>
      <c r="AA559" s="70" t="s">
        <v>985</v>
      </c>
      <c r="AB559" s="70" t="s">
        <v>985</v>
      </c>
    </row>
    <row r="560" spans="1:28" x14ac:dyDescent="0.25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 t="shared" ref="H560:H565" si="44">15000/6</f>
        <v>2500</v>
      </c>
      <c r="I560" s="6">
        <f t="shared" si="42"/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3" t="s">
        <v>1363</v>
      </c>
      <c r="O560" s="5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3" t="s">
        <v>1368</v>
      </c>
      <c r="Y560" s="73" t="s">
        <v>1369</v>
      </c>
      <c r="Z560" s="2" t="s">
        <v>800</v>
      </c>
      <c r="AA560" s="73" t="s">
        <v>548</v>
      </c>
      <c r="AB560" s="2" t="s">
        <v>1370</v>
      </c>
    </row>
    <row r="561" spans="1:28" x14ac:dyDescent="0.25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 t="shared" si="44"/>
        <v>2500</v>
      </c>
      <c r="I561" s="6">
        <f t="shared" si="42"/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5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 x14ac:dyDescent="0.25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 t="shared" si="44"/>
        <v>2500</v>
      </c>
      <c r="I562" s="6">
        <f t="shared" si="42"/>
        <v>280.14773776546627</v>
      </c>
      <c r="J562" s="71" t="s">
        <v>1379</v>
      </c>
      <c r="K562" s="2">
        <v>10.83</v>
      </c>
      <c r="L562" s="71" t="s">
        <v>1380</v>
      </c>
      <c r="M562" s="71" t="s">
        <v>1381</v>
      </c>
      <c r="N562" s="71" t="s">
        <v>1382</v>
      </c>
      <c r="O562" s="56">
        <v>3034</v>
      </c>
      <c r="P562" s="71" t="s">
        <v>877</v>
      </c>
      <c r="Q562" s="71" t="s">
        <v>1383</v>
      </c>
      <c r="R562" s="71" t="s">
        <v>904</v>
      </c>
      <c r="S562" s="71" t="s">
        <v>712</v>
      </c>
      <c r="T562" s="71" t="s">
        <v>749</v>
      </c>
      <c r="U562" s="71" t="s">
        <v>1384</v>
      </c>
      <c r="V562" s="71" t="s">
        <v>1385</v>
      </c>
      <c r="W562" s="71" t="s">
        <v>1386</v>
      </c>
      <c r="X562" s="71" t="s">
        <v>1387</v>
      </c>
      <c r="Y562" s="71" t="s">
        <v>1388</v>
      </c>
      <c r="Z562" s="71" t="s">
        <v>1389</v>
      </c>
      <c r="AA562" s="71" t="s">
        <v>548</v>
      </c>
      <c r="AB562" s="71" t="s">
        <v>1390</v>
      </c>
    </row>
    <row r="563" spans="1:28" x14ac:dyDescent="0.25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 t="shared" si="44"/>
        <v>2500</v>
      </c>
      <c r="I563" s="6">
        <f t="shared" si="42"/>
        <v>301.89393939393938</v>
      </c>
      <c r="J563" s="72" t="s">
        <v>1167</v>
      </c>
      <c r="K563" s="2">
        <v>5.28</v>
      </c>
      <c r="L563" s="72" t="s">
        <v>618</v>
      </c>
      <c r="M563" s="72" t="s">
        <v>1391</v>
      </c>
      <c r="N563" s="72" t="s">
        <v>1392</v>
      </c>
      <c r="O563" s="56">
        <v>1594</v>
      </c>
      <c r="P563" s="72" t="s">
        <v>1393</v>
      </c>
      <c r="Q563" s="72" t="s">
        <v>1394</v>
      </c>
      <c r="R563" s="72" t="s">
        <v>939</v>
      </c>
      <c r="S563" s="72" t="s">
        <v>749</v>
      </c>
      <c r="T563" s="72" t="s">
        <v>839</v>
      </c>
      <c r="U563" s="72" t="s">
        <v>1395</v>
      </c>
      <c r="V563" s="72" t="s">
        <v>1396</v>
      </c>
      <c r="W563" s="72" t="s">
        <v>1397</v>
      </c>
      <c r="X563" s="72" t="s">
        <v>1398</v>
      </c>
      <c r="Y563" s="72" t="s">
        <v>1399</v>
      </c>
      <c r="Z563" s="72" t="s">
        <v>719</v>
      </c>
      <c r="AA563" s="72" t="s">
        <v>548</v>
      </c>
      <c r="AB563" s="72" t="s">
        <v>1400</v>
      </c>
    </row>
    <row r="564" spans="1:28" x14ac:dyDescent="0.25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 t="shared" si="44"/>
        <v>2500</v>
      </c>
      <c r="I564" s="6">
        <f t="shared" si="42"/>
        <v>304.94186046511629</v>
      </c>
      <c r="J564" s="71" t="s">
        <v>1401</v>
      </c>
      <c r="K564" s="2">
        <v>6.88</v>
      </c>
      <c r="L564" s="71" t="s">
        <v>1064</v>
      </c>
      <c r="M564" s="71" t="s">
        <v>1402</v>
      </c>
      <c r="N564" s="2" t="s">
        <v>1403</v>
      </c>
      <c r="O564" s="56">
        <v>2098</v>
      </c>
      <c r="P564" s="71" t="s">
        <v>1404</v>
      </c>
      <c r="Q564" s="71" t="s">
        <v>1405</v>
      </c>
      <c r="R564" s="71" t="s">
        <v>1406</v>
      </c>
      <c r="S564" s="71" t="s">
        <v>749</v>
      </c>
      <c r="T564" s="71" t="s">
        <v>771</v>
      </c>
      <c r="U564" s="71" t="s">
        <v>1132</v>
      </c>
      <c r="V564" s="71" t="s">
        <v>1307</v>
      </c>
      <c r="W564" s="71" t="s">
        <v>1407</v>
      </c>
      <c r="X564" s="72" t="s">
        <v>1408</v>
      </c>
      <c r="Y564" s="72" t="s">
        <v>1409</v>
      </c>
      <c r="Z564" s="71" t="s">
        <v>621</v>
      </c>
      <c r="AA564" s="72" t="s">
        <v>548</v>
      </c>
      <c r="AB564" s="71" t="s">
        <v>1410</v>
      </c>
    </row>
    <row r="565" spans="1:28" x14ac:dyDescent="0.25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 t="shared" si="44"/>
        <v>2500</v>
      </c>
      <c r="I565" s="6">
        <f t="shared" si="42"/>
        <v>328.76106194690266</v>
      </c>
      <c r="J565" s="72" t="s">
        <v>1001</v>
      </c>
      <c r="K565" s="2">
        <v>6.78</v>
      </c>
      <c r="L565" s="72" t="s">
        <v>624</v>
      </c>
      <c r="M565" s="72" t="s">
        <v>1411</v>
      </c>
      <c r="N565" s="2" t="s">
        <v>1412</v>
      </c>
      <c r="O565" s="56">
        <v>2229</v>
      </c>
      <c r="P565" s="72" t="s">
        <v>1413</v>
      </c>
      <c r="Q565" s="72" t="s">
        <v>1414</v>
      </c>
      <c r="R565" s="72" t="s">
        <v>1150</v>
      </c>
      <c r="S565" s="72" t="s">
        <v>1415</v>
      </c>
      <c r="T565" s="72" t="s">
        <v>1416</v>
      </c>
      <c r="U565" s="72" t="s">
        <v>1417</v>
      </c>
      <c r="V565" s="72" t="s">
        <v>1418</v>
      </c>
      <c r="W565" s="72" t="s">
        <v>1419</v>
      </c>
      <c r="X565" s="72" t="s">
        <v>1420</v>
      </c>
      <c r="Y565" s="72" t="s">
        <v>1421</v>
      </c>
      <c r="Z565" s="72" t="s">
        <v>580</v>
      </c>
      <c r="AA565" s="72" t="s">
        <v>548</v>
      </c>
      <c r="AB565" s="72" t="s">
        <v>1422</v>
      </c>
    </row>
    <row r="566" spans="1:28" x14ac:dyDescent="0.25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59">
        <v>806</v>
      </c>
      <c r="G566" s="8"/>
      <c r="H566" s="6">
        <f>24000/6</f>
        <v>4000</v>
      </c>
      <c r="I566" s="6">
        <f t="shared" si="42"/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2" t="s">
        <v>1424</v>
      </c>
      <c r="O566" s="79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2" t="s">
        <v>1430</v>
      </c>
      <c r="Y566" s="72" t="s">
        <v>1431</v>
      </c>
      <c r="Z566" s="2" t="s">
        <v>800</v>
      </c>
      <c r="AA566" s="72" t="s">
        <v>548</v>
      </c>
      <c r="AB566" s="2" t="s">
        <v>1432</v>
      </c>
    </row>
    <row r="567" spans="1:28" x14ac:dyDescent="0.25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 t="shared" si="42"/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5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 x14ac:dyDescent="0.25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 t="shared" ref="H568:H573" si="45">15000/6</f>
        <v>2500</v>
      </c>
      <c r="I568" s="6">
        <f t="shared" si="42"/>
        <v>186.62790697674419</v>
      </c>
      <c r="J568" s="73" t="s">
        <v>1439</v>
      </c>
      <c r="K568" s="2">
        <v>6.88</v>
      </c>
      <c r="L568" s="73" t="s">
        <v>756</v>
      </c>
      <c r="M568" s="73" t="s">
        <v>1440</v>
      </c>
      <c r="N568" s="2">
        <v>778</v>
      </c>
      <c r="O568" s="56">
        <v>1284</v>
      </c>
      <c r="P568" s="73" t="s">
        <v>706</v>
      </c>
      <c r="Q568" s="73" t="s">
        <v>1441</v>
      </c>
      <c r="R568" s="73" t="s">
        <v>1442</v>
      </c>
      <c r="S568" s="73" t="s">
        <v>567</v>
      </c>
      <c r="T568" s="73" t="s">
        <v>762</v>
      </c>
      <c r="U568" s="73" t="s">
        <v>1443</v>
      </c>
      <c r="V568" s="73" t="s">
        <v>1444</v>
      </c>
      <c r="W568" s="73" t="s">
        <v>1445</v>
      </c>
      <c r="X568" s="73">
        <v>76096</v>
      </c>
      <c r="Y568" s="73">
        <v>112557</v>
      </c>
      <c r="Z568" s="73" t="s">
        <v>998</v>
      </c>
      <c r="AA568" s="73">
        <v>0</v>
      </c>
      <c r="AB568" s="73" t="s">
        <v>1446</v>
      </c>
    </row>
    <row r="569" spans="1:28" x14ac:dyDescent="0.25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 t="shared" si="45"/>
        <v>2500</v>
      </c>
      <c r="I569" s="6">
        <f t="shared" si="42"/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5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 x14ac:dyDescent="0.25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 t="shared" si="45"/>
        <v>2500</v>
      </c>
      <c r="I570" s="6">
        <f t="shared" si="42"/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5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 x14ac:dyDescent="0.25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 t="shared" si="45"/>
        <v>2500</v>
      </c>
      <c r="I571" s="6">
        <f t="shared" si="42"/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5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 x14ac:dyDescent="0.25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 t="shared" si="45"/>
        <v>2500</v>
      </c>
      <c r="I572" s="6">
        <f t="shared" si="42"/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5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 x14ac:dyDescent="0.25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 t="shared" si="45"/>
        <v>2500</v>
      </c>
      <c r="I573" s="6">
        <f t="shared" si="42"/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5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 x14ac:dyDescent="0.25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59">
        <v>1920</v>
      </c>
      <c r="G574" s="8"/>
      <c r="H574" s="6">
        <f>24000/6</f>
        <v>4000</v>
      </c>
      <c r="I574" s="6">
        <f t="shared" si="42"/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79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 x14ac:dyDescent="0.25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 t="shared" si="42"/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5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 x14ac:dyDescent="0.25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 t="shared" si="42"/>
        <v>180</v>
      </c>
      <c r="J576" s="73" t="s">
        <v>1526</v>
      </c>
      <c r="K576" s="2">
        <v>7.4</v>
      </c>
      <c r="L576" s="73" t="s">
        <v>608</v>
      </c>
      <c r="M576" s="73" t="s">
        <v>1527</v>
      </c>
      <c r="N576" s="2">
        <v>1036</v>
      </c>
      <c r="O576" s="56">
        <v>1332</v>
      </c>
      <c r="P576" s="73" t="s">
        <v>1528</v>
      </c>
      <c r="Q576" s="73" t="s">
        <v>1529</v>
      </c>
      <c r="R576" s="73" t="s">
        <v>1530</v>
      </c>
      <c r="S576" s="73" t="s">
        <v>961</v>
      </c>
      <c r="T576" s="73" t="s">
        <v>1175</v>
      </c>
      <c r="U576" s="73" t="s">
        <v>1531</v>
      </c>
      <c r="V576" s="73" t="s">
        <v>1532</v>
      </c>
      <c r="W576" s="73" t="s">
        <v>1533</v>
      </c>
      <c r="X576" s="73">
        <v>77132</v>
      </c>
      <c r="Y576" s="73">
        <v>113889</v>
      </c>
      <c r="Z576" s="73" t="s">
        <v>649</v>
      </c>
      <c r="AA576" s="73">
        <v>0</v>
      </c>
      <c r="AB576" s="73" t="s">
        <v>1534</v>
      </c>
    </row>
    <row r="577" spans="1:28" x14ac:dyDescent="0.25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 t="shared" si="42"/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5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 x14ac:dyDescent="0.25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 t="shared" si="42"/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5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 x14ac:dyDescent="0.25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 t="shared" si="42"/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5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 x14ac:dyDescent="0.25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 t="shared" si="42"/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5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 x14ac:dyDescent="0.25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 t="shared" si="42"/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5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 x14ac:dyDescent="0.25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59">
        <v>1817</v>
      </c>
      <c r="G582" s="8"/>
      <c r="H582" s="6">
        <f>24000/6</f>
        <v>4000</v>
      </c>
      <c r="I582" s="6">
        <f t="shared" si="42"/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79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 x14ac:dyDescent="0.25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 t="shared" si="42"/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5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 x14ac:dyDescent="0.25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 t="shared" ref="H584:H589" si="46">15000/7</f>
        <v>2142.8571428571427</v>
      </c>
      <c r="I584" s="6">
        <f t="shared" si="42"/>
        <v>338.29499323410016</v>
      </c>
      <c r="J584" s="73" t="s">
        <v>1604</v>
      </c>
      <c r="K584" s="2">
        <v>7.39</v>
      </c>
      <c r="L584" s="73" t="s">
        <v>602</v>
      </c>
      <c r="M584" s="73" t="s">
        <v>1605</v>
      </c>
      <c r="N584" s="73">
        <v>1062</v>
      </c>
      <c r="O584" s="56">
        <v>2500</v>
      </c>
      <c r="P584" s="73" t="s">
        <v>790</v>
      </c>
      <c r="Q584" s="73" t="s">
        <v>1606</v>
      </c>
      <c r="R584" s="73" t="s">
        <v>986</v>
      </c>
      <c r="S584" s="73" t="s">
        <v>685</v>
      </c>
      <c r="T584" s="73" t="s">
        <v>1175</v>
      </c>
      <c r="U584" s="73">
        <v>150</v>
      </c>
      <c r="V584" s="73" t="s">
        <v>1607</v>
      </c>
      <c r="W584" s="73" t="s">
        <v>1608</v>
      </c>
      <c r="X584" s="73">
        <v>78194</v>
      </c>
      <c r="Y584" s="73">
        <v>115442</v>
      </c>
      <c r="Z584" s="73" t="s">
        <v>649</v>
      </c>
      <c r="AA584" s="73">
        <v>0</v>
      </c>
      <c r="AB584" s="73">
        <v>286</v>
      </c>
    </row>
    <row r="585" spans="1:28" x14ac:dyDescent="0.25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 t="shared" si="46"/>
        <v>2142.8571428571427</v>
      </c>
      <c r="I585" s="6">
        <f t="shared" si="42"/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5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 x14ac:dyDescent="0.25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 t="shared" si="46"/>
        <v>2142.8571428571427</v>
      </c>
      <c r="I586" s="6">
        <f t="shared" si="42"/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5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 x14ac:dyDescent="0.25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 t="shared" si="46"/>
        <v>2142.8571428571427</v>
      </c>
      <c r="I587" s="6">
        <f t="shared" si="42"/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5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 x14ac:dyDescent="0.25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 t="shared" si="46"/>
        <v>2142.8571428571427</v>
      </c>
      <c r="I588" s="6">
        <f t="shared" si="42"/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5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 x14ac:dyDescent="0.25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 t="shared" si="46"/>
        <v>2142.8571428571427</v>
      </c>
      <c r="I589" s="6">
        <f t="shared" si="42"/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5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 x14ac:dyDescent="0.25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59">
        <v>541</v>
      </c>
      <c r="G590" s="8"/>
      <c r="H590" s="6">
        <f>24000/6</f>
        <v>4000</v>
      </c>
      <c r="I590" s="6">
        <f t="shared" si="42"/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79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 x14ac:dyDescent="0.25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 t="shared" ref="H591:H597" si="47">15000/7</f>
        <v>2142.8571428571427</v>
      </c>
      <c r="I591" s="6">
        <f t="shared" si="42"/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5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 x14ac:dyDescent="0.25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 t="shared" si="47"/>
        <v>2142.8571428571427</v>
      </c>
      <c r="I592" s="6">
        <f t="shared" si="42"/>
        <v>297.92746113989637</v>
      </c>
      <c r="J592" s="73" t="s">
        <v>1674</v>
      </c>
      <c r="K592" s="2">
        <v>7.72</v>
      </c>
      <c r="L592" s="73" t="s">
        <v>608</v>
      </c>
      <c r="M592" s="73" t="s">
        <v>1675</v>
      </c>
      <c r="N592" s="73">
        <v>987</v>
      </c>
      <c r="O592" s="56">
        <v>2300</v>
      </c>
      <c r="P592" s="73" t="s">
        <v>1676</v>
      </c>
      <c r="Q592" s="73" t="s">
        <v>1677</v>
      </c>
      <c r="R592" s="73" t="s">
        <v>1678</v>
      </c>
      <c r="S592" s="73" t="s">
        <v>961</v>
      </c>
      <c r="T592" s="73" t="s">
        <v>1175</v>
      </c>
      <c r="U592" s="73" t="s">
        <v>995</v>
      </c>
      <c r="V592" s="73" t="s">
        <v>1679</v>
      </c>
      <c r="W592" s="73" t="s">
        <v>1680</v>
      </c>
      <c r="X592" s="73">
        <v>79181</v>
      </c>
      <c r="Y592" s="73">
        <v>117097</v>
      </c>
      <c r="Z592" s="73" t="s">
        <v>998</v>
      </c>
      <c r="AA592" s="73">
        <v>0</v>
      </c>
      <c r="AB592" s="73" t="s">
        <v>1681</v>
      </c>
    </row>
    <row r="593" spans="1:28" x14ac:dyDescent="0.25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 t="shared" si="47"/>
        <v>2142.8571428571427</v>
      </c>
      <c r="I593" s="6">
        <f t="shared" si="42"/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5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 x14ac:dyDescent="0.25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 t="shared" si="47"/>
        <v>2142.8571428571427</v>
      </c>
      <c r="I594" s="6">
        <f t="shared" si="42"/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5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 x14ac:dyDescent="0.25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 t="shared" si="47"/>
        <v>2142.8571428571427</v>
      </c>
      <c r="I595" s="6">
        <f t="shared" si="42"/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5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 x14ac:dyDescent="0.25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 t="shared" si="47"/>
        <v>2142.8571428571427</v>
      </c>
      <c r="I596" s="6">
        <f t="shared" si="42"/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5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 x14ac:dyDescent="0.25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 t="shared" si="47"/>
        <v>2142.8571428571427</v>
      </c>
      <c r="I597" s="6">
        <f t="shared" si="42"/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5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 x14ac:dyDescent="0.25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59">
        <v>371</v>
      </c>
      <c r="G598" s="8"/>
      <c r="H598" s="6">
        <f>24000/6</f>
        <v>4000</v>
      </c>
      <c r="I598" s="6">
        <f t="shared" si="42"/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79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 x14ac:dyDescent="0.25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 t="shared" si="42"/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5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 x14ac:dyDescent="0.25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 t="shared" ref="H600:H605" si="48">15000/6</f>
        <v>2500</v>
      </c>
      <c r="I600" s="6">
        <f t="shared" si="42"/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5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 x14ac:dyDescent="0.25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 t="shared" si="48"/>
        <v>2500</v>
      </c>
      <c r="I601" s="6">
        <f t="shared" si="42"/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5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 x14ac:dyDescent="0.25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 t="shared" si="48"/>
        <v>2500</v>
      </c>
      <c r="I602" s="6">
        <f t="shared" si="42"/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5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 x14ac:dyDescent="0.25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 t="shared" si="48"/>
        <v>2500</v>
      </c>
      <c r="I603" s="6">
        <f t="shared" si="42"/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5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 x14ac:dyDescent="0.25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 t="shared" si="48"/>
        <v>2500</v>
      </c>
      <c r="I604" s="6">
        <f t="shared" ref="I604:I667" si="49"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5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 x14ac:dyDescent="0.25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 t="shared" si="48"/>
        <v>2500</v>
      </c>
      <c r="I605" s="6">
        <f t="shared" si="49"/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5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 x14ac:dyDescent="0.25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59">
        <v>1115</v>
      </c>
      <c r="G606" s="8"/>
      <c r="H606" s="6">
        <f>24000/6</f>
        <v>4000</v>
      </c>
      <c r="I606" s="6">
        <f t="shared" si="49"/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79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 x14ac:dyDescent="0.25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 t="shared" si="49"/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5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 x14ac:dyDescent="0.25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 t="shared" si="49"/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5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 x14ac:dyDescent="0.25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 t="shared" si="49"/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5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 x14ac:dyDescent="0.25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 t="shared" si="49"/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5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 x14ac:dyDescent="0.25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 t="shared" si="49"/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5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 x14ac:dyDescent="0.25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 t="shared" si="49"/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5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 x14ac:dyDescent="0.25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 t="shared" si="49"/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5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 x14ac:dyDescent="0.25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 t="shared" si="49"/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5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 x14ac:dyDescent="0.25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59"/>
      <c r="G615" s="8"/>
      <c r="H615" s="6"/>
      <c r="I615" s="6">
        <f t="shared" si="49"/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5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 x14ac:dyDescent="0.25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59"/>
      <c r="G616" s="59"/>
      <c r="H616" s="6">
        <f t="shared" ref="H616:H621" si="50">15000/6</f>
        <v>2500</v>
      </c>
      <c r="I616" s="6">
        <f t="shared" si="49"/>
        <v>444.16243654822335</v>
      </c>
      <c r="J616" s="2" t="s">
        <v>1828</v>
      </c>
      <c r="K616" s="2">
        <v>7.88</v>
      </c>
      <c r="L616" s="2" t="s">
        <v>561</v>
      </c>
      <c r="M616" s="2" t="s">
        <v>1829</v>
      </c>
      <c r="N616" s="2" t="s">
        <v>1830</v>
      </c>
      <c r="O616" s="79">
        <v>3500</v>
      </c>
      <c r="P616" s="2" t="s">
        <v>1831</v>
      </c>
      <c r="Q616" s="2" t="s">
        <v>1832</v>
      </c>
      <c r="R616" s="2" t="s">
        <v>1266</v>
      </c>
      <c r="S616" s="2" t="s">
        <v>749</v>
      </c>
      <c r="T616" s="2" t="s">
        <v>1833</v>
      </c>
      <c r="U616" s="2" t="s">
        <v>870</v>
      </c>
      <c r="V616" s="2" t="s">
        <v>1834</v>
      </c>
      <c r="W616" s="2" t="s">
        <v>1835</v>
      </c>
      <c r="X616" s="2" t="s">
        <v>1836</v>
      </c>
      <c r="Y616" s="2" t="s">
        <v>1837</v>
      </c>
      <c r="Z616" s="2" t="s">
        <v>548</v>
      </c>
      <c r="AA616" s="2" t="s">
        <v>548</v>
      </c>
      <c r="AB616" s="2" t="s">
        <v>1756</v>
      </c>
    </row>
    <row r="617" spans="1:28" x14ac:dyDescent="0.25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59"/>
      <c r="G617" s="59"/>
      <c r="H617" s="6">
        <f t="shared" si="50"/>
        <v>2500</v>
      </c>
      <c r="I617" s="6">
        <f t="shared" si="49"/>
        <v>279.68036529680364</v>
      </c>
      <c r="J617" s="2" t="s">
        <v>1838</v>
      </c>
      <c r="K617" s="2">
        <v>4.38</v>
      </c>
      <c r="L617" s="2" t="s">
        <v>618</v>
      </c>
      <c r="M617" s="2" t="s">
        <v>1839</v>
      </c>
      <c r="N617" s="2" t="s">
        <v>45</v>
      </c>
      <c r="O617" s="79">
        <v>1225</v>
      </c>
      <c r="P617" s="2" t="s">
        <v>45</v>
      </c>
      <c r="Q617" s="2" t="s">
        <v>45</v>
      </c>
      <c r="R617" s="2" t="s">
        <v>1840</v>
      </c>
      <c r="S617" s="2" t="s">
        <v>685</v>
      </c>
      <c r="T617" s="2" t="s">
        <v>1841</v>
      </c>
      <c r="U617" s="2" t="s">
        <v>1842</v>
      </c>
      <c r="V617" s="2" t="s">
        <v>1843</v>
      </c>
      <c r="W617" s="2" t="s">
        <v>1844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1845</v>
      </c>
    </row>
    <row r="618" spans="1:28" x14ac:dyDescent="0.25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59"/>
      <c r="G618" s="59"/>
      <c r="H618" s="6">
        <f t="shared" si="50"/>
        <v>2500</v>
      </c>
      <c r="I618" s="6">
        <f t="shared" si="49"/>
        <v>382.96943231441048</v>
      </c>
      <c r="J618" s="2" t="s">
        <v>972</v>
      </c>
      <c r="K618" s="2">
        <v>6.87</v>
      </c>
      <c r="L618" s="2" t="s">
        <v>709</v>
      </c>
      <c r="M618" s="2" t="s">
        <v>1846</v>
      </c>
      <c r="N618" s="2" t="s">
        <v>758</v>
      </c>
      <c r="O618" s="56">
        <v>2631</v>
      </c>
      <c r="P618" s="2" t="s">
        <v>1847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1848</v>
      </c>
      <c r="W618" s="2" t="s">
        <v>1849</v>
      </c>
      <c r="X618" s="2" t="s">
        <v>1850</v>
      </c>
      <c r="Y618" s="2" t="s">
        <v>1851</v>
      </c>
      <c r="Z618" s="2" t="s">
        <v>1696</v>
      </c>
      <c r="AA618" s="2" t="s">
        <v>548</v>
      </c>
      <c r="AB618" s="2" t="s">
        <v>1852</v>
      </c>
    </row>
    <row r="619" spans="1:28" x14ac:dyDescent="0.25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59"/>
      <c r="G619" s="59"/>
      <c r="H619" s="6">
        <f t="shared" si="50"/>
        <v>2500</v>
      </c>
      <c r="I619" s="6">
        <f t="shared" si="49"/>
        <v>289.05380333951763</v>
      </c>
      <c r="J619" s="2" t="s">
        <v>804</v>
      </c>
      <c r="K619" s="2">
        <v>5.39</v>
      </c>
      <c r="L619" s="2" t="s">
        <v>1502</v>
      </c>
      <c r="M619" s="2" t="s">
        <v>1853</v>
      </c>
      <c r="N619" s="2" t="s">
        <v>1854</v>
      </c>
      <c r="O619" s="5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1855</v>
      </c>
      <c r="U619" s="2" t="s">
        <v>1856</v>
      </c>
      <c r="V619" s="2" t="s">
        <v>1857</v>
      </c>
      <c r="W619" s="2" t="s">
        <v>1858</v>
      </c>
      <c r="X619" s="2" t="s">
        <v>1859</v>
      </c>
      <c r="Y619" s="2" t="s">
        <v>1860</v>
      </c>
      <c r="Z619" s="2" t="s">
        <v>1696</v>
      </c>
      <c r="AA619" s="2" t="s">
        <v>548</v>
      </c>
      <c r="AB619" s="2" t="s">
        <v>1861</v>
      </c>
    </row>
    <row r="620" spans="1:28" x14ac:dyDescent="0.25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59"/>
      <c r="G620" s="59"/>
      <c r="H620" s="6">
        <f t="shared" si="50"/>
        <v>2500</v>
      </c>
      <c r="I620" s="6">
        <f t="shared" si="49"/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1862</v>
      </c>
      <c r="N620" s="2" t="s">
        <v>1863</v>
      </c>
      <c r="O620" s="56">
        <v>2632</v>
      </c>
      <c r="P620" s="2" t="s">
        <v>1864</v>
      </c>
      <c r="Q620" s="2" t="s">
        <v>1865</v>
      </c>
      <c r="R620" s="2" t="s">
        <v>1866</v>
      </c>
      <c r="S620" s="2" t="s">
        <v>582</v>
      </c>
      <c r="T620" s="2" t="s">
        <v>1183</v>
      </c>
      <c r="U620" s="2" t="s">
        <v>1867</v>
      </c>
      <c r="V620" s="2" t="s">
        <v>1868</v>
      </c>
      <c r="W620" s="2" t="s">
        <v>1869</v>
      </c>
      <c r="X620" s="2" t="s">
        <v>1870</v>
      </c>
      <c r="Y620" s="2" t="s">
        <v>1871</v>
      </c>
      <c r="Z620" s="2" t="s">
        <v>1214</v>
      </c>
      <c r="AA620" s="2" t="s">
        <v>548</v>
      </c>
      <c r="AB620" s="2" t="s">
        <v>1872</v>
      </c>
    </row>
    <row r="621" spans="1:28" x14ac:dyDescent="0.25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59"/>
      <c r="G621" s="59"/>
      <c r="H621" s="6">
        <f t="shared" si="50"/>
        <v>2500</v>
      </c>
      <c r="I621" s="6">
        <f t="shared" si="49"/>
        <v>272.9624838292367</v>
      </c>
      <c r="J621" s="2" t="s">
        <v>1535</v>
      </c>
      <c r="K621" s="2">
        <v>7.73</v>
      </c>
      <c r="L621" s="2" t="s">
        <v>955</v>
      </c>
      <c r="M621" s="2" t="s">
        <v>1873</v>
      </c>
      <c r="N621" s="2" t="s">
        <v>1874</v>
      </c>
      <c r="O621" s="56">
        <v>2110</v>
      </c>
      <c r="P621" s="2" t="s">
        <v>1875</v>
      </c>
      <c r="Q621" s="2" t="s">
        <v>1708</v>
      </c>
      <c r="R621" s="2" t="s">
        <v>1876</v>
      </c>
      <c r="S621" s="2" t="s">
        <v>712</v>
      </c>
      <c r="T621" s="2" t="s">
        <v>1877</v>
      </c>
      <c r="U621" s="2" t="s">
        <v>1878</v>
      </c>
      <c r="V621" s="2" t="s">
        <v>1879</v>
      </c>
      <c r="W621" s="2" t="s">
        <v>1880</v>
      </c>
      <c r="X621" s="2" t="s">
        <v>1881</v>
      </c>
      <c r="Y621" s="2" t="s">
        <v>1882</v>
      </c>
      <c r="Z621" s="2" t="s">
        <v>618</v>
      </c>
      <c r="AA621" s="2" t="s">
        <v>548</v>
      </c>
      <c r="AB621" s="2" t="s">
        <v>1883</v>
      </c>
    </row>
    <row r="622" spans="1:28" x14ac:dyDescent="0.25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59">
        <v>2741</v>
      </c>
      <c r="G622" s="59"/>
      <c r="H622" s="6">
        <v>4000</v>
      </c>
      <c r="I622" s="6">
        <f t="shared" si="49"/>
        <v>489.75609756097566</v>
      </c>
      <c r="J622" s="2" t="s">
        <v>1884</v>
      </c>
      <c r="K622" s="2">
        <v>8.1999999999999993</v>
      </c>
      <c r="L622" s="2" t="s">
        <v>585</v>
      </c>
      <c r="M622" s="2" t="s">
        <v>1885</v>
      </c>
      <c r="N622" s="2" t="s">
        <v>1886</v>
      </c>
      <c r="O622" s="56">
        <v>4016</v>
      </c>
      <c r="P622" s="2" t="s">
        <v>1887</v>
      </c>
      <c r="Q622" s="2" t="s">
        <v>1888</v>
      </c>
      <c r="R622" s="2" t="s">
        <v>1889</v>
      </c>
      <c r="S622" s="2" t="s">
        <v>567</v>
      </c>
      <c r="T622" s="2" t="s">
        <v>672</v>
      </c>
      <c r="U622" s="2" t="s">
        <v>1890</v>
      </c>
      <c r="V622" s="2" t="s">
        <v>1891</v>
      </c>
      <c r="W622" s="2" t="s">
        <v>1892</v>
      </c>
      <c r="X622" s="2" t="s">
        <v>1893</v>
      </c>
      <c r="Y622" s="2" t="s">
        <v>1894</v>
      </c>
      <c r="Z622" s="2" t="s">
        <v>649</v>
      </c>
      <c r="AA622" s="2" t="s">
        <v>548</v>
      </c>
      <c r="AB622" s="2" t="s">
        <v>1895</v>
      </c>
    </row>
    <row r="623" spans="1:28" x14ac:dyDescent="0.25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59"/>
      <c r="G623" s="59"/>
      <c r="H623" s="6"/>
      <c r="I623" s="6">
        <f t="shared" si="49"/>
        <v>412.85266457680251</v>
      </c>
      <c r="J623" s="2" t="s">
        <v>1896</v>
      </c>
      <c r="K623" s="2">
        <v>6.38</v>
      </c>
      <c r="L623" s="2" t="s">
        <v>652</v>
      </c>
      <c r="M623" s="2" t="s">
        <v>1897</v>
      </c>
      <c r="N623" s="2" t="s">
        <v>1898</v>
      </c>
      <c r="O623" s="56">
        <v>2634</v>
      </c>
      <c r="P623" s="2" t="s">
        <v>1899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1900</v>
      </c>
      <c r="V623" s="2" t="s">
        <v>1901</v>
      </c>
      <c r="W623" s="2" t="s">
        <v>1902</v>
      </c>
      <c r="X623" s="2" t="s">
        <v>1903</v>
      </c>
      <c r="Y623" s="2" t="s">
        <v>1904</v>
      </c>
      <c r="Z623" s="2" t="s">
        <v>548</v>
      </c>
      <c r="AA623" s="2" t="s">
        <v>548</v>
      </c>
      <c r="AB623" s="2" t="s">
        <v>567</v>
      </c>
    </row>
    <row r="624" spans="1:28" x14ac:dyDescent="0.25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59"/>
      <c r="G624" s="59"/>
      <c r="H624" s="6">
        <f>15000/5</f>
        <v>3000</v>
      </c>
      <c r="I624" s="6">
        <f t="shared" si="49"/>
        <v>467.62589928057554</v>
      </c>
      <c r="J624" s="2" t="s">
        <v>1526</v>
      </c>
      <c r="K624" s="2">
        <v>6.95</v>
      </c>
      <c r="L624" s="2" t="s">
        <v>678</v>
      </c>
      <c r="M624" s="2" t="s">
        <v>1905</v>
      </c>
      <c r="N624" s="2" t="s">
        <v>1906</v>
      </c>
      <c r="O624" s="56">
        <v>3250</v>
      </c>
      <c r="P624" s="2" t="s">
        <v>690</v>
      </c>
      <c r="Q624" s="2" t="s">
        <v>1907</v>
      </c>
      <c r="R624" s="2" t="s">
        <v>1908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1909</v>
      </c>
      <c r="X624" s="2" t="s">
        <v>1910</v>
      </c>
      <c r="Y624" s="2" t="s">
        <v>1911</v>
      </c>
      <c r="Z624" s="2" t="s">
        <v>602</v>
      </c>
      <c r="AA624" s="2" t="s">
        <v>548</v>
      </c>
      <c r="AB624" s="2" t="s">
        <v>1912</v>
      </c>
    </row>
    <row r="625" spans="1:28" x14ac:dyDescent="0.25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 t="shared" si="49"/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79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 x14ac:dyDescent="0.25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59"/>
      <c r="G626" s="59"/>
      <c r="H626" s="6">
        <f>15000/5</f>
        <v>3000</v>
      </c>
      <c r="I626" s="6">
        <f t="shared" si="49"/>
        <v>319.70108695652175</v>
      </c>
      <c r="J626" s="2" t="s">
        <v>1913</v>
      </c>
      <c r="K626" s="2">
        <v>7.36</v>
      </c>
      <c r="L626" s="2" t="s">
        <v>585</v>
      </c>
      <c r="M626" s="2" t="s">
        <v>1914</v>
      </c>
      <c r="N626" s="2" t="s">
        <v>1915</v>
      </c>
      <c r="O626" s="56">
        <v>2353</v>
      </c>
      <c r="P626" s="2" t="s">
        <v>877</v>
      </c>
      <c r="Q626" s="2" t="s">
        <v>1916</v>
      </c>
      <c r="R626" s="2" t="s">
        <v>1917</v>
      </c>
      <c r="S626" s="2" t="s">
        <v>749</v>
      </c>
      <c r="T626" s="2" t="s">
        <v>1143</v>
      </c>
      <c r="U626" s="2" t="s">
        <v>1918</v>
      </c>
      <c r="V626" s="2" t="s">
        <v>1919</v>
      </c>
      <c r="W626" s="2" t="s">
        <v>1920</v>
      </c>
      <c r="X626" s="2" t="s">
        <v>1921</v>
      </c>
      <c r="Y626" s="2" t="s">
        <v>1922</v>
      </c>
      <c r="Z626" s="2" t="s">
        <v>580</v>
      </c>
      <c r="AA626" s="2" t="s">
        <v>548</v>
      </c>
      <c r="AB626" s="2" t="s">
        <v>1923</v>
      </c>
    </row>
    <row r="627" spans="1:28" x14ac:dyDescent="0.25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59"/>
      <c r="G627" s="59"/>
      <c r="H627" s="6">
        <f>15000/5</f>
        <v>3000</v>
      </c>
      <c r="I627" s="6">
        <f t="shared" si="49"/>
        <v>310.40787623066103</v>
      </c>
      <c r="J627" s="2" t="s">
        <v>1924</v>
      </c>
      <c r="K627" s="2">
        <v>7.11</v>
      </c>
      <c r="L627" s="2" t="s">
        <v>690</v>
      </c>
      <c r="M627" s="2" t="s">
        <v>1925</v>
      </c>
      <c r="N627" s="2" t="s">
        <v>1926</v>
      </c>
      <c r="O627" s="56">
        <v>2207</v>
      </c>
      <c r="P627" s="2" t="s">
        <v>1927</v>
      </c>
      <c r="Q627" s="2" t="s">
        <v>1928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1929</v>
      </c>
      <c r="W627" s="2" t="s">
        <v>1930</v>
      </c>
      <c r="X627" s="2" t="s">
        <v>1931</v>
      </c>
      <c r="Y627" s="2" t="s">
        <v>1932</v>
      </c>
      <c r="Z627" s="2" t="s">
        <v>800</v>
      </c>
      <c r="AA627" s="2" t="s">
        <v>548</v>
      </c>
      <c r="AB627" s="2" t="s">
        <v>1933</v>
      </c>
    </row>
    <row r="628" spans="1:28" x14ac:dyDescent="0.25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59"/>
      <c r="G628" s="59"/>
      <c r="H628" s="6">
        <f>15000/5</f>
        <v>3000</v>
      </c>
      <c r="I628" s="6">
        <f t="shared" si="49"/>
        <v>271.42857142857139</v>
      </c>
      <c r="J628" s="2" t="s">
        <v>1934</v>
      </c>
      <c r="K628" s="2">
        <v>9.3800000000000008</v>
      </c>
      <c r="L628" s="2" t="s">
        <v>756</v>
      </c>
      <c r="M628" s="2" t="s">
        <v>1356</v>
      </c>
      <c r="N628" s="2" t="s">
        <v>1935</v>
      </c>
      <c r="O628" s="56">
        <v>2546</v>
      </c>
      <c r="P628" s="2" t="s">
        <v>624</v>
      </c>
      <c r="Q628" s="2" t="s">
        <v>1936</v>
      </c>
      <c r="R628" s="2" t="s">
        <v>1937</v>
      </c>
      <c r="S628" s="2" t="s">
        <v>567</v>
      </c>
      <c r="T628" s="2" t="s">
        <v>762</v>
      </c>
      <c r="U628" s="2" t="s">
        <v>1938</v>
      </c>
      <c r="V628" s="2" t="s">
        <v>1939</v>
      </c>
      <c r="W628" s="2" t="s">
        <v>1940</v>
      </c>
      <c r="X628" s="2" t="s">
        <v>1941</v>
      </c>
      <c r="Y628" s="2" t="s">
        <v>1942</v>
      </c>
      <c r="Z628" s="2" t="s">
        <v>1595</v>
      </c>
      <c r="AA628" s="2" t="s">
        <v>548</v>
      </c>
      <c r="AB628" s="2" t="s">
        <v>1943</v>
      </c>
    </row>
    <row r="629" spans="1:28" x14ac:dyDescent="0.25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59"/>
      <c r="G629" s="59"/>
      <c r="H629" s="6">
        <f>15000/5</f>
        <v>3000</v>
      </c>
      <c r="I629" s="6">
        <f t="shared" si="49"/>
        <v>372.44294167371089</v>
      </c>
      <c r="J629" s="2" t="s">
        <v>1873</v>
      </c>
      <c r="K629" s="2">
        <v>11.83</v>
      </c>
      <c r="L629" s="2" t="s">
        <v>1021</v>
      </c>
      <c r="M629" s="2" t="s">
        <v>1944</v>
      </c>
      <c r="N629" s="2" t="s">
        <v>1945</v>
      </c>
      <c r="O629" s="56">
        <v>4406</v>
      </c>
      <c r="P629" s="2" t="s">
        <v>1740</v>
      </c>
      <c r="Q629" s="2" t="s">
        <v>1391</v>
      </c>
      <c r="R629" s="2" t="s">
        <v>1946</v>
      </c>
      <c r="S629" s="2" t="s">
        <v>1928</v>
      </c>
      <c r="T629" s="2" t="s">
        <v>1947</v>
      </c>
      <c r="U629" s="2" t="s">
        <v>1948</v>
      </c>
      <c r="V629" s="2" t="s">
        <v>1949</v>
      </c>
      <c r="W629" s="2" t="s">
        <v>1950</v>
      </c>
      <c r="X629" s="2" t="s">
        <v>1951</v>
      </c>
      <c r="Y629" s="2" t="s">
        <v>1952</v>
      </c>
      <c r="Z629" s="2" t="s">
        <v>719</v>
      </c>
      <c r="AA629" s="2" t="s">
        <v>548</v>
      </c>
      <c r="AB629" s="2" t="s">
        <v>1953</v>
      </c>
    </row>
    <row r="630" spans="1:28" x14ac:dyDescent="0.25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59">
        <v>2742</v>
      </c>
      <c r="G630" s="59"/>
      <c r="H630" s="6">
        <v>4000</v>
      </c>
      <c r="I630" s="6">
        <f t="shared" si="49"/>
        <v>419.31428571428569</v>
      </c>
      <c r="J630" s="2" t="s">
        <v>1954</v>
      </c>
      <c r="K630" s="2">
        <v>8.75</v>
      </c>
      <c r="L630" s="2" t="s">
        <v>1064</v>
      </c>
      <c r="M630" s="2" t="s">
        <v>1955</v>
      </c>
      <c r="N630" s="2" t="s">
        <v>1956</v>
      </c>
      <c r="O630" s="56">
        <v>3669</v>
      </c>
      <c r="P630" s="2" t="s">
        <v>1957</v>
      </c>
      <c r="Q630" s="2" t="s">
        <v>1958</v>
      </c>
      <c r="R630" s="2" t="s">
        <v>1959</v>
      </c>
      <c r="S630" s="2" t="s">
        <v>567</v>
      </c>
      <c r="T630" s="2" t="s">
        <v>1763</v>
      </c>
      <c r="U630" s="2" t="s">
        <v>1025</v>
      </c>
      <c r="V630" s="2" t="s">
        <v>1960</v>
      </c>
      <c r="W630" s="2" t="s">
        <v>1961</v>
      </c>
      <c r="X630" s="2" t="s">
        <v>1962</v>
      </c>
      <c r="Y630" s="2" t="s">
        <v>1963</v>
      </c>
      <c r="Z630" s="2" t="s">
        <v>649</v>
      </c>
      <c r="AA630" s="2" t="s">
        <v>548</v>
      </c>
      <c r="AB630" s="2" t="s">
        <v>1964</v>
      </c>
    </row>
    <row r="631" spans="1:28" x14ac:dyDescent="0.25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59"/>
      <c r="G631" s="59"/>
      <c r="H631" s="6"/>
      <c r="I631" s="6">
        <f t="shared" si="49"/>
        <v>186.76092544987145</v>
      </c>
      <c r="J631" s="2" t="s">
        <v>1708</v>
      </c>
      <c r="K631" s="2">
        <v>7.78</v>
      </c>
      <c r="L631" s="2" t="s">
        <v>955</v>
      </c>
      <c r="M631" s="2" t="s">
        <v>1965</v>
      </c>
      <c r="N631" s="2" t="s">
        <v>1966</v>
      </c>
      <c r="O631" s="56">
        <v>1453</v>
      </c>
      <c r="P631" s="2" t="s">
        <v>1967</v>
      </c>
      <c r="Q631" s="2" t="s">
        <v>1968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1969</v>
      </c>
      <c r="W631" s="2" t="s">
        <v>1970</v>
      </c>
      <c r="X631" s="2" t="s">
        <v>1971</v>
      </c>
      <c r="Y631" s="2" t="s">
        <v>1972</v>
      </c>
      <c r="Z631" s="2" t="s">
        <v>649</v>
      </c>
      <c r="AA631" s="2" t="s">
        <v>548</v>
      </c>
      <c r="AB631" s="2" t="s">
        <v>1877</v>
      </c>
    </row>
    <row r="632" spans="1:28" x14ac:dyDescent="0.25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 t="shared" si="49"/>
        <v>323.89937106918239</v>
      </c>
      <c r="J632" s="2" t="s">
        <v>1973</v>
      </c>
      <c r="K632" s="2">
        <v>7.95</v>
      </c>
      <c r="L632" s="2" t="s">
        <v>585</v>
      </c>
      <c r="M632" s="2" t="s">
        <v>1974</v>
      </c>
      <c r="N632" s="2" t="s">
        <v>1975</v>
      </c>
      <c r="O632" s="56">
        <v>2575</v>
      </c>
      <c r="P632" s="2" t="s">
        <v>1128</v>
      </c>
      <c r="Q632" s="2" t="s">
        <v>1974</v>
      </c>
      <c r="R632" s="2" t="s">
        <v>1976</v>
      </c>
      <c r="S632" s="2" t="s">
        <v>685</v>
      </c>
      <c r="T632" s="2" t="s">
        <v>1015</v>
      </c>
      <c r="U632" s="2" t="s">
        <v>1266</v>
      </c>
      <c r="V632" s="2" t="s">
        <v>1977</v>
      </c>
      <c r="W632" s="2" t="s">
        <v>1978</v>
      </c>
      <c r="X632" s="2" t="s">
        <v>1979</v>
      </c>
      <c r="Y632" s="2" t="s">
        <v>1980</v>
      </c>
      <c r="Z632" s="2" t="s">
        <v>800</v>
      </c>
      <c r="AA632" s="2" t="s">
        <v>548</v>
      </c>
      <c r="AB632" s="2" t="s">
        <v>1981</v>
      </c>
    </row>
    <row r="633" spans="1:28" x14ac:dyDescent="0.25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 t="shared" si="49"/>
        <v>0</v>
      </c>
      <c r="J633" s="2" t="s">
        <v>1982</v>
      </c>
      <c r="K633" s="2">
        <v>0.12</v>
      </c>
      <c r="L633" s="2" t="s">
        <v>784</v>
      </c>
      <c r="M633" s="2" t="s">
        <v>1983</v>
      </c>
      <c r="N633" s="2" t="s">
        <v>45</v>
      </c>
      <c r="O633" s="79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1984</v>
      </c>
      <c r="W633" s="2" t="s">
        <v>1985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1845</v>
      </c>
    </row>
    <row r="634" spans="1:28" x14ac:dyDescent="0.25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59"/>
      <c r="G634" s="59"/>
      <c r="H634" s="6">
        <f>15000/6</f>
        <v>2500</v>
      </c>
      <c r="I634" s="6">
        <f t="shared" si="49"/>
        <v>335.14538558786347</v>
      </c>
      <c r="J634" s="2" t="s">
        <v>1986</v>
      </c>
      <c r="K634" s="2">
        <v>7.91</v>
      </c>
      <c r="L634" s="2" t="s">
        <v>1092</v>
      </c>
      <c r="M634" s="2" t="s">
        <v>1986</v>
      </c>
      <c r="N634" s="2" t="s">
        <v>1987</v>
      </c>
      <c r="O634" s="56">
        <v>2651</v>
      </c>
      <c r="P634" s="2" t="s">
        <v>1988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1989</v>
      </c>
      <c r="V634" s="2" t="s">
        <v>1990</v>
      </c>
      <c r="W634" s="2" t="s">
        <v>1991</v>
      </c>
      <c r="X634" s="2" t="s">
        <v>1992</v>
      </c>
      <c r="Y634" s="2" t="s">
        <v>1993</v>
      </c>
      <c r="Z634" s="2" t="s">
        <v>602</v>
      </c>
      <c r="AA634" s="2" t="s">
        <v>548</v>
      </c>
      <c r="AB634" s="2" t="s">
        <v>1994</v>
      </c>
    </row>
    <row r="635" spans="1:28" x14ac:dyDescent="0.25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59"/>
      <c r="G635" s="59"/>
      <c r="H635" s="6">
        <f>15000/6</f>
        <v>2500</v>
      </c>
      <c r="I635" s="6">
        <f t="shared" si="49"/>
        <v>429.45301542776997</v>
      </c>
      <c r="J635" s="2" t="s">
        <v>1585</v>
      </c>
      <c r="K635" s="2">
        <v>7.13</v>
      </c>
      <c r="L635" s="2" t="s">
        <v>777</v>
      </c>
      <c r="M635" s="2" t="s">
        <v>1995</v>
      </c>
      <c r="N635" s="2" t="s">
        <v>1709</v>
      </c>
      <c r="O635" s="56">
        <v>3062</v>
      </c>
      <c r="P635" s="2" t="s">
        <v>1996</v>
      </c>
      <c r="Q635" s="2" t="s">
        <v>1997</v>
      </c>
      <c r="R635" s="2" t="s">
        <v>1998</v>
      </c>
      <c r="S635" s="2" t="s">
        <v>658</v>
      </c>
      <c r="T635" s="2" t="s">
        <v>1267</v>
      </c>
      <c r="U635" s="2" t="s">
        <v>986</v>
      </c>
      <c r="V635" s="2" t="s">
        <v>1999</v>
      </c>
      <c r="W635" s="2" t="s">
        <v>2000</v>
      </c>
      <c r="X635" s="2" t="s">
        <v>2001</v>
      </c>
      <c r="Y635" s="2" t="s">
        <v>2002</v>
      </c>
      <c r="Z635" s="2" t="s">
        <v>602</v>
      </c>
      <c r="AA635" s="2" t="s">
        <v>548</v>
      </c>
      <c r="AB635" s="2" t="s">
        <v>2003</v>
      </c>
    </row>
    <row r="636" spans="1:28" x14ac:dyDescent="0.25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59"/>
      <c r="G636" s="59"/>
      <c r="H636" s="6">
        <f>15000/6</f>
        <v>2500</v>
      </c>
      <c r="I636" s="6">
        <f t="shared" si="49"/>
        <v>286.3291139240506</v>
      </c>
      <c r="J636" s="2" t="s">
        <v>2004</v>
      </c>
      <c r="K636" s="2">
        <v>7.9</v>
      </c>
      <c r="L636" s="2" t="s">
        <v>561</v>
      </c>
      <c r="M636" s="2" t="s">
        <v>2005</v>
      </c>
      <c r="N636" s="2" t="s">
        <v>2006</v>
      </c>
      <c r="O636" s="56">
        <v>2262</v>
      </c>
      <c r="P636" s="2" t="s">
        <v>2007</v>
      </c>
      <c r="Q636" s="2" t="s">
        <v>2008</v>
      </c>
      <c r="R636" s="2" t="s">
        <v>2009</v>
      </c>
      <c r="S636" s="2" t="s">
        <v>582</v>
      </c>
      <c r="T636" s="2" t="s">
        <v>726</v>
      </c>
      <c r="U636" s="2" t="s">
        <v>2010</v>
      </c>
      <c r="V636" s="2" t="s">
        <v>2011</v>
      </c>
      <c r="W636" s="2" t="s">
        <v>2012</v>
      </c>
      <c r="X636" s="2" t="s">
        <v>2013</v>
      </c>
      <c r="Y636" s="2" t="s">
        <v>2014</v>
      </c>
      <c r="Z636" s="2" t="s">
        <v>602</v>
      </c>
      <c r="AA636" s="2" t="s">
        <v>548</v>
      </c>
      <c r="AB636" s="2" t="s">
        <v>2015</v>
      </c>
    </row>
    <row r="637" spans="1:28" x14ac:dyDescent="0.25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59"/>
      <c r="G637" s="59"/>
      <c r="H637" s="6">
        <f>15000/6</f>
        <v>2500</v>
      </c>
      <c r="I637" s="6">
        <f t="shared" si="49"/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2016</v>
      </c>
      <c r="O637" s="56">
        <v>4997</v>
      </c>
      <c r="P637" s="2" t="s">
        <v>1131</v>
      </c>
      <c r="Q637" s="2" t="s">
        <v>2017</v>
      </c>
      <c r="R637" s="2" t="s">
        <v>2018</v>
      </c>
      <c r="S637" s="2" t="s">
        <v>793</v>
      </c>
      <c r="T637" s="2" t="s">
        <v>961</v>
      </c>
      <c r="U637" s="2" t="s">
        <v>2019</v>
      </c>
      <c r="V637" s="2" t="s">
        <v>674</v>
      </c>
      <c r="W637" s="2" t="s">
        <v>2020</v>
      </c>
      <c r="X637" s="2" t="s">
        <v>2021</v>
      </c>
      <c r="Y637" s="2" t="s">
        <v>2022</v>
      </c>
      <c r="Z637" s="2" t="s">
        <v>719</v>
      </c>
      <c r="AA637" s="2" t="s">
        <v>548</v>
      </c>
      <c r="AB637" s="2" t="s">
        <v>2023</v>
      </c>
    </row>
    <row r="638" spans="1:28" x14ac:dyDescent="0.25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59">
        <v>3249</v>
      </c>
      <c r="G638" s="59"/>
      <c r="H638" s="6">
        <v>4000</v>
      </c>
      <c r="I638" s="6">
        <f t="shared" si="49"/>
        <v>454.41176470588232</v>
      </c>
      <c r="J638" s="2" t="s">
        <v>2024</v>
      </c>
      <c r="K638" s="2">
        <v>8.16</v>
      </c>
      <c r="L638" s="2" t="s">
        <v>608</v>
      </c>
      <c r="M638" s="2" t="s">
        <v>2025</v>
      </c>
      <c r="N638" s="2" t="s">
        <v>2026</v>
      </c>
      <c r="O638" s="56">
        <v>3708</v>
      </c>
      <c r="P638" s="2" t="s">
        <v>2027</v>
      </c>
      <c r="Q638" s="2" t="s">
        <v>2028</v>
      </c>
      <c r="R638" s="2" t="s">
        <v>2029</v>
      </c>
      <c r="S638" s="2" t="s">
        <v>1256</v>
      </c>
      <c r="T638" s="2" t="s">
        <v>2030</v>
      </c>
      <c r="U638" s="2" t="s">
        <v>1638</v>
      </c>
      <c r="V638" s="2" t="s">
        <v>2031</v>
      </c>
      <c r="W638" s="2" t="s">
        <v>2032</v>
      </c>
      <c r="X638" s="2" t="s">
        <v>2033</v>
      </c>
      <c r="Y638" s="2" t="s">
        <v>2034</v>
      </c>
      <c r="Z638" s="2" t="s">
        <v>548</v>
      </c>
      <c r="AA638" s="2" t="s">
        <v>548</v>
      </c>
      <c r="AB638" s="2" t="s">
        <v>1964</v>
      </c>
    </row>
    <row r="639" spans="1:28" x14ac:dyDescent="0.25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59"/>
      <c r="G639" s="59"/>
      <c r="H639" s="6">
        <f>15000/6</f>
        <v>2500</v>
      </c>
      <c r="I639" s="6">
        <f t="shared" si="49"/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2035</v>
      </c>
      <c r="O639" s="56">
        <v>2304</v>
      </c>
      <c r="P639" s="2" t="s">
        <v>2036</v>
      </c>
      <c r="Q639" s="2" t="s">
        <v>2037</v>
      </c>
      <c r="R639" s="2" t="s">
        <v>2038</v>
      </c>
      <c r="S639" s="2" t="s">
        <v>1256</v>
      </c>
      <c r="T639" s="2" t="s">
        <v>2039</v>
      </c>
      <c r="U639" s="2" t="s">
        <v>2040</v>
      </c>
      <c r="V639" s="2" t="s">
        <v>2041</v>
      </c>
      <c r="W639" s="2" t="s">
        <v>2042</v>
      </c>
      <c r="X639" s="2" t="s">
        <v>2043</v>
      </c>
      <c r="Y639" s="2" t="s">
        <v>2044</v>
      </c>
      <c r="Z639" s="2" t="s">
        <v>548</v>
      </c>
      <c r="AA639" s="2" t="s">
        <v>548</v>
      </c>
      <c r="AB639" s="2" t="s">
        <v>1877</v>
      </c>
    </row>
    <row r="640" spans="1:28" x14ac:dyDescent="0.25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>15000/6</f>
        <v>2500</v>
      </c>
      <c r="I640" s="6">
        <f t="shared" si="49"/>
        <v>351.77595628415298</v>
      </c>
      <c r="J640" s="2" t="s">
        <v>1054</v>
      </c>
      <c r="K640" s="2">
        <v>7.32</v>
      </c>
      <c r="L640" s="2" t="s">
        <v>1696</v>
      </c>
      <c r="M640" s="2" t="s">
        <v>2045</v>
      </c>
      <c r="N640" s="2" t="s">
        <v>654</v>
      </c>
      <c r="O640" s="56">
        <v>2575</v>
      </c>
      <c r="P640" s="2" t="s">
        <v>790</v>
      </c>
      <c r="Q640" s="2" t="s">
        <v>1232</v>
      </c>
      <c r="R640" s="2" t="s">
        <v>2046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2047</v>
      </c>
      <c r="X640" s="2" t="s">
        <v>2048</v>
      </c>
      <c r="Y640" s="2" t="s">
        <v>2049</v>
      </c>
      <c r="Z640" s="2" t="s">
        <v>649</v>
      </c>
      <c r="AA640" s="2" t="s">
        <v>548</v>
      </c>
      <c r="AB640" s="2" t="s">
        <v>2050</v>
      </c>
    </row>
    <row r="641" spans="1:28" x14ac:dyDescent="0.25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 t="shared" si="49"/>
        <v>0</v>
      </c>
      <c r="J641" s="2" t="s">
        <v>2051</v>
      </c>
      <c r="K641" s="2">
        <v>0.04</v>
      </c>
      <c r="L641" s="2" t="s">
        <v>618</v>
      </c>
      <c r="M641" s="2" t="s">
        <v>2052</v>
      </c>
      <c r="N641" s="2" t="s">
        <v>45</v>
      </c>
      <c r="O641" s="79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2053</v>
      </c>
      <c r="W641" s="2" t="s">
        <v>2054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1845</v>
      </c>
    </row>
    <row r="642" spans="1:28" x14ac:dyDescent="0.25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59"/>
      <c r="G642" s="59"/>
      <c r="H642" s="6">
        <f>15000/6</f>
        <v>2500</v>
      </c>
      <c r="I642" s="6">
        <f t="shared" si="49"/>
        <v>306.17906683480453</v>
      </c>
      <c r="J642" s="2" t="s">
        <v>1116</v>
      </c>
      <c r="K642" s="2">
        <v>7.93</v>
      </c>
      <c r="L642" s="2" t="s">
        <v>602</v>
      </c>
      <c r="M642" s="2" t="s">
        <v>2055</v>
      </c>
      <c r="N642" s="2" t="s">
        <v>2056</v>
      </c>
      <c r="O642" s="56">
        <v>2428</v>
      </c>
      <c r="P642" s="2" t="s">
        <v>2057</v>
      </c>
      <c r="Q642" s="2" t="s">
        <v>1075</v>
      </c>
      <c r="R642" s="2" t="s">
        <v>2058</v>
      </c>
      <c r="S642" s="2" t="s">
        <v>749</v>
      </c>
      <c r="T642" s="2" t="s">
        <v>919</v>
      </c>
      <c r="U642" s="2" t="s">
        <v>2059</v>
      </c>
      <c r="V642" s="2" t="s">
        <v>698</v>
      </c>
      <c r="W642" s="2" t="s">
        <v>2060</v>
      </c>
      <c r="X642" s="2" t="s">
        <v>2061</v>
      </c>
      <c r="Y642" s="2" t="s">
        <v>2062</v>
      </c>
      <c r="Z642" s="2" t="s">
        <v>636</v>
      </c>
      <c r="AA642" s="2" t="s">
        <v>548</v>
      </c>
      <c r="AB642" s="2" t="s">
        <v>2063</v>
      </c>
    </row>
    <row r="643" spans="1:28" x14ac:dyDescent="0.25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59"/>
      <c r="G643" s="59"/>
      <c r="H643" s="6">
        <f>15000/6</f>
        <v>2500</v>
      </c>
      <c r="I643" s="6">
        <f t="shared" si="49"/>
        <v>379.71223021582733</v>
      </c>
      <c r="J643" s="2" t="s">
        <v>1126</v>
      </c>
      <c r="K643" s="2">
        <v>6.95</v>
      </c>
      <c r="L643" s="2" t="s">
        <v>1502</v>
      </c>
      <c r="M643" s="2" t="s">
        <v>2064</v>
      </c>
      <c r="N643" s="2" t="s">
        <v>2065</v>
      </c>
      <c r="O643" s="56">
        <v>2639</v>
      </c>
      <c r="P643" s="2" t="s">
        <v>926</v>
      </c>
      <c r="Q643" s="2" t="s">
        <v>2066</v>
      </c>
      <c r="R643" s="2" t="s">
        <v>626</v>
      </c>
      <c r="S643" s="2" t="s">
        <v>567</v>
      </c>
      <c r="T643" s="2" t="s">
        <v>1855</v>
      </c>
      <c r="U643" s="2" t="s">
        <v>1471</v>
      </c>
      <c r="V643" s="2" t="s">
        <v>2067</v>
      </c>
      <c r="W643" s="2" t="s">
        <v>2068</v>
      </c>
      <c r="X643" s="2" t="s">
        <v>2069</v>
      </c>
      <c r="Y643" s="2" t="s">
        <v>2070</v>
      </c>
      <c r="Z643" s="2" t="s">
        <v>690</v>
      </c>
      <c r="AA643" s="2" t="s">
        <v>548</v>
      </c>
      <c r="AB643" s="2" t="s">
        <v>2071</v>
      </c>
    </row>
    <row r="644" spans="1:28" x14ac:dyDescent="0.25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59"/>
      <c r="G644" s="59"/>
      <c r="H644" s="6">
        <f>15000/6</f>
        <v>2500</v>
      </c>
      <c r="I644" s="6">
        <f t="shared" si="49"/>
        <v>292.31770833333337</v>
      </c>
      <c r="J644" s="2" t="s">
        <v>1862</v>
      </c>
      <c r="K644" s="2">
        <v>7.68</v>
      </c>
      <c r="L644" s="2" t="s">
        <v>621</v>
      </c>
      <c r="M644" s="2" t="s">
        <v>2072</v>
      </c>
      <c r="N644" s="2" t="s">
        <v>2073</v>
      </c>
      <c r="O644" s="56">
        <v>2245</v>
      </c>
      <c r="P644" s="2" t="s">
        <v>1818</v>
      </c>
      <c r="Q644" s="2" t="s">
        <v>2074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2075</v>
      </c>
      <c r="X644" s="2" t="s">
        <v>2076</v>
      </c>
      <c r="Y644" s="2" t="s">
        <v>2077</v>
      </c>
      <c r="Z644" s="2" t="s">
        <v>800</v>
      </c>
      <c r="AA644" s="2" t="s">
        <v>548</v>
      </c>
      <c r="AB644" s="2" t="s">
        <v>2078</v>
      </c>
    </row>
    <row r="645" spans="1:28" x14ac:dyDescent="0.25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59"/>
      <c r="G645" s="59"/>
      <c r="H645" s="6">
        <f>15000/6</f>
        <v>2500</v>
      </c>
      <c r="I645" s="6">
        <f t="shared" si="49"/>
        <v>290.13091641490433</v>
      </c>
      <c r="J645" s="2" t="s">
        <v>2079</v>
      </c>
      <c r="K645" s="2">
        <v>9.93</v>
      </c>
      <c r="L645" s="2" t="s">
        <v>726</v>
      </c>
      <c r="M645" s="2" t="s">
        <v>2080</v>
      </c>
      <c r="N645" s="2" t="s">
        <v>2081</v>
      </c>
      <c r="O645" s="56">
        <v>2881</v>
      </c>
      <c r="P645" s="2" t="s">
        <v>1131</v>
      </c>
      <c r="Q645" s="2" t="s">
        <v>1324</v>
      </c>
      <c r="R645" s="2" t="s">
        <v>2082</v>
      </c>
      <c r="S645" s="2" t="s">
        <v>2083</v>
      </c>
      <c r="T645" s="2" t="s">
        <v>1508</v>
      </c>
      <c r="U645" s="2" t="s">
        <v>2084</v>
      </c>
      <c r="V645" s="2" t="s">
        <v>2085</v>
      </c>
      <c r="W645" s="2" t="s">
        <v>2086</v>
      </c>
      <c r="X645" s="2" t="s">
        <v>2087</v>
      </c>
      <c r="Y645" s="2" t="s">
        <v>2088</v>
      </c>
      <c r="Z645" s="2" t="s">
        <v>1595</v>
      </c>
      <c r="AA645" s="2" t="s">
        <v>548</v>
      </c>
      <c r="AB645" s="2" t="s">
        <v>2089</v>
      </c>
    </row>
    <row r="646" spans="1:28" x14ac:dyDescent="0.25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59">
        <v>3341</v>
      </c>
      <c r="G646" s="59"/>
      <c r="H646" s="6">
        <v>4000</v>
      </c>
      <c r="I646" s="6">
        <f t="shared" si="49"/>
        <v>543.23144104803498</v>
      </c>
      <c r="J646" s="2" t="s">
        <v>2090</v>
      </c>
      <c r="K646" s="2">
        <v>6.87</v>
      </c>
      <c r="L646" s="2" t="s">
        <v>817</v>
      </c>
      <c r="M646" s="2" t="s">
        <v>2091</v>
      </c>
      <c r="N646" s="2" t="s">
        <v>2092</v>
      </c>
      <c r="O646" s="56">
        <v>3732</v>
      </c>
      <c r="P646" s="2" t="s">
        <v>2093</v>
      </c>
      <c r="Q646" s="2" t="s">
        <v>1275</v>
      </c>
      <c r="R646" s="2" t="s">
        <v>2094</v>
      </c>
      <c r="S646" s="2" t="s">
        <v>902</v>
      </c>
      <c r="T646" s="2" t="s">
        <v>2095</v>
      </c>
      <c r="U646" s="2" t="s">
        <v>739</v>
      </c>
      <c r="V646" s="2" t="s">
        <v>2096</v>
      </c>
      <c r="W646" s="2" t="s">
        <v>2097</v>
      </c>
      <c r="X646" s="2" t="s">
        <v>2098</v>
      </c>
      <c r="Y646" s="2" t="s">
        <v>2099</v>
      </c>
      <c r="Z646" s="2" t="s">
        <v>649</v>
      </c>
      <c r="AA646" s="2" t="s">
        <v>548</v>
      </c>
      <c r="AB646" s="2" t="s">
        <v>2100</v>
      </c>
    </row>
    <row r="647" spans="1:28" x14ac:dyDescent="0.25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59"/>
      <c r="G647" s="59"/>
      <c r="H647" s="6">
        <f>15000/6</f>
        <v>2500</v>
      </c>
      <c r="I647" s="6">
        <f t="shared" si="49"/>
        <v>232.70622286541243</v>
      </c>
      <c r="J647" s="2" t="s">
        <v>2101</v>
      </c>
      <c r="K647" s="2">
        <v>6.91</v>
      </c>
      <c r="L647" s="2" t="s">
        <v>955</v>
      </c>
      <c r="M647" s="2" t="s">
        <v>2102</v>
      </c>
      <c r="N647" s="2" t="s">
        <v>2103</v>
      </c>
      <c r="O647" s="56">
        <v>1608</v>
      </c>
      <c r="P647" s="2" t="s">
        <v>1847</v>
      </c>
      <c r="Q647" s="2" t="s">
        <v>2104</v>
      </c>
      <c r="R647" s="2" t="s">
        <v>2105</v>
      </c>
      <c r="S647" s="2" t="s">
        <v>567</v>
      </c>
      <c r="T647" s="2" t="s">
        <v>1160</v>
      </c>
      <c r="U647" s="2" t="s">
        <v>2106</v>
      </c>
      <c r="V647" s="2" t="s">
        <v>2107</v>
      </c>
      <c r="W647" s="2" t="s">
        <v>2108</v>
      </c>
      <c r="X647" s="2" t="s">
        <v>2109</v>
      </c>
      <c r="Y647" s="2" t="s">
        <v>2110</v>
      </c>
      <c r="Z647" s="2" t="s">
        <v>548</v>
      </c>
      <c r="AA647" s="2" t="s">
        <v>548</v>
      </c>
      <c r="AB647" s="2" t="s">
        <v>1877</v>
      </c>
    </row>
    <row r="648" spans="1:28" x14ac:dyDescent="0.25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59"/>
      <c r="G648" s="8"/>
      <c r="H648" s="6">
        <f t="shared" ref="H648:H653" si="51">15000/7</f>
        <v>2142.8571428571427</v>
      </c>
      <c r="I648" s="6">
        <f t="shared" si="49"/>
        <v>348.83720930232556</v>
      </c>
      <c r="J648" s="2" t="s">
        <v>2111</v>
      </c>
      <c r="K648" s="2">
        <v>7.74</v>
      </c>
      <c r="L648" s="2" t="s">
        <v>589</v>
      </c>
      <c r="M648" s="2" t="s">
        <v>2112</v>
      </c>
      <c r="N648" s="2" t="s">
        <v>2113</v>
      </c>
      <c r="O648" s="56">
        <v>2700</v>
      </c>
      <c r="P648" s="2" t="s">
        <v>2114</v>
      </c>
      <c r="Q648" s="2" t="s">
        <v>2115</v>
      </c>
      <c r="R648" s="2" t="s">
        <v>1998</v>
      </c>
      <c r="S648" s="2" t="s">
        <v>567</v>
      </c>
      <c r="T648" s="2" t="s">
        <v>2116</v>
      </c>
      <c r="U648" s="2" t="s">
        <v>995</v>
      </c>
      <c r="V648" s="2" t="s">
        <v>2117</v>
      </c>
      <c r="W648" s="2" t="s">
        <v>2118</v>
      </c>
      <c r="X648" s="2" t="s">
        <v>2119</v>
      </c>
      <c r="Y648" s="2" t="s">
        <v>2120</v>
      </c>
      <c r="Z648" s="2" t="s">
        <v>561</v>
      </c>
      <c r="AA648" s="2" t="s">
        <v>548</v>
      </c>
      <c r="AB648" s="2" t="s">
        <v>2121</v>
      </c>
    </row>
    <row r="649" spans="1:28" x14ac:dyDescent="0.25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59"/>
      <c r="G649" s="59"/>
      <c r="H649" s="6">
        <f t="shared" si="51"/>
        <v>2142.8571428571427</v>
      </c>
      <c r="I649" s="6">
        <f t="shared" si="49"/>
        <v>92.936802973977692</v>
      </c>
      <c r="J649" s="2" t="s">
        <v>2122</v>
      </c>
      <c r="K649" s="2">
        <v>2.69</v>
      </c>
      <c r="L649" s="2" t="s">
        <v>636</v>
      </c>
      <c r="M649" s="2" t="s">
        <v>1246</v>
      </c>
      <c r="N649" s="2" t="s">
        <v>45</v>
      </c>
      <c r="O649" s="79">
        <v>250</v>
      </c>
      <c r="P649" s="2" t="s">
        <v>45</v>
      </c>
      <c r="Q649" s="2" t="s">
        <v>45</v>
      </c>
      <c r="R649" s="2" t="s">
        <v>2123</v>
      </c>
      <c r="S649" s="2" t="s">
        <v>961</v>
      </c>
      <c r="T649" s="2" t="s">
        <v>685</v>
      </c>
      <c r="U649" s="2" t="s">
        <v>2124</v>
      </c>
      <c r="V649" s="2" t="s">
        <v>769</v>
      </c>
      <c r="W649" s="2" t="s">
        <v>2125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1845</v>
      </c>
    </row>
    <row r="650" spans="1:28" x14ac:dyDescent="0.25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59"/>
      <c r="G650" s="59"/>
      <c r="H650" s="6">
        <f t="shared" si="51"/>
        <v>2142.8571428571427</v>
      </c>
      <c r="I650" s="6">
        <f t="shared" si="49"/>
        <v>252.41379310344828</v>
      </c>
      <c r="J650" s="2" t="s">
        <v>2126</v>
      </c>
      <c r="K650" s="2">
        <v>5.8</v>
      </c>
      <c r="L650" s="2" t="s">
        <v>678</v>
      </c>
      <c r="M650" s="2" t="s">
        <v>2127</v>
      </c>
      <c r="N650" s="2" t="s">
        <v>2128</v>
      </c>
      <c r="O650" s="79">
        <v>1464</v>
      </c>
      <c r="P650" s="2" t="s">
        <v>993</v>
      </c>
      <c r="Q650" s="2" t="s">
        <v>2129</v>
      </c>
      <c r="R650" s="2" t="s">
        <v>1192</v>
      </c>
      <c r="S650" s="2" t="s">
        <v>658</v>
      </c>
      <c r="T650" s="2" t="s">
        <v>1058</v>
      </c>
      <c r="U650" s="2" t="s">
        <v>1856</v>
      </c>
      <c r="V650" s="2" t="s">
        <v>2130</v>
      </c>
      <c r="W650" s="2" t="s">
        <v>2131</v>
      </c>
      <c r="X650" s="2" t="s">
        <v>2132</v>
      </c>
      <c r="Y650" s="2" t="s">
        <v>2133</v>
      </c>
      <c r="Z650" s="2" t="s">
        <v>602</v>
      </c>
      <c r="AA650" s="2" t="s">
        <v>548</v>
      </c>
      <c r="AB650" s="2" t="s">
        <v>2134</v>
      </c>
    </row>
    <row r="651" spans="1:28" x14ac:dyDescent="0.25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59"/>
      <c r="G651" s="59"/>
      <c r="H651" s="6">
        <f t="shared" si="51"/>
        <v>2142.8571428571427</v>
      </c>
      <c r="I651" s="6">
        <f t="shared" si="49"/>
        <v>409.73451327433628</v>
      </c>
      <c r="J651" s="2" t="s">
        <v>2135</v>
      </c>
      <c r="K651" s="2">
        <v>6.78</v>
      </c>
      <c r="L651" s="2" t="s">
        <v>706</v>
      </c>
      <c r="M651" s="2" t="s">
        <v>2136</v>
      </c>
      <c r="N651" s="2" t="s">
        <v>2137</v>
      </c>
      <c r="O651" s="56">
        <v>2778</v>
      </c>
      <c r="P651" s="2" t="s">
        <v>1333</v>
      </c>
      <c r="Q651" s="2" t="s">
        <v>2138</v>
      </c>
      <c r="R651" s="2" t="s">
        <v>1628</v>
      </c>
      <c r="S651" s="2" t="s">
        <v>961</v>
      </c>
      <c r="T651" s="2" t="s">
        <v>809</v>
      </c>
      <c r="U651" s="2" t="s">
        <v>2139</v>
      </c>
      <c r="V651" s="2" t="s">
        <v>1538</v>
      </c>
      <c r="W651" s="2" t="s">
        <v>2140</v>
      </c>
      <c r="X651" s="2" t="s">
        <v>2141</v>
      </c>
      <c r="Y651" s="2" t="s">
        <v>2142</v>
      </c>
      <c r="Z651" s="2" t="s">
        <v>602</v>
      </c>
      <c r="AA651" s="2" t="s">
        <v>548</v>
      </c>
      <c r="AB651" s="2" t="s">
        <v>2143</v>
      </c>
    </row>
    <row r="652" spans="1:28" x14ac:dyDescent="0.25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59"/>
      <c r="G652" s="59"/>
      <c r="H652" s="6">
        <f t="shared" si="51"/>
        <v>2142.8571428571427</v>
      </c>
      <c r="I652" s="6">
        <f t="shared" si="49"/>
        <v>253.32369942196533</v>
      </c>
      <c r="J652" s="2" t="s">
        <v>2090</v>
      </c>
      <c r="K652" s="2">
        <v>6.92</v>
      </c>
      <c r="L652" s="2" t="s">
        <v>1321</v>
      </c>
      <c r="M652" s="2" t="s">
        <v>2144</v>
      </c>
      <c r="N652" s="2" t="s">
        <v>2145</v>
      </c>
      <c r="O652" s="56">
        <v>1753</v>
      </c>
      <c r="P652" s="2" t="s">
        <v>2146</v>
      </c>
      <c r="Q652" s="2" t="s">
        <v>2147</v>
      </c>
      <c r="R652" s="2" t="s">
        <v>2148</v>
      </c>
      <c r="S652" s="2" t="s">
        <v>961</v>
      </c>
      <c r="T652" s="2" t="s">
        <v>2149</v>
      </c>
      <c r="U652" s="2" t="s">
        <v>1406</v>
      </c>
      <c r="V652" s="2" t="s">
        <v>2150</v>
      </c>
      <c r="W652" s="2" t="s">
        <v>2151</v>
      </c>
      <c r="X652" s="2" t="s">
        <v>2152</v>
      </c>
      <c r="Y652" s="2" t="s">
        <v>2153</v>
      </c>
      <c r="Z652" s="2" t="s">
        <v>618</v>
      </c>
      <c r="AA652" s="2" t="s">
        <v>548</v>
      </c>
      <c r="AB652" s="2" t="s">
        <v>2154</v>
      </c>
    </row>
    <row r="653" spans="1:28" x14ac:dyDescent="0.25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59"/>
      <c r="G653" s="59"/>
      <c r="H653" s="6">
        <f t="shared" si="51"/>
        <v>2142.8571428571427</v>
      </c>
      <c r="I653" s="6">
        <f t="shared" si="49"/>
        <v>401.37681159420288</v>
      </c>
      <c r="J653" s="2" t="s">
        <v>1701</v>
      </c>
      <c r="K653" s="2">
        <v>13.8</v>
      </c>
      <c r="L653" s="2" t="s">
        <v>817</v>
      </c>
      <c r="M653" s="2" t="s">
        <v>2155</v>
      </c>
      <c r="N653" s="2" t="s">
        <v>2156</v>
      </c>
      <c r="O653" s="56">
        <v>5539</v>
      </c>
      <c r="P653" s="2" t="s">
        <v>2157</v>
      </c>
      <c r="Q653" s="2" t="s">
        <v>2158</v>
      </c>
      <c r="R653" s="2" t="s">
        <v>2159</v>
      </c>
      <c r="S653" s="2" t="s">
        <v>747</v>
      </c>
      <c r="T653" s="2" t="s">
        <v>2160</v>
      </c>
      <c r="U653" s="2" t="s">
        <v>2161</v>
      </c>
      <c r="V653" s="2" t="s">
        <v>2162</v>
      </c>
      <c r="W653" s="2" t="s">
        <v>2163</v>
      </c>
      <c r="X653" s="2" t="s">
        <v>2164</v>
      </c>
      <c r="Y653" s="2" t="s">
        <v>2165</v>
      </c>
      <c r="Z653" s="2" t="s">
        <v>580</v>
      </c>
      <c r="AA653" s="2" t="s">
        <v>548</v>
      </c>
      <c r="AB653" s="2" t="s">
        <v>2166</v>
      </c>
    </row>
    <row r="654" spans="1:28" x14ac:dyDescent="0.25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59">
        <v>2749</v>
      </c>
      <c r="G654" s="59"/>
      <c r="H654" s="6">
        <v>4000</v>
      </c>
      <c r="I654" s="6">
        <f t="shared" si="49"/>
        <v>498.69960988296486</v>
      </c>
      <c r="J654" s="2" t="s">
        <v>2167</v>
      </c>
      <c r="K654" s="2">
        <v>7.69</v>
      </c>
      <c r="L654" s="2" t="s">
        <v>734</v>
      </c>
      <c r="M654" s="2" t="s">
        <v>2168</v>
      </c>
      <c r="N654" s="2" t="s">
        <v>2169</v>
      </c>
      <c r="O654" s="56">
        <v>3835</v>
      </c>
      <c r="P654" s="2" t="s">
        <v>2170</v>
      </c>
      <c r="Q654" s="2" t="s">
        <v>2171</v>
      </c>
      <c r="R654" s="2" t="s">
        <v>2172</v>
      </c>
      <c r="S654" s="2" t="s">
        <v>658</v>
      </c>
      <c r="T654" s="2" t="s">
        <v>1303</v>
      </c>
      <c r="U654" s="2" t="s">
        <v>2173</v>
      </c>
      <c r="V654" s="2" t="s">
        <v>2174</v>
      </c>
      <c r="W654" s="2" t="s">
        <v>2175</v>
      </c>
      <c r="X654" s="2" t="s">
        <v>2176</v>
      </c>
      <c r="Y654" s="2" t="s">
        <v>2177</v>
      </c>
      <c r="Z654" s="2" t="s">
        <v>548</v>
      </c>
      <c r="AA654" s="2" t="s">
        <v>548</v>
      </c>
      <c r="AB654" s="2" t="s">
        <v>2100</v>
      </c>
    </row>
    <row r="655" spans="1:28" x14ac:dyDescent="0.25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59"/>
      <c r="G655" s="59"/>
      <c r="H655" s="6">
        <f t="shared" ref="H655:H661" si="52">15000/7</f>
        <v>2142.8571428571427</v>
      </c>
      <c r="I655" s="6">
        <f t="shared" si="49"/>
        <v>304.51977401129943</v>
      </c>
      <c r="J655" s="2" t="s">
        <v>1585</v>
      </c>
      <c r="K655" s="2">
        <v>7.08</v>
      </c>
      <c r="L655" s="2" t="s">
        <v>636</v>
      </c>
      <c r="M655" s="2" t="s">
        <v>2178</v>
      </c>
      <c r="N655" s="2" t="s">
        <v>2179</v>
      </c>
      <c r="O655" s="56">
        <v>2156</v>
      </c>
      <c r="P655" s="2" t="s">
        <v>2180</v>
      </c>
      <c r="Q655" s="2" t="s">
        <v>1955</v>
      </c>
      <c r="R655" s="2" t="s">
        <v>2181</v>
      </c>
      <c r="S655" s="2" t="s">
        <v>1256</v>
      </c>
      <c r="T655" s="2" t="s">
        <v>1097</v>
      </c>
      <c r="U655" s="2" t="s">
        <v>2182</v>
      </c>
      <c r="V655" s="2" t="s">
        <v>2183</v>
      </c>
      <c r="W655" s="2" t="s">
        <v>2184</v>
      </c>
      <c r="X655" s="2" t="s">
        <v>2185</v>
      </c>
      <c r="Y655" s="2" t="s">
        <v>2186</v>
      </c>
      <c r="Z655" s="2" t="s">
        <v>548</v>
      </c>
      <c r="AA655" s="2" t="s">
        <v>548</v>
      </c>
      <c r="AB655" s="2" t="s">
        <v>1877</v>
      </c>
    </row>
    <row r="656" spans="1:28" x14ac:dyDescent="0.25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59"/>
      <c r="G656" s="8"/>
      <c r="H656" s="6">
        <f t="shared" si="52"/>
        <v>2142.8571428571427</v>
      </c>
      <c r="I656" s="6">
        <f t="shared" si="49"/>
        <v>207.52895752895753</v>
      </c>
      <c r="J656" s="2" t="s">
        <v>2187</v>
      </c>
      <c r="K656" s="2">
        <v>5.18</v>
      </c>
      <c r="L656" s="2" t="s">
        <v>585</v>
      </c>
      <c r="M656" s="2" t="s">
        <v>2188</v>
      </c>
      <c r="N656" s="2" t="s">
        <v>2189</v>
      </c>
      <c r="O656" s="56">
        <v>1075</v>
      </c>
      <c r="P656" s="2" t="s">
        <v>2190</v>
      </c>
      <c r="Q656" s="2" t="s">
        <v>2191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2192</v>
      </c>
      <c r="W656" s="2" t="s">
        <v>2193</v>
      </c>
      <c r="X656" s="2" t="s">
        <v>2194</v>
      </c>
      <c r="Y656" s="2" t="s">
        <v>2195</v>
      </c>
      <c r="Z656" s="2" t="s">
        <v>579</v>
      </c>
      <c r="AA656" s="2" t="s">
        <v>548</v>
      </c>
      <c r="AB656" s="2" t="s">
        <v>2196</v>
      </c>
    </row>
    <row r="657" spans="1:28" x14ac:dyDescent="0.25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59"/>
      <c r="G657" s="59"/>
      <c r="H657" s="6">
        <f t="shared" si="52"/>
        <v>2142.8571428571427</v>
      </c>
      <c r="I657" s="6">
        <f t="shared" si="49"/>
        <v>263.60544217687078</v>
      </c>
      <c r="J657" s="2" t="s">
        <v>830</v>
      </c>
      <c r="K657" s="2">
        <v>2.94</v>
      </c>
      <c r="L657" s="2" t="s">
        <v>636</v>
      </c>
      <c r="M657" s="2" t="s">
        <v>2197</v>
      </c>
      <c r="N657" s="2" t="s">
        <v>45</v>
      </c>
      <c r="O657" s="79">
        <v>775</v>
      </c>
      <c r="P657" s="2" t="s">
        <v>45</v>
      </c>
      <c r="Q657" s="2" t="s">
        <v>45</v>
      </c>
      <c r="R657" s="2" t="s">
        <v>2198</v>
      </c>
      <c r="S657" s="2" t="s">
        <v>567</v>
      </c>
      <c r="T657" s="2" t="s">
        <v>2199</v>
      </c>
      <c r="U657" s="2" t="s">
        <v>2200</v>
      </c>
      <c r="V657" s="2" t="s">
        <v>2201</v>
      </c>
      <c r="W657" s="2" t="s">
        <v>2202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1845</v>
      </c>
    </row>
    <row r="658" spans="1:28" x14ac:dyDescent="0.25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59"/>
      <c r="G658" s="59"/>
      <c r="H658" s="6">
        <f t="shared" si="52"/>
        <v>2142.8571428571427</v>
      </c>
      <c r="I658" s="6">
        <f t="shared" si="49"/>
        <v>373.11233885819524</v>
      </c>
      <c r="J658" s="2" t="s">
        <v>1091</v>
      </c>
      <c r="K658" s="2">
        <v>5.43</v>
      </c>
      <c r="L658" s="2" t="s">
        <v>777</v>
      </c>
      <c r="M658" s="2" t="s">
        <v>2203</v>
      </c>
      <c r="N658" s="2" t="s">
        <v>2204</v>
      </c>
      <c r="O658" s="79">
        <v>2026</v>
      </c>
      <c r="P658" s="2" t="s">
        <v>1189</v>
      </c>
      <c r="Q658" s="2" t="s">
        <v>2205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2206</v>
      </c>
      <c r="W658" s="2" t="s">
        <v>2207</v>
      </c>
      <c r="X658" s="2" t="s">
        <v>2208</v>
      </c>
      <c r="Y658" s="2" t="s">
        <v>2209</v>
      </c>
      <c r="Z658" s="2" t="s">
        <v>649</v>
      </c>
      <c r="AA658" s="2" t="s">
        <v>548</v>
      </c>
      <c r="AB658" s="2" t="s">
        <v>2210</v>
      </c>
    </row>
    <row r="659" spans="1:28" x14ac:dyDescent="0.25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59"/>
      <c r="G659" s="59"/>
      <c r="H659" s="6">
        <f t="shared" si="52"/>
        <v>2142.8571428571427</v>
      </c>
      <c r="I659" s="6">
        <f t="shared" si="49"/>
        <v>441.40969162995594</v>
      </c>
      <c r="J659" s="2" t="s">
        <v>2211</v>
      </c>
      <c r="K659" s="2">
        <v>4.54</v>
      </c>
      <c r="L659" s="2" t="s">
        <v>2212</v>
      </c>
      <c r="M659" s="2" t="s">
        <v>2213</v>
      </c>
      <c r="N659" s="2" t="s">
        <v>2214</v>
      </c>
      <c r="O659" s="56">
        <v>2004</v>
      </c>
      <c r="P659" s="2" t="s">
        <v>592</v>
      </c>
      <c r="Q659" s="2" t="s">
        <v>1905</v>
      </c>
      <c r="R659" s="2" t="s">
        <v>2215</v>
      </c>
      <c r="S659" s="2" t="s">
        <v>627</v>
      </c>
      <c r="T659" s="2" t="s">
        <v>738</v>
      </c>
      <c r="U659" s="2" t="s">
        <v>2216</v>
      </c>
      <c r="V659" s="2" t="s">
        <v>1200</v>
      </c>
      <c r="W659" s="2" t="s">
        <v>2217</v>
      </c>
      <c r="X659" s="2" t="s">
        <v>2218</v>
      </c>
      <c r="Y659" s="2" t="s">
        <v>2219</v>
      </c>
      <c r="Z659" s="2" t="s">
        <v>649</v>
      </c>
      <c r="AA659" s="2" t="s">
        <v>548</v>
      </c>
      <c r="AB659" s="2" t="s">
        <v>2220</v>
      </c>
    </row>
    <row r="660" spans="1:28" x14ac:dyDescent="0.25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59"/>
      <c r="G660" s="59"/>
      <c r="H660" s="6">
        <f t="shared" si="52"/>
        <v>2142.8571428571427</v>
      </c>
      <c r="I660" s="6">
        <f t="shared" si="49"/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2221</v>
      </c>
      <c r="O660" s="56">
        <v>800</v>
      </c>
      <c r="P660" s="2" t="s">
        <v>2222</v>
      </c>
      <c r="Q660" s="2" t="s">
        <v>2223</v>
      </c>
      <c r="R660" s="2" t="s">
        <v>1768</v>
      </c>
      <c r="S660" s="2" t="s">
        <v>627</v>
      </c>
      <c r="T660" s="2" t="s">
        <v>839</v>
      </c>
      <c r="U660" s="2" t="s">
        <v>2198</v>
      </c>
      <c r="V660" s="2" t="s">
        <v>2224</v>
      </c>
      <c r="W660" s="2" t="s">
        <v>2225</v>
      </c>
      <c r="X660" s="2" t="s">
        <v>2226</v>
      </c>
      <c r="Y660" s="2" t="s">
        <v>2227</v>
      </c>
      <c r="Z660" s="2" t="s">
        <v>548</v>
      </c>
      <c r="AA660" s="2" t="s">
        <v>548</v>
      </c>
      <c r="AB660" s="2" t="s">
        <v>2228</v>
      </c>
    </row>
    <row r="661" spans="1:28" x14ac:dyDescent="0.25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59"/>
      <c r="G661" s="59"/>
      <c r="H661" s="6">
        <f t="shared" si="52"/>
        <v>2142.8571428571427</v>
      </c>
      <c r="I661" s="6">
        <f t="shared" si="49"/>
        <v>482.28021978021974</v>
      </c>
      <c r="J661" s="2" t="s">
        <v>2229</v>
      </c>
      <c r="K661" s="2">
        <v>7.28</v>
      </c>
      <c r="L661" s="2" t="s">
        <v>618</v>
      </c>
      <c r="M661" s="2" t="s">
        <v>1029</v>
      </c>
      <c r="N661" s="2" t="s">
        <v>2230</v>
      </c>
      <c r="O661" s="56">
        <v>3511</v>
      </c>
      <c r="P661" s="2" t="s">
        <v>2231</v>
      </c>
      <c r="Q661" s="2" t="s">
        <v>1440</v>
      </c>
      <c r="R661" s="2" t="s">
        <v>2232</v>
      </c>
      <c r="S661" s="2" t="s">
        <v>685</v>
      </c>
      <c r="T661" s="2" t="s">
        <v>1841</v>
      </c>
      <c r="U661" s="2" t="s">
        <v>2233</v>
      </c>
      <c r="V661" s="2" t="s">
        <v>2234</v>
      </c>
      <c r="W661" s="2" t="s">
        <v>2235</v>
      </c>
      <c r="X661" s="2" t="s">
        <v>2236</v>
      </c>
      <c r="Y661" s="2" t="s">
        <v>2237</v>
      </c>
      <c r="Z661" s="2" t="s">
        <v>649</v>
      </c>
      <c r="AA661" s="2" t="s">
        <v>548</v>
      </c>
      <c r="AB661" s="2" t="s">
        <v>2238</v>
      </c>
    </row>
    <row r="662" spans="1:28" x14ac:dyDescent="0.25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59">
        <v>2200</v>
      </c>
      <c r="G662" s="59"/>
      <c r="H662" s="6">
        <v>4000</v>
      </c>
      <c r="I662" s="6">
        <f t="shared" si="49"/>
        <v>554.97737556561083</v>
      </c>
      <c r="J662" s="2" t="s">
        <v>791</v>
      </c>
      <c r="K662" s="2">
        <v>4.42</v>
      </c>
      <c r="L662" s="2" t="s">
        <v>1255</v>
      </c>
      <c r="M662" s="2" t="s">
        <v>2239</v>
      </c>
      <c r="N662" s="2" t="s">
        <v>2240</v>
      </c>
      <c r="O662" s="56">
        <v>2453</v>
      </c>
      <c r="P662" s="2" t="s">
        <v>1731</v>
      </c>
      <c r="Q662" s="2" t="s">
        <v>2241</v>
      </c>
      <c r="R662" s="2" t="s">
        <v>1619</v>
      </c>
      <c r="S662" s="2" t="s">
        <v>595</v>
      </c>
      <c r="T662" s="2" t="s">
        <v>2242</v>
      </c>
      <c r="U662" s="2" t="s">
        <v>1976</v>
      </c>
      <c r="V662" s="2" t="s">
        <v>2243</v>
      </c>
      <c r="W662" s="2" t="s">
        <v>2244</v>
      </c>
      <c r="X662" s="2" t="s">
        <v>2245</v>
      </c>
      <c r="Y662" s="2" t="s">
        <v>2246</v>
      </c>
      <c r="Z662" s="2" t="s">
        <v>649</v>
      </c>
      <c r="AA662" s="2" t="s">
        <v>548</v>
      </c>
      <c r="AB662" s="2" t="s">
        <v>1390</v>
      </c>
    </row>
    <row r="663" spans="1:28" x14ac:dyDescent="0.25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59"/>
      <c r="G663" s="59"/>
      <c r="H663" s="6">
        <f>15000/7</f>
        <v>2142.8571428571427</v>
      </c>
      <c r="I663" s="6">
        <f t="shared" si="49"/>
        <v>148.90387858347387</v>
      </c>
      <c r="J663" s="2" t="s">
        <v>2247</v>
      </c>
      <c r="K663" s="2">
        <v>5.93</v>
      </c>
      <c r="L663" s="2" t="s">
        <v>602</v>
      </c>
      <c r="M663" s="2" t="s">
        <v>2248</v>
      </c>
      <c r="N663" s="2" t="s">
        <v>2249</v>
      </c>
      <c r="O663" s="56">
        <v>883</v>
      </c>
      <c r="P663" s="2" t="s">
        <v>746</v>
      </c>
      <c r="Q663" s="2" t="s">
        <v>2027</v>
      </c>
      <c r="R663" s="2" t="s">
        <v>2250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2251</v>
      </c>
      <c r="X663" s="2" t="s">
        <v>2252</v>
      </c>
      <c r="Y663" s="2" t="s">
        <v>2253</v>
      </c>
      <c r="Z663" s="2" t="s">
        <v>548</v>
      </c>
      <c r="AA663" s="2" t="s">
        <v>548</v>
      </c>
      <c r="AB663" s="2" t="s">
        <v>1877</v>
      </c>
    </row>
    <row r="664" spans="1:28" x14ac:dyDescent="0.25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59"/>
      <c r="G664" s="8"/>
      <c r="H664" s="6"/>
      <c r="I664" s="6">
        <f t="shared" si="49"/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5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2193</v>
      </c>
      <c r="X664" s="2" t="s">
        <v>2194</v>
      </c>
      <c r="Y664" s="2" t="s">
        <v>2195</v>
      </c>
      <c r="Z664" s="2" t="s">
        <v>548</v>
      </c>
      <c r="AA664" s="2" t="s">
        <v>45</v>
      </c>
      <c r="AB664" s="2" t="s">
        <v>2196</v>
      </c>
    </row>
    <row r="665" spans="1:28" x14ac:dyDescent="0.25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59"/>
      <c r="G665" s="59"/>
      <c r="H665" s="6"/>
      <c r="I665" s="6">
        <f t="shared" si="49"/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79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2202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1845</v>
      </c>
    </row>
    <row r="666" spans="1:28" x14ac:dyDescent="0.25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59"/>
      <c r="G666" s="59"/>
      <c r="H666" s="6"/>
      <c r="I666" s="6">
        <f t="shared" si="49"/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79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8" x14ac:dyDescent="0.25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59"/>
      <c r="G667" s="59"/>
      <c r="H667" s="6"/>
      <c r="I667" s="6">
        <f t="shared" si="49"/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5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2217</v>
      </c>
      <c r="X667" s="2" t="s">
        <v>2218</v>
      </c>
      <c r="Y667" s="2" t="s">
        <v>2219</v>
      </c>
      <c r="Z667" s="2" t="s">
        <v>548</v>
      </c>
      <c r="AA667" s="2" t="s">
        <v>45</v>
      </c>
      <c r="AB667" s="2" t="s">
        <v>2220</v>
      </c>
    </row>
    <row r="668" spans="1:28" x14ac:dyDescent="0.25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59"/>
      <c r="G668" s="59"/>
      <c r="H668" s="6"/>
      <c r="I668" s="6">
        <f t="shared" ref="I668:I731" si="53">IFERROR(O668/K668,)</f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5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8" x14ac:dyDescent="0.25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59"/>
      <c r="G669" s="59"/>
      <c r="H669" s="6"/>
      <c r="I669" s="6">
        <f t="shared" si="53"/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5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8" x14ac:dyDescent="0.25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59"/>
      <c r="G670" s="59"/>
      <c r="H670" s="6"/>
      <c r="I670" s="6">
        <f t="shared" si="53"/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5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2244</v>
      </c>
      <c r="X670" s="2" t="s">
        <v>2245</v>
      </c>
      <c r="Y670" s="2" t="s">
        <v>2246</v>
      </c>
      <c r="Z670" s="2" t="s">
        <v>548</v>
      </c>
      <c r="AA670" s="2" t="s">
        <v>45</v>
      </c>
      <c r="AB670" s="2" t="s">
        <v>1390</v>
      </c>
    </row>
    <row r="671" spans="1:28" x14ac:dyDescent="0.25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59"/>
      <c r="G671" s="59"/>
      <c r="H671" s="6"/>
      <c r="I671" s="6">
        <f t="shared" si="53"/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5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8" x14ac:dyDescent="0.25">
      <c r="A672" s="4">
        <v>46230</v>
      </c>
      <c r="B672" s="8" t="s">
        <v>2254</v>
      </c>
      <c r="C672" s="8" t="s">
        <v>36</v>
      </c>
      <c r="D672" s="8" t="s">
        <v>39</v>
      </c>
      <c r="E672" s="8" t="s">
        <v>47</v>
      </c>
      <c r="F672" s="59"/>
      <c r="G672" s="59"/>
      <c r="H672" s="6">
        <f>15000/6</f>
        <v>2500</v>
      </c>
      <c r="I672" s="6">
        <f t="shared" si="53"/>
        <v>272.16174183514778</v>
      </c>
      <c r="J672" s="2" t="s">
        <v>1862</v>
      </c>
      <c r="K672" s="2">
        <v>6.43</v>
      </c>
      <c r="L672" s="2" t="s">
        <v>1187</v>
      </c>
      <c r="M672" s="2" t="s">
        <v>2255</v>
      </c>
      <c r="N672" s="2" t="s">
        <v>2256</v>
      </c>
      <c r="O672" s="56">
        <v>1750</v>
      </c>
      <c r="P672" s="2" t="s">
        <v>1172</v>
      </c>
      <c r="Q672" s="2" t="s">
        <v>2257</v>
      </c>
      <c r="R672" s="2" t="s">
        <v>1260</v>
      </c>
      <c r="S672" s="2" t="s">
        <v>737</v>
      </c>
      <c r="T672" s="2" t="s">
        <v>1374</v>
      </c>
      <c r="U672" s="2" t="s">
        <v>1351</v>
      </c>
      <c r="V672" s="2" t="s">
        <v>1184</v>
      </c>
      <c r="W672" s="2" t="s">
        <v>2258</v>
      </c>
      <c r="X672" s="2" t="s">
        <v>2259</v>
      </c>
      <c r="Y672" s="2" t="s">
        <v>2260</v>
      </c>
      <c r="Z672" s="2" t="s">
        <v>649</v>
      </c>
      <c r="AA672" s="2" t="s">
        <v>548</v>
      </c>
      <c r="AB672" s="2" t="s">
        <v>2261</v>
      </c>
    </row>
    <row r="673" spans="1:28" x14ac:dyDescent="0.25">
      <c r="A673" s="4">
        <v>46230</v>
      </c>
      <c r="B673" s="8" t="s">
        <v>55</v>
      </c>
      <c r="C673" s="8" t="s">
        <v>56</v>
      </c>
      <c r="D673" s="8" t="s">
        <v>43</v>
      </c>
      <c r="E673" s="8" t="s">
        <v>47</v>
      </c>
      <c r="F673" s="8"/>
      <c r="G673" s="8" t="s">
        <v>146</v>
      </c>
      <c r="H673" s="6"/>
      <c r="I673" s="6">
        <f t="shared" si="53"/>
        <v>0</v>
      </c>
      <c r="J673" s="2" t="s">
        <v>45</v>
      </c>
      <c r="K673" s="2" t="s">
        <v>45</v>
      </c>
      <c r="L673" s="2" t="s">
        <v>45</v>
      </c>
      <c r="M673" s="2" t="s">
        <v>45</v>
      </c>
      <c r="N673" s="2" t="s">
        <v>45</v>
      </c>
      <c r="O673" s="77" t="s">
        <v>45</v>
      </c>
      <c r="P673" s="2" t="s">
        <v>45</v>
      </c>
      <c r="Q673" s="2" t="s">
        <v>45</v>
      </c>
      <c r="R673" s="2" t="s">
        <v>45</v>
      </c>
      <c r="S673" s="2" t="s">
        <v>45</v>
      </c>
      <c r="T673" s="2" t="s">
        <v>45</v>
      </c>
      <c r="U673" s="2" t="s">
        <v>45</v>
      </c>
      <c r="V673" s="2" t="s">
        <v>45</v>
      </c>
      <c r="W673" s="2" t="s">
        <v>45</v>
      </c>
      <c r="X673" s="2" t="s">
        <v>45</v>
      </c>
      <c r="Y673" s="2" t="s">
        <v>45</v>
      </c>
      <c r="Z673" s="2" t="s">
        <v>45</v>
      </c>
      <c r="AA673" s="2" t="s">
        <v>45</v>
      </c>
      <c r="AB673" s="2" t="s">
        <v>45</v>
      </c>
    </row>
    <row r="674" spans="1:28" x14ac:dyDescent="0.25">
      <c r="A674" s="4">
        <v>46230</v>
      </c>
      <c r="B674" s="8" t="s">
        <v>2254</v>
      </c>
      <c r="C674" s="8" t="s">
        <v>36</v>
      </c>
      <c r="D674" s="8" t="s">
        <v>67</v>
      </c>
      <c r="E674" s="8" t="s">
        <v>47</v>
      </c>
      <c r="F674" s="13"/>
      <c r="G674" s="59"/>
      <c r="H674" s="6">
        <f>15000/6</f>
        <v>2500</v>
      </c>
      <c r="I674" s="6">
        <f t="shared" si="53"/>
        <v>312.39892183288407</v>
      </c>
      <c r="J674" s="2" t="s">
        <v>2262</v>
      </c>
      <c r="K674" s="2">
        <v>11.13</v>
      </c>
      <c r="L674" s="2" t="s">
        <v>693</v>
      </c>
      <c r="M674" s="2" t="s">
        <v>1264</v>
      </c>
      <c r="N674" s="2" t="s">
        <v>2263</v>
      </c>
      <c r="O674" s="56">
        <v>3477</v>
      </c>
      <c r="P674" s="2" t="s">
        <v>1066</v>
      </c>
      <c r="Q674" s="2" t="s">
        <v>1206</v>
      </c>
      <c r="R674" s="2" t="s">
        <v>2264</v>
      </c>
      <c r="S674" s="2" t="s">
        <v>737</v>
      </c>
      <c r="T674" s="2" t="s">
        <v>2265</v>
      </c>
      <c r="U674" s="2" t="s">
        <v>1586</v>
      </c>
      <c r="V674" s="2" t="s">
        <v>2266</v>
      </c>
      <c r="W674" s="2" t="s">
        <v>2267</v>
      </c>
      <c r="X674" s="2" t="s">
        <v>2268</v>
      </c>
      <c r="Y674" s="2" t="s">
        <v>2269</v>
      </c>
      <c r="Z674" s="2" t="s">
        <v>800</v>
      </c>
      <c r="AA674" s="2" t="s">
        <v>548</v>
      </c>
      <c r="AB674" s="2" t="s">
        <v>2270</v>
      </c>
    </row>
    <row r="675" spans="1:28" x14ac:dyDescent="0.25">
      <c r="A675" s="4">
        <v>46230</v>
      </c>
      <c r="B675" s="8" t="s">
        <v>2254</v>
      </c>
      <c r="C675" s="8" t="s">
        <v>36</v>
      </c>
      <c r="D675" s="8" t="s">
        <v>50</v>
      </c>
      <c r="E675" s="8" t="s">
        <v>47</v>
      </c>
      <c r="F675" s="13"/>
      <c r="G675" s="59"/>
      <c r="H675" s="6">
        <f>15000/6</f>
        <v>2500</v>
      </c>
      <c r="I675" s="6">
        <f t="shared" si="53"/>
        <v>219.91017964071858</v>
      </c>
      <c r="J675" s="2" t="s">
        <v>954</v>
      </c>
      <c r="K675" s="2">
        <v>6.68</v>
      </c>
      <c r="L675" s="2" t="s">
        <v>1696</v>
      </c>
      <c r="M675" s="2" t="s">
        <v>2271</v>
      </c>
      <c r="N675" s="2" t="s">
        <v>2272</v>
      </c>
      <c r="O675" s="56">
        <v>1469</v>
      </c>
      <c r="P675" s="2" t="s">
        <v>2273</v>
      </c>
      <c r="Q675" s="2" t="s">
        <v>656</v>
      </c>
      <c r="R675" s="2" t="s">
        <v>1443</v>
      </c>
      <c r="S675" s="2" t="s">
        <v>749</v>
      </c>
      <c r="T675" s="2" t="s">
        <v>749</v>
      </c>
      <c r="U675" s="2" t="s">
        <v>1406</v>
      </c>
      <c r="V675" s="2" t="s">
        <v>2274</v>
      </c>
      <c r="W675" s="2" t="s">
        <v>2275</v>
      </c>
      <c r="X675" s="2" t="s">
        <v>2276</v>
      </c>
      <c r="Y675" s="2" t="s">
        <v>2277</v>
      </c>
      <c r="Z675" s="2" t="s">
        <v>998</v>
      </c>
      <c r="AA675" s="2" t="s">
        <v>548</v>
      </c>
      <c r="AB675" s="2" t="s">
        <v>2278</v>
      </c>
    </row>
    <row r="676" spans="1:28" x14ac:dyDescent="0.25">
      <c r="A676" s="4">
        <v>46230</v>
      </c>
      <c r="B676" s="8" t="s">
        <v>2254</v>
      </c>
      <c r="C676" s="8" t="s">
        <v>36</v>
      </c>
      <c r="D676" s="8" t="s">
        <v>52</v>
      </c>
      <c r="E676" s="8" t="s">
        <v>47</v>
      </c>
      <c r="F676" s="13"/>
      <c r="G676" s="59"/>
      <c r="H676" s="6">
        <f>15000/6</f>
        <v>2500</v>
      </c>
      <c r="I676" s="6">
        <f t="shared" si="53"/>
        <v>303.23014804845224</v>
      </c>
      <c r="J676" s="2" t="s">
        <v>2279</v>
      </c>
      <c r="K676" s="2">
        <v>7.43</v>
      </c>
      <c r="L676" s="2" t="s">
        <v>618</v>
      </c>
      <c r="M676" s="2" t="s">
        <v>2280</v>
      </c>
      <c r="N676" s="2" t="s">
        <v>2281</v>
      </c>
      <c r="O676" s="56">
        <v>2253</v>
      </c>
      <c r="P676" s="2" t="s">
        <v>1274</v>
      </c>
      <c r="Q676" s="2" t="s">
        <v>1334</v>
      </c>
      <c r="R676" s="2" t="s">
        <v>1918</v>
      </c>
      <c r="S676" s="2" t="s">
        <v>582</v>
      </c>
      <c r="T676" s="2" t="s">
        <v>869</v>
      </c>
      <c r="U676" s="2" t="s">
        <v>920</v>
      </c>
      <c r="V676" s="2" t="s">
        <v>2282</v>
      </c>
      <c r="W676" s="2" t="s">
        <v>2283</v>
      </c>
      <c r="X676" s="2" t="s">
        <v>2284</v>
      </c>
      <c r="Y676" s="2" t="s">
        <v>2285</v>
      </c>
      <c r="Z676" s="2" t="s">
        <v>548</v>
      </c>
      <c r="AA676" s="2" t="s">
        <v>548</v>
      </c>
      <c r="AB676" s="2" t="s">
        <v>2228</v>
      </c>
    </row>
    <row r="677" spans="1:28" x14ac:dyDescent="0.25">
      <c r="A677" s="4">
        <v>46230</v>
      </c>
      <c r="B677" s="8" t="s">
        <v>2254</v>
      </c>
      <c r="C677" s="8" t="s">
        <v>36</v>
      </c>
      <c r="D677" s="7" t="s">
        <v>46</v>
      </c>
      <c r="E677" s="7" t="s">
        <v>47</v>
      </c>
      <c r="F677" s="13"/>
      <c r="G677" s="59"/>
      <c r="H677" s="6">
        <f>15000/6</f>
        <v>2500</v>
      </c>
      <c r="I677" s="6">
        <f t="shared" si="53"/>
        <v>511.89979123173276</v>
      </c>
      <c r="J677" s="2" t="s">
        <v>2286</v>
      </c>
      <c r="K677" s="2">
        <v>4.79</v>
      </c>
      <c r="L677" s="2" t="s">
        <v>2287</v>
      </c>
      <c r="M677" s="2" t="s">
        <v>2288</v>
      </c>
      <c r="N677" s="2" t="s">
        <v>2289</v>
      </c>
      <c r="O677" s="56">
        <v>2452</v>
      </c>
      <c r="P677" s="2" t="s">
        <v>713</v>
      </c>
      <c r="Q677" s="2" t="s">
        <v>2290</v>
      </c>
      <c r="R677" s="2" t="s">
        <v>1690</v>
      </c>
      <c r="S677" s="2" t="s">
        <v>1797</v>
      </c>
      <c r="T677" s="2" t="s">
        <v>2291</v>
      </c>
      <c r="U677" s="2" t="s">
        <v>2292</v>
      </c>
      <c r="V677" s="2" t="s">
        <v>2293</v>
      </c>
      <c r="W677" s="2" t="s">
        <v>2294</v>
      </c>
      <c r="X677" s="2" t="s">
        <v>2295</v>
      </c>
      <c r="Y677" s="2" t="s">
        <v>2296</v>
      </c>
      <c r="Z677" s="2" t="s">
        <v>548</v>
      </c>
      <c r="AA677" s="2" t="s">
        <v>548</v>
      </c>
      <c r="AB677" s="2" t="s">
        <v>2238</v>
      </c>
    </row>
    <row r="678" spans="1:28" x14ac:dyDescent="0.25">
      <c r="A678" s="4">
        <v>46230</v>
      </c>
      <c r="B678" s="8" t="s">
        <v>2254</v>
      </c>
      <c r="C678" s="8" t="s">
        <v>36</v>
      </c>
      <c r="D678" s="8" t="s">
        <v>48</v>
      </c>
      <c r="E678" s="7" t="s">
        <v>38</v>
      </c>
      <c r="F678" s="13">
        <v>2126</v>
      </c>
      <c r="G678" s="59"/>
      <c r="H678" s="6">
        <f>24000/7</f>
        <v>3428.5714285714284</v>
      </c>
      <c r="I678" s="6">
        <f t="shared" si="53"/>
        <v>499.40119760479047</v>
      </c>
      <c r="J678" s="2" t="s">
        <v>1581</v>
      </c>
      <c r="K678" s="2">
        <v>5.01</v>
      </c>
      <c r="L678" s="2" t="s">
        <v>2297</v>
      </c>
      <c r="M678" s="2" t="s">
        <v>2298</v>
      </c>
      <c r="N678" s="2" t="s">
        <v>2299</v>
      </c>
      <c r="O678" s="56">
        <v>2502</v>
      </c>
      <c r="P678" s="2" t="s">
        <v>2300</v>
      </c>
      <c r="Q678" s="2" t="s">
        <v>2301</v>
      </c>
      <c r="R678" s="2" t="s">
        <v>974</v>
      </c>
      <c r="S678" s="2" t="s">
        <v>2017</v>
      </c>
      <c r="T678" s="2" t="s">
        <v>2302</v>
      </c>
      <c r="U678" s="2" t="s">
        <v>1168</v>
      </c>
      <c r="V678" s="2" t="s">
        <v>2303</v>
      </c>
      <c r="W678" s="2" t="s">
        <v>2304</v>
      </c>
      <c r="X678" s="2" t="s">
        <v>2305</v>
      </c>
      <c r="Y678" s="2" t="s">
        <v>2306</v>
      </c>
      <c r="Z678" s="2" t="s">
        <v>649</v>
      </c>
      <c r="AA678" s="2" t="s">
        <v>548</v>
      </c>
      <c r="AB678" s="2" t="s">
        <v>2307</v>
      </c>
    </row>
    <row r="679" spans="1:28" x14ac:dyDescent="0.25">
      <c r="A679" s="4">
        <v>46230</v>
      </c>
      <c r="B679" s="8" t="s">
        <v>2254</v>
      </c>
      <c r="C679" s="8" t="s">
        <v>36</v>
      </c>
      <c r="D679" s="8" t="s">
        <v>49</v>
      </c>
      <c r="E679" s="8" t="s">
        <v>47</v>
      </c>
      <c r="F679" s="13"/>
      <c r="G679" s="59"/>
      <c r="H679" s="6">
        <f>15000/6</f>
        <v>2500</v>
      </c>
      <c r="I679" s="6">
        <f t="shared" si="53"/>
        <v>384.44444444444446</v>
      </c>
      <c r="J679" s="2" t="s">
        <v>1108</v>
      </c>
      <c r="K679" s="2">
        <v>6.3</v>
      </c>
      <c r="L679" s="2" t="s">
        <v>1321</v>
      </c>
      <c r="M679" s="2" t="s">
        <v>2308</v>
      </c>
      <c r="N679" s="2" t="s">
        <v>2309</v>
      </c>
      <c r="O679" s="56">
        <v>2422</v>
      </c>
      <c r="P679" s="2" t="s">
        <v>2007</v>
      </c>
      <c r="Q679" s="2" t="s">
        <v>2310</v>
      </c>
      <c r="R679" s="2" t="s">
        <v>2311</v>
      </c>
      <c r="S679" s="2" t="s">
        <v>712</v>
      </c>
      <c r="T679" s="2" t="s">
        <v>1957</v>
      </c>
      <c r="U679" s="2" t="s">
        <v>2106</v>
      </c>
      <c r="V679" s="2" t="s">
        <v>2312</v>
      </c>
      <c r="W679" s="2" t="s">
        <v>2313</v>
      </c>
      <c r="X679" s="2" t="s">
        <v>2314</v>
      </c>
      <c r="Y679" s="2" t="s">
        <v>2315</v>
      </c>
      <c r="Z679" s="2" t="s">
        <v>548</v>
      </c>
      <c r="AA679" s="2" t="s">
        <v>548</v>
      </c>
      <c r="AB679" s="2" t="s">
        <v>1877</v>
      </c>
    </row>
    <row r="680" spans="1:28" x14ac:dyDescent="0.25">
      <c r="A680" s="4">
        <v>46231</v>
      </c>
      <c r="B680" s="8" t="s">
        <v>2254</v>
      </c>
      <c r="C680" s="8" t="s">
        <v>36</v>
      </c>
      <c r="D680" s="8" t="s">
        <v>39</v>
      </c>
      <c r="E680" s="8" t="s">
        <v>47</v>
      </c>
      <c r="F680" s="13"/>
      <c r="G680" s="59"/>
      <c r="H680" s="6">
        <f>15000/5</f>
        <v>3000</v>
      </c>
      <c r="I680" s="6">
        <f t="shared" si="53"/>
        <v>265.30612244897958</v>
      </c>
      <c r="J680" s="2" t="s">
        <v>1389</v>
      </c>
      <c r="K680" s="2">
        <v>2.4500000000000002</v>
      </c>
      <c r="L680" s="2" t="s">
        <v>585</v>
      </c>
      <c r="M680" s="2" t="s">
        <v>2316</v>
      </c>
      <c r="N680" s="2" t="s">
        <v>2317</v>
      </c>
      <c r="O680" s="56">
        <v>650</v>
      </c>
      <c r="P680" s="2" t="s">
        <v>2318</v>
      </c>
      <c r="Q680" s="2" t="s">
        <v>2319</v>
      </c>
      <c r="R680" s="2" t="s">
        <v>2320</v>
      </c>
      <c r="S680" s="2" t="s">
        <v>685</v>
      </c>
      <c r="T680" s="2" t="s">
        <v>1015</v>
      </c>
      <c r="U680" s="2" t="s">
        <v>2321</v>
      </c>
      <c r="V680" s="2" t="s">
        <v>2322</v>
      </c>
      <c r="W680" s="2" t="s">
        <v>2323</v>
      </c>
      <c r="X680" s="2" t="s">
        <v>2324</v>
      </c>
      <c r="Y680" s="2" t="s">
        <v>2325</v>
      </c>
      <c r="Z680" s="2" t="s">
        <v>548</v>
      </c>
      <c r="AA680" s="2" t="s">
        <v>548</v>
      </c>
      <c r="AB680" s="2" t="s">
        <v>2261</v>
      </c>
    </row>
    <row r="681" spans="1:28" x14ac:dyDescent="0.25">
      <c r="A681" s="4">
        <v>46231</v>
      </c>
      <c r="B681" s="8" t="s">
        <v>55</v>
      </c>
      <c r="C681" s="8" t="s">
        <v>56</v>
      </c>
      <c r="D681" s="8" t="s">
        <v>43</v>
      </c>
      <c r="E681" s="8" t="s">
        <v>47</v>
      </c>
      <c r="F681" s="8"/>
      <c r="G681" s="8" t="s">
        <v>146</v>
      </c>
      <c r="H681" s="6"/>
      <c r="I681" s="6">
        <f t="shared" si="53"/>
        <v>0</v>
      </c>
      <c r="J681" s="2" t="s">
        <v>2326</v>
      </c>
      <c r="K681" s="2" t="s">
        <v>45</v>
      </c>
      <c r="L681" s="2" t="s">
        <v>1255</v>
      </c>
      <c r="M681" s="2" t="s">
        <v>2327</v>
      </c>
      <c r="N681" s="2" t="s">
        <v>45</v>
      </c>
      <c r="O681" s="56">
        <v>0</v>
      </c>
      <c r="P681" s="2" t="s">
        <v>45</v>
      </c>
      <c r="Q681" s="2" t="s">
        <v>45</v>
      </c>
      <c r="R681" s="2" t="s">
        <v>749</v>
      </c>
      <c r="S681" s="2" t="s">
        <v>685</v>
      </c>
      <c r="T681" s="2" t="s">
        <v>1350</v>
      </c>
      <c r="U681" s="2" t="s">
        <v>45</v>
      </c>
      <c r="V681" s="2" t="s">
        <v>45</v>
      </c>
      <c r="W681" s="2" t="s">
        <v>2328</v>
      </c>
      <c r="X681" s="2" t="s">
        <v>45</v>
      </c>
      <c r="Y681" s="2" t="s">
        <v>45</v>
      </c>
      <c r="Z681" s="2" t="s">
        <v>548</v>
      </c>
      <c r="AA681" s="2" t="s">
        <v>45</v>
      </c>
      <c r="AB681" s="2" t="s">
        <v>1845</v>
      </c>
    </row>
    <row r="682" spans="1:28" x14ac:dyDescent="0.25">
      <c r="A682" s="4">
        <v>46231</v>
      </c>
      <c r="B682" s="8" t="s">
        <v>2254</v>
      </c>
      <c r="C682" s="8" t="s">
        <v>36</v>
      </c>
      <c r="D682" s="8" t="s">
        <v>67</v>
      </c>
      <c r="E682" s="8" t="s">
        <v>61</v>
      </c>
      <c r="F682" s="13"/>
      <c r="G682" s="59"/>
      <c r="H682" s="6"/>
      <c r="I682" s="6">
        <f t="shared" si="53"/>
        <v>263.42494714587735</v>
      </c>
      <c r="J682" s="2" t="s">
        <v>2329</v>
      </c>
      <c r="K682" s="2">
        <v>9.4600000000000009</v>
      </c>
      <c r="L682" s="2" t="s">
        <v>636</v>
      </c>
      <c r="M682" s="2" t="s">
        <v>2330</v>
      </c>
      <c r="N682" s="2" t="s">
        <v>2331</v>
      </c>
      <c r="O682" s="56">
        <v>2492</v>
      </c>
      <c r="P682" s="2" t="s">
        <v>706</v>
      </c>
      <c r="Q682" s="2" t="s">
        <v>2332</v>
      </c>
      <c r="R682" s="2" t="s">
        <v>1821</v>
      </c>
      <c r="S682" s="2" t="s">
        <v>839</v>
      </c>
      <c r="T682" s="2" t="s">
        <v>1183</v>
      </c>
      <c r="U682" s="2" t="s">
        <v>2333</v>
      </c>
      <c r="V682" s="2" t="s">
        <v>2334</v>
      </c>
      <c r="W682" s="2" t="s">
        <v>2335</v>
      </c>
      <c r="X682" s="2" t="s">
        <v>2336</v>
      </c>
      <c r="Y682" s="2" t="s">
        <v>2337</v>
      </c>
      <c r="Z682" s="2" t="s">
        <v>579</v>
      </c>
      <c r="AA682" s="2" t="s">
        <v>548</v>
      </c>
      <c r="AB682" s="2" t="s">
        <v>2338</v>
      </c>
    </row>
    <row r="683" spans="1:28" x14ac:dyDescent="0.25">
      <c r="A683" s="4">
        <v>46231</v>
      </c>
      <c r="B683" s="8" t="s">
        <v>2254</v>
      </c>
      <c r="C683" s="8" t="s">
        <v>36</v>
      </c>
      <c r="D683" s="8" t="s">
        <v>50</v>
      </c>
      <c r="E683" s="8" t="s">
        <v>47</v>
      </c>
      <c r="F683" s="13"/>
      <c r="G683" s="59"/>
      <c r="H683" s="6">
        <f>15000/5</f>
        <v>3000</v>
      </c>
      <c r="I683" s="6">
        <f t="shared" si="53"/>
        <v>373.32242225859244</v>
      </c>
      <c r="J683" s="2" t="s">
        <v>2339</v>
      </c>
      <c r="K683" s="2">
        <v>6.11</v>
      </c>
      <c r="L683" s="2" t="s">
        <v>734</v>
      </c>
      <c r="M683" s="2" t="s">
        <v>2340</v>
      </c>
      <c r="N683" s="2" t="s">
        <v>2341</v>
      </c>
      <c r="O683" s="56">
        <v>2281</v>
      </c>
      <c r="P683" s="2" t="s">
        <v>2342</v>
      </c>
      <c r="Q683" s="2" t="s">
        <v>1022</v>
      </c>
      <c r="R683" s="2" t="s">
        <v>2343</v>
      </c>
      <c r="S683" s="2" t="s">
        <v>685</v>
      </c>
      <c r="T683" s="2" t="s">
        <v>2344</v>
      </c>
      <c r="U683" s="2" t="s">
        <v>1917</v>
      </c>
      <c r="V683" s="2" t="s">
        <v>1359</v>
      </c>
      <c r="W683" s="2" t="s">
        <v>2345</v>
      </c>
      <c r="X683" s="2" t="s">
        <v>2346</v>
      </c>
      <c r="Y683" s="2" t="s">
        <v>2347</v>
      </c>
      <c r="Z683" s="2" t="s">
        <v>719</v>
      </c>
      <c r="AA683" s="2" t="s">
        <v>548</v>
      </c>
      <c r="AB683" s="2" t="s">
        <v>2348</v>
      </c>
    </row>
    <row r="684" spans="1:28" x14ac:dyDescent="0.25">
      <c r="A684" s="4">
        <v>46231</v>
      </c>
      <c r="B684" s="8" t="s">
        <v>2254</v>
      </c>
      <c r="C684" s="8" t="s">
        <v>36</v>
      </c>
      <c r="D684" s="8" t="s">
        <v>52</v>
      </c>
      <c r="E684" s="8" t="s">
        <v>47</v>
      </c>
      <c r="F684" s="13"/>
      <c r="G684" s="59"/>
      <c r="H684" s="6">
        <f>15000/5</f>
        <v>3000</v>
      </c>
      <c r="I684" s="6">
        <f t="shared" si="53"/>
        <v>259.73904939422181</v>
      </c>
      <c r="J684" s="2" t="s">
        <v>2349</v>
      </c>
      <c r="K684" s="2">
        <v>10.73</v>
      </c>
      <c r="L684" s="2" t="s">
        <v>706</v>
      </c>
      <c r="M684" s="2" t="s">
        <v>1717</v>
      </c>
      <c r="N684" s="2" t="s">
        <v>2350</v>
      </c>
      <c r="O684" s="56">
        <v>2787</v>
      </c>
      <c r="P684" s="2" t="s">
        <v>1996</v>
      </c>
      <c r="Q684" s="2" t="s">
        <v>2351</v>
      </c>
      <c r="R684" s="2" t="s">
        <v>779</v>
      </c>
      <c r="S684" s="2" t="s">
        <v>712</v>
      </c>
      <c r="T684" s="2" t="s">
        <v>713</v>
      </c>
      <c r="U684" s="2" t="s">
        <v>1209</v>
      </c>
      <c r="V684" s="2" t="s">
        <v>2352</v>
      </c>
      <c r="W684" s="2" t="s">
        <v>2353</v>
      </c>
      <c r="X684" s="2" t="s">
        <v>2354</v>
      </c>
      <c r="Y684" s="2" t="s">
        <v>2355</v>
      </c>
      <c r="Z684" s="2" t="s">
        <v>690</v>
      </c>
      <c r="AA684" s="2" t="s">
        <v>548</v>
      </c>
      <c r="AB684" s="2" t="s">
        <v>2356</v>
      </c>
    </row>
    <row r="685" spans="1:28" x14ac:dyDescent="0.25">
      <c r="A685" s="4">
        <v>46231</v>
      </c>
      <c r="B685" s="8" t="s">
        <v>2254</v>
      </c>
      <c r="C685" s="8" t="s">
        <v>36</v>
      </c>
      <c r="D685" s="7" t="s">
        <v>46</v>
      </c>
      <c r="E685" s="7" t="s">
        <v>47</v>
      </c>
      <c r="F685" s="13"/>
      <c r="G685" s="59"/>
      <c r="H685" s="6">
        <f>15000/5</f>
        <v>3000</v>
      </c>
      <c r="I685" s="6">
        <f t="shared" si="53"/>
        <v>426.03550295857991</v>
      </c>
      <c r="J685" s="2" t="s">
        <v>564</v>
      </c>
      <c r="K685" s="2">
        <v>1.69</v>
      </c>
      <c r="L685" s="2" t="s">
        <v>608</v>
      </c>
      <c r="M685" s="2" t="s">
        <v>2357</v>
      </c>
      <c r="N685" s="2" t="s">
        <v>2358</v>
      </c>
      <c r="O685" s="56">
        <v>720</v>
      </c>
      <c r="P685" s="2" t="s">
        <v>1296</v>
      </c>
      <c r="Q685" s="2" t="s">
        <v>1383</v>
      </c>
      <c r="R685" s="2" t="s">
        <v>2359</v>
      </c>
      <c r="S685" s="2" t="s">
        <v>642</v>
      </c>
      <c r="T685" s="2" t="s">
        <v>2360</v>
      </c>
      <c r="U685" s="2" t="s">
        <v>2124</v>
      </c>
      <c r="V685" s="2" t="s">
        <v>2361</v>
      </c>
      <c r="W685" s="2" t="s">
        <v>2362</v>
      </c>
      <c r="X685" s="2" t="s">
        <v>2363</v>
      </c>
      <c r="Y685" s="2" t="s">
        <v>2364</v>
      </c>
      <c r="Z685" s="2" t="s">
        <v>548</v>
      </c>
      <c r="AA685" s="2" t="s">
        <v>548</v>
      </c>
      <c r="AB685" s="2" t="s">
        <v>2238</v>
      </c>
    </row>
    <row r="686" spans="1:28" x14ac:dyDescent="0.25">
      <c r="A686" s="4">
        <v>46231</v>
      </c>
      <c r="B686" s="8" t="s">
        <v>2254</v>
      </c>
      <c r="C686" s="8" t="s">
        <v>36</v>
      </c>
      <c r="D686" s="8" t="s">
        <v>48</v>
      </c>
      <c r="E686" s="7" t="s">
        <v>38</v>
      </c>
      <c r="F686" s="13">
        <v>1876</v>
      </c>
      <c r="G686" s="59"/>
      <c r="H686" s="6">
        <f>24000/7</f>
        <v>3428.5714285714284</v>
      </c>
      <c r="I686" s="6">
        <f t="shared" si="53"/>
        <v>342.76206322795343</v>
      </c>
      <c r="J686" s="2" t="s">
        <v>2365</v>
      </c>
      <c r="K686" s="2">
        <v>6.01</v>
      </c>
      <c r="L686" s="2" t="s">
        <v>1380</v>
      </c>
      <c r="M686" s="2" t="s">
        <v>2366</v>
      </c>
      <c r="N686" s="2" t="s">
        <v>2367</v>
      </c>
      <c r="O686" s="56">
        <v>2060</v>
      </c>
      <c r="P686" s="2" t="s">
        <v>2368</v>
      </c>
      <c r="Q686" s="2" t="s">
        <v>2369</v>
      </c>
      <c r="R686" s="2" t="s">
        <v>2370</v>
      </c>
      <c r="S686" s="2" t="s">
        <v>747</v>
      </c>
      <c r="T686" s="2" t="s">
        <v>2371</v>
      </c>
      <c r="U686" s="2" t="s">
        <v>2372</v>
      </c>
      <c r="V686" s="2" t="s">
        <v>2373</v>
      </c>
      <c r="W686" s="2" t="s">
        <v>2374</v>
      </c>
      <c r="X686" s="2" t="s">
        <v>2375</v>
      </c>
      <c r="Y686" s="2" t="s">
        <v>2376</v>
      </c>
      <c r="Z686" s="2" t="s">
        <v>548</v>
      </c>
      <c r="AA686" s="2" t="s">
        <v>548</v>
      </c>
      <c r="AB686" s="2" t="s">
        <v>2307</v>
      </c>
    </row>
    <row r="687" spans="1:28" x14ac:dyDescent="0.25">
      <c r="A687" s="4">
        <v>46231</v>
      </c>
      <c r="B687" s="8" t="s">
        <v>2254</v>
      </c>
      <c r="C687" s="8" t="s">
        <v>36</v>
      </c>
      <c r="D687" s="8" t="s">
        <v>49</v>
      </c>
      <c r="E687" s="8" t="s">
        <v>47</v>
      </c>
      <c r="F687" s="13"/>
      <c r="G687" s="59"/>
      <c r="H687" s="6">
        <f>15000/5</f>
        <v>3000</v>
      </c>
      <c r="I687" s="6">
        <f t="shared" si="53"/>
        <v>298.22866344605472</v>
      </c>
      <c r="J687" s="2" t="s">
        <v>2377</v>
      </c>
      <c r="K687" s="2">
        <v>6.21</v>
      </c>
      <c r="L687" s="2" t="s">
        <v>561</v>
      </c>
      <c r="M687" s="2" t="s">
        <v>2378</v>
      </c>
      <c r="N687" s="2" t="s">
        <v>2379</v>
      </c>
      <c r="O687" s="56">
        <v>1852</v>
      </c>
      <c r="P687" s="2" t="s">
        <v>2380</v>
      </c>
      <c r="Q687" s="2" t="s">
        <v>2381</v>
      </c>
      <c r="R687" s="2" t="s">
        <v>904</v>
      </c>
      <c r="S687" s="2" t="s">
        <v>595</v>
      </c>
      <c r="T687" s="2" t="s">
        <v>2095</v>
      </c>
      <c r="U687" s="2" t="s">
        <v>2382</v>
      </c>
      <c r="V687" s="2" t="s">
        <v>2383</v>
      </c>
      <c r="W687" s="2" t="s">
        <v>2384</v>
      </c>
      <c r="X687" s="2" t="s">
        <v>2385</v>
      </c>
      <c r="Y687" s="2" t="s">
        <v>2386</v>
      </c>
      <c r="Z687" s="2" t="s">
        <v>649</v>
      </c>
      <c r="AA687" s="2" t="s">
        <v>548</v>
      </c>
      <c r="AB687" s="2" t="s">
        <v>2387</v>
      </c>
    </row>
    <row r="688" spans="1:28" x14ac:dyDescent="0.25">
      <c r="A688" s="4">
        <v>46232</v>
      </c>
      <c r="B688" s="8" t="s">
        <v>2254</v>
      </c>
      <c r="C688" s="8" t="s">
        <v>36</v>
      </c>
      <c r="D688" s="8" t="s">
        <v>39</v>
      </c>
      <c r="E688" s="8" t="s">
        <v>47</v>
      </c>
      <c r="F688" s="13"/>
      <c r="G688" s="59"/>
      <c r="H688" s="6">
        <f>15000/5</f>
        <v>3000</v>
      </c>
      <c r="I688" s="6">
        <f t="shared" si="53"/>
        <v>263.33333333333331</v>
      </c>
      <c r="J688" s="2" t="s">
        <v>863</v>
      </c>
      <c r="K688" s="2">
        <v>7.5</v>
      </c>
      <c r="L688" s="2" t="s">
        <v>589</v>
      </c>
      <c r="M688" s="2" t="s">
        <v>1213</v>
      </c>
      <c r="N688" s="2" t="s">
        <v>2388</v>
      </c>
      <c r="O688" s="56">
        <v>1975</v>
      </c>
      <c r="P688" s="2" t="s">
        <v>2114</v>
      </c>
      <c r="Q688" s="2" t="s">
        <v>2224</v>
      </c>
      <c r="R688" s="2" t="s">
        <v>929</v>
      </c>
      <c r="S688" s="2" t="s">
        <v>839</v>
      </c>
      <c r="T688" s="2" t="s">
        <v>1121</v>
      </c>
      <c r="U688" s="2" t="s">
        <v>1442</v>
      </c>
      <c r="V688" s="2" t="s">
        <v>2389</v>
      </c>
      <c r="W688" s="2" t="s">
        <v>2390</v>
      </c>
      <c r="X688" s="2" t="s">
        <v>2391</v>
      </c>
      <c r="Y688" s="2" t="s">
        <v>2392</v>
      </c>
      <c r="Z688" s="2" t="s">
        <v>800</v>
      </c>
      <c r="AA688" s="2" t="s">
        <v>548</v>
      </c>
      <c r="AB688" s="2" t="s">
        <v>2393</v>
      </c>
    </row>
    <row r="689" spans="1:28" x14ac:dyDescent="0.25">
      <c r="A689" s="4">
        <v>46232</v>
      </c>
      <c r="B689" s="8" t="s">
        <v>55</v>
      </c>
      <c r="C689" s="8" t="s">
        <v>56</v>
      </c>
      <c r="D689" s="8" t="s">
        <v>43</v>
      </c>
      <c r="E689" s="8" t="s">
        <v>47</v>
      </c>
      <c r="F689" s="8"/>
      <c r="G689" s="8" t="s">
        <v>146</v>
      </c>
      <c r="H689" s="6"/>
      <c r="I689" s="6">
        <f t="shared" si="53"/>
        <v>0</v>
      </c>
      <c r="J689" s="2" t="s">
        <v>2394</v>
      </c>
      <c r="K689" s="2">
        <v>0.56999999999999995</v>
      </c>
      <c r="L689" s="2" t="s">
        <v>652</v>
      </c>
      <c r="M689" s="2" t="s">
        <v>2395</v>
      </c>
      <c r="N689" s="2" t="s">
        <v>45</v>
      </c>
      <c r="O689" s="56" t="s">
        <v>45</v>
      </c>
      <c r="P689" s="2" t="s">
        <v>45</v>
      </c>
      <c r="Q689" s="2" t="s">
        <v>45</v>
      </c>
      <c r="R689" s="2" t="s">
        <v>816</v>
      </c>
      <c r="S689" s="2" t="s">
        <v>961</v>
      </c>
      <c r="T689" s="2" t="s">
        <v>869</v>
      </c>
      <c r="U689" s="2" t="s">
        <v>737</v>
      </c>
      <c r="V689" s="2" t="s">
        <v>1832</v>
      </c>
      <c r="W689" s="2" t="s">
        <v>2396</v>
      </c>
      <c r="X689" s="2" t="s">
        <v>45</v>
      </c>
      <c r="Y689" s="2" t="s">
        <v>45</v>
      </c>
      <c r="Z689" s="2" t="s">
        <v>800</v>
      </c>
      <c r="AA689" s="2" t="s">
        <v>45</v>
      </c>
      <c r="AB689" s="2" t="s">
        <v>883</v>
      </c>
    </row>
    <row r="690" spans="1:28" x14ac:dyDescent="0.25">
      <c r="A690" s="4">
        <v>46232</v>
      </c>
      <c r="B690" s="8" t="s">
        <v>2254</v>
      </c>
      <c r="C690" s="8" t="s">
        <v>36</v>
      </c>
      <c r="D690" s="8" t="s">
        <v>67</v>
      </c>
      <c r="E690" s="8" t="s">
        <v>61</v>
      </c>
      <c r="F690" s="13"/>
      <c r="G690" s="59"/>
      <c r="H690" s="6"/>
      <c r="I690" s="6">
        <f t="shared" si="53"/>
        <v>255.10835913312692</v>
      </c>
      <c r="J690" s="2" t="s">
        <v>604</v>
      </c>
      <c r="K690" s="2">
        <v>6.46</v>
      </c>
      <c r="L690" s="2" t="s">
        <v>1117</v>
      </c>
      <c r="M690" s="2" t="s">
        <v>2397</v>
      </c>
      <c r="N690" s="2" t="s">
        <v>2398</v>
      </c>
      <c r="O690" s="56">
        <v>1648</v>
      </c>
      <c r="P690" s="2" t="s">
        <v>2399</v>
      </c>
      <c r="Q690" s="2" t="s">
        <v>2400</v>
      </c>
      <c r="R690" s="2" t="s">
        <v>1132</v>
      </c>
      <c r="S690" s="2" t="s">
        <v>1256</v>
      </c>
      <c r="T690" s="2" t="s">
        <v>2401</v>
      </c>
      <c r="U690" s="2" t="s">
        <v>1059</v>
      </c>
      <c r="V690" s="2" t="s">
        <v>2402</v>
      </c>
      <c r="W690" s="2" t="s">
        <v>2403</v>
      </c>
      <c r="X690" s="2" t="s">
        <v>2404</v>
      </c>
      <c r="Y690" s="2" t="s">
        <v>2405</v>
      </c>
      <c r="Z690" s="2" t="s">
        <v>621</v>
      </c>
      <c r="AA690" s="2" t="s">
        <v>548</v>
      </c>
      <c r="AB690" s="2" t="s">
        <v>2406</v>
      </c>
    </row>
    <row r="691" spans="1:28" x14ac:dyDescent="0.25">
      <c r="A691" s="4">
        <v>46232</v>
      </c>
      <c r="B691" s="8" t="s">
        <v>2254</v>
      </c>
      <c r="C691" s="8" t="s">
        <v>36</v>
      </c>
      <c r="D691" s="8" t="s">
        <v>50</v>
      </c>
      <c r="E691" s="8" t="s">
        <v>47</v>
      </c>
      <c r="F691" s="13"/>
      <c r="G691" s="59"/>
      <c r="H691" s="6">
        <f>15000/5</f>
        <v>3000</v>
      </c>
      <c r="I691" s="6">
        <f t="shared" si="53"/>
        <v>376.31578947368422</v>
      </c>
      <c r="J691" s="2" t="s">
        <v>2407</v>
      </c>
      <c r="K691" s="2">
        <v>7.6</v>
      </c>
      <c r="L691" s="2" t="s">
        <v>1064</v>
      </c>
      <c r="M691" s="2" t="s">
        <v>2408</v>
      </c>
      <c r="N691" s="2" t="s">
        <v>2409</v>
      </c>
      <c r="O691" s="56">
        <v>2860</v>
      </c>
      <c r="P691" s="2" t="s">
        <v>2410</v>
      </c>
      <c r="Q691" s="2" t="s">
        <v>2411</v>
      </c>
      <c r="R691" s="2" t="s">
        <v>2412</v>
      </c>
      <c r="S691" s="2" t="s">
        <v>685</v>
      </c>
      <c r="T691" s="2" t="s">
        <v>1887</v>
      </c>
      <c r="U691" s="2" t="s">
        <v>2413</v>
      </c>
      <c r="V691" s="2" t="s">
        <v>2414</v>
      </c>
      <c r="W691" s="2" t="s">
        <v>2415</v>
      </c>
      <c r="X691" s="2" t="s">
        <v>2416</v>
      </c>
      <c r="Y691" s="2" t="s">
        <v>2417</v>
      </c>
      <c r="Z691" s="2" t="s">
        <v>652</v>
      </c>
      <c r="AA691" s="2" t="s">
        <v>548</v>
      </c>
      <c r="AB691" s="2" t="s">
        <v>2418</v>
      </c>
    </row>
    <row r="692" spans="1:28" x14ac:dyDescent="0.25">
      <c r="A692" s="4">
        <v>46232</v>
      </c>
      <c r="B692" s="8" t="s">
        <v>2254</v>
      </c>
      <c r="C692" s="8" t="s">
        <v>36</v>
      </c>
      <c r="D692" s="8" t="s">
        <v>52</v>
      </c>
      <c r="E692" s="8" t="s">
        <v>47</v>
      </c>
      <c r="F692" s="13"/>
      <c r="G692" s="59"/>
      <c r="H692" s="6">
        <f>15000/5</f>
        <v>3000</v>
      </c>
      <c r="I692" s="6">
        <f t="shared" si="53"/>
        <v>242.88659793814435</v>
      </c>
      <c r="J692" s="2" t="s">
        <v>2419</v>
      </c>
      <c r="K692" s="2">
        <v>9.6999999999999993</v>
      </c>
      <c r="L692" s="2" t="s">
        <v>777</v>
      </c>
      <c r="M692" s="2" t="s">
        <v>2420</v>
      </c>
      <c r="N692" s="2" t="s">
        <v>2421</v>
      </c>
      <c r="O692" s="56">
        <v>2356</v>
      </c>
      <c r="P692" s="2" t="s">
        <v>2297</v>
      </c>
      <c r="Q692" s="2" t="s">
        <v>2422</v>
      </c>
      <c r="R692" s="2" t="s">
        <v>2423</v>
      </c>
      <c r="S692" s="2" t="s">
        <v>961</v>
      </c>
      <c r="T692" s="2" t="s">
        <v>1317</v>
      </c>
      <c r="U692" s="2" t="s">
        <v>2424</v>
      </c>
      <c r="V692" s="2" t="s">
        <v>2425</v>
      </c>
      <c r="W692" s="2" t="s">
        <v>2426</v>
      </c>
      <c r="X692" s="2" t="s">
        <v>2427</v>
      </c>
      <c r="Y692" s="2" t="s">
        <v>2428</v>
      </c>
      <c r="Z692" s="2" t="s">
        <v>1502</v>
      </c>
      <c r="AA692" s="2" t="s">
        <v>548</v>
      </c>
      <c r="AB692" s="2" t="s">
        <v>2429</v>
      </c>
    </row>
    <row r="693" spans="1:28" x14ac:dyDescent="0.25">
      <c r="A693" s="4">
        <v>46232</v>
      </c>
      <c r="B693" s="8" t="s">
        <v>2254</v>
      </c>
      <c r="C693" s="8" t="s">
        <v>36</v>
      </c>
      <c r="D693" s="7" t="s">
        <v>46</v>
      </c>
      <c r="E693" s="7" t="s">
        <v>47</v>
      </c>
      <c r="F693" s="13"/>
      <c r="G693" s="59"/>
      <c r="H693" s="6">
        <f>15000/5</f>
        <v>3000</v>
      </c>
      <c r="I693" s="6">
        <f t="shared" si="53"/>
        <v>483.44155844155841</v>
      </c>
      <c r="J693" s="2" t="s">
        <v>2430</v>
      </c>
      <c r="K693" s="2">
        <v>9.24</v>
      </c>
      <c r="L693" s="2" t="s">
        <v>971</v>
      </c>
      <c r="M693" s="2" t="s">
        <v>2431</v>
      </c>
      <c r="N693" s="2" t="s">
        <v>2432</v>
      </c>
      <c r="O693" s="56">
        <v>4467</v>
      </c>
      <c r="P693" s="2" t="s">
        <v>1015</v>
      </c>
      <c r="Q693" s="2" t="s">
        <v>2433</v>
      </c>
      <c r="R693" s="2" t="s">
        <v>2434</v>
      </c>
      <c r="S693" s="2" t="s">
        <v>1415</v>
      </c>
      <c r="T693" s="2" t="s">
        <v>1338</v>
      </c>
      <c r="U693" s="2" t="s">
        <v>1076</v>
      </c>
      <c r="V693" s="2" t="s">
        <v>2435</v>
      </c>
      <c r="W693" s="2" t="s">
        <v>2436</v>
      </c>
      <c r="X693" s="2" t="s">
        <v>2437</v>
      </c>
      <c r="Y693" s="2" t="s">
        <v>2438</v>
      </c>
      <c r="Z693" s="2" t="s">
        <v>548</v>
      </c>
      <c r="AA693" s="2" t="s">
        <v>548</v>
      </c>
      <c r="AB693" s="2" t="s">
        <v>2238</v>
      </c>
    </row>
    <row r="694" spans="1:28" x14ac:dyDescent="0.25">
      <c r="A694" s="4">
        <v>46232</v>
      </c>
      <c r="B694" s="8" t="s">
        <v>2254</v>
      </c>
      <c r="C694" s="8" t="s">
        <v>36</v>
      </c>
      <c r="D694" s="8" t="s">
        <v>48</v>
      </c>
      <c r="E694" s="7" t="s">
        <v>38</v>
      </c>
      <c r="F694" s="13">
        <v>1454</v>
      </c>
      <c r="G694" s="59"/>
      <c r="H694" s="6">
        <f>24000/7</f>
        <v>3428.5714285714284</v>
      </c>
      <c r="I694" s="6">
        <f t="shared" si="53"/>
        <v>321.71717171717171</v>
      </c>
      <c r="J694" s="2" t="s">
        <v>2439</v>
      </c>
      <c r="K694" s="2">
        <v>5.94</v>
      </c>
      <c r="L694" s="2" t="s">
        <v>777</v>
      </c>
      <c r="M694" s="2" t="s">
        <v>1265</v>
      </c>
      <c r="N694" s="2" t="s">
        <v>2440</v>
      </c>
      <c r="O694" s="56">
        <v>1911</v>
      </c>
      <c r="P694" s="2" t="s">
        <v>565</v>
      </c>
      <c r="Q694" s="2" t="s">
        <v>1439</v>
      </c>
      <c r="R694" s="2" t="s">
        <v>2232</v>
      </c>
      <c r="S694" s="2" t="s">
        <v>642</v>
      </c>
      <c r="T694" s="2" t="s">
        <v>2441</v>
      </c>
      <c r="U694" s="2" t="s">
        <v>1384</v>
      </c>
      <c r="V694" s="2" t="s">
        <v>2442</v>
      </c>
      <c r="W694" s="2" t="s">
        <v>2443</v>
      </c>
      <c r="X694" s="2" t="s">
        <v>2444</v>
      </c>
      <c r="Y694" s="2" t="s">
        <v>2445</v>
      </c>
      <c r="Z694" s="2" t="s">
        <v>649</v>
      </c>
      <c r="AA694" s="2" t="s">
        <v>548</v>
      </c>
      <c r="AB694" s="2" t="s">
        <v>2446</v>
      </c>
    </row>
    <row r="695" spans="1:28" x14ac:dyDescent="0.25">
      <c r="A695" s="4">
        <v>46232</v>
      </c>
      <c r="B695" s="8" t="s">
        <v>2254</v>
      </c>
      <c r="C695" s="8" t="s">
        <v>36</v>
      </c>
      <c r="D695" s="8" t="s">
        <v>49</v>
      </c>
      <c r="E695" s="8" t="s">
        <v>47</v>
      </c>
      <c r="F695" s="13"/>
      <c r="G695" s="59"/>
      <c r="H695" s="6">
        <f>15000/5</f>
        <v>3000</v>
      </c>
      <c r="I695" s="6">
        <f t="shared" si="53"/>
        <v>291.02749638205501</v>
      </c>
      <c r="J695" s="2" t="s">
        <v>2447</v>
      </c>
      <c r="K695" s="2">
        <v>6.91</v>
      </c>
      <c r="L695" s="2" t="s">
        <v>756</v>
      </c>
      <c r="M695" s="2" t="s">
        <v>2448</v>
      </c>
      <c r="N695" s="2" t="s">
        <v>2449</v>
      </c>
      <c r="O695" s="56">
        <v>2011</v>
      </c>
      <c r="P695" s="2" t="s">
        <v>2007</v>
      </c>
      <c r="Q695" s="2" t="s">
        <v>1110</v>
      </c>
      <c r="R695" s="2" t="s">
        <v>2450</v>
      </c>
      <c r="S695" s="2" t="s">
        <v>961</v>
      </c>
      <c r="T695" s="2" t="s">
        <v>839</v>
      </c>
      <c r="U695" s="2" t="s">
        <v>2451</v>
      </c>
      <c r="V695" s="2" t="s">
        <v>2452</v>
      </c>
      <c r="W695" s="2" t="s">
        <v>2453</v>
      </c>
      <c r="X695" s="2" t="s">
        <v>2454</v>
      </c>
      <c r="Y695" s="2" t="s">
        <v>2455</v>
      </c>
      <c r="Z695" s="2" t="s">
        <v>548</v>
      </c>
      <c r="AA695" s="2" t="s">
        <v>548</v>
      </c>
      <c r="AB695" s="2" t="s">
        <v>2387</v>
      </c>
    </row>
    <row r="696" spans="1:28" x14ac:dyDescent="0.25">
      <c r="A696" s="4">
        <v>46233</v>
      </c>
      <c r="B696" s="8" t="s">
        <v>2254</v>
      </c>
      <c r="C696" s="8" t="s">
        <v>36</v>
      </c>
      <c r="D696" s="8" t="s">
        <v>39</v>
      </c>
      <c r="E696" s="8" t="s">
        <v>47</v>
      </c>
      <c r="F696" s="13"/>
      <c r="G696" s="59"/>
      <c r="H696" s="6">
        <f>15000/5</f>
        <v>3000</v>
      </c>
      <c r="I696" s="6">
        <f t="shared" si="53"/>
        <v>199.31972789115648</v>
      </c>
      <c r="J696" s="2" t="s">
        <v>721</v>
      </c>
      <c r="K696" s="2">
        <v>7.35</v>
      </c>
      <c r="L696" s="2" t="s">
        <v>585</v>
      </c>
      <c r="M696" s="2" t="s">
        <v>2456</v>
      </c>
      <c r="N696" s="2" t="s">
        <v>2457</v>
      </c>
      <c r="O696" s="56">
        <v>1465</v>
      </c>
      <c r="P696" s="2" t="s">
        <v>2458</v>
      </c>
      <c r="Q696" s="2" t="s">
        <v>2459</v>
      </c>
      <c r="R696" s="2" t="s">
        <v>846</v>
      </c>
      <c r="S696" s="2" t="s">
        <v>595</v>
      </c>
      <c r="T696" s="2" t="s">
        <v>903</v>
      </c>
      <c r="U696" s="2" t="s">
        <v>2139</v>
      </c>
      <c r="V696" s="2" t="s">
        <v>1843</v>
      </c>
      <c r="W696" s="2" t="s">
        <v>2460</v>
      </c>
      <c r="X696" s="2" t="s">
        <v>2461</v>
      </c>
      <c r="Y696" s="2" t="s">
        <v>2462</v>
      </c>
      <c r="Z696" s="2" t="s">
        <v>579</v>
      </c>
      <c r="AA696" s="2" t="s">
        <v>548</v>
      </c>
      <c r="AB696" s="2" t="s">
        <v>2463</v>
      </c>
    </row>
    <row r="697" spans="1:28" x14ac:dyDescent="0.25">
      <c r="A697" s="4">
        <v>46233</v>
      </c>
      <c r="B697" s="8" t="s">
        <v>55</v>
      </c>
      <c r="C697" s="8" t="s">
        <v>56</v>
      </c>
      <c r="D697" s="8" t="s">
        <v>43</v>
      </c>
      <c r="E697" s="8" t="s">
        <v>47</v>
      </c>
      <c r="F697" s="8"/>
      <c r="G697" s="8" t="s">
        <v>146</v>
      </c>
      <c r="H697" s="6"/>
      <c r="I697" s="6">
        <f t="shared" si="53"/>
        <v>0</v>
      </c>
      <c r="J697" s="2" t="s">
        <v>2464</v>
      </c>
      <c r="K697" s="2" t="s">
        <v>2465</v>
      </c>
      <c r="L697" s="2" t="s">
        <v>1310</v>
      </c>
      <c r="M697" s="2" t="s">
        <v>2466</v>
      </c>
      <c r="N697" s="2" t="s">
        <v>45</v>
      </c>
      <c r="O697" s="56" t="s">
        <v>45</v>
      </c>
      <c r="P697" s="2" t="s">
        <v>45</v>
      </c>
      <c r="Q697" s="2" t="s">
        <v>45</v>
      </c>
      <c r="R697" s="2" t="s">
        <v>595</v>
      </c>
      <c r="S697" s="2" t="s">
        <v>585</v>
      </c>
      <c r="T697" s="2" t="s">
        <v>2467</v>
      </c>
      <c r="U697" s="2" t="s">
        <v>749</v>
      </c>
      <c r="V697" s="2" t="s">
        <v>2468</v>
      </c>
      <c r="W697" s="2" t="s">
        <v>2469</v>
      </c>
      <c r="X697" s="2" t="s">
        <v>45</v>
      </c>
      <c r="Y697" s="2" t="s">
        <v>45</v>
      </c>
      <c r="Z697" s="2" t="s">
        <v>548</v>
      </c>
      <c r="AA697" s="2" t="s">
        <v>45</v>
      </c>
      <c r="AB697" s="2" t="s">
        <v>883</v>
      </c>
    </row>
    <row r="698" spans="1:28" x14ac:dyDescent="0.25">
      <c r="A698" s="4">
        <v>46233</v>
      </c>
      <c r="B698" s="8" t="s">
        <v>2254</v>
      </c>
      <c r="C698" s="8" t="s">
        <v>36</v>
      </c>
      <c r="D698" s="8" t="s">
        <v>67</v>
      </c>
      <c r="E698" s="8" t="s">
        <v>61</v>
      </c>
      <c r="F698" s="13"/>
      <c r="G698" s="59"/>
      <c r="H698" s="6"/>
      <c r="I698" s="6">
        <f t="shared" si="53"/>
        <v>371.18110236220474</v>
      </c>
      <c r="J698" s="2" t="s">
        <v>2470</v>
      </c>
      <c r="K698" s="2">
        <v>6.35</v>
      </c>
      <c r="L698" s="2" t="s">
        <v>877</v>
      </c>
      <c r="M698" s="2" t="s">
        <v>2471</v>
      </c>
      <c r="N698" s="2" t="s">
        <v>2472</v>
      </c>
      <c r="O698" s="56">
        <v>2357</v>
      </c>
      <c r="P698" s="2" t="s">
        <v>2473</v>
      </c>
      <c r="Q698" s="2" t="s">
        <v>2474</v>
      </c>
      <c r="R698" s="2" t="s">
        <v>2475</v>
      </c>
      <c r="S698" s="2" t="s">
        <v>737</v>
      </c>
      <c r="T698" s="2" t="s">
        <v>2476</v>
      </c>
      <c r="U698" s="2" t="s">
        <v>1258</v>
      </c>
      <c r="V698" s="2" t="s">
        <v>2477</v>
      </c>
      <c r="W698" s="2" t="s">
        <v>2478</v>
      </c>
      <c r="X698" s="2" t="s">
        <v>2479</v>
      </c>
      <c r="Y698" s="2" t="s">
        <v>2480</v>
      </c>
      <c r="Z698" s="2" t="s">
        <v>649</v>
      </c>
      <c r="AA698" s="2" t="s">
        <v>548</v>
      </c>
      <c r="AB698" s="2" t="s">
        <v>2481</v>
      </c>
    </row>
    <row r="699" spans="1:28" x14ac:dyDescent="0.25">
      <c r="A699" s="4">
        <v>46233</v>
      </c>
      <c r="B699" s="8" t="s">
        <v>2254</v>
      </c>
      <c r="C699" s="8" t="s">
        <v>36</v>
      </c>
      <c r="D699" s="8" t="s">
        <v>50</v>
      </c>
      <c r="E699" s="8" t="s">
        <v>47</v>
      </c>
      <c r="F699" s="13"/>
      <c r="G699" s="59"/>
      <c r="H699" s="6">
        <f>15000/5</f>
        <v>3000</v>
      </c>
      <c r="I699" s="6">
        <f t="shared" si="53"/>
        <v>368.57962697274036</v>
      </c>
      <c r="J699" s="2" t="s">
        <v>2482</v>
      </c>
      <c r="K699" s="2">
        <v>6.97</v>
      </c>
      <c r="L699" s="2" t="s">
        <v>817</v>
      </c>
      <c r="M699" s="2" t="s">
        <v>2483</v>
      </c>
      <c r="N699" s="2" t="s">
        <v>2484</v>
      </c>
      <c r="O699" s="56">
        <v>2569</v>
      </c>
      <c r="P699" s="2" t="s">
        <v>1688</v>
      </c>
      <c r="Q699" s="2" t="s">
        <v>2485</v>
      </c>
      <c r="R699" s="2" t="s">
        <v>727</v>
      </c>
      <c r="S699" s="2" t="s">
        <v>658</v>
      </c>
      <c r="T699" s="2" t="s">
        <v>1374</v>
      </c>
      <c r="U699" s="2" t="s">
        <v>2486</v>
      </c>
      <c r="V699" s="2" t="s">
        <v>1568</v>
      </c>
      <c r="W699" s="2" t="s">
        <v>2487</v>
      </c>
      <c r="X699" s="2" t="s">
        <v>2488</v>
      </c>
      <c r="Y699" s="2" t="s">
        <v>2489</v>
      </c>
      <c r="Z699" s="2" t="s">
        <v>579</v>
      </c>
      <c r="AA699" s="2" t="s">
        <v>548</v>
      </c>
      <c r="AB699" s="2" t="s">
        <v>2490</v>
      </c>
    </row>
    <row r="700" spans="1:28" x14ac:dyDescent="0.25">
      <c r="A700" s="4">
        <v>46233</v>
      </c>
      <c r="B700" s="8" t="s">
        <v>2254</v>
      </c>
      <c r="C700" s="8" t="s">
        <v>36</v>
      </c>
      <c r="D700" s="8" t="s">
        <v>52</v>
      </c>
      <c r="E700" s="8" t="s">
        <v>47</v>
      </c>
      <c r="F700" s="13"/>
      <c r="G700" s="59"/>
      <c r="H700" s="6">
        <f>15000/5</f>
        <v>3000</v>
      </c>
      <c r="I700" s="6">
        <f t="shared" si="53"/>
        <v>211.47308781869688</v>
      </c>
      <c r="J700" s="2" t="s">
        <v>2491</v>
      </c>
      <c r="K700" s="2">
        <v>7.06</v>
      </c>
      <c r="L700" s="2" t="s">
        <v>777</v>
      </c>
      <c r="M700" s="2" t="s">
        <v>807</v>
      </c>
      <c r="N700" s="2" t="s">
        <v>2492</v>
      </c>
      <c r="O700" s="56">
        <f>1943-450</f>
        <v>1493</v>
      </c>
      <c r="P700" s="2" t="s">
        <v>1031</v>
      </c>
      <c r="Q700" s="2" t="s">
        <v>2493</v>
      </c>
      <c r="R700" s="2" t="s">
        <v>845</v>
      </c>
      <c r="S700" s="2" t="s">
        <v>961</v>
      </c>
      <c r="T700" s="2" t="s">
        <v>1317</v>
      </c>
      <c r="U700" s="2" t="s">
        <v>1442</v>
      </c>
      <c r="V700" s="2" t="s">
        <v>1071</v>
      </c>
      <c r="W700" s="2" t="s">
        <v>2494</v>
      </c>
      <c r="X700" s="2" t="s">
        <v>2495</v>
      </c>
      <c r="Y700" s="2" t="s">
        <v>2496</v>
      </c>
      <c r="Z700" s="2" t="s">
        <v>602</v>
      </c>
      <c r="AA700" s="2" t="s">
        <v>548</v>
      </c>
      <c r="AB700" s="2" t="s">
        <v>2497</v>
      </c>
    </row>
    <row r="701" spans="1:28" x14ac:dyDescent="0.25">
      <c r="A701" s="4">
        <v>46233</v>
      </c>
      <c r="B701" s="8" t="s">
        <v>2254</v>
      </c>
      <c r="C701" s="8" t="s">
        <v>36</v>
      </c>
      <c r="D701" s="8" t="s">
        <v>52</v>
      </c>
      <c r="E701" s="8" t="s">
        <v>61</v>
      </c>
      <c r="F701" s="13"/>
      <c r="G701" s="59"/>
      <c r="H701" s="6"/>
      <c r="I701" s="6">
        <f t="shared" si="53"/>
        <v>0</v>
      </c>
      <c r="J701" s="2"/>
      <c r="K701" s="2"/>
      <c r="L701" s="2"/>
      <c r="M701" s="2"/>
      <c r="N701" s="2"/>
      <c r="O701" s="56">
        <f>18*25</f>
        <v>450</v>
      </c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x14ac:dyDescent="0.25">
      <c r="A702" s="4">
        <v>46233</v>
      </c>
      <c r="B702" s="8" t="s">
        <v>2254</v>
      </c>
      <c r="C702" s="8" t="s">
        <v>36</v>
      </c>
      <c r="D702" s="7" t="s">
        <v>46</v>
      </c>
      <c r="E702" s="7" t="s">
        <v>47</v>
      </c>
      <c r="F702" s="13"/>
      <c r="G702" s="59"/>
      <c r="H702" s="6">
        <f>15000/5</f>
        <v>3000</v>
      </c>
      <c r="I702" s="6">
        <f t="shared" si="53"/>
        <v>443.34203655352479</v>
      </c>
      <c r="J702" s="2" t="s">
        <v>2498</v>
      </c>
      <c r="K702" s="2">
        <v>11.49</v>
      </c>
      <c r="L702" s="2" t="s">
        <v>1855</v>
      </c>
      <c r="M702" s="2" t="s">
        <v>2499</v>
      </c>
      <c r="N702" s="2" t="s">
        <v>2500</v>
      </c>
      <c r="O702" s="56">
        <v>5094</v>
      </c>
      <c r="P702" s="2" t="s">
        <v>1121</v>
      </c>
      <c r="Q702" s="2" t="s">
        <v>2501</v>
      </c>
      <c r="R702" s="2" t="s">
        <v>2502</v>
      </c>
      <c r="S702" s="2" t="s">
        <v>1929</v>
      </c>
      <c r="T702" s="2" t="s">
        <v>2503</v>
      </c>
      <c r="U702" s="2" t="s">
        <v>2504</v>
      </c>
      <c r="V702" s="2" t="s">
        <v>2505</v>
      </c>
      <c r="W702" s="2" t="s">
        <v>2506</v>
      </c>
      <c r="X702" s="2" t="s">
        <v>2507</v>
      </c>
      <c r="Y702" s="2" t="s">
        <v>2508</v>
      </c>
      <c r="Z702" s="2" t="s">
        <v>800</v>
      </c>
      <c r="AA702" s="2" t="s">
        <v>548</v>
      </c>
      <c r="AB702" s="2" t="s">
        <v>2509</v>
      </c>
    </row>
    <row r="703" spans="1:28" x14ac:dyDescent="0.25">
      <c r="A703" s="4">
        <v>46233</v>
      </c>
      <c r="B703" s="8" t="s">
        <v>2254</v>
      </c>
      <c r="C703" s="8" t="s">
        <v>36</v>
      </c>
      <c r="D703" s="8" t="s">
        <v>48</v>
      </c>
      <c r="E703" s="7" t="s">
        <v>38</v>
      </c>
      <c r="F703" s="13">
        <v>3801</v>
      </c>
      <c r="G703" s="59"/>
      <c r="H703" s="6">
        <f>24000/7</f>
        <v>3428.5714285714284</v>
      </c>
      <c r="I703" s="6">
        <f t="shared" si="53"/>
        <v>523.65887207702895</v>
      </c>
      <c r="J703" s="2" t="s">
        <v>1038</v>
      </c>
      <c r="K703" s="2">
        <v>7.27</v>
      </c>
      <c r="L703" s="2" t="s">
        <v>621</v>
      </c>
      <c r="M703" s="2" t="s">
        <v>2510</v>
      </c>
      <c r="N703" s="2" t="s">
        <v>2511</v>
      </c>
      <c r="O703" s="56">
        <v>3807</v>
      </c>
      <c r="P703" s="2" t="s">
        <v>2512</v>
      </c>
      <c r="Q703" s="2" t="s">
        <v>2513</v>
      </c>
      <c r="R703" s="2" t="s">
        <v>2514</v>
      </c>
      <c r="S703" s="2" t="s">
        <v>749</v>
      </c>
      <c r="T703" s="2" t="s">
        <v>1043</v>
      </c>
      <c r="U703" s="2" t="s">
        <v>2515</v>
      </c>
      <c r="V703" s="2" t="s">
        <v>2516</v>
      </c>
      <c r="W703" s="2" t="s">
        <v>2517</v>
      </c>
      <c r="X703" s="2" t="s">
        <v>2518</v>
      </c>
      <c r="Y703" s="2" t="s">
        <v>2519</v>
      </c>
      <c r="Z703" s="2" t="s">
        <v>800</v>
      </c>
      <c r="AA703" s="2" t="s">
        <v>548</v>
      </c>
      <c r="AB703" s="2" t="s">
        <v>2520</v>
      </c>
    </row>
    <row r="704" spans="1:28" x14ac:dyDescent="0.25">
      <c r="A704" s="4">
        <v>46233</v>
      </c>
      <c r="B704" s="8" t="s">
        <v>2254</v>
      </c>
      <c r="C704" s="8" t="s">
        <v>36</v>
      </c>
      <c r="D704" s="8" t="s">
        <v>49</v>
      </c>
      <c r="E704" s="8" t="s">
        <v>47</v>
      </c>
      <c r="F704" s="13"/>
      <c r="G704" s="59"/>
      <c r="H704" s="6">
        <f>15000/5</f>
        <v>3000</v>
      </c>
      <c r="I704" s="6">
        <f t="shared" si="53"/>
        <v>430.02958579881658</v>
      </c>
      <c r="J704" s="2" t="s">
        <v>2101</v>
      </c>
      <c r="K704" s="2">
        <v>6.76</v>
      </c>
      <c r="L704" s="2" t="s">
        <v>652</v>
      </c>
      <c r="M704" s="2" t="s">
        <v>2521</v>
      </c>
      <c r="N704" s="2" t="s">
        <v>2522</v>
      </c>
      <c r="O704" s="56">
        <f>3057-150</f>
        <v>2907</v>
      </c>
      <c r="P704" s="2" t="s">
        <v>1183</v>
      </c>
      <c r="Q704" s="2" t="s">
        <v>2523</v>
      </c>
      <c r="R704" s="2" t="s">
        <v>2524</v>
      </c>
      <c r="S704" s="2" t="s">
        <v>658</v>
      </c>
      <c r="T704" s="2" t="s">
        <v>659</v>
      </c>
      <c r="U704" s="2" t="s">
        <v>1077</v>
      </c>
      <c r="V704" s="2" t="s">
        <v>2525</v>
      </c>
      <c r="W704" s="2" t="s">
        <v>2526</v>
      </c>
      <c r="X704" s="2" t="s">
        <v>2527</v>
      </c>
      <c r="Y704" s="2" t="s">
        <v>2528</v>
      </c>
      <c r="Z704" s="2" t="s">
        <v>548</v>
      </c>
      <c r="AA704" s="2" t="s">
        <v>548</v>
      </c>
      <c r="AB704" s="2" t="s">
        <v>2387</v>
      </c>
    </row>
    <row r="705" spans="1:28" x14ac:dyDescent="0.25">
      <c r="A705" s="4">
        <v>46233</v>
      </c>
      <c r="B705" s="8" t="s">
        <v>2254</v>
      </c>
      <c r="C705" s="8" t="s">
        <v>36</v>
      </c>
      <c r="D705" s="8" t="s">
        <v>49</v>
      </c>
      <c r="E705" s="8" t="s">
        <v>61</v>
      </c>
      <c r="F705" s="13"/>
      <c r="G705" s="59"/>
      <c r="H705" s="6"/>
      <c r="I705" s="6">
        <f t="shared" si="53"/>
        <v>0</v>
      </c>
      <c r="J705" s="2"/>
      <c r="K705" s="2"/>
      <c r="L705" s="2"/>
      <c r="M705" s="2"/>
      <c r="N705" s="2"/>
      <c r="O705" s="56">
        <f>6*25</f>
        <v>150</v>
      </c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x14ac:dyDescent="0.25">
      <c r="A706" s="4">
        <v>46234</v>
      </c>
      <c r="B706" s="8" t="s">
        <v>2254</v>
      </c>
      <c r="C706" s="8" t="s">
        <v>36</v>
      </c>
      <c r="D706" s="8" t="s">
        <v>39</v>
      </c>
      <c r="E706" s="8" t="s">
        <v>47</v>
      </c>
      <c r="F706" s="13"/>
      <c r="G706" s="59"/>
      <c r="H706" s="6">
        <f>15000/6</f>
        <v>2500</v>
      </c>
      <c r="I706" s="6">
        <f t="shared" si="53"/>
        <v>262.9733520336606</v>
      </c>
      <c r="J706" s="2" t="s">
        <v>2529</v>
      </c>
      <c r="K706" s="2">
        <v>7.13</v>
      </c>
      <c r="L706" s="2" t="s">
        <v>955</v>
      </c>
      <c r="M706" s="2" t="s">
        <v>2530</v>
      </c>
      <c r="N706" s="2" t="s">
        <v>2035</v>
      </c>
      <c r="O706" s="56">
        <v>1875</v>
      </c>
      <c r="P706" s="2" t="s">
        <v>2531</v>
      </c>
      <c r="Q706" s="2" t="s">
        <v>2319</v>
      </c>
      <c r="R706" s="2" t="s">
        <v>1544</v>
      </c>
      <c r="S706" s="2" t="s">
        <v>839</v>
      </c>
      <c r="T706" s="2" t="s">
        <v>685</v>
      </c>
      <c r="U706" s="2" t="s">
        <v>1349</v>
      </c>
      <c r="V706" s="2" t="s">
        <v>2532</v>
      </c>
      <c r="W706" s="2" t="s">
        <v>2533</v>
      </c>
      <c r="X706" s="2" t="s">
        <v>2534</v>
      </c>
      <c r="Y706" s="2" t="s">
        <v>2535</v>
      </c>
      <c r="Z706" s="2" t="s">
        <v>800</v>
      </c>
      <c r="AA706" s="2" t="s">
        <v>548</v>
      </c>
      <c r="AB706" s="2" t="s">
        <v>2536</v>
      </c>
    </row>
    <row r="707" spans="1:28" x14ac:dyDescent="0.25">
      <c r="A707" s="4">
        <v>46234</v>
      </c>
      <c r="B707" s="8" t="s">
        <v>2254</v>
      </c>
      <c r="C707" s="8" t="s">
        <v>36</v>
      </c>
      <c r="D707" s="8" t="s">
        <v>43</v>
      </c>
      <c r="E707" s="8" t="s">
        <v>61</v>
      </c>
      <c r="F707" s="13"/>
      <c r="G707" s="59"/>
      <c r="H707" s="6"/>
      <c r="I707" s="6">
        <f t="shared" si="53"/>
        <v>0</v>
      </c>
      <c r="J707" s="2"/>
      <c r="K707" s="2"/>
      <c r="L707" s="2"/>
      <c r="M707" s="2"/>
      <c r="N707" s="2"/>
      <c r="O707" s="56">
        <v>25</v>
      </c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x14ac:dyDescent="0.25">
      <c r="A708" s="4">
        <v>46234</v>
      </c>
      <c r="B708" s="8" t="s">
        <v>2254</v>
      </c>
      <c r="C708" s="8" t="s">
        <v>36</v>
      </c>
      <c r="D708" s="8" t="s">
        <v>43</v>
      </c>
      <c r="E708" s="8" t="s">
        <v>47</v>
      </c>
      <c r="F708" s="13"/>
      <c r="G708" s="59"/>
      <c r="H708" s="6">
        <f>15000/6</f>
        <v>2500</v>
      </c>
      <c r="I708" s="6">
        <f t="shared" si="53"/>
        <v>11.261261261261261</v>
      </c>
      <c r="J708" s="2" t="s">
        <v>2537</v>
      </c>
      <c r="K708" s="2">
        <v>4.4400000000000004</v>
      </c>
      <c r="L708" s="2" t="s">
        <v>602</v>
      </c>
      <c r="M708" s="2" t="s">
        <v>2538</v>
      </c>
      <c r="N708" s="2" t="s">
        <v>45</v>
      </c>
      <c r="O708" s="56">
        <v>50</v>
      </c>
      <c r="P708" s="2" t="s">
        <v>45</v>
      </c>
      <c r="Q708" s="2" t="s">
        <v>45</v>
      </c>
      <c r="R708" s="2" t="s">
        <v>1174</v>
      </c>
      <c r="S708" s="2" t="s">
        <v>595</v>
      </c>
      <c r="T708" s="2" t="s">
        <v>839</v>
      </c>
      <c r="U708" s="2" t="s">
        <v>2539</v>
      </c>
      <c r="V708" s="2" t="s">
        <v>2540</v>
      </c>
      <c r="W708" s="2" t="s">
        <v>2541</v>
      </c>
      <c r="X708" s="2" t="s">
        <v>45</v>
      </c>
      <c r="Y708" s="2" t="s">
        <v>45</v>
      </c>
      <c r="Z708" s="2" t="s">
        <v>649</v>
      </c>
      <c r="AA708" s="2" t="s">
        <v>45</v>
      </c>
      <c r="AB708" s="2" t="s">
        <v>2542</v>
      </c>
    </row>
    <row r="709" spans="1:28" x14ac:dyDescent="0.25">
      <c r="A709" s="4">
        <v>46234</v>
      </c>
      <c r="B709" s="8" t="s">
        <v>55</v>
      </c>
      <c r="C709" s="8" t="s">
        <v>56</v>
      </c>
      <c r="D709" s="8" t="s">
        <v>67</v>
      </c>
      <c r="E709" s="8" t="s">
        <v>47</v>
      </c>
      <c r="F709" s="13"/>
      <c r="G709" s="8" t="s">
        <v>146</v>
      </c>
      <c r="H709" s="6"/>
      <c r="I709" s="6">
        <f t="shared" si="53"/>
        <v>0</v>
      </c>
      <c r="J709" s="2" t="s">
        <v>2543</v>
      </c>
      <c r="K709" s="2">
        <v>0.57999999999999996</v>
      </c>
      <c r="L709" s="2" t="s">
        <v>1092</v>
      </c>
      <c r="M709" s="2" t="s">
        <v>2544</v>
      </c>
      <c r="N709" s="2" t="s">
        <v>2545</v>
      </c>
      <c r="O709" s="56" t="s">
        <v>42</v>
      </c>
      <c r="P709" s="2" t="s">
        <v>800</v>
      </c>
      <c r="Q709" s="2" t="s">
        <v>580</v>
      </c>
      <c r="R709" s="2" t="s">
        <v>747</v>
      </c>
      <c r="S709" s="2" t="s">
        <v>749</v>
      </c>
      <c r="T709" s="2" t="s">
        <v>1447</v>
      </c>
      <c r="U709" s="2" t="s">
        <v>712</v>
      </c>
      <c r="V709" s="2" t="s">
        <v>2546</v>
      </c>
      <c r="W709" s="2" t="s">
        <v>2547</v>
      </c>
      <c r="X709" s="2" t="s">
        <v>2548</v>
      </c>
      <c r="Y709" s="2" t="s">
        <v>2549</v>
      </c>
      <c r="Z709" s="2" t="s">
        <v>548</v>
      </c>
      <c r="AA709" s="2" t="s">
        <v>548</v>
      </c>
      <c r="AB709" s="2" t="s">
        <v>2481</v>
      </c>
    </row>
    <row r="710" spans="1:28" x14ac:dyDescent="0.25">
      <c r="A710" s="4">
        <v>46234</v>
      </c>
      <c r="B710" s="8" t="s">
        <v>2254</v>
      </c>
      <c r="C710" s="8" t="s">
        <v>36</v>
      </c>
      <c r="D710" s="8" t="s">
        <v>50</v>
      </c>
      <c r="E710" s="8" t="s">
        <v>47</v>
      </c>
      <c r="F710" s="13"/>
      <c r="G710" s="59"/>
      <c r="H710" s="6">
        <f>15000/6</f>
        <v>2500</v>
      </c>
      <c r="I710" s="6">
        <f t="shared" si="53"/>
        <v>238.97810218978103</v>
      </c>
      <c r="J710" s="2" t="s">
        <v>2550</v>
      </c>
      <c r="K710" s="2">
        <v>6.85</v>
      </c>
      <c r="L710" s="2" t="s">
        <v>621</v>
      </c>
      <c r="M710" s="2" t="s">
        <v>2551</v>
      </c>
      <c r="N710" s="2" t="s">
        <v>1854</v>
      </c>
      <c r="O710" s="56">
        <v>1637</v>
      </c>
      <c r="P710" s="2" t="s">
        <v>1189</v>
      </c>
      <c r="Q710" s="2" t="s">
        <v>2552</v>
      </c>
      <c r="R710" s="2" t="s">
        <v>2553</v>
      </c>
      <c r="S710" s="2" t="s">
        <v>582</v>
      </c>
      <c r="T710" s="2" t="s">
        <v>839</v>
      </c>
      <c r="U710" s="2" t="s">
        <v>911</v>
      </c>
      <c r="V710" s="2" t="s">
        <v>2554</v>
      </c>
      <c r="W710" s="2" t="s">
        <v>2555</v>
      </c>
      <c r="X710" s="2" t="s">
        <v>2556</v>
      </c>
      <c r="Y710" s="2" t="s">
        <v>2557</v>
      </c>
      <c r="Z710" s="2" t="s">
        <v>690</v>
      </c>
      <c r="AA710" s="2" t="s">
        <v>548</v>
      </c>
      <c r="AB710" s="2" t="s">
        <v>2558</v>
      </c>
    </row>
    <row r="711" spans="1:28" x14ac:dyDescent="0.25">
      <c r="A711" s="4">
        <v>46234</v>
      </c>
      <c r="B711" s="8" t="s">
        <v>2254</v>
      </c>
      <c r="C711" s="8" t="s">
        <v>36</v>
      </c>
      <c r="D711" s="8" t="s">
        <v>52</v>
      </c>
      <c r="E711" s="8" t="s">
        <v>47</v>
      </c>
      <c r="F711" s="13"/>
      <c r="G711" s="59"/>
      <c r="H711" s="6">
        <f>15000/6</f>
        <v>2500</v>
      </c>
      <c r="I711" s="6">
        <f t="shared" si="53"/>
        <v>268.53932584269666</v>
      </c>
      <c r="J711" s="2" t="s">
        <v>2559</v>
      </c>
      <c r="K711" s="2">
        <v>8.01</v>
      </c>
      <c r="L711" s="2" t="s">
        <v>1321</v>
      </c>
      <c r="M711" s="2" t="s">
        <v>2560</v>
      </c>
      <c r="N711" s="2" t="s">
        <v>1739</v>
      </c>
      <c r="O711" s="56">
        <v>2151</v>
      </c>
      <c r="P711" s="2" t="s">
        <v>2410</v>
      </c>
      <c r="Q711" s="2" t="s">
        <v>1832</v>
      </c>
      <c r="R711" s="2" t="s">
        <v>2009</v>
      </c>
      <c r="S711" s="2" t="s">
        <v>961</v>
      </c>
      <c r="T711" s="2" t="s">
        <v>2149</v>
      </c>
      <c r="U711" s="2" t="s">
        <v>770</v>
      </c>
      <c r="V711" s="2" t="s">
        <v>2561</v>
      </c>
      <c r="W711" s="2" t="s">
        <v>2562</v>
      </c>
      <c r="X711" s="2" t="s">
        <v>2563</v>
      </c>
      <c r="Y711" s="2" t="s">
        <v>2564</v>
      </c>
      <c r="Z711" s="2" t="s">
        <v>702</v>
      </c>
      <c r="AA711" s="2" t="s">
        <v>548</v>
      </c>
      <c r="AB711" s="2" t="s">
        <v>2565</v>
      </c>
    </row>
    <row r="712" spans="1:28" x14ac:dyDescent="0.25">
      <c r="A712" s="4">
        <v>46234</v>
      </c>
      <c r="B712" s="8" t="s">
        <v>2254</v>
      </c>
      <c r="C712" s="8" t="s">
        <v>36</v>
      </c>
      <c r="D712" s="7" t="s">
        <v>46</v>
      </c>
      <c r="E712" s="8" t="s">
        <v>47</v>
      </c>
      <c r="F712" s="13"/>
      <c r="G712" s="59"/>
      <c r="H712" s="6">
        <f>15000/6</f>
        <v>2500</v>
      </c>
      <c r="I712" s="6">
        <f t="shared" si="53"/>
        <v>330</v>
      </c>
      <c r="J712" s="2" t="s">
        <v>2566</v>
      </c>
      <c r="K712" s="2">
        <v>11.7</v>
      </c>
      <c r="L712" s="2" t="s">
        <v>2567</v>
      </c>
      <c r="M712" s="2" t="s">
        <v>2568</v>
      </c>
      <c r="N712" s="2" t="s">
        <v>2569</v>
      </c>
      <c r="O712" s="56">
        <v>3861</v>
      </c>
      <c r="P712" s="2" t="s">
        <v>2570</v>
      </c>
      <c r="Q712" s="2" t="s">
        <v>1758</v>
      </c>
      <c r="R712" s="2" t="s">
        <v>2571</v>
      </c>
      <c r="S712" s="2" t="s">
        <v>2572</v>
      </c>
      <c r="T712" s="2" t="s">
        <v>2573</v>
      </c>
      <c r="U712" s="2" t="s">
        <v>2574</v>
      </c>
      <c r="V712" s="2" t="s">
        <v>2575</v>
      </c>
      <c r="W712" s="2" t="s">
        <v>2576</v>
      </c>
      <c r="X712" s="2" t="s">
        <v>2577</v>
      </c>
      <c r="Y712" s="2" t="s">
        <v>2578</v>
      </c>
      <c r="Z712" s="2" t="s">
        <v>800</v>
      </c>
      <c r="AA712" s="2" t="s">
        <v>548</v>
      </c>
      <c r="AB712" s="2" t="s">
        <v>2579</v>
      </c>
    </row>
    <row r="713" spans="1:28" x14ac:dyDescent="0.25">
      <c r="A713" s="4">
        <v>46234</v>
      </c>
      <c r="B713" s="8" t="s">
        <v>2254</v>
      </c>
      <c r="C713" s="8" t="s">
        <v>36</v>
      </c>
      <c r="D713" s="8" t="s">
        <v>48</v>
      </c>
      <c r="E713" s="7" t="s">
        <v>38</v>
      </c>
      <c r="F713" s="13">
        <v>2305</v>
      </c>
      <c r="G713" s="59"/>
      <c r="H713" s="6">
        <f>24000/7</f>
        <v>3428.5714285714284</v>
      </c>
      <c r="I713" s="6">
        <f t="shared" si="53"/>
        <v>495.0344827586207</v>
      </c>
      <c r="J713" s="2" t="s">
        <v>2004</v>
      </c>
      <c r="K713" s="2">
        <v>7.25</v>
      </c>
      <c r="L713" s="2" t="s">
        <v>777</v>
      </c>
      <c r="M713" s="2" t="s">
        <v>2580</v>
      </c>
      <c r="N713" s="2" t="s">
        <v>2581</v>
      </c>
      <c r="O713" s="56">
        <v>3589</v>
      </c>
      <c r="P713" s="2" t="s">
        <v>1097</v>
      </c>
      <c r="Q713" s="2" t="s">
        <v>2582</v>
      </c>
      <c r="R713" s="2" t="s">
        <v>2583</v>
      </c>
      <c r="S713" s="2" t="s">
        <v>902</v>
      </c>
      <c r="T713" s="2" t="s">
        <v>1338</v>
      </c>
      <c r="U713" s="2" t="s">
        <v>1087</v>
      </c>
      <c r="V713" s="2" t="s">
        <v>2107</v>
      </c>
      <c r="W713" s="2" t="s">
        <v>2584</v>
      </c>
      <c r="X713" s="2" t="s">
        <v>2585</v>
      </c>
      <c r="Y713" s="2" t="s">
        <v>2586</v>
      </c>
      <c r="Z713" s="2" t="s">
        <v>649</v>
      </c>
      <c r="AA713" s="2" t="s">
        <v>548</v>
      </c>
      <c r="AB713" s="2" t="s">
        <v>2587</v>
      </c>
    </row>
    <row r="714" spans="1:28" x14ac:dyDescent="0.25">
      <c r="A714" s="4">
        <v>46234</v>
      </c>
      <c r="B714" s="8" t="s">
        <v>2254</v>
      </c>
      <c r="C714" s="8" t="s">
        <v>36</v>
      </c>
      <c r="D714" s="8" t="s">
        <v>49</v>
      </c>
      <c r="E714" s="8" t="s">
        <v>47</v>
      </c>
      <c r="F714" s="13"/>
      <c r="G714" s="59"/>
      <c r="H714" s="6">
        <f>15000/6</f>
        <v>2500</v>
      </c>
      <c r="I714" s="6">
        <f t="shared" si="53"/>
        <v>474.15143603133157</v>
      </c>
      <c r="J714" s="2" t="s">
        <v>2588</v>
      </c>
      <c r="K714" s="2">
        <v>7.66</v>
      </c>
      <c r="L714" s="2" t="s">
        <v>817</v>
      </c>
      <c r="M714" s="2" t="s">
        <v>2589</v>
      </c>
      <c r="N714" s="2" t="s">
        <v>2590</v>
      </c>
      <c r="O714" s="56">
        <v>3632</v>
      </c>
      <c r="P714" s="2" t="s">
        <v>1191</v>
      </c>
      <c r="Q714" s="2" t="s">
        <v>2546</v>
      </c>
      <c r="R714" s="2" t="s">
        <v>2591</v>
      </c>
      <c r="S714" s="2" t="s">
        <v>642</v>
      </c>
      <c r="T714" s="2" t="s">
        <v>2592</v>
      </c>
      <c r="U714" s="2" t="s">
        <v>1638</v>
      </c>
      <c r="V714" s="2" t="s">
        <v>2593</v>
      </c>
      <c r="W714" s="2" t="s">
        <v>2594</v>
      </c>
      <c r="X714" s="2" t="s">
        <v>2595</v>
      </c>
      <c r="Y714" s="2" t="s">
        <v>2596</v>
      </c>
      <c r="Z714" s="2" t="s">
        <v>649</v>
      </c>
      <c r="AA714" s="2" t="s">
        <v>548</v>
      </c>
      <c r="AB714" s="2" t="s">
        <v>1231</v>
      </c>
    </row>
    <row r="715" spans="1:28" x14ac:dyDescent="0.25">
      <c r="A715" s="4">
        <v>46235</v>
      </c>
      <c r="B715" s="8" t="s">
        <v>2254</v>
      </c>
      <c r="C715" s="8" t="s">
        <v>36</v>
      </c>
      <c r="D715" s="8" t="s">
        <v>39</v>
      </c>
      <c r="E715" s="8" t="s">
        <v>47</v>
      </c>
      <c r="F715" s="13"/>
      <c r="G715" s="59"/>
      <c r="H715" s="6">
        <f>15000/7</f>
        <v>2142.8571428571427</v>
      </c>
      <c r="I715" s="6">
        <f t="shared" si="53"/>
        <v>168.91891891891893</v>
      </c>
      <c r="J715" s="2" t="s">
        <v>2597</v>
      </c>
      <c r="K715" s="2">
        <v>5.92</v>
      </c>
      <c r="L715" s="2" t="s">
        <v>585</v>
      </c>
      <c r="M715" s="2" t="s">
        <v>593</v>
      </c>
      <c r="N715" s="2" t="s">
        <v>2598</v>
      </c>
      <c r="O715" s="56">
        <v>1000</v>
      </c>
      <c r="P715" s="2" t="s">
        <v>652</v>
      </c>
      <c r="Q715" s="2" t="s">
        <v>2599</v>
      </c>
      <c r="R715" s="2" t="s">
        <v>1358</v>
      </c>
      <c r="S715" s="2" t="s">
        <v>685</v>
      </c>
      <c r="T715" s="2" t="s">
        <v>1015</v>
      </c>
      <c r="U715" s="2" t="s">
        <v>2600</v>
      </c>
      <c r="V715" s="2" t="s">
        <v>2601</v>
      </c>
      <c r="W715" s="2" t="s">
        <v>2602</v>
      </c>
      <c r="X715" s="2" t="s">
        <v>2603</v>
      </c>
      <c r="Y715" s="2" t="s">
        <v>2604</v>
      </c>
      <c r="Z715" s="2" t="s">
        <v>800</v>
      </c>
      <c r="AA715" s="2" t="s">
        <v>548</v>
      </c>
      <c r="AB715" s="2" t="s">
        <v>2605</v>
      </c>
    </row>
    <row r="716" spans="1:28" x14ac:dyDescent="0.25">
      <c r="A716" s="4">
        <v>46235</v>
      </c>
      <c r="B716" s="8" t="s">
        <v>2254</v>
      </c>
      <c r="C716" s="8" t="s">
        <v>36</v>
      </c>
      <c r="D716" s="8" t="s">
        <v>43</v>
      </c>
      <c r="E716" s="8" t="s">
        <v>47</v>
      </c>
      <c r="F716" s="13"/>
      <c r="G716" s="59"/>
      <c r="H716" s="6">
        <f>15000/7</f>
        <v>2142.8571428571427</v>
      </c>
      <c r="I716" s="6">
        <f t="shared" si="53"/>
        <v>0</v>
      </c>
      <c r="J716" s="2"/>
      <c r="K716" s="2"/>
      <c r="L716" s="2"/>
      <c r="M716" s="2"/>
      <c r="N716" s="2"/>
      <c r="O716" s="56">
        <v>50</v>
      </c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x14ac:dyDescent="0.25">
      <c r="A717" s="4">
        <v>46235</v>
      </c>
      <c r="B717" s="8" t="s">
        <v>2254</v>
      </c>
      <c r="C717" s="8" t="s">
        <v>36</v>
      </c>
      <c r="D717" s="8" t="s">
        <v>43</v>
      </c>
      <c r="E717" s="8" t="s">
        <v>61</v>
      </c>
      <c r="F717" s="13"/>
      <c r="G717" s="59"/>
      <c r="H717" s="6"/>
      <c r="I717" s="6">
        <f t="shared" si="53"/>
        <v>223.68421052631581</v>
      </c>
      <c r="J717" s="2" t="s">
        <v>1231</v>
      </c>
      <c r="K717" s="2">
        <v>3.8</v>
      </c>
      <c r="L717" s="2" t="s">
        <v>690</v>
      </c>
      <c r="M717" s="2" t="s">
        <v>1723</v>
      </c>
      <c r="N717" s="2" t="s">
        <v>45</v>
      </c>
      <c r="O717" s="56">
        <v>850</v>
      </c>
      <c r="P717" s="2" t="s">
        <v>45</v>
      </c>
      <c r="Q717" s="2" t="s">
        <v>45</v>
      </c>
      <c r="R717" s="2" t="s">
        <v>2606</v>
      </c>
      <c r="S717" s="2" t="s">
        <v>712</v>
      </c>
      <c r="T717" s="2" t="s">
        <v>771</v>
      </c>
      <c r="U717" s="2" t="s">
        <v>2607</v>
      </c>
      <c r="V717" s="2" t="s">
        <v>2608</v>
      </c>
      <c r="W717" s="2" t="s">
        <v>2609</v>
      </c>
      <c r="X717" s="2" t="s">
        <v>45</v>
      </c>
      <c r="Y717" s="2" t="s">
        <v>45</v>
      </c>
      <c r="Z717" s="2" t="s">
        <v>548</v>
      </c>
      <c r="AA717" s="2" t="s">
        <v>45</v>
      </c>
      <c r="AB717" s="2" t="s">
        <v>2542</v>
      </c>
    </row>
    <row r="718" spans="1:28" x14ac:dyDescent="0.25">
      <c r="A718" s="4">
        <v>46235</v>
      </c>
      <c r="B718" s="8" t="s">
        <v>2254</v>
      </c>
      <c r="C718" s="8" t="s">
        <v>36</v>
      </c>
      <c r="D718" s="8" t="s">
        <v>67</v>
      </c>
      <c r="E718" s="8" t="s">
        <v>47</v>
      </c>
      <c r="F718" s="13"/>
      <c r="G718" s="59"/>
      <c r="H718" s="6">
        <f>15000/7</f>
        <v>2142.8571428571427</v>
      </c>
      <c r="I718" s="6">
        <f t="shared" si="53"/>
        <v>207.2639225181598</v>
      </c>
      <c r="J718" s="2" t="s">
        <v>2610</v>
      </c>
      <c r="K718" s="2">
        <v>4.13</v>
      </c>
      <c r="L718" s="2" t="s">
        <v>1502</v>
      </c>
      <c r="M718" s="2" t="s">
        <v>2611</v>
      </c>
      <c r="N718" s="2" t="s">
        <v>2612</v>
      </c>
      <c r="O718" s="56">
        <v>856</v>
      </c>
      <c r="P718" s="2" t="s">
        <v>2613</v>
      </c>
      <c r="Q718" s="2" t="s">
        <v>2614</v>
      </c>
      <c r="R718" s="2" t="s">
        <v>1842</v>
      </c>
      <c r="S718" s="2" t="s">
        <v>595</v>
      </c>
      <c r="T718" s="2" t="s">
        <v>2615</v>
      </c>
      <c r="U718" s="2" t="s">
        <v>2616</v>
      </c>
      <c r="V718" s="2" t="s">
        <v>2617</v>
      </c>
      <c r="W718" s="2" t="s">
        <v>2618</v>
      </c>
      <c r="X718" s="2" t="s">
        <v>2619</v>
      </c>
      <c r="Y718" s="2" t="s">
        <v>2620</v>
      </c>
      <c r="Z718" s="2" t="s">
        <v>719</v>
      </c>
      <c r="AA718" s="2" t="s">
        <v>548</v>
      </c>
      <c r="AB718" s="2" t="s">
        <v>2621</v>
      </c>
    </row>
    <row r="719" spans="1:28" x14ac:dyDescent="0.25">
      <c r="A719" s="4">
        <v>46235</v>
      </c>
      <c r="B719" s="8" t="s">
        <v>2254</v>
      </c>
      <c r="C719" s="8" t="s">
        <v>36</v>
      </c>
      <c r="D719" s="8" t="s">
        <v>50</v>
      </c>
      <c r="E719" s="8" t="s">
        <v>47</v>
      </c>
      <c r="F719" s="13"/>
      <c r="G719" s="59"/>
      <c r="H719" s="6">
        <f>15000/7</f>
        <v>2142.8571428571427</v>
      </c>
      <c r="I719" s="6">
        <f t="shared" si="53"/>
        <v>233.93501805054152</v>
      </c>
      <c r="J719" s="2" t="s">
        <v>2622</v>
      </c>
      <c r="K719" s="2">
        <v>5.54</v>
      </c>
      <c r="L719" s="2" t="s">
        <v>756</v>
      </c>
      <c r="M719" s="2" t="s">
        <v>2623</v>
      </c>
      <c r="N719" s="2" t="s">
        <v>2624</v>
      </c>
      <c r="O719" s="56">
        <v>1296</v>
      </c>
      <c r="P719" s="2" t="s">
        <v>784</v>
      </c>
      <c r="Q719" s="2" t="s">
        <v>1934</v>
      </c>
      <c r="R719" s="2" t="s">
        <v>1357</v>
      </c>
      <c r="S719" s="2" t="s">
        <v>595</v>
      </c>
      <c r="T719" s="2" t="s">
        <v>726</v>
      </c>
      <c r="U719" s="2" t="s">
        <v>2625</v>
      </c>
      <c r="V719" s="2" t="s">
        <v>2266</v>
      </c>
      <c r="W719" s="2" t="s">
        <v>2626</v>
      </c>
      <c r="X719" s="2" t="s">
        <v>2627</v>
      </c>
      <c r="Y719" s="2" t="s">
        <v>2628</v>
      </c>
      <c r="Z719" s="2" t="s">
        <v>678</v>
      </c>
      <c r="AA719" s="2" t="s">
        <v>548</v>
      </c>
      <c r="AB719" s="2" t="s">
        <v>2629</v>
      </c>
    </row>
    <row r="720" spans="1:28" x14ac:dyDescent="0.25">
      <c r="A720" s="4">
        <v>46235</v>
      </c>
      <c r="B720" s="8" t="s">
        <v>2254</v>
      </c>
      <c r="C720" s="8" t="s">
        <v>36</v>
      </c>
      <c r="D720" s="8" t="s">
        <v>52</v>
      </c>
      <c r="E720" s="8" t="s">
        <v>47</v>
      </c>
      <c r="F720" s="13"/>
      <c r="G720" s="59"/>
      <c r="H720" s="6">
        <f>15000/7</f>
        <v>2142.8571428571427</v>
      </c>
      <c r="I720" s="6">
        <f t="shared" si="53"/>
        <v>279.42073170731709</v>
      </c>
      <c r="J720" s="2" t="s">
        <v>2630</v>
      </c>
      <c r="K720" s="2">
        <v>6.56</v>
      </c>
      <c r="L720" s="2" t="s">
        <v>998</v>
      </c>
      <c r="M720" s="2" t="s">
        <v>2631</v>
      </c>
      <c r="N720" s="2" t="s">
        <v>2632</v>
      </c>
      <c r="O720" s="56">
        <v>1833</v>
      </c>
      <c r="P720" s="2" t="s">
        <v>971</v>
      </c>
      <c r="Q720" s="2" t="s">
        <v>2633</v>
      </c>
      <c r="R720" s="2" t="s">
        <v>610</v>
      </c>
      <c r="S720" s="2" t="s">
        <v>685</v>
      </c>
      <c r="T720" s="2" t="s">
        <v>809</v>
      </c>
      <c r="U720" s="2" t="s">
        <v>1190</v>
      </c>
      <c r="V720" s="2" t="s">
        <v>2634</v>
      </c>
      <c r="W720" s="2" t="s">
        <v>2635</v>
      </c>
      <c r="X720" s="2" t="s">
        <v>2636</v>
      </c>
      <c r="Y720" s="2" t="s">
        <v>2637</v>
      </c>
      <c r="Z720" s="2" t="s">
        <v>649</v>
      </c>
      <c r="AA720" s="2" t="s">
        <v>548</v>
      </c>
      <c r="AB720" s="2" t="s">
        <v>2638</v>
      </c>
    </row>
    <row r="721" spans="1:28" x14ac:dyDescent="0.25">
      <c r="A721" s="4">
        <v>46235</v>
      </c>
      <c r="B721" s="8" t="s">
        <v>2254</v>
      </c>
      <c r="C721" s="8" t="s">
        <v>36</v>
      </c>
      <c r="D721" s="7" t="s">
        <v>46</v>
      </c>
      <c r="E721" s="8" t="s">
        <v>47</v>
      </c>
      <c r="F721" s="13"/>
      <c r="G721" s="59"/>
      <c r="H721" s="6">
        <f>15000/7</f>
        <v>2142.8571428571427</v>
      </c>
      <c r="I721" s="6">
        <f t="shared" si="53"/>
        <v>394.19847328244276</v>
      </c>
      <c r="J721" s="2" t="s">
        <v>1526</v>
      </c>
      <c r="K721" s="2">
        <v>6.55</v>
      </c>
      <c r="L721" s="2" t="s">
        <v>693</v>
      </c>
      <c r="M721" s="2" t="s">
        <v>2639</v>
      </c>
      <c r="N721" s="2" t="s">
        <v>2640</v>
      </c>
      <c r="O721" s="56">
        <v>2582</v>
      </c>
      <c r="P721" s="2" t="s">
        <v>2199</v>
      </c>
      <c r="Q721" s="2" t="s">
        <v>2641</v>
      </c>
      <c r="R721" s="2" t="s">
        <v>2642</v>
      </c>
      <c r="S721" s="2" t="s">
        <v>949</v>
      </c>
      <c r="T721" s="2" t="s">
        <v>1106</v>
      </c>
      <c r="U721" s="2" t="s">
        <v>2643</v>
      </c>
      <c r="V721" s="2" t="s">
        <v>2644</v>
      </c>
      <c r="W721" s="2" t="s">
        <v>2645</v>
      </c>
      <c r="X721" s="2" t="s">
        <v>2646</v>
      </c>
      <c r="Y721" s="2" t="s">
        <v>2647</v>
      </c>
      <c r="Z721" s="2" t="s">
        <v>548</v>
      </c>
      <c r="AA721" s="2" t="s">
        <v>548</v>
      </c>
      <c r="AB721" s="2" t="s">
        <v>2579</v>
      </c>
    </row>
    <row r="722" spans="1:28" x14ac:dyDescent="0.25">
      <c r="A722" s="4">
        <v>46235</v>
      </c>
      <c r="B722" s="8" t="s">
        <v>2254</v>
      </c>
      <c r="C722" s="8" t="s">
        <v>36</v>
      </c>
      <c r="D722" s="8" t="s">
        <v>48</v>
      </c>
      <c r="E722" s="7" t="s">
        <v>38</v>
      </c>
      <c r="F722" s="13">
        <v>3375</v>
      </c>
      <c r="G722" s="59"/>
      <c r="H722" s="6">
        <f>24000/7</f>
        <v>3428.5714285714284</v>
      </c>
      <c r="I722" s="6">
        <f t="shared" si="53"/>
        <v>650.23752969121142</v>
      </c>
      <c r="J722" s="2" t="s">
        <v>2648</v>
      </c>
      <c r="K722" s="2">
        <v>8.42</v>
      </c>
      <c r="L722" s="2" t="s">
        <v>706</v>
      </c>
      <c r="M722" s="2" t="s">
        <v>2649</v>
      </c>
      <c r="N722" s="2" t="s">
        <v>2650</v>
      </c>
      <c r="O722" s="56">
        <v>5475</v>
      </c>
      <c r="P722" s="2" t="s">
        <v>1084</v>
      </c>
      <c r="Q722" s="2" t="s">
        <v>2649</v>
      </c>
      <c r="R722" s="2" t="s">
        <v>2651</v>
      </c>
      <c r="S722" s="2" t="s">
        <v>611</v>
      </c>
      <c r="T722" s="2" t="s">
        <v>2652</v>
      </c>
      <c r="U722" s="2" t="s">
        <v>2653</v>
      </c>
      <c r="V722" s="2" t="s">
        <v>1660</v>
      </c>
      <c r="W722" s="2" t="s">
        <v>2654</v>
      </c>
      <c r="X722" s="2" t="s">
        <v>2655</v>
      </c>
      <c r="Y722" s="2" t="s">
        <v>2656</v>
      </c>
      <c r="Z722" s="2" t="s">
        <v>649</v>
      </c>
      <c r="AA722" s="2" t="s">
        <v>548</v>
      </c>
      <c r="AB722" s="2" t="s">
        <v>2657</v>
      </c>
    </row>
    <row r="723" spans="1:28" x14ac:dyDescent="0.25">
      <c r="A723" s="4">
        <v>46235</v>
      </c>
      <c r="B723" s="8" t="s">
        <v>2254</v>
      </c>
      <c r="C723" s="8" t="s">
        <v>36</v>
      </c>
      <c r="D723" s="8" t="s">
        <v>49</v>
      </c>
      <c r="E723" s="8" t="s">
        <v>47</v>
      </c>
      <c r="F723" s="13"/>
      <c r="G723" s="59"/>
      <c r="H723" s="6">
        <f>15000/7</f>
        <v>2142.8571428571427</v>
      </c>
      <c r="I723" s="6">
        <f t="shared" si="53"/>
        <v>395.5151515151515</v>
      </c>
      <c r="J723" s="2" t="s">
        <v>1203</v>
      </c>
      <c r="K723" s="2">
        <v>8.25</v>
      </c>
      <c r="L723" s="2" t="s">
        <v>1553</v>
      </c>
      <c r="M723" s="2" t="s">
        <v>2658</v>
      </c>
      <c r="N723" s="2" t="s">
        <v>2659</v>
      </c>
      <c r="O723" s="56">
        <v>3263</v>
      </c>
      <c r="P723" s="2" t="s">
        <v>2660</v>
      </c>
      <c r="Q723" s="2" t="s">
        <v>2661</v>
      </c>
      <c r="R723" s="2" t="s">
        <v>2662</v>
      </c>
      <c r="S723" s="2" t="s">
        <v>820</v>
      </c>
      <c r="T723" s="2" t="s">
        <v>762</v>
      </c>
      <c r="U723" s="2" t="s">
        <v>2663</v>
      </c>
      <c r="V723" s="2" t="s">
        <v>2664</v>
      </c>
      <c r="W723" s="2" t="s">
        <v>2665</v>
      </c>
      <c r="X723" s="2" t="s">
        <v>2666</v>
      </c>
      <c r="Y723" s="2" t="s">
        <v>2667</v>
      </c>
      <c r="Z723" s="2" t="s">
        <v>548</v>
      </c>
      <c r="AA723" s="2" t="s">
        <v>548</v>
      </c>
      <c r="AB723" s="2" t="s">
        <v>1231</v>
      </c>
    </row>
    <row r="724" spans="1:28" x14ac:dyDescent="0.25">
      <c r="A724" s="4">
        <v>46236</v>
      </c>
      <c r="B724" s="8" t="s">
        <v>55</v>
      </c>
      <c r="C724" s="8" t="s">
        <v>56</v>
      </c>
      <c r="D724" s="8" t="s">
        <v>39</v>
      </c>
      <c r="E724" s="8" t="s">
        <v>47</v>
      </c>
      <c r="F724" s="13"/>
      <c r="G724" s="59"/>
      <c r="H724" s="6"/>
      <c r="I724" s="6">
        <f t="shared" si="53"/>
        <v>0</v>
      </c>
      <c r="J724" s="2" t="s">
        <v>2668</v>
      </c>
      <c r="K724" s="2" t="s">
        <v>2669</v>
      </c>
      <c r="L724" s="2" t="s">
        <v>602</v>
      </c>
      <c r="M724" s="2" t="s">
        <v>2670</v>
      </c>
      <c r="N724" s="2" t="s">
        <v>548</v>
      </c>
      <c r="O724" s="56">
        <v>0</v>
      </c>
      <c r="P724" s="2" t="s">
        <v>45</v>
      </c>
      <c r="Q724" s="2" t="s">
        <v>548</v>
      </c>
      <c r="R724" s="2" t="s">
        <v>961</v>
      </c>
      <c r="S724" s="2" t="s">
        <v>839</v>
      </c>
      <c r="T724" s="2" t="s">
        <v>2302</v>
      </c>
      <c r="U724" s="2" t="s">
        <v>585</v>
      </c>
      <c r="V724" s="2" t="s">
        <v>2503</v>
      </c>
      <c r="W724" s="2" t="s">
        <v>2671</v>
      </c>
      <c r="X724" s="2" t="s">
        <v>2603</v>
      </c>
      <c r="Y724" s="2" t="s">
        <v>2604</v>
      </c>
      <c r="Z724" s="2" t="s">
        <v>649</v>
      </c>
      <c r="AA724" s="2" t="s">
        <v>45</v>
      </c>
      <c r="AB724" s="2" t="s">
        <v>2672</v>
      </c>
    </row>
    <row r="725" spans="1:28" x14ac:dyDescent="0.25">
      <c r="A725" s="4">
        <v>46236</v>
      </c>
      <c r="B725" s="8" t="s">
        <v>55</v>
      </c>
      <c r="C725" s="8" t="s">
        <v>56</v>
      </c>
      <c r="D725" s="8" t="s">
        <v>43</v>
      </c>
      <c r="E725" s="8" t="s">
        <v>47</v>
      </c>
      <c r="F725" s="13"/>
      <c r="G725" s="59"/>
      <c r="H725" s="6"/>
      <c r="I725" s="6">
        <f t="shared" si="53"/>
        <v>0</v>
      </c>
      <c r="J725" s="2" t="s">
        <v>548</v>
      </c>
      <c r="K725" s="2" t="s">
        <v>548</v>
      </c>
      <c r="L725" s="2" t="s">
        <v>548</v>
      </c>
      <c r="M725" s="2" t="s">
        <v>45</v>
      </c>
      <c r="N725" s="2" t="s">
        <v>45</v>
      </c>
      <c r="O725" s="56" t="s">
        <v>45</v>
      </c>
      <c r="P725" s="2" t="s">
        <v>45</v>
      </c>
      <c r="Q725" s="2" t="s">
        <v>45</v>
      </c>
      <c r="R725" s="2" t="s">
        <v>548</v>
      </c>
      <c r="S725" s="2" t="s">
        <v>548</v>
      </c>
      <c r="T725" s="2" t="s">
        <v>45</v>
      </c>
      <c r="U725" s="2" t="s">
        <v>548</v>
      </c>
      <c r="V725" s="2" t="s">
        <v>45</v>
      </c>
      <c r="W725" s="2" t="s">
        <v>2609</v>
      </c>
      <c r="X725" s="2" t="s">
        <v>45</v>
      </c>
      <c r="Y725" s="2" t="s">
        <v>45</v>
      </c>
      <c r="Z725" s="2" t="s">
        <v>548</v>
      </c>
      <c r="AA725" s="2" t="s">
        <v>45</v>
      </c>
      <c r="AB725" s="2" t="s">
        <v>2542</v>
      </c>
    </row>
    <row r="726" spans="1:28" x14ac:dyDescent="0.25">
      <c r="A726" s="4">
        <v>46236</v>
      </c>
      <c r="B726" s="8" t="s">
        <v>55</v>
      </c>
      <c r="C726" s="8" t="s">
        <v>56</v>
      </c>
      <c r="D726" s="8" t="s">
        <v>67</v>
      </c>
      <c r="E726" s="8" t="s">
        <v>47</v>
      </c>
      <c r="F726" s="13"/>
      <c r="G726" s="59"/>
      <c r="H726" s="6"/>
      <c r="I726" s="6">
        <f t="shared" si="53"/>
        <v>0</v>
      </c>
      <c r="J726" s="2" t="s">
        <v>45</v>
      </c>
      <c r="K726" s="2" t="s">
        <v>45</v>
      </c>
      <c r="L726" s="2" t="s">
        <v>45</v>
      </c>
      <c r="M726" s="2" t="s">
        <v>45</v>
      </c>
      <c r="N726" s="2" t="s">
        <v>45</v>
      </c>
      <c r="O726" s="56" t="s">
        <v>45</v>
      </c>
      <c r="P726" s="2" t="s">
        <v>45</v>
      </c>
      <c r="Q726" s="2" t="s">
        <v>45</v>
      </c>
      <c r="R726" s="2" t="s">
        <v>45</v>
      </c>
      <c r="S726" s="2" t="s">
        <v>45</v>
      </c>
      <c r="T726" s="2" t="s">
        <v>45</v>
      </c>
      <c r="U726" s="2" t="s">
        <v>45</v>
      </c>
      <c r="V726" s="2" t="s">
        <v>45</v>
      </c>
      <c r="W726" s="2" t="s">
        <v>45</v>
      </c>
      <c r="X726" s="2" t="s">
        <v>45</v>
      </c>
      <c r="Y726" s="2" t="s">
        <v>45</v>
      </c>
      <c r="Z726" s="2" t="s">
        <v>45</v>
      </c>
      <c r="AA726" s="2" t="s">
        <v>45</v>
      </c>
      <c r="AB726" s="2" t="s">
        <v>45</v>
      </c>
    </row>
    <row r="727" spans="1:28" x14ac:dyDescent="0.25">
      <c r="A727" s="4">
        <v>46236</v>
      </c>
      <c r="B727" s="8" t="s">
        <v>55</v>
      </c>
      <c r="C727" s="8" t="s">
        <v>56</v>
      </c>
      <c r="D727" s="8" t="s">
        <v>50</v>
      </c>
      <c r="E727" s="8" t="s">
        <v>47</v>
      </c>
      <c r="F727" s="13"/>
      <c r="G727" s="59"/>
      <c r="H727" s="6"/>
      <c r="I727" s="6">
        <f t="shared" si="53"/>
        <v>0</v>
      </c>
      <c r="J727" s="2" t="s">
        <v>548</v>
      </c>
      <c r="K727" s="2" t="s">
        <v>548</v>
      </c>
      <c r="L727" s="2" t="s">
        <v>548</v>
      </c>
      <c r="M727" s="2" t="s">
        <v>45</v>
      </c>
      <c r="N727" s="2" t="s">
        <v>548</v>
      </c>
      <c r="O727" s="56">
        <v>0</v>
      </c>
      <c r="P727" s="2" t="s">
        <v>45</v>
      </c>
      <c r="Q727" s="2" t="s">
        <v>45</v>
      </c>
      <c r="R727" s="2" t="s">
        <v>548</v>
      </c>
      <c r="S727" s="2" t="s">
        <v>548</v>
      </c>
      <c r="T727" s="2" t="s">
        <v>45</v>
      </c>
      <c r="U727" s="2" t="s">
        <v>548</v>
      </c>
      <c r="V727" s="2" t="s">
        <v>45</v>
      </c>
      <c r="W727" s="2" t="s">
        <v>2626</v>
      </c>
      <c r="X727" s="2" t="s">
        <v>2627</v>
      </c>
      <c r="Y727" s="2" t="s">
        <v>2628</v>
      </c>
      <c r="Z727" s="2" t="s">
        <v>548</v>
      </c>
      <c r="AA727" s="2" t="s">
        <v>45</v>
      </c>
      <c r="AB727" s="2" t="s">
        <v>2629</v>
      </c>
    </row>
    <row r="728" spans="1:28" x14ac:dyDescent="0.25">
      <c r="A728" s="4">
        <v>46236</v>
      </c>
      <c r="B728" s="8" t="s">
        <v>55</v>
      </c>
      <c r="C728" s="8" t="s">
        <v>56</v>
      </c>
      <c r="D728" s="8" t="s">
        <v>52</v>
      </c>
      <c r="E728" s="8" t="s">
        <v>47</v>
      </c>
      <c r="F728" s="13"/>
      <c r="G728" s="59"/>
      <c r="H728" s="6"/>
      <c r="I728" s="6">
        <f t="shared" si="53"/>
        <v>0</v>
      </c>
      <c r="J728" s="2" t="s">
        <v>45</v>
      </c>
      <c r="K728" s="2" t="s">
        <v>45</v>
      </c>
      <c r="L728" s="2" t="s">
        <v>45</v>
      </c>
      <c r="M728" s="2" t="s">
        <v>45</v>
      </c>
      <c r="N728" s="2" t="s">
        <v>45</v>
      </c>
      <c r="O728" s="56" t="s">
        <v>45</v>
      </c>
      <c r="P728" s="2" t="s">
        <v>45</v>
      </c>
      <c r="Q728" s="2" t="s">
        <v>45</v>
      </c>
      <c r="R728" s="2" t="s">
        <v>45</v>
      </c>
      <c r="S728" s="2" t="s">
        <v>45</v>
      </c>
      <c r="T728" s="2" t="s">
        <v>45</v>
      </c>
      <c r="U728" s="2" t="s">
        <v>45</v>
      </c>
      <c r="V728" s="2" t="s">
        <v>45</v>
      </c>
      <c r="W728" s="2" t="s">
        <v>45</v>
      </c>
      <c r="X728" s="2" t="s">
        <v>45</v>
      </c>
      <c r="Y728" s="2" t="s">
        <v>45</v>
      </c>
      <c r="Z728" s="2" t="s">
        <v>45</v>
      </c>
      <c r="AA728" s="2" t="s">
        <v>45</v>
      </c>
      <c r="AB728" s="2" t="s">
        <v>45</v>
      </c>
    </row>
    <row r="729" spans="1:28" x14ac:dyDescent="0.25">
      <c r="A729" s="4">
        <v>46236</v>
      </c>
      <c r="B729" s="8" t="s">
        <v>55</v>
      </c>
      <c r="C729" s="8" t="s">
        <v>56</v>
      </c>
      <c r="D729" s="7" t="s">
        <v>46</v>
      </c>
      <c r="E729" s="7" t="s">
        <v>47</v>
      </c>
      <c r="F729" s="13"/>
      <c r="G729" s="59"/>
      <c r="H729" s="6"/>
      <c r="I729" s="6">
        <f t="shared" si="53"/>
        <v>0</v>
      </c>
      <c r="J729" s="2" t="s">
        <v>548</v>
      </c>
      <c r="K729" s="2" t="s">
        <v>548</v>
      </c>
      <c r="L729" s="2" t="s">
        <v>548</v>
      </c>
      <c r="M729" s="2" t="s">
        <v>45</v>
      </c>
      <c r="N729" s="2" t="s">
        <v>548</v>
      </c>
      <c r="O729" s="56">
        <v>0</v>
      </c>
      <c r="P729" s="2" t="s">
        <v>45</v>
      </c>
      <c r="Q729" s="2" t="s">
        <v>45</v>
      </c>
      <c r="R729" s="2" t="s">
        <v>548</v>
      </c>
      <c r="S729" s="2" t="s">
        <v>548</v>
      </c>
      <c r="T729" s="2" t="s">
        <v>45</v>
      </c>
      <c r="U729" s="2" t="s">
        <v>548</v>
      </c>
      <c r="V729" s="2" t="s">
        <v>45</v>
      </c>
      <c r="W729" s="2" t="s">
        <v>2645</v>
      </c>
      <c r="X729" s="2" t="s">
        <v>2646</v>
      </c>
      <c r="Y729" s="2" t="s">
        <v>2647</v>
      </c>
      <c r="Z729" s="2" t="s">
        <v>548</v>
      </c>
      <c r="AA729" s="2" t="s">
        <v>45</v>
      </c>
      <c r="AB729" s="2" t="s">
        <v>2579</v>
      </c>
    </row>
    <row r="730" spans="1:28" x14ac:dyDescent="0.25">
      <c r="A730" s="4">
        <v>46236</v>
      </c>
      <c r="B730" s="8" t="s">
        <v>2254</v>
      </c>
      <c r="C730" s="8" t="s">
        <v>36</v>
      </c>
      <c r="D730" s="8" t="s">
        <v>48</v>
      </c>
      <c r="E730" s="7" t="s">
        <v>38</v>
      </c>
      <c r="F730" s="13">
        <v>2705</v>
      </c>
      <c r="G730" s="59"/>
      <c r="H730" s="6">
        <f>24000/7</f>
        <v>3428.5714285714284</v>
      </c>
      <c r="I730" s="6">
        <f t="shared" si="53"/>
        <v>768.40077071290943</v>
      </c>
      <c r="J730" s="2" t="s">
        <v>1785</v>
      </c>
      <c r="K730" s="2">
        <v>5.19</v>
      </c>
      <c r="L730" s="2" t="s">
        <v>1696</v>
      </c>
      <c r="M730" s="2" t="s">
        <v>2673</v>
      </c>
      <c r="N730" s="2" t="s">
        <v>2674</v>
      </c>
      <c r="O730" s="56">
        <v>3988</v>
      </c>
      <c r="P730" s="2" t="s">
        <v>2503</v>
      </c>
      <c r="Q730" s="2" t="s">
        <v>2675</v>
      </c>
      <c r="R730" s="2" t="s">
        <v>1821</v>
      </c>
      <c r="S730" s="2" t="s">
        <v>961</v>
      </c>
      <c r="T730" s="2" t="s">
        <v>961</v>
      </c>
      <c r="U730" s="2" t="s">
        <v>2676</v>
      </c>
      <c r="V730" s="2" t="s">
        <v>2677</v>
      </c>
      <c r="W730" s="2" t="s">
        <v>2678</v>
      </c>
      <c r="X730" s="2" t="s">
        <v>2679</v>
      </c>
      <c r="Y730" s="2" t="s">
        <v>2680</v>
      </c>
      <c r="Z730" s="2" t="s">
        <v>548</v>
      </c>
      <c r="AA730" s="2" t="s">
        <v>548</v>
      </c>
      <c r="AB730" s="2" t="s">
        <v>2657</v>
      </c>
    </row>
    <row r="731" spans="1:28" x14ac:dyDescent="0.25">
      <c r="A731" s="4">
        <v>46236</v>
      </c>
      <c r="B731" s="8" t="s">
        <v>55</v>
      </c>
      <c r="C731" s="8" t="s">
        <v>56</v>
      </c>
      <c r="D731" s="8" t="s">
        <v>49</v>
      </c>
      <c r="E731" s="8" t="s">
        <v>47</v>
      </c>
      <c r="F731" s="13"/>
      <c r="G731" s="59"/>
      <c r="H731" s="6"/>
      <c r="I731" s="6">
        <f t="shared" si="53"/>
        <v>0</v>
      </c>
      <c r="J731" s="2" t="s">
        <v>45</v>
      </c>
      <c r="K731" s="2" t="s">
        <v>45</v>
      </c>
      <c r="L731" s="2" t="s">
        <v>45</v>
      </c>
      <c r="M731" s="2" t="s">
        <v>45</v>
      </c>
      <c r="N731" s="2" t="s">
        <v>45</v>
      </c>
      <c r="O731" s="56" t="s">
        <v>45</v>
      </c>
      <c r="P731" s="2" t="s">
        <v>45</v>
      </c>
      <c r="Q731" s="2" t="s">
        <v>45</v>
      </c>
      <c r="R731" s="2" t="s">
        <v>45</v>
      </c>
      <c r="S731" s="2" t="s">
        <v>45</v>
      </c>
      <c r="T731" s="2" t="s">
        <v>45</v>
      </c>
      <c r="U731" s="2" t="s">
        <v>45</v>
      </c>
      <c r="V731" s="2" t="s">
        <v>45</v>
      </c>
      <c r="W731" s="2" t="s">
        <v>45</v>
      </c>
      <c r="X731" s="2" t="s">
        <v>45</v>
      </c>
      <c r="Y731" s="2" t="s">
        <v>45</v>
      </c>
      <c r="Z731" s="2" t="s">
        <v>45</v>
      </c>
      <c r="AA731" s="2" t="s">
        <v>45</v>
      </c>
      <c r="AB731" s="2" t="s">
        <v>45</v>
      </c>
    </row>
    <row r="732" spans="1:28" x14ac:dyDescent="0.25">
      <c r="A732" s="4">
        <v>46237</v>
      </c>
      <c r="B732" s="8" t="s">
        <v>2681</v>
      </c>
      <c r="C732" s="8" t="s">
        <v>36</v>
      </c>
      <c r="D732" s="8" t="s">
        <v>39</v>
      </c>
      <c r="E732" s="8" t="s">
        <v>47</v>
      </c>
      <c r="F732" s="13"/>
      <c r="G732" s="59"/>
      <c r="H732" s="6">
        <f>15000/7</f>
        <v>2142.8571428571427</v>
      </c>
      <c r="I732" s="6">
        <f t="shared" ref="I732:I795" si="54">IFERROR(O732/K732,)</f>
        <v>199.65277777777777</v>
      </c>
      <c r="J732" s="2" t="s">
        <v>2377</v>
      </c>
      <c r="K732" s="2">
        <v>5.76</v>
      </c>
      <c r="L732" s="2" t="s">
        <v>955</v>
      </c>
      <c r="M732" s="2" t="s">
        <v>2682</v>
      </c>
      <c r="N732" s="2" t="s">
        <v>2683</v>
      </c>
      <c r="O732" s="56">
        <v>1150</v>
      </c>
      <c r="P732" s="2" t="s">
        <v>2684</v>
      </c>
      <c r="Q732" s="2" t="s">
        <v>737</v>
      </c>
      <c r="R732" s="2" t="s">
        <v>838</v>
      </c>
      <c r="S732" s="2" t="s">
        <v>839</v>
      </c>
      <c r="T732" s="2" t="s">
        <v>685</v>
      </c>
      <c r="U732" s="2" t="s">
        <v>840</v>
      </c>
      <c r="V732" s="2" t="s">
        <v>2685</v>
      </c>
      <c r="W732" s="2" t="s">
        <v>2686</v>
      </c>
      <c r="X732" s="2" t="s">
        <v>2687</v>
      </c>
      <c r="Y732" s="2" t="s">
        <v>2688</v>
      </c>
      <c r="Z732" s="2" t="s">
        <v>548</v>
      </c>
      <c r="AA732" s="2" t="s">
        <v>548</v>
      </c>
      <c r="AB732" s="2" t="s">
        <v>2672</v>
      </c>
    </row>
    <row r="733" spans="1:28" x14ac:dyDescent="0.25">
      <c r="A733" s="4">
        <v>46237</v>
      </c>
      <c r="B733" s="8" t="s">
        <v>2681</v>
      </c>
      <c r="C733" s="8" t="s">
        <v>36</v>
      </c>
      <c r="D733" s="8" t="s">
        <v>43</v>
      </c>
      <c r="E733" s="8" t="s">
        <v>47</v>
      </c>
      <c r="F733" s="13"/>
      <c r="G733" s="59"/>
      <c r="H733" s="6">
        <f>15000/7</f>
        <v>2142.8571428571427</v>
      </c>
      <c r="I733" s="6">
        <f t="shared" si="54"/>
        <v>0</v>
      </c>
      <c r="J733" s="2"/>
      <c r="K733" s="2"/>
      <c r="L733" s="2"/>
      <c r="M733" s="2"/>
      <c r="N733" s="2"/>
      <c r="O733" s="56">
        <f>3*25</f>
        <v>75</v>
      </c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x14ac:dyDescent="0.25">
      <c r="A734" s="4">
        <v>46237</v>
      </c>
      <c r="B734" s="8" t="s">
        <v>2681</v>
      </c>
      <c r="C734" s="8" t="s">
        <v>36</v>
      </c>
      <c r="D734" s="8" t="s">
        <v>43</v>
      </c>
      <c r="E734" s="8" t="s">
        <v>61</v>
      </c>
      <c r="F734" s="13"/>
      <c r="G734" s="59"/>
      <c r="H734" s="6"/>
      <c r="I734" s="6">
        <f t="shared" si="54"/>
        <v>202.24719101123594</v>
      </c>
      <c r="J734" s="2" t="s">
        <v>2689</v>
      </c>
      <c r="K734" s="2">
        <v>4.45</v>
      </c>
      <c r="L734" s="2" t="s">
        <v>652</v>
      </c>
      <c r="M734" s="2" t="s">
        <v>2690</v>
      </c>
      <c r="N734" s="2" t="s">
        <v>45</v>
      </c>
      <c r="O734" s="56">
        <v>900</v>
      </c>
      <c r="P734" s="2" t="s">
        <v>45</v>
      </c>
      <c r="Q734" s="2" t="s">
        <v>45</v>
      </c>
      <c r="R734" s="2" t="s">
        <v>2691</v>
      </c>
      <c r="S734" s="2" t="s">
        <v>961</v>
      </c>
      <c r="T734" s="2" t="s">
        <v>869</v>
      </c>
      <c r="U734" s="2" t="s">
        <v>2692</v>
      </c>
      <c r="V734" s="2" t="s">
        <v>2693</v>
      </c>
      <c r="W734" s="2" t="s">
        <v>2694</v>
      </c>
      <c r="X734" s="2" t="s">
        <v>45</v>
      </c>
      <c r="Y734" s="2" t="s">
        <v>45</v>
      </c>
      <c r="Z734" s="2" t="s">
        <v>621</v>
      </c>
      <c r="AA734" s="2" t="s">
        <v>45</v>
      </c>
      <c r="AB734" s="2" t="s">
        <v>2695</v>
      </c>
    </row>
    <row r="735" spans="1:28" x14ac:dyDescent="0.25">
      <c r="A735" s="4">
        <v>46237</v>
      </c>
      <c r="B735" s="8" t="s">
        <v>2681</v>
      </c>
      <c r="C735" s="8" t="s">
        <v>36</v>
      </c>
      <c r="D735" s="8" t="s">
        <v>67</v>
      </c>
      <c r="E735" s="8" t="s">
        <v>47</v>
      </c>
      <c r="F735" s="13"/>
      <c r="G735" s="59"/>
      <c r="H735" s="6">
        <f>15000/7</f>
        <v>2142.8571428571427</v>
      </c>
      <c r="I735" s="6">
        <f t="shared" si="54"/>
        <v>486.09355246523387</v>
      </c>
      <c r="J735" s="2" t="s">
        <v>1120</v>
      </c>
      <c r="K735" s="2">
        <v>7.91</v>
      </c>
      <c r="L735" s="2" t="s">
        <v>1321</v>
      </c>
      <c r="M735" s="2" t="s">
        <v>2649</v>
      </c>
      <c r="N735" s="2" t="s">
        <v>2696</v>
      </c>
      <c r="O735" s="56">
        <v>3845</v>
      </c>
      <c r="P735" s="2" t="s">
        <v>1847</v>
      </c>
      <c r="Q735" s="2" t="s">
        <v>1017</v>
      </c>
      <c r="R735" s="2" t="s">
        <v>2697</v>
      </c>
      <c r="S735" s="2" t="s">
        <v>961</v>
      </c>
      <c r="T735" s="2" t="s">
        <v>2149</v>
      </c>
      <c r="U735" s="2" t="s">
        <v>2009</v>
      </c>
      <c r="V735" s="2" t="s">
        <v>2698</v>
      </c>
      <c r="W735" s="2" t="s">
        <v>2699</v>
      </c>
      <c r="X735" s="2" t="s">
        <v>2700</v>
      </c>
      <c r="Y735" s="2" t="s">
        <v>2701</v>
      </c>
      <c r="Z735" s="2" t="s">
        <v>579</v>
      </c>
      <c r="AA735" s="2" t="s">
        <v>548</v>
      </c>
      <c r="AB735" s="2" t="s">
        <v>2702</v>
      </c>
    </row>
    <row r="736" spans="1:28" x14ac:dyDescent="0.25">
      <c r="A736" s="4">
        <v>46237</v>
      </c>
      <c r="B736" s="8" t="s">
        <v>2681</v>
      </c>
      <c r="C736" s="8" t="s">
        <v>36</v>
      </c>
      <c r="D736" s="8" t="s">
        <v>50</v>
      </c>
      <c r="E736" s="8" t="s">
        <v>47</v>
      </c>
      <c r="F736" s="13"/>
      <c r="G736" s="59"/>
      <c r="H736" s="6">
        <f>15000/7</f>
        <v>2142.8571428571427</v>
      </c>
      <c r="I736" s="6">
        <f t="shared" si="54"/>
        <v>283.54430379746833</v>
      </c>
      <c r="J736" s="2" t="s">
        <v>2101</v>
      </c>
      <c r="K736" s="2">
        <v>7.11</v>
      </c>
      <c r="L736" s="2" t="s">
        <v>734</v>
      </c>
      <c r="M736" s="2" t="s">
        <v>2703</v>
      </c>
      <c r="N736" s="2" t="s">
        <v>2704</v>
      </c>
      <c r="O736" s="56">
        <v>2016</v>
      </c>
      <c r="P736" s="2" t="s">
        <v>993</v>
      </c>
      <c r="Q736" s="2" t="s">
        <v>2705</v>
      </c>
      <c r="R736" s="2" t="s">
        <v>1998</v>
      </c>
      <c r="S736" s="2" t="s">
        <v>595</v>
      </c>
      <c r="T736" s="2" t="s">
        <v>869</v>
      </c>
      <c r="U736" s="2" t="s">
        <v>626</v>
      </c>
      <c r="V736" s="2" t="s">
        <v>2706</v>
      </c>
      <c r="W736" s="2" t="s">
        <v>2707</v>
      </c>
      <c r="X736" s="2" t="s">
        <v>2708</v>
      </c>
      <c r="Y736" s="2" t="s">
        <v>2709</v>
      </c>
      <c r="Z736" s="2" t="s">
        <v>636</v>
      </c>
      <c r="AA736" s="2" t="s">
        <v>548</v>
      </c>
      <c r="AB736" s="2" t="s">
        <v>2710</v>
      </c>
    </row>
    <row r="737" spans="1:28" x14ac:dyDescent="0.25">
      <c r="A737" s="4">
        <v>46237</v>
      </c>
      <c r="B737" s="8" t="s">
        <v>2681</v>
      </c>
      <c r="C737" s="8" t="s">
        <v>36</v>
      </c>
      <c r="D737" s="8" t="s">
        <v>52</v>
      </c>
      <c r="E737" s="8" t="s">
        <v>47</v>
      </c>
      <c r="F737" s="13"/>
      <c r="G737" s="59"/>
      <c r="H737" s="6">
        <f>15000/7</f>
        <v>2142.8571428571427</v>
      </c>
      <c r="I737" s="6">
        <f t="shared" si="54"/>
        <v>253.33333333333331</v>
      </c>
      <c r="J737" s="2" t="s">
        <v>726</v>
      </c>
      <c r="K737" s="2">
        <v>2.85</v>
      </c>
      <c r="L737" s="2" t="s">
        <v>618</v>
      </c>
      <c r="M737" s="2" t="s">
        <v>2711</v>
      </c>
      <c r="N737" s="2" t="s">
        <v>2712</v>
      </c>
      <c r="O737" s="56">
        <v>722</v>
      </c>
      <c r="P737" s="2" t="s">
        <v>1333</v>
      </c>
      <c r="Q737" s="2" t="s">
        <v>2713</v>
      </c>
      <c r="R737" s="2" t="s">
        <v>2714</v>
      </c>
      <c r="S737" s="2" t="s">
        <v>749</v>
      </c>
      <c r="T737" s="2" t="s">
        <v>839</v>
      </c>
      <c r="U737" s="2" t="s">
        <v>1521</v>
      </c>
      <c r="V737" s="2" t="s">
        <v>1318</v>
      </c>
      <c r="W737" s="2" t="s">
        <v>2715</v>
      </c>
      <c r="X737" s="2" t="s">
        <v>2716</v>
      </c>
      <c r="Y737" s="2" t="s">
        <v>2717</v>
      </c>
      <c r="Z737" s="2" t="s">
        <v>548</v>
      </c>
      <c r="AA737" s="2" t="s">
        <v>548</v>
      </c>
      <c r="AB737" s="2" t="s">
        <v>2638</v>
      </c>
    </row>
    <row r="738" spans="1:28" x14ac:dyDescent="0.25">
      <c r="A738" s="4">
        <v>46237</v>
      </c>
      <c r="B738" s="8" t="s">
        <v>2681</v>
      </c>
      <c r="C738" s="8" t="s">
        <v>36</v>
      </c>
      <c r="D738" s="7" t="s">
        <v>46</v>
      </c>
      <c r="E738" s="7" t="s">
        <v>47</v>
      </c>
      <c r="F738" s="13"/>
      <c r="G738" s="59"/>
      <c r="H738" s="6">
        <f>15000/7</f>
        <v>2142.8571428571427</v>
      </c>
      <c r="I738" s="6">
        <f t="shared" si="54"/>
        <v>344.70774091627175</v>
      </c>
      <c r="J738" s="2" t="s">
        <v>2381</v>
      </c>
      <c r="K738" s="2">
        <v>6.33</v>
      </c>
      <c r="L738" s="2" t="s">
        <v>1321</v>
      </c>
      <c r="M738" s="2" t="s">
        <v>2718</v>
      </c>
      <c r="N738" s="2" t="s">
        <v>2719</v>
      </c>
      <c r="O738" s="56">
        <v>2182</v>
      </c>
      <c r="P738" s="2" t="s">
        <v>2720</v>
      </c>
      <c r="Q738" s="2" t="s">
        <v>2721</v>
      </c>
      <c r="R738" s="2" t="s">
        <v>1417</v>
      </c>
      <c r="S738" s="2" t="s">
        <v>611</v>
      </c>
      <c r="T738" s="2" t="s">
        <v>2722</v>
      </c>
      <c r="U738" s="2" t="s">
        <v>2723</v>
      </c>
      <c r="V738" s="2" t="s">
        <v>2724</v>
      </c>
      <c r="W738" s="2" t="s">
        <v>2725</v>
      </c>
      <c r="X738" s="2" t="s">
        <v>2726</v>
      </c>
      <c r="Y738" s="2" t="s">
        <v>2727</v>
      </c>
      <c r="Z738" s="2" t="s">
        <v>649</v>
      </c>
      <c r="AA738" s="2" t="s">
        <v>548</v>
      </c>
      <c r="AB738" s="2" t="s">
        <v>2728</v>
      </c>
    </row>
    <row r="739" spans="1:28" x14ac:dyDescent="0.25">
      <c r="A739" s="4">
        <v>46237</v>
      </c>
      <c r="B739" s="8" t="s">
        <v>2681</v>
      </c>
      <c r="C739" s="8" t="s">
        <v>36</v>
      </c>
      <c r="D739" s="8" t="s">
        <v>48</v>
      </c>
      <c r="E739" s="7" t="s">
        <v>38</v>
      </c>
      <c r="F739" s="13">
        <v>3090</v>
      </c>
      <c r="G739" s="59"/>
      <c r="H739" s="6">
        <f>24000/7</f>
        <v>3428.5714285714284</v>
      </c>
      <c r="I739" s="6">
        <f t="shared" si="54"/>
        <v>814.32545201668984</v>
      </c>
      <c r="J739" s="2" t="s">
        <v>2729</v>
      </c>
      <c r="K739" s="2">
        <v>7.19</v>
      </c>
      <c r="L739" s="2" t="s">
        <v>561</v>
      </c>
      <c r="M739" s="2" t="s">
        <v>656</v>
      </c>
      <c r="N739" s="2" t="s">
        <v>2730</v>
      </c>
      <c r="O739" s="56">
        <v>5855</v>
      </c>
      <c r="P739" s="2" t="s">
        <v>1968</v>
      </c>
      <c r="Q739" s="2" t="s">
        <v>1318</v>
      </c>
      <c r="R739" s="2" t="s">
        <v>2524</v>
      </c>
      <c r="S739" s="2" t="s">
        <v>567</v>
      </c>
      <c r="T739" s="2" t="s">
        <v>568</v>
      </c>
      <c r="U739" s="2" t="s">
        <v>1667</v>
      </c>
      <c r="V739" s="2" t="s">
        <v>2731</v>
      </c>
      <c r="W739" s="2" t="s">
        <v>2732</v>
      </c>
      <c r="X739" s="2" t="s">
        <v>2733</v>
      </c>
      <c r="Y739" s="2" t="s">
        <v>2734</v>
      </c>
      <c r="Z739" s="2" t="s">
        <v>548</v>
      </c>
      <c r="AA739" s="2" t="s">
        <v>548</v>
      </c>
      <c r="AB739" s="2" t="s">
        <v>2657</v>
      </c>
    </row>
    <row r="740" spans="1:28" x14ac:dyDescent="0.25">
      <c r="A740" s="4">
        <v>46237</v>
      </c>
      <c r="B740" s="8" t="s">
        <v>2681</v>
      </c>
      <c r="C740" s="8" t="s">
        <v>36</v>
      </c>
      <c r="D740" s="8" t="s">
        <v>49</v>
      </c>
      <c r="E740" s="8" t="s">
        <v>47</v>
      </c>
      <c r="F740" s="13"/>
      <c r="G740" s="59"/>
      <c r="H740" s="6">
        <f>15000/7</f>
        <v>2142.8571428571427</v>
      </c>
      <c r="I740" s="6">
        <f t="shared" si="54"/>
        <v>513.37760910815939</v>
      </c>
      <c r="J740" s="2" t="s">
        <v>1213</v>
      </c>
      <c r="K740" s="2">
        <v>10.54</v>
      </c>
      <c r="L740" s="2" t="s">
        <v>605</v>
      </c>
      <c r="M740" s="2" t="s">
        <v>2735</v>
      </c>
      <c r="N740" s="2" t="s">
        <v>2736</v>
      </c>
      <c r="O740" s="56">
        <v>5411</v>
      </c>
      <c r="P740" s="2" t="s">
        <v>2737</v>
      </c>
      <c r="Q740" s="2" t="s">
        <v>2738</v>
      </c>
      <c r="R740" s="2" t="s">
        <v>2739</v>
      </c>
      <c r="S740" s="2" t="s">
        <v>816</v>
      </c>
      <c r="T740" s="2" t="s">
        <v>2740</v>
      </c>
      <c r="U740" s="2" t="s">
        <v>2741</v>
      </c>
      <c r="V740" s="2" t="s">
        <v>2742</v>
      </c>
      <c r="W740" s="2" t="s">
        <v>2743</v>
      </c>
      <c r="X740" s="2" t="s">
        <v>2744</v>
      </c>
      <c r="Y740" s="2" t="s">
        <v>2745</v>
      </c>
      <c r="Z740" s="2" t="s">
        <v>548</v>
      </c>
      <c r="AA740" s="2" t="s">
        <v>548</v>
      </c>
      <c r="AB740" s="2" t="s">
        <v>1231</v>
      </c>
    </row>
    <row r="741" spans="1:28" x14ac:dyDescent="0.25">
      <c r="A741" s="4">
        <v>46238</v>
      </c>
      <c r="B741" s="8" t="s">
        <v>2681</v>
      </c>
      <c r="C741" s="8" t="s">
        <v>36</v>
      </c>
      <c r="D741" s="8" t="s">
        <v>39</v>
      </c>
      <c r="E741" s="8" t="s">
        <v>47</v>
      </c>
      <c r="F741" s="13"/>
      <c r="G741" s="59"/>
      <c r="H741" s="6">
        <f>15000/5</f>
        <v>3000</v>
      </c>
      <c r="I741" s="6">
        <f t="shared" si="54"/>
        <v>266.7140825035562</v>
      </c>
      <c r="J741" s="2" t="s">
        <v>2746</v>
      </c>
      <c r="K741" s="2">
        <v>7.03</v>
      </c>
      <c r="L741" s="2" t="s">
        <v>1187</v>
      </c>
      <c r="M741" s="2" t="s">
        <v>1643</v>
      </c>
      <c r="N741" s="2" t="s">
        <v>1898</v>
      </c>
      <c r="O741" s="56">
        <v>1875</v>
      </c>
      <c r="P741" s="2" t="s">
        <v>583</v>
      </c>
      <c r="Q741" s="2" t="s">
        <v>2747</v>
      </c>
      <c r="R741" s="2" t="s">
        <v>2748</v>
      </c>
      <c r="S741" s="2" t="s">
        <v>642</v>
      </c>
      <c r="T741" s="2" t="s">
        <v>2170</v>
      </c>
      <c r="U741" s="2" t="s">
        <v>2749</v>
      </c>
      <c r="V741" s="2" t="s">
        <v>2750</v>
      </c>
      <c r="W741" s="2" t="s">
        <v>2751</v>
      </c>
      <c r="X741" s="2" t="s">
        <v>2752</v>
      </c>
      <c r="Y741" s="2" t="s">
        <v>2753</v>
      </c>
      <c r="Z741" s="2" t="s">
        <v>649</v>
      </c>
      <c r="AA741" s="2" t="s">
        <v>548</v>
      </c>
      <c r="AB741" s="2" t="s">
        <v>2754</v>
      </c>
    </row>
    <row r="742" spans="1:28" x14ac:dyDescent="0.25">
      <c r="A742" s="4">
        <v>46238</v>
      </c>
      <c r="B742" s="8" t="s">
        <v>2681</v>
      </c>
      <c r="C742" s="8" t="s">
        <v>36</v>
      </c>
      <c r="D742" s="8" t="s">
        <v>43</v>
      </c>
      <c r="E742" s="8" t="s">
        <v>61</v>
      </c>
      <c r="F742" s="13"/>
      <c r="G742" s="59"/>
      <c r="H742" s="6"/>
      <c r="I742" s="6">
        <f t="shared" si="54"/>
        <v>29.550827423167846</v>
      </c>
      <c r="J742" s="2" t="s">
        <v>900</v>
      </c>
      <c r="K742" s="2">
        <v>8.4600000000000009</v>
      </c>
      <c r="L742" s="2" t="s">
        <v>884</v>
      </c>
      <c r="M742" s="2" t="s">
        <v>2755</v>
      </c>
      <c r="N742" s="2" t="s">
        <v>45</v>
      </c>
      <c r="O742" s="56">
        <v>250</v>
      </c>
      <c r="P742" s="2" t="s">
        <v>45</v>
      </c>
      <c r="Q742" s="2" t="s">
        <v>45</v>
      </c>
      <c r="R742" s="2" t="s">
        <v>1507</v>
      </c>
      <c r="S742" s="2" t="s">
        <v>1928</v>
      </c>
      <c r="T742" s="2" t="s">
        <v>1425</v>
      </c>
      <c r="U742" s="2" t="s">
        <v>2756</v>
      </c>
      <c r="V742" s="2" t="s">
        <v>2757</v>
      </c>
      <c r="W742" s="2" t="s">
        <v>2758</v>
      </c>
      <c r="X742" s="2" t="s">
        <v>45</v>
      </c>
      <c r="Y742" s="2" t="s">
        <v>45</v>
      </c>
      <c r="Z742" s="2" t="s">
        <v>1295</v>
      </c>
      <c r="AA742" s="2" t="s">
        <v>45</v>
      </c>
      <c r="AB742" s="2" t="s">
        <v>2759</v>
      </c>
    </row>
    <row r="743" spans="1:28" x14ac:dyDescent="0.25">
      <c r="A743" s="4">
        <v>46238</v>
      </c>
      <c r="B743" s="8" t="s">
        <v>2681</v>
      </c>
      <c r="C743" s="8" t="s">
        <v>36</v>
      </c>
      <c r="D743" s="8" t="s">
        <v>67</v>
      </c>
      <c r="E743" s="8" t="s">
        <v>47</v>
      </c>
      <c r="F743" s="13"/>
      <c r="G743" s="59"/>
      <c r="H743" s="6">
        <f>15000/5</f>
        <v>3000</v>
      </c>
      <c r="I743" s="6">
        <f t="shared" si="54"/>
        <v>129.42307692307691</v>
      </c>
      <c r="J743" s="2" t="s">
        <v>1354</v>
      </c>
      <c r="K743" s="2">
        <v>5.2</v>
      </c>
      <c r="L743" s="2" t="s">
        <v>602</v>
      </c>
      <c r="M743" s="2" t="s">
        <v>2760</v>
      </c>
      <c r="N743" s="2" t="s">
        <v>2761</v>
      </c>
      <c r="O743" s="56">
        <v>673</v>
      </c>
      <c r="P743" s="2" t="s">
        <v>2762</v>
      </c>
      <c r="Q743" s="2" t="s">
        <v>1416</v>
      </c>
      <c r="R743" s="2" t="s">
        <v>1610</v>
      </c>
      <c r="S743" s="2" t="s">
        <v>582</v>
      </c>
      <c r="T743" s="2" t="s">
        <v>1183</v>
      </c>
      <c r="U743" s="2" t="s">
        <v>1373</v>
      </c>
      <c r="V743" s="2" t="s">
        <v>1843</v>
      </c>
      <c r="W743" s="2" t="s">
        <v>2763</v>
      </c>
      <c r="X743" s="2" t="s">
        <v>2764</v>
      </c>
      <c r="Y743" s="2" t="s">
        <v>2765</v>
      </c>
      <c r="Z743" s="2" t="s">
        <v>602</v>
      </c>
      <c r="AA743" s="2" t="s">
        <v>548</v>
      </c>
      <c r="AB743" s="2" t="s">
        <v>2766</v>
      </c>
    </row>
    <row r="744" spans="1:28" x14ac:dyDescent="0.25">
      <c r="A744" s="4">
        <v>46238</v>
      </c>
      <c r="B744" s="8" t="s">
        <v>2681</v>
      </c>
      <c r="C744" s="8" t="s">
        <v>36</v>
      </c>
      <c r="D744" s="8" t="s">
        <v>50</v>
      </c>
      <c r="E744" s="8" t="s">
        <v>47</v>
      </c>
      <c r="F744" s="13"/>
      <c r="G744" s="59"/>
      <c r="H744" s="6">
        <f>15000/5</f>
        <v>3000</v>
      </c>
      <c r="I744" s="6">
        <f t="shared" si="54"/>
        <v>312.78735632183907</v>
      </c>
      <c r="J744" s="2" t="s">
        <v>2407</v>
      </c>
      <c r="K744" s="2">
        <v>6.96</v>
      </c>
      <c r="L744" s="2" t="s">
        <v>636</v>
      </c>
      <c r="M744" s="2" t="s">
        <v>2767</v>
      </c>
      <c r="N744" s="2" t="s">
        <v>2768</v>
      </c>
      <c r="O744" s="56">
        <v>2177</v>
      </c>
      <c r="P744" s="2" t="s">
        <v>1187</v>
      </c>
      <c r="Q744" s="2" t="s">
        <v>1049</v>
      </c>
      <c r="R744" s="2" t="s">
        <v>1442</v>
      </c>
      <c r="S744" s="2" t="s">
        <v>961</v>
      </c>
      <c r="T744" s="2" t="s">
        <v>685</v>
      </c>
      <c r="U744" s="2" t="s">
        <v>1908</v>
      </c>
      <c r="V744" s="2" t="s">
        <v>2334</v>
      </c>
      <c r="W744" s="2" t="s">
        <v>2769</v>
      </c>
      <c r="X744" s="2" t="s">
        <v>2770</v>
      </c>
      <c r="Y744" s="2" t="s">
        <v>2771</v>
      </c>
      <c r="Z744" s="2" t="s">
        <v>618</v>
      </c>
      <c r="AA744" s="2" t="s">
        <v>548</v>
      </c>
      <c r="AB744" s="2" t="s">
        <v>2772</v>
      </c>
    </row>
    <row r="745" spans="1:28" x14ac:dyDescent="0.25">
      <c r="A745" s="4">
        <v>46238</v>
      </c>
      <c r="B745" s="8" t="s">
        <v>55</v>
      </c>
      <c r="C745" s="8" t="s">
        <v>56</v>
      </c>
      <c r="D745" s="8" t="s">
        <v>52</v>
      </c>
      <c r="E745" s="8" t="s">
        <v>47</v>
      </c>
      <c r="F745" s="13"/>
      <c r="G745" s="8" t="s">
        <v>146</v>
      </c>
      <c r="H745" s="6"/>
      <c r="I745" s="6">
        <f t="shared" si="54"/>
        <v>0</v>
      </c>
      <c r="J745" s="2" t="s">
        <v>1433</v>
      </c>
      <c r="K745" s="2">
        <v>0.28000000000000003</v>
      </c>
      <c r="L745" s="2" t="s">
        <v>1654</v>
      </c>
      <c r="M745" s="2" t="s">
        <v>2773</v>
      </c>
      <c r="N745" s="2" t="s">
        <v>548</v>
      </c>
      <c r="O745" s="56">
        <v>0</v>
      </c>
      <c r="P745" s="2" t="s">
        <v>45</v>
      </c>
      <c r="Q745" s="2" t="s">
        <v>548</v>
      </c>
      <c r="R745" s="2" t="s">
        <v>749</v>
      </c>
      <c r="S745" s="2" t="s">
        <v>1312</v>
      </c>
      <c r="T745" s="2" t="s">
        <v>1183</v>
      </c>
      <c r="U745" s="2" t="s">
        <v>582</v>
      </c>
      <c r="V745" s="2" t="s">
        <v>2774</v>
      </c>
      <c r="W745" s="2" t="s">
        <v>2775</v>
      </c>
      <c r="X745" s="2" t="s">
        <v>2716</v>
      </c>
      <c r="Y745" s="2" t="s">
        <v>2717</v>
      </c>
      <c r="Z745" s="2" t="s">
        <v>548</v>
      </c>
      <c r="AA745" s="2" t="s">
        <v>45</v>
      </c>
      <c r="AB745" s="2" t="s">
        <v>2638</v>
      </c>
    </row>
    <row r="746" spans="1:28" x14ac:dyDescent="0.25">
      <c r="A746" s="4">
        <v>46238</v>
      </c>
      <c r="B746" s="8" t="s">
        <v>2681</v>
      </c>
      <c r="C746" s="8" t="s">
        <v>36</v>
      </c>
      <c r="D746" s="7" t="s">
        <v>46</v>
      </c>
      <c r="E746" s="7" t="s">
        <v>47</v>
      </c>
      <c r="F746" s="13"/>
      <c r="G746" s="59"/>
      <c r="H746" s="6">
        <f>15000/5</f>
        <v>3000</v>
      </c>
      <c r="I746" s="6">
        <f t="shared" si="54"/>
        <v>295.18413597733712</v>
      </c>
      <c r="J746" s="2" t="s">
        <v>850</v>
      </c>
      <c r="K746" s="2">
        <v>7.06</v>
      </c>
      <c r="L746" s="2" t="s">
        <v>694</v>
      </c>
      <c r="M746" s="2" t="s">
        <v>1101</v>
      </c>
      <c r="N746" s="2" t="s">
        <v>2776</v>
      </c>
      <c r="O746" s="56">
        <v>2084</v>
      </c>
      <c r="P746" s="2" t="s">
        <v>564</v>
      </c>
      <c r="Q746" s="2" t="s">
        <v>2777</v>
      </c>
      <c r="R746" s="2" t="s">
        <v>1866</v>
      </c>
      <c r="S746" s="2" t="s">
        <v>627</v>
      </c>
      <c r="T746" s="2" t="s">
        <v>2302</v>
      </c>
      <c r="U746" s="2" t="s">
        <v>2778</v>
      </c>
      <c r="V746" s="2" t="s">
        <v>1218</v>
      </c>
      <c r="W746" s="2" t="s">
        <v>2779</v>
      </c>
      <c r="X746" s="2" t="s">
        <v>2780</v>
      </c>
      <c r="Y746" s="2" t="s">
        <v>2781</v>
      </c>
      <c r="Z746" s="2" t="s">
        <v>800</v>
      </c>
      <c r="AA746" s="2" t="s">
        <v>548</v>
      </c>
      <c r="AB746" s="2" t="s">
        <v>2782</v>
      </c>
    </row>
    <row r="747" spans="1:28" x14ac:dyDescent="0.25">
      <c r="A747" s="4">
        <v>46238</v>
      </c>
      <c r="B747" s="8" t="s">
        <v>2681</v>
      </c>
      <c r="C747" s="8" t="s">
        <v>36</v>
      </c>
      <c r="D747" s="8" t="s">
        <v>48</v>
      </c>
      <c r="E747" s="7" t="s">
        <v>38</v>
      </c>
      <c r="F747" s="13">
        <v>5197</v>
      </c>
      <c r="G747" s="59"/>
      <c r="H747" s="6">
        <f>24000/7</f>
        <v>3428.5714285714284</v>
      </c>
      <c r="I747" s="6">
        <f t="shared" si="54"/>
        <v>823.85496183206101</v>
      </c>
      <c r="J747" s="2" t="s">
        <v>1011</v>
      </c>
      <c r="K747" s="2">
        <v>10.48</v>
      </c>
      <c r="L747" s="2" t="s">
        <v>561</v>
      </c>
      <c r="M747" s="2" t="s">
        <v>2783</v>
      </c>
      <c r="N747" s="2" t="s">
        <v>2784</v>
      </c>
      <c r="O747" s="56">
        <v>8634</v>
      </c>
      <c r="P747" s="2" t="s">
        <v>2785</v>
      </c>
      <c r="Q747" s="2" t="s">
        <v>1435</v>
      </c>
      <c r="R747" s="2" t="s">
        <v>2786</v>
      </c>
      <c r="S747" s="2" t="s">
        <v>839</v>
      </c>
      <c r="T747" s="2" t="s">
        <v>2787</v>
      </c>
      <c r="U747" s="2" t="s">
        <v>2788</v>
      </c>
      <c r="V747" s="2" t="s">
        <v>2789</v>
      </c>
      <c r="W747" s="2" t="s">
        <v>2790</v>
      </c>
      <c r="X747" s="2" t="s">
        <v>2791</v>
      </c>
      <c r="Y747" s="2" t="s">
        <v>2792</v>
      </c>
      <c r="Z747" s="2" t="s">
        <v>548</v>
      </c>
      <c r="AA747" s="2" t="s">
        <v>548</v>
      </c>
      <c r="AB747" s="2" t="s">
        <v>2657</v>
      </c>
    </row>
    <row r="748" spans="1:28" x14ac:dyDescent="0.25">
      <c r="A748" s="4">
        <v>46238</v>
      </c>
      <c r="B748" s="8" t="s">
        <v>2681</v>
      </c>
      <c r="C748" s="8" t="s">
        <v>36</v>
      </c>
      <c r="D748" s="8" t="s">
        <v>49</v>
      </c>
      <c r="E748" s="8" t="s">
        <v>47</v>
      </c>
      <c r="F748" s="13"/>
      <c r="G748" s="59"/>
      <c r="H748" s="6">
        <f>15000/5</f>
        <v>3000</v>
      </c>
      <c r="I748" s="6">
        <f t="shared" si="54"/>
        <v>457.52941176470586</v>
      </c>
      <c r="J748" s="2" t="s">
        <v>1575</v>
      </c>
      <c r="K748" s="2">
        <v>8.5</v>
      </c>
      <c r="L748" s="2" t="s">
        <v>636</v>
      </c>
      <c r="M748" s="2" t="s">
        <v>2545</v>
      </c>
      <c r="N748" s="2" t="s">
        <v>2793</v>
      </c>
      <c r="O748" s="56">
        <v>3889</v>
      </c>
      <c r="P748" s="2" t="s">
        <v>1389</v>
      </c>
      <c r="Q748" s="2" t="s">
        <v>2794</v>
      </c>
      <c r="R748" s="2" t="s">
        <v>2795</v>
      </c>
      <c r="S748" s="2" t="s">
        <v>712</v>
      </c>
      <c r="T748" s="2" t="s">
        <v>1447</v>
      </c>
      <c r="U748" s="2" t="s">
        <v>2434</v>
      </c>
      <c r="V748" s="2" t="s">
        <v>2796</v>
      </c>
      <c r="W748" s="2" t="s">
        <v>2797</v>
      </c>
      <c r="X748" s="2" t="s">
        <v>2798</v>
      </c>
      <c r="Y748" s="2" t="s">
        <v>2799</v>
      </c>
      <c r="Z748" s="2" t="s">
        <v>548</v>
      </c>
      <c r="AA748" s="2" t="s">
        <v>548</v>
      </c>
      <c r="AB748" s="2" t="s">
        <v>1231</v>
      </c>
    </row>
    <row r="749" spans="1:28" x14ac:dyDescent="0.25">
      <c r="A749" s="4">
        <v>46239</v>
      </c>
      <c r="B749" s="8" t="s">
        <v>2681</v>
      </c>
      <c r="C749" s="8" t="s">
        <v>36</v>
      </c>
      <c r="D749" s="8" t="s">
        <v>39</v>
      </c>
      <c r="E749" s="8" t="s">
        <v>47</v>
      </c>
      <c r="F749" s="13"/>
      <c r="G749" s="59"/>
      <c r="H749" s="6">
        <f t="shared" ref="H749:H754" si="55">15000/7</f>
        <v>2142.8571428571427</v>
      </c>
      <c r="I749" s="6">
        <f t="shared" si="54"/>
        <v>372.47474747474746</v>
      </c>
      <c r="J749" s="2" t="s">
        <v>2800</v>
      </c>
      <c r="K749" s="2">
        <v>7.92</v>
      </c>
      <c r="L749" s="2" t="s">
        <v>561</v>
      </c>
      <c r="M749" s="2" t="s">
        <v>2801</v>
      </c>
      <c r="N749" s="2" t="s">
        <v>2802</v>
      </c>
      <c r="O749" s="56">
        <v>2950</v>
      </c>
      <c r="P749" s="2" t="s">
        <v>2057</v>
      </c>
      <c r="Q749" s="2" t="s">
        <v>2803</v>
      </c>
      <c r="R749" s="2" t="s">
        <v>1266</v>
      </c>
      <c r="S749" s="2" t="s">
        <v>749</v>
      </c>
      <c r="T749" s="2" t="s">
        <v>1833</v>
      </c>
      <c r="U749" s="2" t="s">
        <v>870</v>
      </c>
      <c r="V749" s="2" t="s">
        <v>1279</v>
      </c>
      <c r="W749" s="2" t="s">
        <v>2804</v>
      </c>
      <c r="X749" s="2" t="s">
        <v>2805</v>
      </c>
      <c r="Y749" s="2" t="s">
        <v>2806</v>
      </c>
      <c r="Z749" s="2" t="s">
        <v>580</v>
      </c>
      <c r="AA749" s="2" t="s">
        <v>548</v>
      </c>
      <c r="AB749" s="2" t="s">
        <v>2807</v>
      </c>
    </row>
    <row r="750" spans="1:28" x14ac:dyDescent="0.25">
      <c r="A750" s="4">
        <v>46239</v>
      </c>
      <c r="B750" s="8" t="s">
        <v>2681</v>
      </c>
      <c r="C750" s="8" t="s">
        <v>36</v>
      </c>
      <c r="D750" s="8" t="s">
        <v>43</v>
      </c>
      <c r="E750" s="8" t="s">
        <v>47</v>
      </c>
      <c r="F750" s="13"/>
      <c r="G750" s="59"/>
      <c r="H750" s="6">
        <f t="shared" si="55"/>
        <v>2142.8571428571427</v>
      </c>
      <c r="I750" s="6">
        <f t="shared" si="54"/>
        <v>52.950075642965203</v>
      </c>
      <c r="J750" s="2" t="s">
        <v>2808</v>
      </c>
      <c r="K750" s="2">
        <v>13.22</v>
      </c>
      <c r="L750" s="2" t="s">
        <v>1380</v>
      </c>
      <c r="M750" s="2" t="s">
        <v>1741</v>
      </c>
      <c r="N750" s="2" t="s">
        <v>45</v>
      </c>
      <c r="O750" s="56">
        <v>700</v>
      </c>
      <c r="P750" s="2" t="s">
        <v>45</v>
      </c>
      <c r="Q750" s="2" t="s">
        <v>45</v>
      </c>
      <c r="R750" s="2" t="s">
        <v>2583</v>
      </c>
      <c r="S750" s="2" t="s">
        <v>1256</v>
      </c>
      <c r="T750" s="2" t="s">
        <v>685</v>
      </c>
      <c r="U750" s="2" t="s">
        <v>2809</v>
      </c>
      <c r="V750" s="2" t="s">
        <v>2810</v>
      </c>
      <c r="W750" s="2" t="s">
        <v>2811</v>
      </c>
      <c r="X750" s="2" t="s">
        <v>45</v>
      </c>
      <c r="Y750" s="2" t="s">
        <v>45</v>
      </c>
      <c r="Z750" s="2" t="s">
        <v>756</v>
      </c>
      <c r="AA750" s="2" t="s">
        <v>45</v>
      </c>
      <c r="AB750" s="2" t="s">
        <v>2812</v>
      </c>
    </row>
    <row r="751" spans="1:28" x14ac:dyDescent="0.25">
      <c r="A751" s="4">
        <v>46239</v>
      </c>
      <c r="B751" s="8" t="s">
        <v>2681</v>
      </c>
      <c r="C751" s="8" t="s">
        <v>36</v>
      </c>
      <c r="D751" s="8" t="s">
        <v>67</v>
      </c>
      <c r="E751" s="8" t="s">
        <v>47</v>
      </c>
      <c r="F751" s="13"/>
      <c r="G751" s="59"/>
      <c r="H751" s="6">
        <f t="shared" si="55"/>
        <v>2142.8571428571427</v>
      </c>
      <c r="I751" s="6">
        <f t="shared" si="54"/>
        <v>394.23347398030938</v>
      </c>
      <c r="J751" s="2" t="s">
        <v>2813</v>
      </c>
      <c r="K751" s="2">
        <v>7.11</v>
      </c>
      <c r="L751" s="2" t="s">
        <v>777</v>
      </c>
      <c r="M751" s="2" t="s">
        <v>2814</v>
      </c>
      <c r="N751" s="2" t="s">
        <v>2815</v>
      </c>
      <c r="O751" s="56">
        <v>2803</v>
      </c>
      <c r="P751" s="2" t="s">
        <v>1066</v>
      </c>
      <c r="Q751" s="2" t="s">
        <v>2816</v>
      </c>
      <c r="R751" s="2" t="s">
        <v>725</v>
      </c>
      <c r="S751" s="2" t="s">
        <v>567</v>
      </c>
      <c r="T751" s="2" t="s">
        <v>1131</v>
      </c>
      <c r="U751" s="2" t="s">
        <v>2817</v>
      </c>
      <c r="V751" s="2" t="s">
        <v>2818</v>
      </c>
      <c r="W751" s="2" t="s">
        <v>2819</v>
      </c>
      <c r="X751" s="2" t="s">
        <v>2820</v>
      </c>
      <c r="Y751" s="2" t="s">
        <v>2821</v>
      </c>
      <c r="Z751" s="2" t="s">
        <v>579</v>
      </c>
      <c r="AA751" s="2" t="s">
        <v>548</v>
      </c>
      <c r="AB751" s="2" t="s">
        <v>2822</v>
      </c>
    </row>
    <row r="752" spans="1:28" x14ac:dyDescent="0.25">
      <c r="A752" s="4">
        <v>46239</v>
      </c>
      <c r="B752" s="8" t="s">
        <v>2681</v>
      </c>
      <c r="C752" s="8" t="s">
        <v>36</v>
      </c>
      <c r="D752" s="8" t="s">
        <v>50</v>
      </c>
      <c r="E752" s="8" t="s">
        <v>47</v>
      </c>
      <c r="F752" s="13"/>
      <c r="G752" s="59"/>
      <c r="H752" s="6">
        <f t="shared" si="55"/>
        <v>2142.8571428571427</v>
      </c>
      <c r="I752" s="6">
        <f t="shared" si="54"/>
        <v>301.35542168674698</v>
      </c>
      <c r="J752" s="2" t="s">
        <v>2823</v>
      </c>
      <c r="K752" s="2">
        <v>6.64</v>
      </c>
      <c r="L752" s="2" t="s">
        <v>817</v>
      </c>
      <c r="M752" s="2" t="s">
        <v>1853</v>
      </c>
      <c r="N752" s="2" t="s">
        <v>2824</v>
      </c>
      <c r="O752" s="56">
        <v>2001</v>
      </c>
      <c r="P752" s="2" t="s">
        <v>2380</v>
      </c>
      <c r="Q752" s="2" t="s">
        <v>2825</v>
      </c>
      <c r="R752" s="2" t="s">
        <v>1130</v>
      </c>
      <c r="S752" s="2" t="s">
        <v>961</v>
      </c>
      <c r="T752" s="2" t="s">
        <v>726</v>
      </c>
      <c r="U752" s="2" t="s">
        <v>2826</v>
      </c>
      <c r="V752" s="2" t="s">
        <v>2827</v>
      </c>
      <c r="W752" s="2" t="s">
        <v>2828</v>
      </c>
      <c r="X752" s="2" t="s">
        <v>2829</v>
      </c>
      <c r="Y752" s="2" t="s">
        <v>2830</v>
      </c>
      <c r="Z752" s="2" t="s">
        <v>621</v>
      </c>
      <c r="AA752" s="2" t="s">
        <v>548</v>
      </c>
      <c r="AB752" s="2" t="s">
        <v>2249</v>
      </c>
    </row>
    <row r="753" spans="1:28" x14ac:dyDescent="0.25">
      <c r="A753" s="4">
        <v>46239</v>
      </c>
      <c r="B753" s="8" t="s">
        <v>2681</v>
      </c>
      <c r="C753" s="8" t="s">
        <v>36</v>
      </c>
      <c r="D753" s="8" t="s">
        <v>52</v>
      </c>
      <c r="E753" s="8" t="s">
        <v>47</v>
      </c>
      <c r="F753" s="13"/>
      <c r="G753" s="59"/>
      <c r="H753" s="6">
        <f t="shared" si="55"/>
        <v>2142.8571428571427</v>
      </c>
      <c r="I753" s="6">
        <f t="shared" si="54"/>
        <v>236.83304647160071</v>
      </c>
      <c r="J753" s="2" t="s">
        <v>2831</v>
      </c>
      <c r="K753" s="2">
        <v>5.81</v>
      </c>
      <c r="L753" s="2" t="s">
        <v>1696</v>
      </c>
      <c r="M753" s="2" t="s">
        <v>2832</v>
      </c>
      <c r="N753" s="2" t="s">
        <v>2833</v>
      </c>
      <c r="O753" s="56">
        <v>1376</v>
      </c>
      <c r="P753" s="2" t="s">
        <v>2410</v>
      </c>
      <c r="Q753" s="2" t="s">
        <v>2834</v>
      </c>
      <c r="R753" s="2" t="s">
        <v>920</v>
      </c>
      <c r="S753" s="2" t="s">
        <v>685</v>
      </c>
      <c r="T753" s="2" t="s">
        <v>685</v>
      </c>
      <c r="U753" s="2" t="s">
        <v>913</v>
      </c>
      <c r="V753" s="2" t="s">
        <v>2835</v>
      </c>
      <c r="W753" s="2" t="s">
        <v>2836</v>
      </c>
      <c r="X753" s="2" t="s">
        <v>2837</v>
      </c>
      <c r="Y753" s="2" t="s">
        <v>2838</v>
      </c>
      <c r="Z753" s="2" t="s">
        <v>652</v>
      </c>
      <c r="AA753" s="2" t="s">
        <v>548</v>
      </c>
      <c r="AB753" s="2" t="s">
        <v>2839</v>
      </c>
    </row>
    <row r="754" spans="1:28" x14ac:dyDescent="0.25">
      <c r="A754" s="4">
        <v>46239</v>
      </c>
      <c r="B754" s="8" t="s">
        <v>2681</v>
      </c>
      <c r="C754" s="8" t="s">
        <v>36</v>
      </c>
      <c r="D754" s="7" t="s">
        <v>46</v>
      </c>
      <c r="E754" s="7" t="s">
        <v>47</v>
      </c>
      <c r="F754" s="13"/>
      <c r="G754" s="59"/>
      <c r="H754" s="6">
        <f t="shared" si="55"/>
        <v>2142.8571428571427</v>
      </c>
      <c r="I754" s="6">
        <f t="shared" si="54"/>
        <v>187.24727838258167</v>
      </c>
      <c r="J754" s="2" t="s">
        <v>2840</v>
      </c>
      <c r="K754" s="2">
        <v>6.43</v>
      </c>
      <c r="L754" s="2" t="s">
        <v>756</v>
      </c>
      <c r="M754" s="2" t="s">
        <v>724</v>
      </c>
      <c r="N754" s="2" t="s">
        <v>2841</v>
      </c>
      <c r="O754" s="56">
        <v>1204</v>
      </c>
      <c r="P754" s="2" t="s">
        <v>592</v>
      </c>
      <c r="Q754" s="2" t="s">
        <v>2842</v>
      </c>
      <c r="R754" s="2" t="s">
        <v>2843</v>
      </c>
      <c r="S754" s="2" t="s">
        <v>712</v>
      </c>
      <c r="T754" s="2" t="s">
        <v>1043</v>
      </c>
      <c r="U754" s="2" t="s">
        <v>1417</v>
      </c>
      <c r="V754" s="2" t="s">
        <v>2844</v>
      </c>
      <c r="W754" s="2" t="s">
        <v>2845</v>
      </c>
      <c r="X754" s="2" t="s">
        <v>2846</v>
      </c>
      <c r="Y754" s="2" t="s">
        <v>2847</v>
      </c>
      <c r="Z754" s="2" t="s">
        <v>580</v>
      </c>
      <c r="AA754" s="2" t="s">
        <v>548</v>
      </c>
      <c r="AB754" s="2" t="s">
        <v>2848</v>
      </c>
    </row>
    <row r="755" spans="1:28" x14ac:dyDescent="0.25">
      <c r="A755" s="4">
        <v>46239</v>
      </c>
      <c r="B755" s="8" t="s">
        <v>2681</v>
      </c>
      <c r="C755" s="8" t="s">
        <v>36</v>
      </c>
      <c r="D755" s="8" t="s">
        <v>48</v>
      </c>
      <c r="E755" s="7" t="s">
        <v>38</v>
      </c>
      <c r="F755" s="13">
        <v>4987</v>
      </c>
      <c r="G755" s="59"/>
      <c r="H755" s="6">
        <f>24000/7</f>
        <v>3428.5714285714284</v>
      </c>
      <c r="I755" s="6">
        <f t="shared" si="54"/>
        <v>514.65428276573789</v>
      </c>
      <c r="J755" s="2" t="s">
        <v>2849</v>
      </c>
      <c r="K755" s="2">
        <v>9.69</v>
      </c>
      <c r="L755" s="2" t="s">
        <v>734</v>
      </c>
      <c r="M755" s="2" t="s">
        <v>2850</v>
      </c>
      <c r="N755" s="2" t="s">
        <v>2851</v>
      </c>
      <c r="O755" s="56">
        <v>4987</v>
      </c>
      <c r="P755" s="2" t="s">
        <v>2852</v>
      </c>
      <c r="Q755" s="2" t="s">
        <v>614</v>
      </c>
      <c r="R755" s="2" t="s">
        <v>2571</v>
      </c>
      <c r="S755" s="2" t="s">
        <v>712</v>
      </c>
      <c r="T755" s="2" t="s">
        <v>584</v>
      </c>
      <c r="U755" s="2" t="s">
        <v>1946</v>
      </c>
      <c r="V755" s="2" t="s">
        <v>2731</v>
      </c>
      <c r="W755" s="2" t="s">
        <v>2853</v>
      </c>
      <c r="X755" s="2" t="s">
        <v>2854</v>
      </c>
      <c r="Y755" s="2" t="s">
        <v>2855</v>
      </c>
      <c r="Z755" s="2" t="s">
        <v>649</v>
      </c>
      <c r="AA755" s="2" t="s">
        <v>548</v>
      </c>
      <c r="AB755" s="2" t="s">
        <v>2856</v>
      </c>
    </row>
    <row r="756" spans="1:28" x14ac:dyDescent="0.25">
      <c r="A756" s="4">
        <v>46239</v>
      </c>
      <c r="B756" s="8" t="s">
        <v>2681</v>
      </c>
      <c r="C756" s="8" t="s">
        <v>36</v>
      </c>
      <c r="D756" s="8" t="s">
        <v>49</v>
      </c>
      <c r="E756" s="8" t="s">
        <v>47</v>
      </c>
      <c r="F756" s="13"/>
      <c r="G756" s="59"/>
      <c r="H756" s="6">
        <f>15000/7</f>
        <v>2142.8571428571427</v>
      </c>
      <c r="I756" s="6">
        <f t="shared" si="54"/>
        <v>491.89189189189187</v>
      </c>
      <c r="J756" s="2" t="s">
        <v>1598</v>
      </c>
      <c r="K756" s="2">
        <v>4.07</v>
      </c>
      <c r="L756" s="2" t="s">
        <v>1064</v>
      </c>
      <c r="M756" s="2" t="s">
        <v>2857</v>
      </c>
      <c r="N756" s="2" t="s">
        <v>2858</v>
      </c>
      <c r="O756" s="56">
        <v>2002</v>
      </c>
      <c r="P756" s="2" t="s">
        <v>1778</v>
      </c>
      <c r="Q756" s="2" t="s">
        <v>2456</v>
      </c>
      <c r="R756" s="2" t="s">
        <v>1006</v>
      </c>
      <c r="S756" s="2" t="s">
        <v>595</v>
      </c>
      <c r="T756" s="2" t="s">
        <v>2859</v>
      </c>
      <c r="U756" s="2" t="s">
        <v>2059</v>
      </c>
      <c r="V756" s="2" t="s">
        <v>2860</v>
      </c>
      <c r="W756" s="2" t="s">
        <v>2861</v>
      </c>
      <c r="X756" s="2" t="s">
        <v>2862</v>
      </c>
      <c r="Y756" s="2" t="s">
        <v>2863</v>
      </c>
      <c r="Z756" s="2" t="s">
        <v>548</v>
      </c>
      <c r="AA756" s="2" t="s">
        <v>548</v>
      </c>
      <c r="AB756" s="2" t="s">
        <v>1231</v>
      </c>
    </row>
    <row r="757" spans="1:28" x14ac:dyDescent="0.25">
      <c r="A757" s="4">
        <v>46240</v>
      </c>
      <c r="B757" s="8" t="s">
        <v>2681</v>
      </c>
      <c r="C757" s="8" t="s">
        <v>36</v>
      </c>
      <c r="D757" s="8" t="s">
        <v>39</v>
      </c>
      <c r="E757" s="8" t="s">
        <v>47</v>
      </c>
      <c r="F757" s="13"/>
      <c r="G757" s="59"/>
      <c r="H757" s="6">
        <f>15000/7</f>
        <v>2142.8571428571427</v>
      </c>
      <c r="I757" s="6">
        <f t="shared" si="54"/>
        <v>529.64042759961137</v>
      </c>
      <c r="J757" s="2" t="s">
        <v>776</v>
      </c>
      <c r="K757" s="2">
        <v>10.29</v>
      </c>
      <c r="L757" s="2" t="s">
        <v>817</v>
      </c>
      <c r="M757" s="2" t="s">
        <v>2864</v>
      </c>
      <c r="N757" s="2" t="s">
        <v>2865</v>
      </c>
      <c r="O757" s="56">
        <v>5450</v>
      </c>
      <c r="P757" s="2" t="s">
        <v>2866</v>
      </c>
      <c r="Q757" s="2" t="s">
        <v>2867</v>
      </c>
      <c r="R757" s="2" t="s">
        <v>1278</v>
      </c>
      <c r="S757" s="2" t="s">
        <v>658</v>
      </c>
      <c r="T757" s="2" t="s">
        <v>1374</v>
      </c>
      <c r="U757" s="2" t="s">
        <v>2868</v>
      </c>
      <c r="V757" s="2" t="s">
        <v>2869</v>
      </c>
      <c r="W757" s="2" t="s">
        <v>2870</v>
      </c>
      <c r="X757" s="2" t="s">
        <v>2871</v>
      </c>
      <c r="Y757" s="2" t="s">
        <v>2872</v>
      </c>
      <c r="Z757" s="2" t="s">
        <v>649</v>
      </c>
      <c r="AA757" s="2" t="s">
        <v>548</v>
      </c>
      <c r="AB757" s="2" t="s">
        <v>2873</v>
      </c>
    </row>
    <row r="758" spans="1:28" x14ac:dyDescent="0.25">
      <c r="A758" s="4">
        <v>46240</v>
      </c>
      <c r="B758" s="8" t="s">
        <v>2681</v>
      </c>
      <c r="C758" s="8" t="s">
        <v>36</v>
      </c>
      <c r="D758" s="8" t="s">
        <v>43</v>
      </c>
      <c r="E758" s="8" t="s">
        <v>47</v>
      </c>
      <c r="F758" s="13"/>
      <c r="G758" s="59"/>
      <c r="H758" s="6">
        <f>15000/7</f>
        <v>2142.8571428571427</v>
      </c>
      <c r="I758" s="6">
        <f t="shared" si="54"/>
        <v>12.88659793814433</v>
      </c>
      <c r="J758" s="2" t="s">
        <v>2874</v>
      </c>
      <c r="K758" s="2">
        <v>7.76</v>
      </c>
      <c r="L758" s="2" t="s">
        <v>1595</v>
      </c>
      <c r="M758" s="2" t="s">
        <v>2875</v>
      </c>
      <c r="N758" s="2" t="s">
        <v>45</v>
      </c>
      <c r="O758" s="56">
        <v>100</v>
      </c>
      <c r="P758" s="2" t="s">
        <v>45</v>
      </c>
      <c r="Q758" s="2" t="s">
        <v>45</v>
      </c>
      <c r="R758" s="2" t="s">
        <v>1530</v>
      </c>
      <c r="S758" s="2" t="s">
        <v>1248</v>
      </c>
      <c r="T758" s="2" t="s">
        <v>1317</v>
      </c>
      <c r="U758" s="2" t="s">
        <v>2876</v>
      </c>
      <c r="V758" s="2" t="s">
        <v>2877</v>
      </c>
      <c r="W758" s="2" t="s">
        <v>2878</v>
      </c>
      <c r="X758" s="2" t="s">
        <v>45</v>
      </c>
      <c r="Y758" s="2" t="s">
        <v>45</v>
      </c>
      <c r="Z758" s="2" t="s">
        <v>1575</v>
      </c>
      <c r="AA758" s="2" t="s">
        <v>45</v>
      </c>
      <c r="AB758" s="2" t="s">
        <v>2879</v>
      </c>
    </row>
    <row r="759" spans="1:28" x14ac:dyDescent="0.25">
      <c r="A759" s="4">
        <v>46240</v>
      </c>
      <c r="B759" s="8" t="s">
        <v>2681</v>
      </c>
      <c r="C759" s="8" t="s">
        <v>36</v>
      </c>
      <c r="D759" s="8" t="s">
        <v>43</v>
      </c>
      <c r="E759" s="8" t="s">
        <v>61</v>
      </c>
      <c r="F759" s="13"/>
      <c r="G759" s="59"/>
      <c r="H759" s="6"/>
      <c r="I759" s="6">
        <f t="shared" si="54"/>
        <v>0</v>
      </c>
      <c r="J759" s="2"/>
      <c r="K759" s="2"/>
      <c r="L759" s="2"/>
      <c r="M759" s="2"/>
      <c r="N759" s="2"/>
      <c r="O759" s="56">
        <v>1100</v>
      </c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x14ac:dyDescent="0.25">
      <c r="A760" s="4">
        <v>46240</v>
      </c>
      <c r="B760" s="8" t="s">
        <v>2681</v>
      </c>
      <c r="C760" s="8" t="s">
        <v>36</v>
      </c>
      <c r="D760" s="8" t="s">
        <v>67</v>
      </c>
      <c r="E760" s="8" t="s">
        <v>47</v>
      </c>
      <c r="F760" s="13"/>
      <c r="G760" s="59"/>
      <c r="H760" s="6">
        <f>15000/7</f>
        <v>2142.8571428571427</v>
      </c>
      <c r="I760" s="6">
        <f t="shared" si="54"/>
        <v>177.30061349693253</v>
      </c>
      <c r="J760" s="2" t="s">
        <v>1256</v>
      </c>
      <c r="K760" s="2">
        <v>6.52</v>
      </c>
      <c r="L760" s="2" t="s">
        <v>734</v>
      </c>
      <c r="M760" s="2" t="s">
        <v>1655</v>
      </c>
      <c r="N760" s="2" t="s">
        <v>2880</v>
      </c>
      <c r="O760" s="56">
        <v>1156</v>
      </c>
      <c r="P760" s="2" t="s">
        <v>2190</v>
      </c>
      <c r="Q760" s="2" t="s">
        <v>2881</v>
      </c>
      <c r="R760" s="2" t="s">
        <v>2882</v>
      </c>
      <c r="S760" s="2" t="s">
        <v>685</v>
      </c>
      <c r="T760" s="2" t="s">
        <v>2344</v>
      </c>
      <c r="U760" s="2" t="s">
        <v>1375</v>
      </c>
      <c r="V760" s="2" t="s">
        <v>2883</v>
      </c>
      <c r="W760" s="2" t="s">
        <v>2884</v>
      </c>
      <c r="X760" s="2" t="s">
        <v>2885</v>
      </c>
      <c r="Y760" s="2" t="s">
        <v>2886</v>
      </c>
      <c r="Z760" s="2" t="s">
        <v>636</v>
      </c>
      <c r="AA760" s="2" t="s">
        <v>548</v>
      </c>
      <c r="AB760" s="2" t="s">
        <v>2887</v>
      </c>
    </row>
    <row r="761" spans="1:28" x14ac:dyDescent="0.25">
      <c r="A761" s="4">
        <v>46240</v>
      </c>
      <c r="B761" s="8" t="s">
        <v>2681</v>
      </c>
      <c r="C761" s="8" t="s">
        <v>36</v>
      </c>
      <c r="D761" s="8" t="s">
        <v>50</v>
      </c>
      <c r="E761" s="8" t="s">
        <v>47</v>
      </c>
      <c r="F761" s="13"/>
      <c r="G761" s="59"/>
      <c r="H761" s="6">
        <f>15000/7</f>
        <v>2142.8571428571427</v>
      </c>
      <c r="I761" s="6">
        <f t="shared" si="54"/>
        <v>348.28125</v>
      </c>
      <c r="J761" s="2" t="s">
        <v>620</v>
      </c>
      <c r="K761" s="2">
        <v>6.4</v>
      </c>
      <c r="L761" s="2" t="s">
        <v>955</v>
      </c>
      <c r="M761" s="2" t="s">
        <v>2205</v>
      </c>
      <c r="N761" s="2" t="s">
        <v>1699</v>
      </c>
      <c r="O761" s="56">
        <v>2229</v>
      </c>
      <c r="P761" s="2" t="s">
        <v>2888</v>
      </c>
      <c r="Q761" s="2" t="s">
        <v>2889</v>
      </c>
      <c r="R761" s="2" t="s">
        <v>2826</v>
      </c>
      <c r="S761" s="2" t="s">
        <v>839</v>
      </c>
      <c r="T761" s="2" t="s">
        <v>685</v>
      </c>
      <c r="U761" s="2" t="s">
        <v>2890</v>
      </c>
      <c r="V761" s="2" t="s">
        <v>2477</v>
      </c>
      <c r="W761" s="2" t="s">
        <v>2891</v>
      </c>
      <c r="X761" s="2" t="s">
        <v>2892</v>
      </c>
      <c r="Y761" s="2" t="s">
        <v>2893</v>
      </c>
      <c r="Z761" s="2" t="s">
        <v>580</v>
      </c>
      <c r="AA761" s="2" t="s">
        <v>548</v>
      </c>
      <c r="AB761" s="2" t="s">
        <v>2894</v>
      </c>
    </row>
    <row r="762" spans="1:28" x14ac:dyDescent="0.25">
      <c r="A762" s="4">
        <v>46240</v>
      </c>
      <c r="B762" s="8" t="s">
        <v>2681</v>
      </c>
      <c r="C762" s="8" t="s">
        <v>36</v>
      </c>
      <c r="D762" s="8" t="s">
        <v>52</v>
      </c>
      <c r="E762" s="8" t="s">
        <v>47</v>
      </c>
      <c r="F762" s="13"/>
      <c r="G762" s="59"/>
      <c r="H762" s="6">
        <f>15000/7</f>
        <v>2142.8571428571427</v>
      </c>
      <c r="I762" s="6">
        <f t="shared" si="54"/>
        <v>242.7682737169518</v>
      </c>
      <c r="J762" s="2" t="s">
        <v>2840</v>
      </c>
      <c r="K762" s="2">
        <v>6.43</v>
      </c>
      <c r="L762" s="2" t="s">
        <v>756</v>
      </c>
      <c r="M762" s="2" t="s">
        <v>724</v>
      </c>
      <c r="N762" s="2" t="s">
        <v>2895</v>
      </c>
      <c r="O762" s="56">
        <v>1561</v>
      </c>
      <c r="P762" s="2" t="s">
        <v>627</v>
      </c>
      <c r="Q762" s="2" t="s">
        <v>2896</v>
      </c>
      <c r="R762" s="2" t="s">
        <v>2897</v>
      </c>
      <c r="S762" s="2" t="s">
        <v>839</v>
      </c>
      <c r="T762" s="2" t="s">
        <v>628</v>
      </c>
      <c r="U762" s="2" t="s">
        <v>2898</v>
      </c>
      <c r="V762" s="2" t="s">
        <v>2899</v>
      </c>
      <c r="W762" s="2" t="s">
        <v>2900</v>
      </c>
      <c r="X762" s="2" t="s">
        <v>2901</v>
      </c>
      <c r="Y762" s="2" t="s">
        <v>2902</v>
      </c>
      <c r="Z762" s="2" t="s">
        <v>580</v>
      </c>
      <c r="AA762" s="2" t="s">
        <v>548</v>
      </c>
      <c r="AB762" s="2" t="s">
        <v>2903</v>
      </c>
    </row>
    <row r="763" spans="1:28" x14ac:dyDescent="0.25">
      <c r="A763" s="4">
        <v>46240</v>
      </c>
      <c r="B763" s="8" t="s">
        <v>2681</v>
      </c>
      <c r="C763" s="8" t="s">
        <v>36</v>
      </c>
      <c r="D763" s="7" t="s">
        <v>46</v>
      </c>
      <c r="E763" s="7" t="s">
        <v>47</v>
      </c>
      <c r="F763" s="13"/>
      <c r="G763" s="59"/>
      <c r="H763" s="6">
        <f>15000/7</f>
        <v>2142.8571428571427</v>
      </c>
      <c r="I763" s="6">
        <f t="shared" si="54"/>
        <v>136.70886075949366</v>
      </c>
      <c r="J763" s="2" t="s">
        <v>2447</v>
      </c>
      <c r="K763" s="2">
        <v>7.11</v>
      </c>
      <c r="L763" s="2" t="s">
        <v>1696</v>
      </c>
      <c r="M763" s="2" t="s">
        <v>2493</v>
      </c>
      <c r="N763" s="2" t="s">
        <v>2904</v>
      </c>
      <c r="O763" s="56">
        <f>1047-75</f>
        <v>972</v>
      </c>
      <c r="P763" s="2" t="s">
        <v>2905</v>
      </c>
      <c r="Q763" s="2" t="s">
        <v>887</v>
      </c>
      <c r="R763" s="2" t="s">
        <v>1209</v>
      </c>
      <c r="S763" s="2" t="s">
        <v>658</v>
      </c>
      <c r="T763" s="2" t="s">
        <v>658</v>
      </c>
      <c r="U763" s="2" t="s">
        <v>1150</v>
      </c>
      <c r="V763" s="2" t="s">
        <v>2906</v>
      </c>
      <c r="W763" s="2" t="s">
        <v>2907</v>
      </c>
      <c r="X763" s="2" t="s">
        <v>2908</v>
      </c>
      <c r="Y763" s="2" t="s">
        <v>2909</v>
      </c>
      <c r="Z763" s="2" t="s">
        <v>800</v>
      </c>
      <c r="AA763" s="2" t="s">
        <v>548</v>
      </c>
      <c r="AB763" s="2" t="s">
        <v>2910</v>
      </c>
    </row>
    <row r="764" spans="1:28" x14ac:dyDescent="0.25">
      <c r="A764" s="4">
        <v>46240</v>
      </c>
      <c r="B764" s="8" t="s">
        <v>2681</v>
      </c>
      <c r="C764" s="8" t="s">
        <v>36</v>
      </c>
      <c r="D764" s="7" t="s">
        <v>46</v>
      </c>
      <c r="E764" s="8" t="s">
        <v>61</v>
      </c>
      <c r="F764" s="13"/>
      <c r="G764" s="59"/>
      <c r="H764" s="6"/>
      <c r="I764" s="6">
        <f t="shared" si="54"/>
        <v>0</v>
      </c>
      <c r="J764" s="2"/>
      <c r="K764" s="2"/>
      <c r="L764" s="2"/>
      <c r="M764" s="2"/>
      <c r="N764" s="2"/>
      <c r="O764" s="56">
        <f>3*25</f>
        <v>75</v>
      </c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x14ac:dyDescent="0.25">
      <c r="A765" s="4">
        <v>46240</v>
      </c>
      <c r="B765" s="8" t="s">
        <v>2681</v>
      </c>
      <c r="C765" s="8" t="s">
        <v>36</v>
      </c>
      <c r="D765" s="8" t="s">
        <v>48</v>
      </c>
      <c r="E765" s="7" t="s">
        <v>38</v>
      </c>
      <c r="F765" s="13">
        <v>2838</v>
      </c>
      <c r="G765" s="59"/>
      <c r="H765" s="6">
        <f>24000/7</f>
        <v>3428.5714285714284</v>
      </c>
      <c r="I765" s="6">
        <f t="shared" si="54"/>
        <v>476.66263603385732</v>
      </c>
      <c r="J765" s="2" t="s">
        <v>843</v>
      </c>
      <c r="K765" s="2">
        <v>8.27</v>
      </c>
      <c r="L765" s="2" t="s">
        <v>621</v>
      </c>
      <c r="M765" s="2" t="s">
        <v>738</v>
      </c>
      <c r="N765" s="2" t="s">
        <v>2911</v>
      </c>
      <c r="O765" s="56">
        <v>3942</v>
      </c>
      <c r="P765" s="2" t="s">
        <v>2912</v>
      </c>
      <c r="Q765" s="2" t="s">
        <v>2913</v>
      </c>
      <c r="R765" s="2" t="s">
        <v>1889</v>
      </c>
      <c r="S765" s="2" t="s">
        <v>595</v>
      </c>
      <c r="T765" s="2" t="s">
        <v>737</v>
      </c>
      <c r="U765" s="2" t="s">
        <v>2914</v>
      </c>
      <c r="V765" s="2" t="s">
        <v>2915</v>
      </c>
      <c r="W765" s="2" t="s">
        <v>2916</v>
      </c>
      <c r="X765" s="2" t="s">
        <v>2917</v>
      </c>
      <c r="Y765" s="2" t="s">
        <v>2918</v>
      </c>
      <c r="Z765" s="2" t="s">
        <v>649</v>
      </c>
      <c r="AA765" s="2" t="s">
        <v>548</v>
      </c>
      <c r="AB765" s="2" t="s">
        <v>2919</v>
      </c>
    </row>
    <row r="766" spans="1:28" x14ac:dyDescent="0.25">
      <c r="A766" s="4">
        <v>46240</v>
      </c>
      <c r="B766" s="8" t="s">
        <v>2681</v>
      </c>
      <c r="C766" s="8" t="s">
        <v>36</v>
      </c>
      <c r="D766" s="8" t="s">
        <v>49</v>
      </c>
      <c r="E766" s="8" t="s">
        <v>47</v>
      </c>
      <c r="F766" s="13"/>
      <c r="G766" s="59"/>
      <c r="H766" s="6">
        <f>15000/7</f>
        <v>2142.8571428571427</v>
      </c>
      <c r="I766" s="6">
        <f t="shared" si="54"/>
        <v>0</v>
      </c>
      <c r="J766" s="2" t="s">
        <v>2920</v>
      </c>
      <c r="K766" s="2" t="s">
        <v>1227</v>
      </c>
      <c r="L766" s="2" t="s">
        <v>784</v>
      </c>
      <c r="M766" s="2" t="s">
        <v>2921</v>
      </c>
      <c r="N766" s="2" t="s">
        <v>2922</v>
      </c>
      <c r="O766" s="56">
        <v>1515</v>
      </c>
      <c r="P766" s="2" t="s">
        <v>2923</v>
      </c>
      <c r="Q766" s="2" t="s">
        <v>733</v>
      </c>
      <c r="R766" s="2" t="s">
        <v>2924</v>
      </c>
      <c r="S766" s="2" t="s">
        <v>902</v>
      </c>
      <c r="T766" s="2" t="s">
        <v>903</v>
      </c>
      <c r="U766" s="2" t="s">
        <v>629</v>
      </c>
      <c r="V766" s="2" t="s">
        <v>2925</v>
      </c>
      <c r="W766" s="2" t="s">
        <v>2926</v>
      </c>
      <c r="X766" s="2" t="s">
        <v>2927</v>
      </c>
      <c r="Y766" s="2" t="s">
        <v>2928</v>
      </c>
      <c r="Z766" s="2" t="s">
        <v>548</v>
      </c>
      <c r="AA766" s="2" t="s">
        <v>548</v>
      </c>
      <c r="AB766" s="2" t="s">
        <v>1231</v>
      </c>
    </row>
    <row r="767" spans="1:28" x14ac:dyDescent="0.25">
      <c r="A767" s="4">
        <v>46241</v>
      </c>
      <c r="B767" s="8" t="s">
        <v>2681</v>
      </c>
      <c r="C767" s="8" t="s">
        <v>36</v>
      </c>
      <c r="D767" s="8" t="s">
        <v>39</v>
      </c>
      <c r="E767" s="8" t="s">
        <v>47</v>
      </c>
      <c r="F767" s="13"/>
      <c r="G767" s="59"/>
      <c r="H767" s="6">
        <f>15000/6</f>
        <v>2500</v>
      </c>
      <c r="I767" s="6">
        <f t="shared" si="54"/>
        <v>352.76073619631904</v>
      </c>
      <c r="J767" s="2">
        <v>11.18</v>
      </c>
      <c r="K767" s="2">
        <v>9.7799999999999994</v>
      </c>
      <c r="L767" s="2">
        <v>1.4</v>
      </c>
      <c r="M767" s="2">
        <v>12.52</v>
      </c>
      <c r="N767" s="2" t="s">
        <v>2929</v>
      </c>
      <c r="O767" s="56">
        <v>3450</v>
      </c>
      <c r="P767" s="2">
        <v>1.79</v>
      </c>
      <c r="Q767" s="2">
        <v>10.46</v>
      </c>
      <c r="R767" s="2">
        <v>198.73</v>
      </c>
      <c r="S767" s="2">
        <v>6.15</v>
      </c>
      <c r="T767" s="2">
        <v>4.3899999999999997</v>
      </c>
      <c r="U767" s="2">
        <v>192.58</v>
      </c>
      <c r="V767" s="2">
        <v>19.690000000000001</v>
      </c>
      <c r="W767" s="2">
        <v>9289.7900000000009</v>
      </c>
      <c r="X767" s="2" t="s">
        <v>2930</v>
      </c>
      <c r="Y767" s="2" t="s">
        <v>2931</v>
      </c>
      <c r="Z767" s="2">
        <v>0.2</v>
      </c>
      <c r="AA767" s="2" t="s">
        <v>548</v>
      </c>
      <c r="AB767" s="2">
        <v>291.5</v>
      </c>
    </row>
    <row r="768" spans="1:28" x14ac:dyDescent="0.25">
      <c r="A768" s="4">
        <v>46241</v>
      </c>
      <c r="B768" s="8" t="s">
        <v>2681</v>
      </c>
      <c r="C768" s="8" t="s">
        <v>36</v>
      </c>
      <c r="D768" s="8" t="s">
        <v>43</v>
      </c>
      <c r="E768" s="8" t="s">
        <v>47</v>
      </c>
      <c r="F768" s="13"/>
      <c r="G768" s="59"/>
      <c r="H768" s="6">
        <f>15000/6</f>
        <v>2500</v>
      </c>
      <c r="I768" s="6">
        <f t="shared" si="54"/>
        <v>0</v>
      </c>
      <c r="J768" s="2">
        <v>5.94</v>
      </c>
      <c r="K768" s="2">
        <v>4.09</v>
      </c>
      <c r="L768" s="2">
        <v>1.85</v>
      </c>
      <c r="M768" s="2">
        <v>31.15</v>
      </c>
      <c r="N768" s="2" t="s">
        <v>45</v>
      </c>
      <c r="O768" s="56" t="s">
        <v>42</v>
      </c>
      <c r="P768" s="2" t="s">
        <v>45</v>
      </c>
      <c r="Q768" s="2" t="s">
        <v>45</v>
      </c>
      <c r="R768" s="2">
        <v>83.28</v>
      </c>
      <c r="S768" s="2">
        <v>7.57</v>
      </c>
      <c r="T768" s="2">
        <v>4.09</v>
      </c>
      <c r="U768" s="2">
        <v>75.709999999999994</v>
      </c>
      <c r="V768" s="2">
        <v>18.52</v>
      </c>
      <c r="W768" s="2">
        <v>8894.02</v>
      </c>
      <c r="X768" s="2" t="s">
        <v>45</v>
      </c>
      <c r="Y768" s="2" t="s">
        <v>45</v>
      </c>
      <c r="Z768" s="2" t="s">
        <v>1380</v>
      </c>
      <c r="AA768" s="2" t="s">
        <v>45</v>
      </c>
      <c r="AB768" s="2" t="s">
        <v>2932</v>
      </c>
    </row>
    <row r="769" spans="1:28" x14ac:dyDescent="0.25">
      <c r="A769" s="4">
        <v>46241</v>
      </c>
      <c r="B769" s="8" t="s">
        <v>2681</v>
      </c>
      <c r="C769" s="8" t="s">
        <v>36</v>
      </c>
      <c r="D769" s="8" t="s">
        <v>67</v>
      </c>
      <c r="E769" s="8" t="s">
        <v>47</v>
      </c>
      <c r="F769" s="13"/>
      <c r="G769" s="59"/>
      <c r="H769" s="6">
        <f>15000/6</f>
        <v>2500</v>
      </c>
      <c r="I769" s="6">
        <f t="shared" si="54"/>
        <v>237.98955613577024</v>
      </c>
      <c r="J769" s="2">
        <v>8.7100000000000009</v>
      </c>
      <c r="K769" s="2">
        <v>7.66</v>
      </c>
      <c r="L769" s="2">
        <v>1.05</v>
      </c>
      <c r="M769" s="2">
        <v>12.05</v>
      </c>
      <c r="N769" s="2" t="s">
        <v>2933</v>
      </c>
      <c r="O769" s="56">
        <v>1823</v>
      </c>
      <c r="P769" s="2">
        <v>1.66</v>
      </c>
      <c r="Q769" s="2">
        <v>13.24</v>
      </c>
      <c r="R769" s="2">
        <v>137.69</v>
      </c>
      <c r="S769" s="2">
        <v>3.79</v>
      </c>
      <c r="T769" s="2">
        <v>3.61</v>
      </c>
      <c r="U769" s="2">
        <v>133.91</v>
      </c>
      <c r="V769" s="2">
        <v>17.47</v>
      </c>
      <c r="W769" s="2">
        <v>678.48</v>
      </c>
      <c r="X769" s="2" t="s">
        <v>2934</v>
      </c>
      <c r="Y769" s="2" t="s">
        <v>2935</v>
      </c>
      <c r="Z769" s="2">
        <v>1.2</v>
      </c>
      <c r="AA769" s="2" t="s">
        <v>548</v>
      </c>
      <c r="AB769" s="2">
        <v>64.8</v>
      </c>
    </row>
    <row r="770" spans="1:28" x14ac:dyDescent="0.25">
      <c r="A770" s="4">
        <v>46241</v>
      </c>
      <c r="B770" s="8" t="s">
        <v>2681</v>
      </c>
      <c r="C770" s="8" t="s">
        <v>36</v>
      </c>
      <c r="D770" s="8" t="s">
        <v>50</v>
      </c>
      <c r="E770" s="8" t="s">
        <v>47</v>
      </c>
      <c r="F770" s="13"/>
      <c r="G770" s="59"/>
      <c r="H770" s="6">
        <f>15000/6</f>
        <v>2500</v>
      </c>
      <c r="I770" s="6">
        <f t="shared" si="54"/>
        <v>258.14977973568284</v>
      </c>
      <c r="J770" s="2">
        <v>7.46</v>
      </c>
      <c r="K770" s="2">
        <v>6.81</v>
      </c>
      <c r="L770" s="2">
        <v>0.65</v>
      </c>
      <c r="M770" s="2">
        <v>8.7100000000000009</v>
      </c>
      <c r="N770" s="2" t="s">
        <v>2936</v>
      </c>
      <c r="O770" s="56">
        <v>1758</v>
      </c>
      <c r="P770" s="2">
        <v>1.93</v>
      </c>
      <c r="Q770" s="2">
        <v>12.55</v>
      </c>
      <c r="R770" s="2">
        <v>140.06</v>
      </c>
      <c r="S770" s="2">
        <v>2.84</v>
      </c>
      <c r="T770" s="2">
        <v>4.37</v>
      </c>
      <c r="U770" s="2">
        <v>137.22</v>
      </c>
      <c r="V770" s="2">
        <v>20.14</v>
      </c>
      <c r="W770" s="2">
        <v>2542.71</v>
      </c>
      <c r="X770" s="2" t="s">
        <v>2937</v>
      </c>
      <c r="Y770" s="2" t="s">
        <v>2938</v>
      </c>
      <c r="Z770" s="2">
        <v>0.4</v>
      </c>
      <c r="AA770" s="2" t="s">
        <v>548</v>
      </c>
      <c r="AB770" s="2">
        <v>329.7</v>
      </c>
    </row>
    <row r="771" spans="1:28" x14ac:dyDescent="0.25">
      <c r="A771" s="4">
        <v>46241</v>
      </c>
      <c r="B771" s="8" t="s">
        <v>2681</v>
      </c>
      <c r="C771" s="8" t="s">
        <v>36</v>
      </c>
      <c r="D771" s="8" t="s">
        <v>52</v>
      </c>
      <c r="E771" s="8" t="s">
        <v>47</v>
      </c>
      <c r="F771" s="13"/>
      <c r="G771" s="59"/>
      <c r="H771" s="6">
        <f>15000/6</f>
        <v>2500</v>
      </c>
      <c r="I771" s="6">
        <f t="shared" si="54"/>
        <v>98</v>
      </c>
      <c r="J771" s="2">
        <v>6.6</v>
      </c>
      <c r="K771" s="2">
        <v>4.5</v>
      </c>
      <c r="L771" s="2">
        <v>2.1</v>
      </c>
      <c r="M771" s="2">
        <v>31.8</v>
      </c>
      <c r="N771" s="2" t="s">
        <v>2812</v>
      </c>
      <c r="O771" s="56">
        <v>441</v>
      </c>
      <c r="P771" s="2">
        <v>1.76</v>
      </c>
      <c r="Q771" s="2">
        <v>6.47</v>
      </c>
      <c r="R771" s="2">
        <v>68.14</v>
      </c>
      <c r="S771" s="2">
        <v>8.0399999999999991</v>
      </c>
      <c r="T771" s="2">
        <v>3.83</v>
      </c>
      <c r="U771" s="2">
        <v>60.09</v>
      </c>
      <c r="V771" s="2">
        <v>13.34</v>
      </c>
      <c r="W771" s="2">
        <v>1119.58</v>
      </c>
      <c r="X771" s="2" t="s">
        <v>2939</v>
      </c>
      <c r="Y771" s="2" t="s">
        <v>2940</v>
      </c>
      <c r="Z771" s="2" t="s">
        <v>548</v>
      </c>
      <c r="AA771" s="2" t="s">
        <v>548</v>
      </c>
      <c r="AB771" s="2">
        <v>119.1</v>
      </c>
    </row>
    <row r="772" spans="1:28" x14ac:dyDescent="0.25">
      <c r="A772" s="4">
        <v>46241</v>
      </c>
      <c r="B772" s="8" t="s">
        <v>2681</v>
      </c>
      <c r="C772" s="8" t="s">
        <v>36</v>
      </c>
      <c r="D772" s="7" t="s">
        <v>46</v>
      </c>
      <c r="E772" s="8" t="s">
        <v>61</v>
      </c>
      <c r="F772" s="13"/>
      <c r="G772" s="59"/>
      <c r="H772" s="6"/>
      <c r="I772" s="6">
        <f t="shared" si="54"/>
        <v>155.94594594594594</v>
      </c>
      <c r="J772" s="2">
        <v>8.1</v>
      </c>
      <c r="K772" s="2">
        <v>7.4</v>
      </c>
      <c r="L772" s="2">
        <v>0.7</v>
      </c>
      <c r="M772" s="2">
        <v>8.64</v>
      </c>
      <c r="N772" s="2" t="s">
        <v>2941</v>
      </c>
      <c r="O772" s="56">
        <v>1154</v>
      </c>
      <c r="P772" s="2">
        <v>2.06</v>
      </c>
      <c r="Q772" s="2">
        <v>5.05</v>
      </c>
      <c r="R772" s="2">
        <v>228.54</v>
      </c>
      <c r="S772" s="2">
        <v>3.31</v>
      </c>
      <c r="T772" s="2">
        <v>4.7300000000000004</v>
      </c>
      <c r="U772" s="2">
        <v>225.23</v>
      </c>
      <c r="V772" s="2">
        <v>30.44</v>
      </c>
      <c r="W772" s="2">
        <v>8098.18</v>
      </c>
      <c r="X772" s="2" t="s">
        <v>2942</v>
      </c>
      <c r="Y772" s="2" t="s">
        <v>2943</v>
      </c>
      <c r="Z772" s="2">
        <v>0.1</v>
      </c>
      <c r="AA772" s="2" t="s">
        <v>548</v>
      </c>
      <c r="AB772" s="2">
        <v>254.5</v>
      </c>
    </row>
    <row r="773" spans="1:28" x14ac:dyDescent="0.25">
      <c r="A773" s="4">
        <v>46241</v>
      </c>
      <c r="B773" s="8" t="s">
        <v>2681</v>
      </c>
      <c r="C773" s="8" t="s">
        <v>36</v>
      </c>
      <c r="D773" s="8" t="s">
        <v>48</v>
      </c>
      <c r="E773" s="7" t="s">
        <v>38</v>
      </c>
      <c r="F773" s="13">
        <v>3038</v>
      </c>
      <c r="G773" s="59"/>
      <c r="H773" s="6">
        <f>24000/7</f>
        <v>3428.5714285714284</v>
      </c>
      <c r="I773" s="6">
        <f t="shared" si="54"/>
        <v>643.75</v>
      </c>
      <c r="J773" s="2">
        <v>6.79</v>
      </c>
      <c r="K773" s="2">
        <v>6.24</v>
      </c>
      <c r="L773" s="2">
        <v>0.55000000000000004</v>
      </c>
      <c r="M773" s="2">
        <v>8.1</v>
      </c>
      <c r="N773" s="2" t="s">
        <v>2944</v>
      </c>
      <c r="O773" s="56">
        <v>4017</v>
      </c>
      <c r="P773" s="2">
        <v>5.17</v>
      </c>
      <c r="Q773" s="2">
        <v>16.14</v>
      </c>
      <c r="R773" s="2">
        <v>248.89</v>
      </c>
      <c r="S773" s="2">
        <v>3.31</v>
      </c>
      <c r="T773" s="2">
        <v>6.02</v>
      </c>
      <c r="U773" s="2">
        <v>245.58</v>
      </c>
      <c r="V773" s="2">
        <v>39.340000000000003</v>
      </c>
      <c r="W773" s="2">
        <v>6697.84</v>
      </c>
      <c r="X773" s="2" t="s">
        <v>2945</v>
      </c>
      <c r="Y773" s="2" t="s">
        <v>2946</v>
      </c>
      <c r="Z773" s="2" t="s">
        <v>548</v>
      </c>
      <c r="AA773" s="2" t="s">
        <v>548</v>
      </c>
      <c r="AB773" s="2">
        <v>49.3</v>
      </c>
    </row>
    <row r="774" spans="1:28" x14ac:dyDescent="0.25">
      <c r="A774" s="4">
        <v>46241</v>
      </c>
      <c r="B774" s="8" t="s">
        <v>2681</v>
      </c>
      <c r="C774" s="8" t="s">
        <v>36</v>
      </c>
      <c r="D774" s="8" t="s">
        <v>49</v>
      </c>
      <c r="E774" s="8" t="s">
        <v>47</v>
      </c>
      <c r="F774" s="13"/>
      <c r="G774" s="59"/>
      <c r="H774" s="6">
        <f>15000/6</f>
        <v>2500</v>
      </c>
      <c r="I774" s="6">
        <f t="shared" si="54"/>
        <v>579.30056710775045</v>
      </c>
      <c r="J774" s="2">
        <v>12.98</v>
      </c>
      <c r="K774" s="2">
        <v>10.58</v>
      </c>
      <c r="L774" s="2">
        <v>2.4</v>
      </c>
      <c r="M774" s="2">
        <v>18.489999999999998</v>
      </c>
      <c r="N774" s="2" t="s">
        <v>2947</v>
      </c>
      <c r="O774" s="56">
        <v>6129</v>
      </c>
      <c r="P774" s="2">
        <v>3.93</v>
      </c>
      <c r="Q774" s="2">
        <v>13.99</v>
      </c>
      <c r="R774" s="2">
        <v>438.16</v>
      </c>
      <c r="S774" s="2">
        <v>10.41</v>
      </c>
      <c r="T774" s="2">
        <v>4.34</v>
      </c>
      <c r="U774" s="2">
        <v>427.75</v>
      </c>
      <c r="V774" s="2">
        <v>40.43</v>
      </c>
      <c r="W774" s="2">
        <v>2058.87</v>
      </c>
      <c r="X774" s="2" t="s">
        <v>2948</v>
      </c>
      <c r="Y774" s="2" t="s">
        <v>2949</v>
      </c>
      <c r="Z774" s="2" t="s">
        <v>548</v>
      </c>
      <c r="AA774" s="2" t="s">
        <v>548</v>
      </c>
      <c r="AB774" s="2">
        <v>5.5</v>
      </c>
    </row>
    <row r="775" spans="1:28" x14ac:dyDescent="0.25">
      <c r="A775" s="4">
        <v>46242</v>
      </c>
      <c r="B775" s="8" t="s">
        <v>2681</v>
      </c>
      <c r="C775" s="8" t="s">
        <v>36</v>
      </c>
      <c r="D775" s="8" t="s">
        <v>39</v>
      </c>
      <c r="E775" s="8" t="s">
        <v>47</v>
      </c>
      <c r="F775" s="13"/>
      <c r="G775" s="59"/>
      <c r="H775" s="6">
        <f>15000/5</f>
        <v>3000</v>
      </c>
      <c r="I775" s="6">
        <f t="shared" si="54"/>
        <v>490.99836333878886</v>
      </c>
      <c r="J775" s="2">
        <v>6.86</v>
      </c>
      <c r="K775" s="2">
        <v>6.11</v>
      </c>
      <c r="L775" s="2">
        <v>0.75</v>
      </c>
      <c r="M775" s="2">
        <v>10.93</v>
      </c>
      <c r="N775" s="2" t="s">
        <v>2035</v>
      </c>
      <c r="O775" s="56">
        <v>3000</v>
      </c>
      <c r="P775" s="2">
        <v>1.96</v>
      </c>
      <c r="Q775" s="2">
        <v>15.19</v>
      </c>
      <c r="R775" s="2">
        <v>125.39</v>
      </c>
      <c r="S775" s="2">
        <v>2.37</v>
      </c>
      <c r="T775" s="2">
        <v>3.15</v>
      </c>
      <c r="U775" s="2">
        <v>123.03</v>
      </c>
      <c r="V775" s="2">
        <v>20.14</v>
      </c>
      <c r="W775" s="2">
        <v>9296.65</v>
      </c>
      <c r="X775" s="2" t="s">
        <v>2950</v>
      </c>
      <c r="Y775" s="2" t="s">
        <v>2951</v>
      </c>
      <c r="Z775" s="2">
        <v>0.1</v>
      </c>
      <c r="AA775" s="2" t="s">
        <v>548</v>
      </c>
      <c r="AB775" s="2">
        <v>291.60000000000002</v>
      </c>
    </row>
    <row r="776" spans="1:28" x14ac:dyDescent="0.25">
      <c r="A776" s="4">
        <v>46242</v>
      </c>
      <c r="B776" s="8" t="s">
        <v>2681</v>
      </c>
      <c r="C776" s="8" t="s">
        <v>36</v>
      </c>
      <c r="D776" s="8" t="s">
        <v>43</v>
      </c>
      <c r="E776" s="8" t="s">
        <v>61</v>
      </c>
      <c r="F776" s="13"/>
      <c r="G776" s="59"/>
      <c r="H776" s="6"/>
      <c r="I776" s="6">
        <f t="shared" si="54"/>
        <v>0</v>
      </c>
      <c r="J776" s="2">
        <v>3.12</v>
      </c>
      <c r="K776" s="2">
        <v>2.72</v>
      </c>
      <c r="L776" s="2">
        <v>0.4</v>
      </c>
      <c r="M776" s="2">
        <v>12.84</v>
      </c>
      <c r="N776" s="2" t="s">
        <v>45</v>
      </c>
      <c r="O776" s="56">
        <v>0</v>
      </c>
      <c r="P776" s="2" t="s">
        <v>45</v>
      </c>
      <c r="Q776" s="2" t="s">
        <v>45</v>
      </c>
      <c r="R776" s="2">
        <v>45.42</v>
      </c>
      <c r="S776" s="2">
        <v>1.42</v>
      </c>
      <c r="T776" s="2">
        <v>3.55</v>
      </c>
      <c r="U776" s="2">
        <v>44.01</v>
      </c>
      <c r="V776" s="2">
        <v>16.2</v>
      </c>
      <c r="W776" s="2">
        <v>8897.2199999999993</v>
      </c>
      <c r="X776" s="2" t="s">
        <v>45</v>
      </c>
      <c r="Y776" s="2" t="s">
        <v>45</v>
      </c>
      <c r="Z776" s="2">
        <v>0.2</v>
      </c>
      <c r="AA776" s="2" t="s">
        <v>45</v>
      </c>
      <c r="AB776" s="2">
        <v>263.2</v>
      </c>
    </row>
    <row r="777" spans="1:28" x14ac:dyDescent="0.25">
      <c r="A777" s="4">
        <v>46242</v>
      </c>
      <c r="B777" s="8" t="s">
        <v>2681</v>
      </c>
      <c r="C777" s="8" t="s">
        <v>36</v>
      </c>
      <c r="D777" s="8" t="s">
        <v>67</v>
      </c>
      <c r="E777" s="8" t="s">
        <v>47</v>
      </c>
      <c r="F777" s="13"/>
      <c r="G777" s="59"/>
      <c r="H777" s="6">
        <f>15000/5</f>
        <v>3000</v>
      </c>
      <c r="I777" s="6">
        <f t="shared" si="54"/>
        <v>208.21643286573146</v>
      </c>
      <c r="J777" s="2">
        <v>6.64</v>
      </c>
      <c r="K777" s="2">
        <v>4.99</v>
      </c>
      <c r="L777" s="2">
        <v>1.65</v>
      </c>
      <c r="M777" s="2">
        <v>24.86</v>
      </c>
      <c r="N777" s="2" t="s">
        <v>2952</v>
      </c>
      <c r="O777" s="56">
        <f>1564-525</f>
        <v>1039</v>
      </c>
      <c r="P777" s="2">
        <v>2.15</v>
      </c>
      <c r="Q777" s="2">
        <v>14.82</v>
      </c>
      <c r="R777" s="2">
        <v>105.52</v>
      </c>
      <c r="S777" s="2">
        <v>5.2</v>
      </c>
      <c r="T777" s="2">
        <v>3.15</v>
      </c>
      <c r="U777" s="2">
        <v>100.31</v>
      </c>
      <c r="V777" s="2">
        <v>20.12</v>
      </c>
      <c r="W777" s="2">
        <v>685.12</v>
      </c>
      <c r="X777" s="2" t="s">
        <v>2953</v>
      </c>
      <c r="Y777" s="2" t="s">
        <v>2954</v>
      </c>
      <c r="Z777" s="2">
        <v>1.1000000000000001</v>
      </c>
      <c r="AA777" s="2" t="s">
        <v>548</v>
      </c>
      <c r="AB777" s="2">
        <v>66.2</v>
      </c>
    </row>
    <row r="778" spans="1:28" x14ac:dyDescent="0.25">
      <c r="A778" s="4">
        <v>46242</v>
      </c>
      <c r="B778" s="8" t="s">
        <v>2681</v>
      </c>
      <c r="C778" s="8" t="s">
        <v>36</v>
      </c>
      <c r="D778" s="8" t="s">
        <v>67</v>
      </c>
      <c r="E778" s="8" t="s">
        <v>61</v>
      </c>
      <c r="F778" s="13"/>
      <c r="G778" s="59"/>
      <c r="H778" s="6"/>
      <c r="I778" s="6">
        <f t="shared" si="54"/>
        <v>0</v>
      </c>
      <c r="J778" s="2"/>
      <c r="K778" s="2"/>
      <c r="L778" s="2"/>
      <c r="M778" s="2"/>
      <c r="N778" s="2"/>
      <c r="O778" s="79">
        <f>21*25</f>
        <v>525</v>
      </c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x14ac:dyDescent="0.25">
      <c r="A779" s="4">
        <v>46242</v>
      </c>
      <c r="B779" s="8" t="s">
        <v>2681</v>
      </c>
      <c r="C779" s="8" t="s">
        <v>36</v>
      </c>
      <c r="D779" s="8" t="s">
        <v>50</v>
      </c>
      <c r="E779" s="8" t="s">
        <v>61</v>
      </c>
      <c r="F779" s="13"/>
      <c r="G779" s="59"/>
      <c r="H779" s="6"/>
      <c r="I779" s="6">
        <f t="shared" si="54"/>
        <v>249.1329479768786</v>
      </c>
      <c r="J779" s="2">
        <v>7.14</v>
      </c>
      <c r="K779" s="2">
        <v>5.19</v>
      </c>
      <c r="L779" s="2">
        <v>1.95</v>
      </c>
      <c r="M779" s="2">
        <v>27.3</v>
      </c>
      <c r="N779" s="2" t="s">
        <v>2955</v>
      </c>
      <c r="O779" s="79">
        <v>1293</v>
      </c>
      <c r="P779" s="2">
        <v>1.61</v>
      </c>
      <c r="Q779" s="2">
        <v>11.68</v>
      </c>
      <c r="R779" s="2">
        <v>110.72</v>
      </c>
      <c r="S779" s="2">
        <v>7.1</v>
      </c>
      <c r="T779" s="2">
        <v>3.64</v>
      </c>
      <c r="U779" s="2">
        <v>103.63</v>
      </c>
      <c r="V779" s="2">
        <v>19.95</v>
      </c>
      <c r="W779" s="2">
        <v>2549.86</v>
      </c>
      <c r="X779" s="2" t="s">
        <v>2956</v>
      </c>
      <c r="Y779" s="2" t="s">
        <v>2957</v>
      </c>
      <c r="Z779" s="2">
        <v>1.8</v>
      </c>
      <c r="AA779" s="2" t="s">
        <v>548</v>
      </c>
      <c r="AB779" s="2">
        <v>331.5</v>
      </c>
    </row>
    <row r="780" spans="1:28" x14ac:dyDescent="0.25">
      <c r="A780" s="4">
        <v>46242</v>
      </c>
      <c r="B780" s="8" t="s">
        <v>2681</v>
      </c>
      <c r="C780" s="8" t="s">
        <v>36</v>
      </c>
      <c r="D780" s="8" t="s">
        <v>52</v>
      </c>
      <c r="E780" s="8" t="s">
        <v>47</v>
      </c>
      <c r="F780" s="13"/>
      <c r="G780" s="59"/>
      <c r="H780" s="6">
        <f>15000/5</f>
        <v>3000</v>
      </c>
      <c r="I780" s="6">
        <f t="shared" si="54"/>
        <v>292.11324570273001</v>
      </c>
      <c r="J780" s="2">
        <v>11.84</v>
      </c>
      <c r="K780" s="2">
        <v>9.89</v>
      </c>
      <c r="L780" s="2">
        <v>1.95</v>
      </c>
      <c r="M780" s="2">
        <v>16.46</v>
      </c>
      <c r="N780" s="2" t="s">
        <v>2958</v>
      </c>
      <c r="O780" s="79">
        <v>2889</v>
      </c>
      <c r="P780" s="2">
        <v>2.21</v>
      </c>
      <c r="Q780" s="2">
        <v>13.78</v>
      </c>
      <c r="R780" s="2">
        <v>209.62</v>
      </c>
      <c r="S780" s="2">
        <v>7.1</v>
      </c>
      <c r="T780" s="2">
        <v>3.64</v>
      </c>
      <c r="U780" s="2">
        <v>202.52</v>
      </c>
      <c r="V780" s="2">
        <v>20.47</v>
      </c>
      <c r="W780" s="2">
        <v>1131.42</v>
      </c>
      <c r="X780" s="2" t="s">
        <v>2959</v>
      </c>
      <c r="Y780" s="2" t="s">
        <v>2960</v>
      </c>
      <c r="Z780" s="2">
        <v>0.2</v>
      </c>
      <c r="AA780" s="2" t="s">
        <v>548</v>
      </c>
      <c r="AB780" s="2">
        <v>119.3</v>
      </c>
    </row>
    <row r="781" spans="1:28" x14ac:dyDescent="0.25">
      <c r="A781" s="4">
        <v>46242</v>
      </c>
      <c r="B781" s="8" t="s">
        <v>2681</v>
      </c>
      <c r="C781" s="8" t="s">
        <v>36</v>
      </c>
      <c r="D781" s="7" t="s">
        <v>46</v>
      </c>
      <c r="E781" s="8" t="s">
        <v>61</v>
      </c>
      <c r="F781" s="13"/>
      <c r="G781" s="59"/>
      <c r="H781" s="6"/>
      <c r="I781" s="6">
        <f t="shared" si="54"/>
        <v>268.64864864864865</v>
      </c>
      <c r="J781" s="2">
        <v>6.15</v>
      </c>
      <c r="K781" s="2">
        <v>5.55</v>
      </c>
      <c r="L781" s="2">
        <v>0.6</v>
      </c>
      <c r="M781" s="2">
        <v>9.75</v>
      </c>
      <c r="N781" s="2" t="s">
        <v>2961</v>
      </c>
      <c r="O781" s="79">
        <v>1491</v>
      </c>
      <c r="P781" s="2">
        <v>2.76</v>
      </c>
      <c r="Q781" s="2">
        <v>8.73</v>
      </c>
      <c r="R781" s="2">
        <v>170.82</v>
      </c>
      <c r="S781" s="2">
        <v>3.79</v>
      </c>
      <c r="T781" s="2">
        <v>6.31</v>
      </c>
      <c r="U781" s="2">
        <v>167.03</v>
      </c>
      <c r="V781" s="2">
        <v>30.09</v>
      </c>
      <c r="W781" s="2">
        <v>8104.33</v>
      </c>
      <c r="X781" s="2" t="s">
        <v>2962</v>
      </c>
      <c r="Y781" s="2" t="s">
        <v>2963</v>
      </c>
      <c r="Z781" s="2">
        <v>0.1</v>
      </c>
      <c r="AA781" s="2" t="s">
        <v>548</v>
      </c>
      <c r="AB781" s="2">
        <v>254.6</v>
      </c>
    </row>
    <row r="782" spans="1:28" x14ac:dyDescent="0.25">
      <c r="A782" s="4">
        <v>46242</v>
      </c>
      <c r="B782" s="8" t="s">
        <v>2681</v>
      </c>
      <c r="C782" s="8" t="s">
        <v>36</v>
      </c>
      <c r="D782" s="8" t="s">
        <v>48</v>
      </c>
      <c r="E782" s="7" t="s">
        <v>38</v>
      </c>
      <c r="F782" s="13">
        <v>5749</v>
      </c>
      <c r="G782" s="59"/>
      <c r="H782" s="6">
        <f>24000/7</f>
        <v>3428.5714285714284</v>
      </c>
      <c r="I782" s="6">
        <f t="shared" si="54"/>
        <v>507.41394527802294</v>
      </c>
      <c r="J782" s="2">
        <v>12.33</v>
      </c>
      <c r="K782" s="2">
        <v>11.33</v>
      </c>
      <c r="L782" s="2" t="s">
        <v>1696</v>
      </c>
      <c r="M782" s="2">
        <v>8.11</v>
      </c>
      <c r="N782" s="2" t="s">
        <v>2964</v>
      </c>
      <c r="O782" s="79">
        <v>5749</v>
      </c>
      <c r="P782" s="2">
        <v>5.3</v>
      </c>
      <c r="Q782" s="2">
        <v>17.18</v>
      </c>
      <c r="R782" s="2" t="s">
        <v>2965</v>
      </c>
      <c r="S782" s="2">
        <v>6.15</v>
      </c>
      <c r="T782" s="2">
        <v>6.15</v>
      </c>
      <c r="U782" s="2">
        <v>434.85</v>
      </c>
      <c r="V782" s="2">
        <v>38.380000000000003</v>
      </c>
      <c r="W782" s="2">
        <v>6710.17</v>
      </c>
      <c r="X782" s="2" t="s">
        <v>2966</v>
      </c>
      <c r="Y782" s="2" t="s">
        <v>2967</v>
      </c>
      <c r="Z782" s="2" t="s">
        <v>548</v>
      </c>
      <c r="AA782" s="2" t="s">
        <v>548</v>
      </c>
      <c r="AB782" s="2">
        <v>49.3</v>
      </c>
    </row>
    <row r="783" spans="1:28" x14ac:dyDescent="0.25">
      <c r="A783" s="4">
        <v>46242</v>
      </c>
      <c r="B783" s="8" t="s">
        <v>2681</v>
      </c>
      <c r="C783" s="8" t="s">
        <v>36</v>
      </c>
      <c r="D783" s="8" t="s">
        <v>49</v>
      </c>
      <c r="E783" s="8" t="s">
        <v>47</v>
      </c>
      <c r="F783" s="13"/>
      <c r="G783" s="59"/>
      <c r="H783" s="6">
        <f>15000/5</f>
        <v>3000</v>
      </c>
      <c r="I783" s="6">
        <f t="shared" si="54"/>
        <v>520.3767123287671</v>
      </c>
      <c r="J783" s="2">
        <v>7.69</v>
      </c>
      <c r="K783" s="2">
        <v>5.84</v>
      </c>
      <c r="L783" s="2">
        <v>1.85</v>
      </c>
      <c r="M783" s="2">
        <v>24.05</v>
      </c>
      <c r="N783" s="2" t="s">
        <v>2968</v>
      </c>
      <c r="O783" s="79">
        <v>3039</v>
      </c>
      <c r="P783" s="2">
        <v>3.84</v>
      </c>
      <c r="Q783" s="2">
        <v>12.82</v>
      </c>
      <c r="R783" s="2">
        <v>237.06</v>
      </c>
      <c r="S783" s="2">
        <v>8.0399999999999991</v>
      </c>
      <c r="T783" s="2">
        <v>4.3499999999999996</v>
      </c>
      <c r="U783" s="2">
        <v>229.02</v>
      </c>
      <c r="V783" s="2">
        <v>39.200000000000003</v>
      </c>
      <c r="W783" s="2">
        <v>2066.5700000000002</v>
      </c>
      <c r="X783" s="2" t="s">
        <v>2969</v>
      </c>
      <c r="Y783" s="2" t="s">
        <v>2970</v>
      </c>
      <c r="Z783" s="2">
        <v>0.1</v>
      </c>
      <c r="AA783" s="2" t="s">
        <v>548</v>
      </c>
      <c r="AB783" s="2">
        <v>5.6</v>
      </c>
    </row>
    <row r="784" spans="1:28" x14ac:dyDescent="0.25">
      <c r="A784" s="14">
        <v>46242</v>
      </c>
      <c r="B784" s="14" t="s">
        <v>2681</v>
      </c>
      <c r="C784" s="14" t="s">
        <v>36</v>
      </c>
      <c r="D784" s="42"/>
      <c r="E784" s="42" t="s">
        <v>47</v>
      </c>
      <c r="F784" s="43"/>
      <c r="G784" s="60"/>
      <c r="H784" s="44">
        <v>3000</v>
      </c>
      <c r="I784" s="6">
        <f t="shared" si="54"/>
        <v>0</v>
      </c>
      <c r="J784" s="42"/>
      <c r="K784" s="42"/>
      <c r="L784" s="42"/>
      <c r="M784" s="42"/>
      <c r="N784" s="42"/>
      <c r="O784" s="60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  <c r="AA784" s="42"/>
      <c r="AB784" s="42"/>
    </row>
    <row r="785" spans="1:28" x14ac:dyDescent="0.25">
      <c r="A785" s="4">
        <v>46243</v>
      </c>
      <c r="B785" s="8" t="s">
        <v>55</v>
      </c>
      <c r="C785" s="8" t="s">
        <v>56</v>
      </c>
      <c r="D785" s="8" t="s">
        <v>39</v>
      </c>
      <c r="E785" s="8" t="s">
        <v>47</v>
      </c>
      <c r="F785" s="13"/>
      <c r="G785" s="59"/>
      <c r="H785" s="6"/>
      <c r="I785" s="6">
        <f t="shared" si="54"/>
        <v>0</v>
      </c>
      <c r="J785" s="2" t="s">
        <v>548</v>
      </c>
      <c r="K785" s="2" t="s">
        <v>548</v>
      </c>
      <c r="L785" s="2" t="s">
        <v>548</v>
      </c>
      <c r="M785" s="2" t="s">
        <v>45</v>
      </c>
      <c r="N785" s="2" t="s">
        <v>548</v>
      </c>
      <c r="O785" s="56">
        <v>0</v>
      </c>
      <c r="P785" s="2" t="s">
        <v>45</v>
      </c>
      <c r="Q785" s="2" t="s">
        <v>45</v>
      </c>
      <c r="R785" s="2" t="s">
        <v>548</v>
      </c>
      <c r="S785" s="2" t="s">
        <v>548</v>
      </c>
      <c r="T785" s="2" t="s">
        <v>45</v>
      </c>
      <c r="U785" s="2" t="s">
        <v>548</v>
      </c>
      <c r="V785" s="2" t="s">
        <v>45</v>
      </c>
      <c r="W785" s="2">
        <v>9296.65</v>
      </c>
      <c r="X785" s="2" t="s">
        <v>2950</v>
      </c>
      <c r="Y785" s="2" t="s">
        <v>2951</v>
      </c>
      <c r="Z785" s="2" t="s">
        <v>548</v>
      </c>
      <c r="AA785" s="2" t="s">
        <v>45</v>
      </c>
      <c r="AB785" s="2">
        <v>291.60000000000002</v>
      </c>
    </row>
    <row r="786" spans="1:28" x14ac:dyDescent="0.25">
      <c r="A786" s="4">
        <v>46243</v>
      </c>
      <c r="B786" s="8" t="s">
        <v>55</v>
      </c>
      <c r="C786" s="8" t="s">
        <v>56</v>
      </c>
      <c r="D786" s="8" t="s">
        <v>43</v>
      </c>
      <c r="E786" s="8" t="s">
        <v>47</v>
      </c>
      <c r="F786" s="13"/>
      <c r="G786" s="59"/>
      <c r="H786" s="6"/>
      <c r="I786" s="6">
        <f t="shared" si="54"/>
        <v>0</v>
      </c>
      <c r="J786" s="2" t="s">
        <v>548</v>
      </c>
      <c r="K786" s="2" t="s">
        <v>548</v>
      </c>
      <c r="L786" s="2" t="s">
        <v>548</v>
      </c>
      <c r="M786" s="2" t="s">
        <v>45</v>
      </c>
      <c r="N786" s="2" t="s">
        <v>45</v>
      </c>
      <c r="O786" s="56">
        <v>0</v>
      </c>
      <c r="P786" s="2" t="s">
        <v>45</v>
      </c>
      <c r="Q786" s="2" t="s">
        <v>45</v>
      </c>
      <c r="R786" s="2" t="s">
        <v>548</v>
      </c>
      <c r="S786" s="2" t="s">
        <v>548</v>
      </c>
      <c r="T786" s="2" t="s">
        <v>45</v>
      </c>
      <c r="U786" s="2" t="s">
        <v>548</v>
      </c>
      <c r="V786" s="2" t="s">
        <v>45</v>
      </c>
      <c r="W786" s="2">
        <v>8897.2199999999993</v>
      </c>
      <c r="X786" s="2" t="s">
        <v>45</v>
      </c>
      <c r="Y786" s="2" t="s">
        <v>45</v>
      </c>
      <c r="Z786" s="2" t="s">
        <v>548</v>
      </c>
      <c r="AA786" s="2" t="s">
        <v>45</v>
      </c>
      <c r="AB786" s="2">
        <v>263.2</v>
      </c>
    </row>
    <row r="787" spans="1:28" x14ac:dyDescent="0.25">
      <c r="A787" s="4">
        <v>46243</v>
      </c>
      <c r="B787" s="8" t="s">
        <v>55</v>
      </c>
      <c r="C787" s="8" t="s">
        <v>56</v>
      </c>
      <c r="D787" s="8" t="s">
        <v>67</v>
      </c>
      <c r="E787" s="8" t="s">
        <v>47</v>
      </c>
      <c r="F787" s="13"/>
      <c r="G787" s="59"/>
      <c r="H787" s="6"/>
      <c r="I787" s="6">
        <f t="shared" si="54"/>
        <v>0</v>
      </c>
      <c r="J787" s="2" t="s">
        <v>45</v>
      </c>
      <c r="K787" s="2" t="s">
        <v>45</v>
      </c>
      <c r="L787" s="2" t="s">
        <v>45</v>
      </c>
      <c r="M787" s="2" t="s">
        <v>45</v>
      </c>
      <c r="N787" s="2" t="s">
        <v>45</v>
      </c>
      <c r="O787" s="56" t="s">
        <v>45</v>
      </c>
      <c r="P787" s="2" t="s">
        <v>45</v>
      </c>
      <c r="Q787" s="2" t="s">
        <v>45</v>
      </c>
      <c r="R787" s="2" t="s">
        <v>45</v>
      </c>
      <c r="S787" s="2" t="s">
        <v>45</v>
      </c>
      <c r="T787" s="2" t="s">
        <v>45</v>
      </c>
      <c r="U787" s="2" t="s">
        <v>45</v>
      </c>
      <c r="V787" s="2" t="s">
        <v>45</v>
      </c>
      <c r="W787" s="2" t="s">
        <v>45</v>
      </c>
      <c r="X787" s="2" t="s">
        <v>45</v>
      </c>
      <c r="Y787" s="2" t="s">
        <v>45</v>
      </c>
      <c r="Z787" s="2" t="s">
        <v>45</v>
      </c>
      <c r="AA787" s="2" t="s">
        <v>45</v>
      </c>
      <c r="AB787" s="2" t="s">
        <v>45</v>
      </c>
    </row>
    <row r="788" spans="1:28" x14ac:dyDescent="0.25">
      <c r="A788" s="4">
        <v>46243</v>
      </c>
      <c r="B788" s="8" t="s">
        <v>55</v>
      </c>
      <c r="C788" s="8" t="s">
        <v>56</v>
      </c>
      <c r="D788" s="8" t="s">
        <v>50</v>
      </c>
      <c r="E788" s="8" t="s">
        <v>47</v>
      </c>
      <c r="F788" s="13"/>
      <c r="G788" s="59"/>
      <c r="H788" s="6"/>
      <c r="I788" s="6">
        <f t="shared" si="54"/>
        <v>0</v>
      </c>
      <c r="J788" s="2" t="s">
        <v>548</v>
      </c>
      <c r="K788" s="2" t="s">
        <v>548</v>
      </c>
      <c r="L788" s="2" t="s">
        <v>548</v>
      </c>
      <c r="M788" s="2" t="s">
        <v>45</v>
      </c>
      <c r="N788" s="2" t="s">
        <v>548</v>
      </c>
      <c r="O788" s="79">
        <v>0</v>
      </c>
      <c r="P788" s="2" t="s">
        <v>45</v>
      </c>
      <c r="Q788" s="2" t="s">
        <v>45</v>
      </c>
      <c r="R788" s="2" t="s">
        <v>548</v>
      </c>
      <c r="S788" s="2" t="s">
        <v>548</v>
      </c>
      <c r="T788" s="2" t="s">
        <v>45</v>
      </c>
      <c r="U788" s="2" t="s">
        <v>548</v>
      </c>
      <c r="V788" s="2" t="s">
        <v>45</v>
      </c>
      <c r="W788" s="2">
        <v>2549.86</v>
      </c>
      <c r="X788" s="2" t="s">
        <v>2956</v>
      </c>
      <c r="Y788" s="2" t="s">
        <v>2957</v>
      </c>
      <c r="Z788" s="2" t="s">
        <v>548</v>
      </c>
      <c r="AA788" s="2" t="s">
        <v>45</v>
      </c>
      <c r="AB788" s="2">
        <v>331.5</v>
      </c>
    </row>
    <row r="789" spans="1:28" x14ac:dyDescent="0.25">
      <c r="A789" s="4">
        <v>46243</v>
      </c>
      <c r="B789" s="8" t="s">
        <v>55</v>
      </c>
      <c r="C789" s="8" t="s">
        <v>56</v>
      </c>
      <c r="D789" s="8" t="s">
        <v>52</v>
      </c>
      <c r="E789" s="8" t="s">
        <v>47</v>
      </c>
      <c r="F789" s="13"/>
      <c r="G789" s="59"/>
      <c r="H789" s="6"/>
      <c r="I789" s="6">
        <f t="shared" si="54"/>
        <v>0</v>
      </c>
      <c r="J789" s="2" t="s">
        <v>45</v>
      </c>
      <c r="K789" s="2" t="s">
        <v>45</v>
      </c>
      <c r="L789" s="2" t="s">
        <v>45</v>
      </c>
      <c r="M789" s="2" t="s">
        <v>45</v>
      </c>
      <c r="N789" s="2" t="s">
        <v>45</v>
      </c>
      <c r="O789" s="79" t="s">
        <v>45</v>
      </c>
      <c r="P789" s="2" t="s">
        <v>45</v>
      </c>
      <c r="Q789" s="2" t="s">
        <v>45</v>
      </c>
      <c r="R789" s="2" t="s">
        <v>45</v>
      </c>
      <c r="S789" s="2" t="s">
        <v>45</v>
      </c>
      <c r="T789" s="2" t="s">
        <v>45</v>
      </c>
      <c r="U789" s="2" t="s">
        <v>45</v>
      </c>
      <c r="V789" s="2" t="s">
        <v>45</v>
      </c>
      <c r="W789" s="2" t="s">
        <v>45</v>
      </c>
      <c r="X789" s="2" t="s">
        <v>45</v>
      </c>
      <c r="Y789" s="2" t="s">
        <v>45</v>
      </c>
      <c r="Z789" s="2" t="s">
        <v>45</v>
      </c>
      <c r="AA789" s="2" t="s">
        <v>45</v>
      </c>
      <c r="AB789" s="2" t="s">
        <v>45</v>
      </c>
    </row>
    <row r="790" spans="1:28" x14ac:dyDescent="0.25">
      <c r="A790" s="4">
        <v>46243</v>
      </c>
      <c r="B790" s="8" t="s">
        <v>55</v>
      </c>
      <c r="C790" s="8" t="s">
        <v>56</v>
      </c>
      <c r="D790" s="7" t="s">
        <v>46</v>
      </c>
      <c r="E790" s="7" t="s">
        <v>47</v>
      </c>
      <c r="F790" s="13"/>
      <c r="G790" s="59"/>
      <c r="H790" s="6"/>
      <c r="I790" s="6">
        <f t="shared" si="54"/>
        <v>0</v>
      </c>
      <c r="J790" s="2" t="s">
        <v>548</v>
      </c>
      <c r="K790" s="2" t="s">
        <v>548</v>
      </c>
      <c r="L790" s="2" t="s">
        <v>548</v>
      </c>
      <c r="M790" s="2" t="s">
        <v>45</v>
      </c>
      <c r="N790" s="2" t="s">
        <v>548</v>
      </c>
      <c r="O790" s="79">
        <v>0</v>
      </c>
      <c r="P790" s="2" t="s">
        <v>45</v>
      </c>
      <c r="Q790" s="2" t="s">
        <v>45</v>
      </c>
      <c r="R790" s="2" t="s">
        <v>548</v>
      </c>
      <c r="S790" s="2" t="s">
        <v>548</v>
      </c>
      <c r="T790" s="2" t="s">
        <v>45</v>
      </c>
      <c r="U790" s="2" t="s">
        <v>548</v>
      </c>
      <c r="V790" s="2" t="s">
        <v>45</v>
      </c>
      <c r="W790" s="2">
        <v>8104.33</v>
      </c>
      <c r="X790" s="2" t="s">
        <v>2962</v>
      </c>
      <c r="Y790" s="2" t="s">
        <v>2963</v>
      </c>
      <c r="Z790" s="2" t="s">
        <v>548</v>
      </c>
      <c r="AA790" s="2" t="s">
        <v>45</v>
      </c>
      <c r="AB790" s="2">
        <v>254.6</v>
      </c>
    </row>
    <row r="791" spans="1:28" x14ac:dyDescent="0.25">
      <c r="A791" s="4">
        <v>46243</v>
      </c>
      <c r="B791" s="8" t="s">
        <v>2681</v>
      </c>
      <c r="C791" s="8" t="s">
        <v>36</v>
      </c>
      <c r="D791" s="8" t="s">
        <v>48</v>
      </c>
      <c r="E791" s="7" t="s">
        <v>38</v>
      </c>
      <c r="F791" s="13">
        <v>4650</v>
      </c>
      <c r="G791" s="59"/>
      <c r="H791" s="6">
        <f>24000/7</f>
        <v>3428.5714285714284</v>
      </c>
      <c r="I791" s="6">
        <f t="shared" si="54"/>
        <v>764.8026315789474</v>
      </c>
      <c r="J791" s="2">
        <v>6.93</v>
      </c>
      <c r="K791" s="2">
        <v>6.08</v>
      </c>
      <c r="L791" s="2">
        <v>0.85</v>
      </c>
      <c r="M791" s="2">
        <v>12.27</v>
      </c>
      <c r="N791" s="2" t="s">
        <v>2971</v>
      </c>
      <c r="O791" s="79">
        <v>4650</v>
      </c>
      <c r="P791" s="2">
        <v>5.64</v>
      </c>
      <c r="Q791" s="2">
        <v>19.77</v>
      </c>
      <c r="R791" s="2">
        <v>235.17</v>
      </c>
      <c r="S791" s="2">
        <v>5.2</v>
      </c>
      <c r="T791" s="2">
        <v>6.12</v>
      </c>
      <c r="U791" s="2">
        <v>229.96</v>
      </c>
      <c r="V791" s="2">
        <v>37.83</v>
      </c>
      <c r="W791" s="2">
        <v>6717.1</v>
      </c>
      <c r="X791" s="2" t="s">
        <v>2972</v>
      </c>
      <c r="Y791" s="2" t="s">
        <v>2973</v>
      </c>
      <c r="Z791" s="2" t="s">
        <v>548</v>
      </c>
      <c r="AA791" s="2" t="s">
        <v>548</v>
      </c>
      <c r="AB791" s="2">
        <v>49.3</v>
      </c>
    </row>
    <row r="792" spans="1:28" x14ac:dyDescent="0.25">
      <c r="A792" s="4">
        <v>46243</v>
      </c>
      <c r="B792" s="8" t="s">
        <v>55</v>
      </c>
      <c r="C792" s="8" t="s">
        <v>56</v>
      </c>
      <c r="D792" s="8" t="s">
        <v>49</v>
      </c>
      <c r="E792" s="8" t="s">
        <v>47</v>
      </c>
      <c r="F792" s="13"/>
      <c r="G792" s="59"/>
      <c r="H792" s="6"/>
      <c r="I792" s="6">
        <f t="shared" si="54"/>
        <v>0</v>
      </c>
      <c r="J792" s="2" t="s">
        <v>45</v>
      </c>
      <c r="K792" s="2" t="s">
        <v>45</v>
      </c>
      <c r="L792" s="2" t="s">
        <v>45</v>
      </c>
      <c r="M792" s="2" t="s">
        <v>45</v>
      </c>
      <c r="N792" s="2" t="s">
        <v>45</v>
      </c>
      <c r="O792" s="79" t="s">
        <v>45</v>
      </c>
      <c r="P792" s="2" t="s">
        <v>45</v>
      </c>
      <c r="Q792" s="2" t="s">
        <v>45</v>
      </c>
      <c r="R792" s="2" t="s">
        <v>45</v>
      </c>
      <c r="S792" s="2" t="s">
        <v>45</v>
      </c>
      <c r="T792" s="2" t="s">
        <v>45</v>
      </c>
      <c r="U792" s="2" t="s">
        <v>45</v>
      </c>
      <c r="V792" s="2" t="s">
        <v>45</v>
      </c>
      <c r="W792" s="2" t="s">
        <v>45</v>
      </c>
      <c r="X792" s="2" t="s">
        <v>45</v>
      </c>
      <c r="Y792" s="2" t="s">
        <v>45</v>
      </c>
      <c r="Z792" s="2" t="s">
        <v>45</v>
      </c>
      <c r="AA792" s="2" t="s">
        <v>45</v>
      </c>
      <c r="AB792" s="2" t="s">
        <v>45</v>
      </c>
    </row>
    <row r="793" spans="1:28" x14ac:dyDescent="0.25">
      <c r="A793" s="4">
        <v>46244</v>
      </c>
      <c r="B793" s="8" t="s">
        <v>2974</v>
      </c>
      <c r="C793" s="8" t="s">
        <v>36</v>
      </c>
      <c r="D793" s="8" t="s">
        <v>39</v>
      </c>
      <c r="E793" s="8" t="s">
        <v>47</v>
      </c>
      <c r="F793" s="13"/>
      <c r="G793" s="59"/>
      <c r="H793" s="6">
        <f>15000/7</f>
        <v>2142.8571428571427</v>
      </c>
      <c r="I793" s="6">
        <f t="shared" si="54"/>
        <v>331.76943699731902</v>
      </c>
      <c r="J793" s="2">
        <v>8.86</v>
      </c>
      <c r="K793" s="2">
        <v>7.46</v>
      </c>
      <c r="L793" s="2">
        <v>1.4</v>
      </c>
      <c r="M793" s="2">
        <v>15.81</v>
      </c>
      <c r="N793" s="2" t="s">
        <v>2977</v>
      </c>
      <c r="O793" s="56">
        <v>2475</v>
      </c>
      <c r="P793" s="2">
        <v>1.58</v>
      </c>
      <c r="Q793" s="2">
        <v>9.84</v>
      </c>
      <c r="R793" s="2">
        <v>150.94</v>
      </c>
      <c r="S793" s="2">
        <v>6.15</v>
      </c>
      <c r="T793" s="2">
        <v>4.3899999999999997</v>
      </c>
      <c r="U793" s="2">
        <v>144.79</v>
      </c>
      <c r="V793" s="2">
        <v>19.420000000000002</v>
      </c>
      <c r="W793" s="2">
        <v>9305.5</v>
      </c>
      <c r="X793" s="2" t="s">
        <v>2978</v>
      </c>
      <c r="Y793" s="2" t="s">
        <v>2979</v>
      </c>
      <c r="Z793" s="2">
        <v>0.2</v>
      </c>
      <c r="AA793" s="2" t="s">
        <v>548</v>
      </c>
      <c r="AB793" s="2">
        <v>291.8</v>
      </c>
    </row>
    <row r="794" spans="1:28" x14ac:dyDescent="0.25">
      <c r="A794" s="4">
        <v>46244</v>
      </c>
      <c r="B794" s="8" t="s">
        <v>2974</v>
      </c>
      <c r="C794" s="8" t="s">
        <v>36</v>
      </c>
      <c r="D794" s="8" t="s">
        <v>43</v>
      </c>
      <c r="E794" s="8" t="s">
        <v>47</v>
      </c>
      <c r="F794" s="13"/>
      <c r="G794" s="59"/>
      <c r="H794" s="6">
        <f t="shared" ref="H794:H801" si="56">15000/7</f>
        <v>2142.8571428571427</v>
      </c>
      <c r="I794" s="6">
        <f t="shared" si="54"/>
        <v>37.313432835820898</v>
      </c>
      <c r="J794" s="2">
        <v>2.46</v>
      </c>
      <c r="K794" s="2">
        <v>2.0099999999999998</v>
      </c>
      <c r="L794" s="2">
        <v>0.45</v>
      </c>
      <c r="M794" s="2">
        <v>18.309999999999999</v>
      </c>
      <c r="N794" s="2" t="s">
        <v>45</v>
      </c>
      <c r="O794" s="56">
        <v>75</v>
      </c>
      <c r="P794" s="2" t="s">
        <v>45</v>
      </c>
      <c r="Q794" s="2" t="s">
        <v>45</v>
      </c>
      <c r="R794" s="2">
        <v>35.49</v>
      </c>
      <c r="S794" s="2">
        <v>1.42</v>
      </c>
      <c r="T794" s="2">
        <v>3.15</v>
      </c>
      <c r="U794" s="2">
        <v>34.07</v>
      </c>
      <c r="V794" s="2">
        <v>16.97</v>
      </c>
      <c r="W794" s="2">
        <v>8899.67</v>
      </c>
      <c r="X794" s="2" t="s">
        <v>45</v>
      </c>
      <c r="Y794" s="2" t="s">
        <v>45</v>
      </c>
      <c r="Z794" s="2">
        <v>0.4</v>
      </c>
      <c r="AA794" s="2" t="s">
        <v>45</v>
      </c>
      <c r="AB794" s="2">
        <v>263.60000000000002</v>
      </c>
    </row>
    <row r="795" spans="1:28" x14ac:dyDescent="0.25">
      <c r="A795" s="4">
        <v>46244</v>
      </c>
      <c r="B795" s="8" t="s">
        <v>2974</v>
      </c>
      <c r="C795" s="8" t="s">
        <v>36</v>
      </c>
      <c r="D795" s="8" t="s">
        <v>67</v>
      </c>
      <c r="E795" s="8" t="s">
        <v>47</v>
      </c>
      <c r="F795" s="13"/>
      <c r="G795" s="59"/>
      <c r="H795" s="6">
        <f t="shared" si="56"/>
        <v>2142.8571428571427</v>
      </c>
      <c r="I795" s="6">
        <f t="shared" si="54"/>
        <v>258.160237388724</v>
      </c>
      <c r="J795" s="2">
        <v>8.94</v>
      </c>
      <c r="K795" s="2">
        <v>6.74</v>
      </c>
      <c r="L795" s="2">
        <v>2.2000000000000002</v>
      </c>
      <c r="M795" s="2">
        <v>24.62</v>
      </c>
      <c r="N795" s="2" t="s">
        <v>2983</v>
      </c>
      <c r="O795" s="56">
        <f>2665-O796</f>
        <v>1740</v>
      </c>
      <c r="P795" s="2">
        <v>2.1800000000000002</v>
      </c>
      <c r="Q795" s="2">
        <v>17.82</v>
      </c>
      <c r="R795" s="2">
        <v>149.52000000000001</v>
      </c>
      <c r="S795" s="2">
        <v>8.0399999999999991</v>
      </c>
      <c r="T795" s="2">
        <v>3.66</v>
      </c>
      <c r="U795" s="2">
        <v>141.47999999999999</v>
      </c>
      <c r="V795" s="2">
        <v>21.01</v>
      </c>
      <c r="W795" s="2">
        <v>694.05</v>
      </c>
      <c r="X795" s="2" t="s">
        <v>2984</v>
      </c>
      <c r="Y795" s="2" t="s">
        <v>2985</v>
      </c>
      <c r="Z795" s="2">
        <v>0.8</v>
      </c>
      <c r="AA795" s="2" t="s">
        <v>548</v>
      </c>
      <c r="AB795" s="2">
        <v>67.599999999999994</v>
      </c>
    </row>
    <row r="796" spans="1:28" x14ac:dyDescent="0.25">
      <c r="A796" s="4">
        <v>46244</v>
      </c>
      <c r="B796" s="8" t="s">
        <v>2974</v>
      </c>
      <c r="C796" s="8" t="s">
        <v>36</v>
      </c>
      <c r="D796" s="8" t="s">
        <v>67</v>
      </c>
      <c r="E796" s="8" t="s">
        <v>61</v>
      </c>
      <c r="F796" s="13"/>
      <c r="G796" s="59"/>
      <c r="H796" s="6"/>
      <c r="I796" s="6"/>
      <c r="J796" s="2"/>
      <c r="K796" s="2"/>
      <c r="L796" s="2"/>
      <c r="M796" s="2"/>
      <c r="N796" s="2"/>
      <c r="O796" s="56">
        <f>37*25</f>
        <v>925</v>
      </c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x14ac:dyDescent="0.25">
      <c r="A797" s="4">
        <v>46244</v>
      </c>
      <c r="B797" s="8" t="s">
        <v>2974</v>
      </c>
      <c r="C797" s="8" t="s">
        <v>36</v>
      </c>
      <c r="D797" s="8" t="s">
        <v>50</v>
      </c>
      <c r="E797" s="8" t="s">
        <v>47</v>
      </c>
      <c r="F797" s="13"/>
      <c r="G797" s="59"/>
      <c r="H797" s="6">
        <f t="shared" si="56"/>
        <v>2142.8571428571427</v>
      </c>
      <c r="I797" s="6">
        <f t="shared" ref="I797:I804" si="57">IFERROR(O797/K797,)</f>
        <v>0</v>
      </c>
      <c r="J797" s="2">
        <v>1.36</v>
      </c>
      <c r="K797" s="2">
        <v>0.66</v>
      </c>
      <c r="L797" s="2">
        <v>0.7</v>
      </c>
      <c r="M797" s="2">
        <v>51.39</v>
      </c>
      <c r="N797" s="2" t="s">
        <v>548</v>
      </c>
      <c r="O797" s="56">
        <v>0</v>
      </c>
      <c r="P797" s="2" t="s">
        <v>45</v>
      </c>
      <c r="Q797" s="2" t="s">
        <v>548</v>
      </c>
      <c r="R797" s="2">
        <v>10.88</v>
      </c>
      <c r="S797" s="2">
        <v>2.37</v>
      </c>
      <c r="T797" s="2">
        <v>3.38</v>
      </c>
      <c r="U797" s="2">
        <v>8.52</v>
      </c>
      <c r="V797" s="2">
        <v>12.86</v>
      </c>
      <c r="W797" s="2">
        <v>2551.2199999999998</v>
      </c>
      <c r="X797" s="2" t="s">
        <v>2956</v>
      </c>
      <c r="Y797" s="2" t="s">
        <v>2957</v>
      </c>
      <c r="Z797" s="2">
        <v>0.3</v>
      </c>
      <c r="AA797" s="2" t="s">
        <v>45</v>
      </c>
      <c r="AB797" s="2">
        <v>331.8</v>
      </c>
    </row>
    <row r="798" spans="1:28" x14ac:dyDescent="0.25">
      <c r="A798" s="4">
        <v>46244</v>
      </c>
      <c r="B798" s="8" t="s">
        <v>2974</v>
      </c>
      <c r="C798" s="8" t="s">
        <v>36</v>
      </c>
      <c r="D798" s="8" t="s">
        <v>52</v>
      </c>
      <c r="E798" s="8" t="s">
        <v>47</v>
      </c>
      <c r="F798" s="13"/>
      <c r="G798" s="59"/>
      <c r="H798" s="6">
        <f t="shared" si="56"/>
        <v>2142.8571428571427</v>
      </c>
      <c r="I798" s="6">
        <f t="shared" si="57"/>
        <v>144.85049833887044</v>
      </c>
      <c r="J798" s="2">
        <v>10.73</v>
      </c>
      <c r="K798" s="2">
        <v>9.0299999999999994</v>
      </c>
      <c r="L798" s="2">
        <v>1.7</v>
      </c>
      <c r="M798" s="2">
        <v>15.85</v>
      </c>
      <c r="N798" s="2" t="s">
        <v>2992</v>
      </c>
      <c r="O798" s="56">
        <v>1308</v>
      </c>
      <c r="P798" s="2">
        <v>1.65</v>
      </c>
      <c r="Q798" s="2">
        <v>6.79</v>
      </c>
      <c r="R798" s="2">
        <v>192.58</v>
      </c>
      <c r="S798" s="2">
        <v>6.15</v>
      </c>
      <c r="T798" s="2">
        <v>3.62</v>
      </c>
      <c r="U798" s="2">
        <v>186.43</v>
      </c>
      <c r="V798" s="2">
        <v>20.65</v>
      </c>
      <c r="W798" s="2">
        <v>1142.1500000000001</v>
      </c>
      <c r="X798" s="2" t="s">
        <v>2993</v>
      </c>
      <c r="Y798" s="2" t="s">
        <v>2994</v>
      </c>
      <c r="Z798" s="2">
        <v>0.5</v>
      </c>
      <c r="AA798" s="2" t="s">
        <v>548</v>
      </c>
      <c r="AB798" s="2">
        <v>119.8</v>
      </c>
    </row>
    <row r="799" spans="1:28" x14ac:dyDescent="0.25">
      <c r="A799" s="4">
        <v>46244</v>
      </c>
      <c r="B799" s="8" t="s">
        <v>2974</v>
      </c>
      <c r="C799" s="8" t="s">
        <v>36</v>
      </c>
      <c r="D799" s="7" t="s">
        <v>46</v>
      </c>
      <c r="E799" s="8" t="s">
        <v>47</v>
      </c>
      <c r="F799" s="13"/>
      <c r="G799" s="59"/>
      <c r="H799" s="6">
        <f t="shared" si="56"/>
        <v>2142.8571428571427</v>
      </c>
      <c r="I799" s="6">
        <f t="shared" si="57"/>
        <v>337.05953827460507</v>
      </c>
      <c r="J799" s="2">
        <v>8.7799999999999994</v>
      </c>
      <c r="K799" s="2">
        <v>8.23</v>
      </c>
      <c r="L799" s="2">
        <v>0.55000000000000004</v>
      </c>
      <c r="M799" s="2">
        <v>6.26</v>
      </c>
      <c r="N799" s="2" t="s">
        <v>2998</v>
      </c>
      <c r="O799" s="56">
        <v>2774</v>
      </c>
      <c r="P799" s="2">
        <v>2.94</v>
      </c>
      <c r="Q799" s="2">
        <v>10.74</v>
      </c>
      <c r="R799" s="2">
        <v>258.35000000000002</v>
      </c>
      <c r="S799" s="2">
        <v>3.31</v>
      </c>
      <c r="T799" s="2">
        <v>6.02</v>
      </c>
      <c r="U799" s="2">
        <v>255.04</v>
      </c>
      <c r="V799" s="2">
        <v>30.98</v>
      </c>
      <c r="W799" s="2">
        <v>8113.11</v>
      </c>
      <c r="X799" s="2" t="s">
        <v>2999</v>
      </c>
      <c r="Y799" s="2" t="s">
        <v>3000</v>
      </c>
      <c r="Z799" s="2">
        <v>0.5</v>
      </c>
      <c r="AA799" s="2" t="s">
        <v>548</v>
      </c>
      <c r="AB799" s="2">
        <v>255.1</v>
      </c>
    </row>
    <row r="800" spans="1:28" x14ac:dyDescent="0.25">
      <c r="A800" s="4">
        <v>46244</v>
      </c>
      <c r="B800" s="8" t="s">
        <v>2974</v>
      </c>
      <c r="C800" s="8" t="s">
        <v>36</v>
      </c>
      <c r="D800" s="8" t="s">
        <v>48</v>
      </c>
      <c r="E800" s="7" t="s">
        <v>38</v>
      </c>
      <c r="F800" s="13">
        <v>6365</v>
      </c>
      <c r="G800" s="59"/>
      <c r="H800" s="6">
        <f>24000/6</f>
        <v>4000</v>
      </c>
      <c r="I800" s="6">
        <f t="shared" si="57"/>
        <v>601.03871576959398</v>
      </c>
      <c r="J800" s="2">
        <v>11.74</v>
      </c>
      <c r="K800" s="2">
        <v>10.59</v>
      </c>
      <c r="L800" s="2">
        <v>1.1499999999999999</v>
      </c>
      <c r="M800" s="2">
        <v>9.8000000000000007</v>
      </c>
      <c r="N800" s="2" t="s">
        <v>2388</v>
      </c>
      <c r="O800" s="56">
        <v>6365</v>
      </c>
      <c r="P800" s="2">
        <v>5.47</v>
      </c>
      <c r="Q800" s="2">
        <v>15.53</v>
      </c>
      <c r="R800" s="2">
        <v>409.77</v>
      </c>
      <c r="S800" s="2">
        <v>7.57</v>
      </c>
      <c r="T800" s="2">
        <v>6.58</v>
      </c>
      <c r="U800" s="2">
        <v>402.2</v>
      </c>
      <c r="V800" s="2">
        <v>37.99</v>
      </c>
      <c r="W800" s="2">
        <v>6728.83</v>
      </c>
      <c r="X800" s="2" t="s">
        <v>3003</v>
      </c>
      <c r="Y800" s="2" t="s">
        <v>3004</v>
      </c>
      <c r="Z800" s="2">
        <v>0.1</v>
      </c>
      <c r="AA800" s="2" t="s">
        <v>548</v>
      </c>
      <c r="AB800" s="2">
        <v>49.4</v>
      </c>
    </row>
    <row r="801" spans="1:28" x14ac:dyDescent="0.25">
      <c r="A801" s="4">
        <v>46244</v>
      </c>
      <c r="B801" s="8" t="s">
        <v>2974</v>
      </c>
      <c r="C801" s="8" t="s">
        <v>36</v>
      </c>
      <c r="D801" s="8" t="s">
        <v>49</v>
      </c>
      <c r="E801" s="8" t="s">
        <v>47</v>
      </c>
      <c r="F801" s="13"/>
      <c r="G801" s="59"/>
      <c r="H801" s="6">
        <f t="shared" si="56"/>
        <v>2142.8571428571427</v>
      </c>
      <c r="I801" s="6">
        <f t="shared" si="57"/>
        <v>359.55882352941171</v>
      </c>
      <c r="J801" s="2">
        <v>1.96</v>
      </c>
      <c r="K801" s="2">
        <v>1.36</v>
      </c>
      <c r="L801" s="2">
        <v>0.6</v>
      </c>
      <c r="M801" s="2">
        <v>30.64</v>
      </c>
      <c r="N801" s="2" t="s">
        <v>3008</v>
      </c>
      <c r="O801" s="56">
        <v>489</v>
      </c>
      <c r="P801" s="2">
        <v>3.15</v>
      </c>
      <c r="Q801" s="2">
        <v>8.99</v>
      </c>
      <c r="R801" s="2">
        <v>54.42</v>
      </c>
      <c r="S801" s="2">
        <v>3.79</v>
      </c>
      <c r="T801" s="2">
        <v>6.31</v>
      </c>
      <c r="U801" s="2">
        <v>50.63</v>
      </c>
      <c r="V801" s="2">
        <v>37.270000000000003</v>
      </c>
      <c r="W801" s="2">
        <v>2068.52</v>
      </c>
      <c r="X801" s="2" t="s">
        <v>3009</v>
      </c>
      <c r="Y801" s="2" t="s">
        <v>3010</v>
      </c>
      <c r="Z801" s="2" t="s">
        <v>548</v>
      </c>
      <c r="AA801" s="2" t="s">
        <v>548</v>
      </c>
      <c r="AB801" s="2">
        <v>5.6</v>
      </c>
    </row>
    <row r="802" spans="1:28" x14ac:dyDescent="0.25">
      <c r="A802" s="4">
        <v>46245</v>
      </c>
      <c r="B802" s="8" t="s">
        <v>2974</v>
      </c>
      <c r="C802" s="8" t="s">
        <v>36</v>
      </c>
      <c r="D802" s="8" t="s">
        <v>39</v>
      </c>
      <c r="E802" s="8" t="s">
        <v>47</v>
      </c>
      <c r="F802" s="13"/>
      <c r="G802" s="59"/>
      <c r="H802" s="6">
        <f>15000/5</f>
        <v>3000</v>
      </c>
      <c r="I802" s="6">
        <f t="shared" si="57"/>
        <v>247.074122236671</v>
      </c>
      <c r="J802" s="2">
        <v>8.24</v>
      </c>
      <c r="K802" s="2">
        <v>7.69</v>
      </c>
      <c r="L802" s="2">
        <v>0.55000000000000004</v>
      </c>
      <c r="M802" s="2">
        <v>6.68</v>
      </c>
      <c r="N802" s="2" t="s">
        <v>1975</v>
      </c>
      <c r="O802" s="56">
        <v>1900</v>
      </c>
      <c r="P802" s="2">
        <v>1.59</v>
      </c>
      <c r="Q802" s="2">
        <v>11.53</v>
      </c>
      <c r="R802" s="2">
        <v>151.41999999999999</v>
      </c>
      <c r="S802" s="2">
        <v>2.37</v>
      </c>
      <c r="T802" s="2">
        <v>4.3</v>
      </c>
      <c r="U802" s="2">
        <v>149.05000000000001</v>
      </c>
      <c r="V802" s="2">
        <v>19.39</v>
      </c>
      <c r="W802" s="2">
        <v>9313.74</v>
      </c>
      <c r="X802" s="2" t="s">
        <v>2975</v>
      </c>
      <c r="Y802" s="2" t="s">
        <v>2976</v>
      </c>
      <c r="Z802" s="2" t="s">
        <v>548</v>
      </c>
      <c r="AA802" s="2" t="s">
        <v>548</v>
      </c>
      <c r="AB802" s="2">
        <v>291.8</v>
      </c>
    </row>
    <row r="803" spans="1:28" x14ac:dyDescent="0.25">
      <c r="A803" s="4">
        <v>46245</v>
      </c>
      <c r="B803" s="8" t="s">
        <v>2974</v>
      </c>
      <c r="C803" s="8" t="s">
        <v>36</v>
      </c>
      <c r="D803" s="8" t="s">
        <v>43</v>
      </c>
      <c r="E803" s="8" t="s">
        <v>3144</v>
      </c>
      <c r="F803" s="13"/>
      <c r="G803" s="59"/>
      <c r="H803" s="6"/>
      <c r="I803" s="6">
        <f t="shared" si="57"/>
        <v>0</v>
      </c>
      <c r="J803" s="2" t="s">
        <v>45</v>
      </c>
      <c r="K803" s="2" t="s">
        <v>45</v>
      </c>
      <c r="L803" s="2" t="s">
        <v>45</v>
      </c>
      <c r="M803" s="2" t="s">
        <v>45</v>
      </c>
      <c r="N803" s="2" t="s">
        <v>45</v>
      </c>
      <c r="O803" s="56">
        <v>450</v>
      </c>
      <c r="P803" s="2" t="s">
        <v>45</v>
      </c>
      <c r="Q803" s="2" t="s">
        <v>45</v>
      </c>
      <c r="R803" s="2" t="s">
        <v>45</v>
      </c>
      <c r="S803" s="2" t="s">
        <v>45</v>
      </c>
      <c r="T803" s="2" t="s">
        <v>45</v>
      </c>
      <c r="U803" s="2" t="s">
        <v>45</v>
      </c>
      <c r="V803" s="2" t="s">
        <v>45</v>
      </c>
      <c r="W803" s="2" t="s">
        <v>45</v>
      </c>
      <c r="X803" s="2" t="s">
        <v>45</v>
      </c>
      <c r="Y803" s="2" t="s">
        <v>45</v>
      </c>
      <c r="Z803" s="2" t="s">
        <v>45</v>
      </c>
      <c r="AA803" s="2" t="s">
        <v>45</v>
      </c>
      <c r="AB803" s="2" t="s">
        <v>45</v>
      </c>
    </row>
    <row r="804" spans="1:28" x14ac:dyDescent="0.25">
      <c r="A804" s="4">
        <v>46245</v>
      </c>
      <c r="B804" s="8" t="s">
        <v>2974</v>
      </c>
      <c r="C804" s="8" t="s">
        <v>36</v>
      </c>
      <c r="D804" s="8" t="s">
        <v>67</v>
      </c>
      <c r="E804" s="8" t="s">
        <v>61</v>
      </c>
      <c r="F804" s="13"/>
      <c r="G804" s="59"/>
      <c r="H804" s="6"/>
      <c r="I804" s="6">
        <f t="shared" si="57"/>
        <v>307.66045548654245</v>
      </c>
      <c r="J804" s="2">
        <v>13.16</v>
      </c>
      <c r="K804" s="2">
        <v>9.66</v>
      </c>
      <c r="L804" s="2">
        <v>3.5</v>
      </c>
      <c r="M804" s="2">
        <v>26.59</v>
      </c>
      <c r="N804" s="2" t="s">
        <v>2980</v>
      </c>
      <c r="O804" s="56">
        <f>3872-O805</f>
        <v>2972</v>
      </c>
      <c r="P804" s="2">
        <v>2.42</v>
      </c>
      <c r="Q804" s="2">
        <v>18.18</v>
      </c>
      <c r="R804" s="2">
        <v>212.93</v>
      </c>
      <c r="S804" s="2">
        <v>11.36</v>
      </c>
      <c r="T804" s="2">
        <v>3.24</v>
      </c>
      <c r="U804" s="2">
        <v>201.57</v>
      </c>
      <c r="V804" s="2">
        <v>20.86</v>
      </c>
      <c r="W804" s="2">
        <v>707.22</v>
      </c>
      <c r="X804" s="2" t="s">
        <v>2981</v>
      </c>
      <c r="Y804" s="2" t="s">
        <v>2982</v>
      </c>
      <c r="Z804" s="2">
        <v>0.6</v>
      </c>
      <c r="AA804" s="2" t="s">
        <v>548</v>
      </c>
      <c r="AB804" s="2">
        <v>68.2</v>
      </c>
    </row>
    <row r="805" spans="1:28" x14ac:dyDescent="0.25">
      <c r="A805" s="4">
        <v>46245</v>
      </c>
      <c r="B805" s="8" t="s">
        <v>2974</v>
      </c>
      <c r="C805" s="8" t="s">
        <v>36</v>
      </c>
      <c r="D805" s="8" t="s">
        <v>67</v>
      </c>
      <c r="E805" s="8" t="s">
        <v>47</v>
      </c>
      <c r="F805" s="13"/>
      <c r="G805" s="59"/>
      <c r="H805" s="6">
        <f>15000/5</f>
        <v>3000</v>
      </c>
      <c r="I805" s="6"/>
      <c r="J805" s="2"/>
      <c r="K805" s="2"/>
      <c r="L805" s="2"/>
      <c r="M805" s="2"/>
      <c r="N805" s="2"/>
      <c r="O805" s="56">
        <f>36*25</f>
        <v>900</v>
      </c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x14ac:dyDescent="0.25">
      <c r="A806" s="4">
        <v>46245</v>
      </c>
      <c r="B806" s="8" t="s">
        <v>2974</v>
      </c>
      <c r="C806" s="8" t="s">
        <v>36</v>
      </c>
      <c r="D806" s="8" t="s">
        <v>50</v>
      </c>
      <c r="E806" s="8" t="s">
        <v>61</v>
      </c>
      <c r="F806" s="13"/>
      <c r="G806" s="59"/>
      <c r="H806" s="6"/>
      <c r="I806" s="6">
        <f>IFERROR(O806/K806,)</f>
        <v>372.95285359801488</v>
      </c>
      <c r="J806" s="2">
        <v>5.58</v>
      </c>
      <c r="K806" s="2">
        <v>4.03</v>
      </c>
      <c r="L806" s="2">
        <v>1.55</v>
      </c>
      <c r="M806" s="2">
        <v>27.76</v>
      </c>
      <c r="N806" s="2" t="s">
        <v>2986</v>
      </c>
      <c r="O806" s="56">
        <v>1503</v>
      </c>
      <c r="P806" s="2">
        <v>2.14</v>
      </c>
      <c r="Q806" s="2">
        <v>16.12</v>
      </c>
      <c r="R806" s="2">
        <v>93.22</v>
      </c>
      <c r="S806" s="2">
        <v>6.15</v>
      </c>
      <c r="T806" s="2">
        <v>3.97</v>
      </c>
      <c r="U806" s="2">
        <v>87.06</v>
      </c>
      <c r="V806" s="2">
        <v>21.59</v>
      </c>
      <c r="W806" s="2">
        <v>2556.8000000000002</v>
      </c>
      <c r="X806" s="2" t="s">
        <v>2987</v>
      </c>
      <c r="Y806" s="2" t="s">
        <v>2988</v>
      </c>
      <c r="Z806" s="2">
        <v>1.5</v>
      </c>
      <c r="AA806" s="2" t="s">
        <v>548</v>
      </c>
      <c r="AB806" s="2">
        <v>333.3</v>
      </c>
    </row>
    <row r="807" spans="1:28" x14ac:dyDescent="0.25">
      <c r="A807" s="4">
        <v>46245</v>
      </c>
      <c r="B807" s="8" t="s">
        <v>2974</v>
      </c>
      <c r="C807" s="8" t="s">
        <v>36</v>
      </c>
      <c r="D807" s="8" t="s">
        <v>52</v>
      </c>
      <c r="E807" s="8" t="s">
        <v>47</v>
      </c>
      <c r="F807" s="13"/>
      <c r="G807" s="59"/>
      <c r="H807" s="6">
        <f>15000/5</f>
        <v>3000</v>
      </c>
      <c r="I807" s="6">
        <f>IFERROR(O807/K807,)</f>
        <v>108.52618757612666</v>
      </c>
      <c r="J807" s="2">
        <v>9.4600000000000009</v>
      </c>
      <c r="K807" s="2">
        <v>8.2100000000000009</v>
      </c>
      <c r="L807" s="2">
        <v>1.25</v>
      </c>
      <c r="M807" s="2">
        <v>13.22</v>
      </c>
      <c r="N807" s="2" t="s">
        <v>2989</v>
      </c>
      <c r="O807" s="56">
        <f>1491-O808</f>
        <v>891</v>
      </c>
      <c r="P807" s="2">
        <v>1.78</v>
      </c>
      <c r="Q807" s="2">
        <v>10.4</v>
      </c>
      <c r="R807" s="2">
        <v>143.37</v>
      </c>
      <c r="S807" s="2">
        <v>5.2</v>
      </c>
      <c r="T807" s="2">
        <v>4.16</v>
      </c>
      <c r="U807" s="2">
        <v>138.16999999999999</v>
      </c>
      <c r="V807" s="2">
        <v>16.829999999999998</v>
      </c>
      <c r="W807" s="2">
        <v>1151.94</v>
      </c>
      <c r="X807" s="2" t="s">
        <v>2990</v>
      </c>
      <c r="Y807" s="2" t="s">
        <v>2991</v>
      </c>
      <c r="Z807" s="2">
        <v>0.6</v>
      </c>
      <c r="AA807" s="2" t="s">
        <v>548</v>
      </c>
      <c r="AB807" s="2">
        <v>120.4</v>
      </c>
    </row>
    <row r="808" spans="1:28" x14ac:dyDescent="0.25">
      <c r="A808" s="4">
        <v>46245</v>
      </c>
      <c r="B808" s="8" t="s">
        <v>2974</v>
      </c>
      <c r="C808" s="8" t="s">
        <v>36</v>
      </c>
      <c r="D808" s="8" t="s">
        <v>52</v>
      </c>
      <c r="E808" s="8" t="s">
        <v>61</v>
      </c>
      <c r="F808" s="13"/>
      <c r="G808" s="59"/>
      <c r="H808" s="6"/>
      <c r="I808" s="6"/>
      <c r="J808" s="2"/>
      <c r="K808" s="2"/>
      <c r="L808" s="2"/>
      <c r="M808" s="2"/>
      <c r="N808" s="2"/>
      <c r="O808" s="56">
        <f>24*25</f>
        <v>600</v>
      </c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x14ac:dyDescent="0.25">
      <c r="A809" s="4">
        <v>46245</v>
      </c>
      <c r="B809" s="8" t="s">
        <v>2974</v>
      </c>
      <c r="C809" s="8" t="s">
        <v>36</v>
      </c>
      <c r="D809" s="7" t="s">
        <v>46</v>
      </c>
      <c r="E809" s="8" t="s">
        <v>47</v>
      </c>
      <c r="F809" s="13"/>
      <c r="G809" s="59"/>
      <c r="H809" s="6">
        <f>15000/5</f>
        <v>3000</v>
      </c>
      <c r="I809" s="6">
        <f t="shared" ref="I809:I814" si="58">IFERROR(O809/K809,)</f>
        <v>285.69206842923796</v>
      </c>
      <c r="J809" s="2">
        <v>7.03</v>
      </c>
      <c r="K809" s="2">
        <v>6.43</v>
      </c>
      <c r="L809" s="2">
        <v>0.6</v>
      </c>
      <c r="M809" s="2">
        <v>8.5299999999999994</v>
      </c>
      <c r="N809" s="2" t="s">
        <v>2995</v>
      </c>
      <c r="O809" s="56">
        <v>1837</v>
      </c>
      <c r="P809" s="2">
        <v>2.77</v>
      </c>
      <c r="Q809" s="2">
        <v>8.9</v>
      </c>
      <c r="R809" s="2">
        <v>206.3</v>
      </c>
      <c r="S809" s="2">
        <v>2.84</v>
      </c>
      <c r="T809" s="2">
        <v>4.7300000000000004</v>
      </c>
      <c r="U809" s="2">
        <v>203.47</v>
      </c>
      <c r="V809" s="2">
        <v>31.64</v>
      </c>
      <c r="W809" s="2">
        <v>8120.14</v>
      </c>
      <c r="X809" s="2" t="s">
        <v>2996</v>
      </c>
      <c r="Y809" s="2" t="s">
        <v>2997</v>
      </c>
      <c r="Z809" s="2">
        <v>0.4</v>
      </c>
      <c r="AA809" s="2" t="s">
        <v>548</v>
      </c>
      <c r="AB809" s="2">
        <v>255.5</v>
      </c>
    </row>
    <row r="810" spans="1:28" x14ac:dyDescent="0.25">
      <c r="A810" s="4">
        <v>46245</v>
      </c>
      <c r="B810" s="8" t="s">
        <v>2974</v>
      </c>
      <c r="C810" s="8" t="s">
        <v>36</v>
      </c>
      <c r="D810" s="8" t="s">
        <v>48</v>
      </c>
      <c r="E810" s="7" t="s">
        <v>38</v>
      </c>
      <c r="F810" s="13">
        <v>4460</v>
      </c>
      <c r="G810" s="59"/>
      <c r="H810" s="6">
        <f>24000/6</f>
        <v>4000</v>
      </c>
      <c r="I810" s="6">
        <f t="shared" si="58"/>
        <v>803.60360360360357</v>
      </c>
      <c r="J810" s="2">
        <v>6.1</v>
      </c>
      <c r="K810" s="2">
        <v>5.55</v>
      </c>
      <c r="L810" s="2">
        <v>0.55000000000000004</v>
      </c>
      <c r="M810" s="2">
        <v>9.01</v>
      </c>
      <c r="N810" s="2" t="s">
        <v>2955</v>
      </c>
      <c r="O810" s="56">
        <v>4460</v>
      </c>
      <c r="P810" s="2">
        <v>5.57</v>
      </c>
      <c r="Q810" s="2">
        <v>20.399999999999999</v>
      </c>
      <c r="R810" s="2">
        <v>218.61</v>
      </c>
      <c r="S810" s="2">
        <v>3.31</v>
      </c>
      <c r="T810" s="2">
        <v>6.02</v>
      </c>
      <c r="U810" s="2">
        <v>215.3</v>
      </c>
      <c r="V810" s="2">
        <v>38.76</v>
      </c>
      <c r="W810" s="2">
        <v>6734.94</v>
      </c>
      <c r="X810" s="2" t="s">
        <v>3001</v>
      </c>
      <c r="Y810" s="2" t="s">
        <v>3002</v>
      </c>
      <c r="Z810" s="2" t="s">
        <v>548</v>
      </c>
      <c r="AA810" s="2" t="s">
        <v>548</v>
      </c>
      <c r="AB810" s="2">
        <v>49.4</v>
      </c>
    </row>
    <row r="811" spans="1:28" x14ac:dyDescent="0.25">
      <c r="A811" s="4">
        <v>46245</v>
      </c>
      <c r="B811" s="8" t="s">
        <v>2974</v>
      </c>
      <c r="C811" s="8" t="s">
        <v>36</v>
      </c>
      <c r="D811" s="8" t="s">
        <v>49</v>
      </c>
      <c r="E811" s="8" t="s">
        <v>47</v>
      </c>
      <c r="F811" s="13"/>
      <c r="G811" s="59"/>
      <c r="H811" s="6">
        <f>15000/5</f>
        <v>3000</v>
      </c>
      <c r="I811" s="6">
        <f t="shared" si="58"/>
        <v>74.683544303797461</v>
      </c>
      <c r="J811" s="2">
        <v>1.0900000000000001</v>
      </c>
      <c r="K811" s="2">
        <v>0.79</v>
      </c>
      <c r="L811" s="2">
        <v>0.3</v>
      </c>
      <c r="M811" s="2">
        <v>27.54</v>
      </c>
      <c r="N811" s="2" t="s">
        <v>3005</v>
      </c>
      <c r="O811" s="56">
        <v>59</v>
      </c>
      <c r="P811" s="2">
        <v>2.36</v>
      </c>
      <c r="Q811" s="2">
        <v>2.97</v>
      </c>
      <c r="R811" s="2">
        <v>19.87</v>
      </c>
      <c r="S811" s="2">
        <v>0.95</v>
      </c>
      <c r="T811" s="2">
        <v>3.15</v>
      </c>
      <c r="U811" s="2">
        <v>18.93</v>
      </c>
      <c r="V811" s="2">
        <v>23.98</v>
      </c>
      <c r="W811" s="2">
        <v>2069.61</v>
      </c>
      <c r="X811" s="2" t="s">
        <v>3006</v>
      </c>
      <c r="Y811" s="2" t="s">
        <v>3007</v>
      </c>
      <c r="Z811" s="2" t="s">
        <v>548</v>
      </c>
      <c r="AA811" s="2" t="s">
        <v>548</v>
      </c>
      <c r="AB811" s="2">
        <v>5.6</v>
      </c>
    </row>
    <row r="812" spans="1:28" x14ac:dyDescent="0.25">
      <c r="A812" s="4">
        <v>46246</v>
      </c>
      <c r="B812" s="8" t="s">
        <v>2974</v>
      </c>
      <c r="C812" s="8" t="s">
        <v>36</v>
      </c>
      <c r="D812" s="8" t="s">
        <v>39</v>
      </c>
      <c r="E812" s="8" t="s">
        <v>47</v>
      </c>
      <c r="F812" s="13"/>
      <c r="G812" s="59"/>
      <c r="H812" s="6">
        <f>15000/6</f>
        <v>2500</v>
      </c>
      <c r="I812" s="6">
        <f t="shared" si="58"/>
        <v>234.87773487773489</v>
      </c>
      <c r="J812" s="2">
        <v>8.57</v>
      </c>
      <c r="K812" s="2">
        <v>7.77</v>
      </c>
      <c r="L812" s="2">
        <v>0.8</v>
      </c>
      <c r="M812" s="2">
        <v>9.33</v>
      </c>
      <c r="N812" s="2" t="s">
        <v>3064</v>
      </c>
      <c r="O812" s="56">
        <v>1825</v>
      </c>
      <c r="P812" s="2">
        <v>1.46</v>
      </c>
      <c r="Q812" s="2">
        <v>8.6999999999999993</v>
      </c>
      <c r="R812" s="2">
        <v>148.58000000000001</v>
      </c>
      <c r="S812" s="2">
        <v>3.31</v>
      </c>
      <c r="T812" s="2">
        <v>4.1399999999999997</v>
      </c>
      <c r="U812" s="2">
        <v>145.27000000000001</v>
      </c>
      <c r="V812" s="2">
        <v>18.690000000000001</v>
      </c>
      <c r="W812" s="2">
        <v>9322.31</v>
      </c>
      <c r="X812" s="2" t="s">
        <v>3065</v>
      </c>
      <c r="Y812" s="2" t="s">
        <v>3066</v>
      </c>
      <c r="Z812" s="2">
        <v>0.4</v>
      </c>
      <c r="AA812" s="2" t="s">
        <v>548</v>
      </c>
      <c r="AB812" s="2">
        <v>292.2</v>
      </c>
    </row>
    <row r="813" spans="1:28" x14ac:dyDescent="0.25">
      <c r="A813" s="4">
        <v>46246</v>
      </c>
      <c r="B813" s="8" t="s">
        <v>2974</v>
      </c>
      <c r="C813" s="8" t="s">
        <v>36</v>
      </c>
      <c r="D813" s="8" t="s">
        <v>43</v>
      </c>
      <c r="E813" s="8" t="s">
        <v>3144</v>
      </c>
      <c r="F813" s="13"/>
      <c r="G813" s="59"/>
      <c r="H813" s="6"/>
      <c r="I813" s="6">
        <f t="shared" si="58"/>
        <v>0</v>
      </c>
      <c r="J813" s="2">
        <v>7.96</v>
      </c>
      <c r="K813" s="2">
        <v>6.76</v>
      </c>
      <c r="L813" s="2">
        <v>1.2</v>
      </c>
      <c r="M813" s="2">
        <v>15.07</v>
      </c>
      <c r="N813" s="2" t="s">
        <v>45</v>
      </c>
      <c r="O813" s="56" t="s">
        <v>42</v>
      </c>
      <c r="P813" s="2" t="s">
        <v>45</v>
      </c>
      <c r="Q813" s="2" t="s">
        <v>45</v>
      </c>
      <c r="R813" s="2">
        <v>151.41999999999999</v>
      </c>
      <c r="S813" s="2">
        <v>5.68</v>
      </c>
      <c r="T813" s="2">
        <v>4.7300000000000004</v>
      </c>
      <c r="U813" s="2">
        <v>145.74</v>
      </c>
      <c r="V813" s="2">
        <v>21.55</v>
      </c>
      <c r="W813" s="2">
        <v>8916.3799999999992</v>
      </c>
      <c r="X813" s="2" t="s">
        <v>45</v>
      </c>
      <c r="Y813" s="2" t="s">
        <v>45</v>
      </c>
      <c r="Z813" s="2">
        <v>0.9</v>
      </c>
      <c r="AA813" s="2" t="s">
        <v>45</v>
      </c>
      <c r="AB813" s="2">
        <v>265.2</v>
      </c>
    </row>
    <row r="814" spans="1:28" x14ac:dyDescent="0.25">
      <c r="A814" s="4">
        <v>46246</v>
      </c>
      <c r="B814" s="8" t="s">
        <v>2974</v>
      </c>
      <c r="C814" s="8" t="s">
        <v>36</v>
      </c>
      <c r="D814" s="8" t="s">
        <v>67</v>
      </c>
      <c r="E814" s="8" t="s">
        <v>47</v>
      </c>
      <c r="F814" s="13"/>
      <c r="G814" s="59"/>
      <c r="H814" s="6">
        <f>15000/6</f>
        <v>2500</v>
      </c>
      <c r="I814" s="6">
        <f t="shared" si="58"/>
        <v>290.70487993803255</v>
      </c>
      <c r="J814" s="2">
        <v>15.56</v>
      </c>
      <c r="K814" s="2">
        <v>12.91</v>
      </c>
      <c r="L814" s="2">
        <v>2.65</v>
      </c>
      <c r="M814" s="2">
        <v>17.03</v>
      </c>
      <c r="N814" s="2" t="s">
        <v>3071</v>
      </c>
      <c r="O814" s="56">
        <f>4928-1175</f>
        <v>3753</v>
      </c>
      <c r="P814" s="2">
        <v>2.31</v>
      </c>
      <c r="Q814" s="2">
        <v>17.77</v>
      </c>
      <c r="R814" s="2">
        <v>277.27999999999997</v>
      </c>
      <c r="S814" s="2">
        <v>7.57</v>
      </c>
      <c r="T814" s="2">
        <v>2.86</v>
      </c>
      <c r="U814" s="2">
        <v>269.70999999999998</v>
      </c>
      <c r="V814" s="2">
        <v>20.88</v>
      </c>
      <c r="W814" s="2">
        <v>722.78</v>
      </c>
      <c r="X814" s="2" t="s">
        <v>3072</v>
      </c>
      <c r="Y814" s="2" t="s">
        <v>3073</v>
      </c>
      <c r="Z814" s="2">
        <v>1.2</v>
      </c>
      <c r="AA814" s="2" t="s">
        <v>548</v>
      </c>
      <c r="AB814" s="2">
        <v>69.400000000000006</v>
      </c>
    </row>
    <row r="815" spans="1:28" x14ac:dyDescent="0.25">
      <c r="A815" s="4">
        <v>46246</v>
      </c>
      <c r="B815" s="8" t="s">
        <v>2974</v>
      </c>
      <c r="C815" s="8" t="s">
        <v>36</v>
      </c>
      <c r="D815" s="8" t="s">
        <v>67</v>
      </c>
      <c r="E815" s="8" t="s">
        <v>61</v>
      </c>
      <c r="F815" s="13"/>
      <c r="G815" s="59"/>
      <c r="H815" s="6"/>
      <c r="I815" s="6"/>
      <c r="J815" s="2"/>
      <c r="K815" s="2"/>
      <c r="L815" s="2"/>
      <c r="M815" s="2"/>
      <c r="N815" s="2"/>
      <c r="O815" s="56">
        <f>47*25</f>
        <v>1175</v>
      </c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x14ac:dyDescent="0.25">
      <c r="A816" s="4">
        <v>46246</v>
      </c>
      <c r="B816" s="8" t="s">
        <v>2974</v>
      </c>
      <c r="C816" s="8" t="s">
        <v>36</v>
      </c>
      <c r="D816" s="8" t="s">
        <v>50</v>
      </c>
      <c r="E816" s="8" t="s">
        <v>47</v>
      </c>
      <c r="F816" s="13"/>
      <c r="G816" s="59"/>
      <c r="H816" s="6">
        <f>15000/6</f>
        <v>2500</v>
      </c>
      <c r="I816" s="6">
        <f t="shared" ref="I816:I823" si="59">IFERROR(O816/K816,)</f>
        <v>143.33895446880271</v>
      </c>
      <c r="J816" s="2">
        <v>7.38</v>
      </c>
      <c r="K816" s="2">
        <v>5.93</v>
      </c>
      <c r="L816" s="2">
        <v>1.45</v>
      </c>
      <c r="M816" s="2">
        <v>19.66</v>
      </c>
      <c r="N816" s="2" t="s">
        <v>3077</v>
      </c>
      <c r="O816" s="56">
        <v>850</v>
      </c>
      <c r="P816" s="2">
        <v>1.65</v>
      </c>
      <c r="Q816" s="2">
        <v>6.75</v>
      </c>
      <c r="R816" s="2">
        <v>125.86</v>
      </c>
      <c r="S816" s="2">
        <v>4.7300000000000004</v>
      </c>
      <c r="T816" s="2">
        <v>3.26</v>
      </c>
      <c r="U816" s="2">
        <v>121.13</v>
      </c>
      <c r="V816" s="2">
        <v>20.440000000000001</v>
      </c>
      <c r="W816" s="2">
        <v>2564.1799999999998</v>
      </c>
      <c r="X816" s="2" t="s">
        <v>3078</v>
      </c>
      <c r="Y816" s="2" t="s">
        <v>3079</v>
      </c>
      <c r="Z816" s="2">
        <v>2.7</v>
      </c>
      <c r="AA816" s="2">
        <v>0.01</v>
      </c>
      <c r="AB816" s="2" t="s">
        <v>3080</v>
      </c>
    </row>
    <row r="817" spans="1:28" x14ac:dyDescent="0.25">
      <c r="A817" s="4">
        <v>46246</v>
      </c>
      <c r="B817" s="8" t="s">
        <v>2974</v>
      </c>
      <c r="C817" s="8" t="s">
        <v>36</v>
      </c>
      <c r="D817" s="8" t="s">
        <v>52</v>
      </c>
      <c r="E817" s="8" t="s">
        <v>47</v>
      </c>
      <c r="F817" s="13"/>
      <c r="G817" s="59"/>
      <c r="H817" s="6">
        <f t="shared" ref="H817:H820" si="60">15000/6</f>
        <v>2500</v>
      </c>
      <c r="I817" s="6">
        <f t="shared" si="59"/>
        <v>185.42024013722127</v>
      </c>
      <c r="J817" s="2">
        <v>7.23</v>
      </c>
      <c r="K817" s="2">
        <v>5.83</v>
      </c>
      <c r="L817" s="2">
        <v>1.4</v>
      </c>
      <c r="M817" s="2">
        <v>19.350000000000001</v>
      </c>
      <c r="N817" s="2" t="s">
        <v>3084</v>
      </c>
      <c r="O817" s="56">
        <v>1081</v>
      </c>
      <c r="P817" s="2">
        <v>1.59</v>
      </c>
      <c r="Q817" s="2">
        <v>8.7899999999999991</v>
      </c>
      <c r="R817" s="2">
        <v>123.03</v>
      </c>
      <c r="S817" s="2">
        <v>5.2</v>
      </c>
      <c r="T817" s="2">
        <v>3.72</v>
      </c>
      <c r="U817" s="2">
        <v>117.82</v>
      </c>
      <c r="V817" s="2">
        <v>20.190000000000001</v>
      </c>
      <c r="W817" s="2">
        <v>1159.18</v>
      </c>
      <c r="X817" s="2" t="s">
        <v>3085</v>
      </c>
      <c r="Y817" s="2" t="s">
        <v>3086</v>
      </c>
      <c r="Z817" s="2">
        <v>0.7</v>
      </c>
      <c r="AA817" s="2" t="s">
        <v>548</v>
      </c>
      <c r="AB817" s="2">
        <v>121.1</v>
      </c>
    </row>
    <row r="818" spans="1:28" x14ac:dyDescent="0.25">
      <c r="A818" s="4">
        <v>46246</v>
      </c>
      <c r="B818" s="8" t="s">
        <v>2974</v>
      </c>
      <c r="C818" s="8" t="s">
        <v>36</v>
      </c>
      <c r="D818" s="7" t="s">
        <v>46</v>
      </c>
      <c r="E818" s="8" t="s">
        <v>47</v>
      </c>
      <c r="F818" s="13"/>
      <c r="G818" s="59"/>
      <c r="H818" s="6">
        <f t="shared" si="60"/>
        <v>2500</v>
      </c>
      <c r="I818" s="6">
        <f t="shared" si="59"/>
        <v>259.21717171717171</v>
      </c>
      <c r="J818" s="2">
        <v>8.52</v>
      </c>
      <c r="K818" s="2">
        <v>7.92</v>
      </c>
      <c r="L818" s="2">
        <v>0.6</v>
      </c>
      <c r="M818" s="2">
        <v>7.04</v>
      </c>
      <c r="N818" s="2" t="s">
        <v>3090</v>
      </c>
      <c r="O818" s="56">
        <v>2053</v>
      </c>
      <c r="P818" s="2">
        <v>2.77</v>
      </c>
      <c r="Q818" s="2">
        <v>8.3000000000000007</v>
      </c>
      <c r="R818" s="2">
        <v>247.47</v>
      </c>
      <c r="S818" s="2">
        <v>5.2</v>
      </c>
      <c r="T818" s="2">
        <v>8.67</v>
      </c>
      <c r="U818" s="2">
        <v>242.27</v>
      </c>
      <c r="V818" s="2">
        <v>30.58</v>
      </c>
      <c r="W818" s="2">
        <v>8128.67</v>
      </c>
      <c r="X818" s="2" t="s">
        <v>3091</v>
      </c>
      <c r="Y818" s="2" t="s">
        <v>3092</v>
      </c>
      <c r="Z818" s="2">
        <v>0.4</v>
      </c>
      <c r="AA818" s="2" t="s">
        <v>548</v>
      </c>
      <c r="AB818" s="2">
        <v>255.9</v>
      </c>
    </row>
    <row r="819" spans="1:28" x14ac:dyDescent="0.25">
      <c r="A819" s="4">
        <v>46246</v>
      </c>
      <c r="B819" s="8" t="s">
        <v>2974</v>
      </c>
      <c r="C819" s="8" t="s">
        <v>36</v>
      </c>
      <c r="D819" s="8" t="s">
        <v>48</v>
      </c>
      <c r="E819" s="7" t="s">
        <v>38</v>
      </c>
      <c r="F819" s="13">
        <v>3706</v>
      </c>
      <c r="G819" s="59"/>
      <c r="H819" s="6">
        <f>24000/6</f>
        <v>4000</v>
      </c>
      <c r="I819" s="6">
        <f t="shared" si="59"/>
        <v>459.02636916835701</v>
      </c>
      <c r="J819" s="2">
        <v>11.01</v>
      </c>
      <c r="K819" s="2">
        <v>9.86</v>
      </c>
      <c r="L819" s="2">
        <v>1.1499999999999999</v>
      </c>
      <c r="M819" s="2">
        <v>10.45</v>
      </c>
      <c r="N819" s="2" t="s">
        <v>1699</v>
      </c>
      <c r="O819" s="56">
        <v>4526</v>
      </c>
      <c r="P819" s="2">
        <v>4.41</v>
      </c>
      <c r="Q819" s="2">
        <v>11.94</v>
      </c>
      <c r="R819" s="2">
        <v>379.01</v>
      </c>
      <c r="S819" s="2">
        <v>7.1</v>
      </c>
      <c r="T819" s="2">
        <v>6.17</v>
      </c>
      <c r="U819" s="2">
        <v>371.92</v>
      </c>
      <c r="V819" s="2">
        <v>37.72</v>
      </c>
      <c r="W819" s="2">
        <v>6745.94</v>
      </c>
      <c r="X819" s="2" t="s">
        <v>3096</v>
      </c>
      <c r="Y819" s="2" t="s">
        <v>3097</v>
      </c>
      <c r="Z819" s="2">
        <v>0.1</v>
      </c>
      <c r="AA819" s="2" t="s">
        <v>548</v>
      </c>
      <c r="AB819" s="2">
        <v>49.5</v>
      </c>
    </row>
    <row r="820" spans="1:28" x14ac:dyDescent="0.25">
      <c r="A820" s="4">
        <v>46246</v>
      </c>
      <c r="B820" s="8" t="s">
        <v>2974</v>
      </c>
      <c r="C820" s="8" t="s">
        <v>36</v>
      </c>
      <c r="D820" s="8" t="s">
        <v>49</v>
      </c>
      <c r="E820" s="8" t="s">
        <v>47</v>
      </c>
      <c r="F820" s="13"/>
      <c r="G820" s="59"/>
      <c r="H820" s="6">
        <f t="shared" si="60"/>
        <v>2500</v>
      </c>
      <c r="I820" s="6">
        <f t="shared" si="59"/>
        <v>415.22435897435895</v>
      </c>
      <c r="J820" s="2">
        <v>7.74</v>
      </c>
      <c r="K820" s="2">
        <v>6.24</v>
      </c>
      <c r="L820" s="2">
        <v>1.5</v>
      </c>
      <c r="M820" s="2">
        <v>19.39</v>
      </c>
      <c r="N820" s="2" t="s">
        <v>1935</v>
      </c>
      <c r="O820" s="56">
        <v>2591</v>
      </c>
      <c r="P820" s="2">
        <v>2.39</v>
      </c>
      <c r="Q820" s="2">
        <v>9.73</v>
      </c>
      <c r="R820" s="2">
        <v>266.39999999999998</v>
      </c>
      <c r="S820" s="2">
        <v>7.57</v>
      </c>
      <c r="T820" s="2">
        <v>5.05</v>
      </c>
      <c r="U820" s="2">
        <v>258.83</v>
      </c>
      <c r="V820" s="2">
        <v>41.51</v>
      </c>
      <c r="W820" s="2">
        <v>2077.35</v>
      </c>
      <c r="X820" s="2" t="s">
        <v>3101</v>
      </c>
      <c r="Y820" s="2" t="s">
        <v>3102</v>
      </c>
      <c r="Z820" s="2" t="s">
        <v>548</v>
      </c>
      <c r="AA820" s="2" t="s">
        <v>548</v>
      </c>
      <c r="AB820" s="2">
        <v>5.6</v>
      </c>
    </row>
    <row r="821" spans="1:28" x14ac:dyDescent="0.25">
      <c r="A821" s="4">
        <v>46247</v>
      </c>
      <c r="B821" s="8" t="s">
        <v>2974</v>
      </c>
      <c r="C821" s="8" t="s">
        <v>36</v>
      </c>
      <c r="D821" s="8" t="s">
        <v>39</v>
      </c>
      <c r="E821" s="8" t="s">
        <v>47</v>
      </c>
      <c r="F821" s="13"/>
      <c r="G821" s="59"/>
      <c r="H821" s="6">
        <f>15000/6</f>
        <v>2500</v>
      </c>
      <c r="I821" s="6">
        <f t="shared" si="59"/>
        <v>278.53260869565219</v>
      </c>
      <c r="J821" s="2">
        <v>8.36</v>
      </c>
      <c r="K821" s="2">
        <v>7.36</v>
      </c>
      <c r="L821" s="2" t="s">
        <v>1696</v>
      </c>
      <c r="M821" s="2">
        <v>11.96</v>
      </c>
      <c r="N821" s="2" t="s">
        <v>2998</v>
      </c>
      <c r="O821" s="56">
        <v>2050</v>
      </c>
      <c r="P821" s="2">
        <v>1.36</v>
      </c>
      <c r="Q821" s="2">
        <v>9.25</v>
      </c>
      <c r="R821" s="2">
        <v>138.63999999999999</v>
      </c>
      <c r="S821" s="2">
        <v>4.26</v>
      </c>
      <c r="T821" s="2">
        <v>4.26</v>
      </c>
      <c r="U821" s="2">
        <v>134.38</v>
      </c>
      <c r="V821" s="2">
        <v>18.260000000000002</v>
      </c>
      <c r="W821" s="2">
        <v>9330.67</v>
      </c>
      <c r="X821" s="2" t="s">
        <v>3062</v>
      </c>
      <c r="Y821" s="2" t="s">
        <v>3063</v>
      </c>
      <c r="Z821" s="2">
        <v>0.1</v>
      </c>
      <c r="AA821" s="2" t="s">
        <v>548</v>
      </c>
      <c r="AB821" s="2">
        <v>292.3</v>
      </c>
    </row>
    <row r="822" spans="1:28" x14ac:dyDescent="0.25">
      <c r="A822" s="4">
        <v>46247</v>
      </c>
      <c r="B822" s="8" t="s">
        <v>2974</v>
      </c>
      <c r="C822" s="8" t="s">
        <v>36</v>
      </c>
      <c r="D822" s="8" t="s">
        <v>43</v>
      </c>
      <c r="E822" s="8" t="s">
        <v>3144</v>
      </c>
      <c r="F822" s="13"/>
      <c r="G822" s="59"/>
      <c r="H822" s="6"/>
      <c r="I822" s="6">
        <f t="shared" si="59"/>
        <v>0</v>
      </c>
      <c r="J822" s="2">
        <v>7.08</v>
      </c>
      <c r="K822" s="2">
        <v>5.13</v>
      </c>
      <c r="L822" s="2">
        <v>1.95</v>
      </c>
      <c r="M822" s="2">
        <v>27.53</v>
      </c>
      <c r="N822" s="2" t="s">
        <v>45</v>
      </c>
      <c r="O822" s="56" t="s">
        <v>42</v>
      </c>
      <c r="P822" s="2" t="s">
        <v>45</v>
      </c>
      <c r="Q822" s="2" t="s">
        <v>45</v>
      </c>
      <c r="R822" s="2">
        <v>105.52</v>
      </c>
      <c r="S822" s="2">
        <v>8.0399999999999991</v>
      </c>
      <c r="T822" s="2">
        <v>4.13</v>
      </c>
      <c r="U822" s="2">
        <v>97.47</v>
      </c>
      <c r="V822" s="2">
        <v>18.989999999999998</v>
      </c>
      <c r="W822" s="2">
        <v>8923.4699999999993</v>
      </c>
      <c r="X822" s="2" t="s">
        <v>45</v>
      </c>
      <c r="Y822" s="2" t="s">
        <v>45</v>
      </c>
      <c r="Z822" s="2">
        <v>0.1</v>
      </c>
      <c r="AA822" s="2" t="s">
        <v>45</v>
      </c>
      <c r="AB822" s="2">
        <v>265.3</v>
      </c>
    </row>
    <row r="823" spans="1:28" x14ac:dyDescent="0.25">
      <c r="A823" s="4">
        <v>46247</v>
      </c>
      <c r="B823" s="8" t="s">
        <v>2974</v>
      </c>
      <c r="C823" s="8" t="s">
        <v>36</v>
      </c>
      <c r="D823" s="8" t="s">
        <v>67</v>
      </c>
      <c r="E823" s="8" t="s">
        <v>47</v>
      </c>
      <c r="F823" s="13"/>
      <c r="G823" s="59"/>
      <c r="H823" s="6">
        <f>15000/6</f>
        <v>2500</v>
      </c>
      <c r="I823" s="6">
        <f t="shared" si="59"/>
        <v>335.17823639774861</v>
      </c>
      <c r="J823" s="2">
        <v>15.76</v>
      </c>
      <c r="K823" s="2">
        <v>10.66</v>
      </c>
      <c r="L823" s="2">
        <v>5.0999999999999996</v>
      </c>
      <c r="M823" s="2">
        <v>32.36</v>
      </c>
      <c r="N823" s="2" t="s">
        <v>3067</v>
      </c>
      <c r="O823" s="56">
        <f>4048-475</f>
        <v>3573</v>
      </c>
      <c r="P823" s="2">
        <v>2.27</v>
      </c>
      <c r="Q823" s="2">
        <v>17.600000000000001</v>
      </c>
      <c r="R823" s="2">
        <v>229.96</v>
      </c>
      <c r="S823" s="2">
        <v>16.09</v>
      </c>
      <c r="T823" s="2">
        <v>3.15</v>
      </c>
      <c r="U823" s="2">
        <v>213.88</v>
      </c>
      <c r="V823" s="2">
        <v>20.059999999999999</v>
      </c>
      <c r="W823" s="2">
        <v>738.54</v>
      </c>
      <c r="X823" s="2" t="s">
        <v>3068</v>
      </c>
      <c r="Y823" s="2" t="s">
        <v>3069</v>
      </c>
      <c r="Z823" s="2">
        <v>1.6</v>
      </c>
      <c r="AA823" s="2" t="s">
        <v>548</v>
      </c>
      <c r="AB823" s="2" t="s">
        <v>3070</v>
      </c>
    </row>
    <row r="824" spans="1:28" x14ac:dyDescent="0.25">
      <c r="A824" s="4">
        <v>46247</v>
      </c>
      <c r="B824" s="8" t="s">
        <v>2974</v>
      </c>
      <c r="C824" s="8" t="s">
        <v>36</v>
      </c>
      <c r="D824" s="8" t="s">
        <v>67</v>
      </c>
      <c r="E824" s="8" t="s">
        <v>61</v>
      </c>
      <c r="F824" s="13"/>
      <c r="G824" s="59"/>
      <c r="H824" s="6"/>
      <c r="I824" s="6"/>
      <c r="J824" s="2"/>
      <c r="K824" s="2"/>
      <c r="L824" s="2"/>
      <c r="M824" s="2"/>
      <c r="N824" s="2"/>
      <c r="O824" s="56">
        <f>19*25</f>
        <v>475</v>
      </c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x14ac:dyDescent="0.25">
      <c r="A825" s="4">
        <v>46247</v>
      </c>
      <c r="B825" s="8" t="s">
        <v>2974</v>
      </c>
      <c r="C825" s="8" t="s">
        <v>36</v>
      </c>
      <c r="D825" s="8" t="s">
        <v>50</v>
      </c>
      <c r="E825" s="8" t="s">
        <v>47</v>
      </c>
      <c r="F825" s="13"/>
      <c r="G825" s="59"/>
      <c r="H825" s="6">
        <f>15000/6</f>
        <v>2500</v>
      </c>
      <c r="I825" s="6">
        <f>IFERROR(O825/K825,)</f>
        <v>248.64433811802235</v>
      </c>
      <c r="J825" s="2">
        <v>7.02</v>
      </c>
      <c r="K825" s="2">
        <v>6.27</v>
      </c>
      <c r="L825" s="2">
        <v>0.75</v>
      </c>
      <c r="M825" s="2">
        <v>10.68</v>
      </c>
      <c r="N825" s="2" t="s">
        <v>3074</v>
      </c>
      <c r="O825" s="56">
        <v>1559</v>
      </c>
      <c r="P825" s="2">
        <v>2.2200000000000002</v>
      </c>
      <c r="Q825" s="2">
        <v>12.2</v>
      </c>
      <c r="R825" s="2">
        <v>127.76</v>
      </c>
      <c r="S825" s="2">
        <v>3.31</v>
      </c>
      <c r="T825" s="2">
        <v>4.42</v>
      </c>
      <c r="U825" s="2">
        <v>124.45</v>
      </c>
      <c r="V825" s="2">
        <v>19.850000000000001</v>
      </c>
      <c r="W825" s="2">
        <v>2571.1999999999998</v>
      </c>
      <c r="X825" s="2" t="s">
        <v>3075</v>
      </c>
      <c r="Y825" s="2" t="s">
        <v>3076</v>
      </c>
      <c r="Z825" s="2">
        <v>0.4</v>
      </c>
      <c r="AA825" s="2" t="s">
        <v>548</v>
      </c>
      <c r="AB825" s="2">
        <v>336.4</v>
      </c>
    </row>
    <row r="826" spans="1:28" x14ac:dyDescent="0.25">
      <c r="A826" s="4">
        <v>46247</v>
      </c>
      <c r="B826" s="8" t="s">
        <v>2974</v>
      </c>
      <c r="C826" s="8" t="s">
        <v>36</v>
      </c>
      <c r="D826" s="8" t="s">
        <v>52</v>
      </c>
      <c r="E826" s="8" t="s">
        <v>47</v>
      </c>
      <c r="F826" s="13"/>
      <c r="G826" s="59"/>
      <c r="H826" s="6">
        <f t="shared" ref="H826:H829" si="61">15000/6</f>
        <v>2500</v>
      </c>
      <c r="I826" s="6">
        <f>IFERROR(O826/K826,)</f>
        <v>242.2110552763819</v>
      </c>
      <c r="J826" s="2">
        <v>8.61</v>
      </c>
      <c r="K826" s="2">
        <v>7.96</v>
      </c>
      <c r="L826" s="2">
        <v>0.65</v>
      </c>
      <c r="M826" s="2">
        <v>7.55</v>
      </c>
      <c r="N826" s="2" t="s">
        <v>3081</v>
      </c>
      <c r="O826" s="56">
        <v>1928</v>
      </c>
      <c r="P826" s="2">
        <v>1.72</v>
      </c>
      <c r="Q826" s="2">
        <v>10.98</v>
      </c>
      <c r="R826" s="2">
        <v>175.55</v>
      </c>
      <c r="S826" s="2">
        <v>2.37</v>
      </c>
      <c r="T826" s="2">
        <v>3.64</v>
      </c>
      <c r="U826" s="2">
        <v>173.18</v>
      </c>
      <c r="V826" s="2">
        <v>21.76</v>
      </c>
      <c r="W826" s="2">
        <v>1167.79</v>
      </c>
      <c r="X826" s="2" t="s">
        <v>3082</v>
      </c>
      <c r="Y826" s="2" t="s">
        <v>3083</v>
      </c>
      <c r="Z826" s="2" t="s">
        <v>548</v>
      </c>
      <c r="AA826" s="2" t="s">
        <v>548</v>
      </c>
      <c r="AB826" s="2">
        <v>121.1</v>
      </c>
    </row>
    <row r="827" spans="1:28" x14ac:dyDescent="0.25">
      <c r="A827" s="4">
        <v>46247</v>
      </c>
      <c r="B827" s="8" t="s">
        <v>2974</v>
      </c>
      <c r="C827" s="8" t="s">
        <v>36</v>
      </c>
      <c r="D827" s="7" t="s">
        <v>46</v>
      </c>
      <c r="E827" s="8" t="s">
        <v>47</v>
      </c>
      <c r="F827" s="13"/>
      <c r="G827" s="59"/>
      <c r="H827" s="6">
        <f t="shared" si="61"/>
        <v>2500</v>
      </c>
      <c r="I827" s="6">
        <f>IFERROR(O827/K827,)</f>
        <v>283.26612903225805</v>
      </c>
      <c r="J827" s="2">
        <v>5.41</v>
      </c>
      <c r="K827" s="2">
        <v>4.96</v>
      </c>
      <c r="L827" s="2">
        <v>0.45</v>
      </c>
      <c r="M827" s="2">
        <v>8.32</v>
      </c>
      <c r="N827" s="2" t="s">
        <v>3087</v>
      </c>
      <c r="O827" s="56">
        <v>1405</v>
      </c>
      <c r="P827" s="2">
        <v>3.24</v>
      </c>
      <c r="Q827" s="2">
        <v>9.0299999999999994</v>
      </c>
      <c r="R827" s="2">
        <v>155.68</v>
      </c>
      <c r="S827" s="2">
        <v>2.84</v>
      </c>
      <c r="T827" s="2">
        <v>6.31</v>
      </c>
      <c r="U827" s="2">
        <v>152.84</v>
      </c>
      <c r="V827" s="2">
        <v>30.82</v>
      </c>
      <c r="W827" s="2">
        <v>8134.08</v>
      </c>
      <c r="X827" s="2" t="s">
        <v>3088</v>
      </c>
      <c r="Y827" s="2" t="s">
        <v>3089</v>
      </c>
      <c r="Z827" s="2">
        <v>0.2</v>
      </c>
      <c r="AA827" s="2" t="s">
        <v>548</v>
      </c>
      <c r="AB827" s="2">
        <v>256.10000000000002</v>
      </c>
    </row>
    <row r="828" spans="1:28" x14ac:dyDescent="0.25">
      <c r="A828" s="4">
        <v>46247</v>
      </c>
      <c r="B828" s="8" t="s">
        <v>2974</v>
      </c>
      <c r="C828" s="8" t="s">
        <v>36</v>
      </c>
      <c r="D828" s="8" t="s">
        <v>48</v>
      </c>
      <c r="E828" s="7" t="s">
        <v>38</v>
      </c>
      <c r="F828" s="13">
        <v>4252</v>
      </c>
      <c r="G828" s="59"/>
      <c r="H828" s="6">
        <f>24000/6</f>
        <v>4000</v>
      </c>
      <c r="I828" s="6">
        <f>IFERROR(O828/K828,)</f>
        <v>483.49328214971212</v>
      </c>
      <c r="J828" s="2">
        <v>11.18</v>
      </c>
      <c r="K828" s="2">
        <v>10.42</v>
      </c>
      <c r="L828" s="2">
        <v>0.75</v>
      </c>
      <c r="M828" s="2">
        <v>6.71</v>
      </c>
      <c r="N828" s="2" t="s">
        <v>3093</v>
      </c>
      <c r="O828" s="56">
        <v>5038</v>
      </c>
      <c r="P828" s="2">
        <v>4.62</v>
      </c>
      <c r="Q828" s="2">
        <v>12.41</v>
      </c>
      <c r="R828" s="2">
        <v>405.99</v>
      </c>
      <c r="S828" s="2">
        <v>5.2</v>
      </c>
      <c r="T828" s="2">
        <v>6.94</v>
      </c>
      <c r="U828" s="2">
        <v>400.78</v>
      </c>
      <c r="V828" s="2">
        <v>38.44</v>
      </c>
      <c r="W828" s="2">
        <v>6757.12</v>
      </c>
      <c r="X828" s="2" t="s">
        <v>3094</v>
      </c>
      <c r="Y828" s="2" t="s">
        <v>3095</v>
      </c>
      <c r="Z828" s="2">
        <v>0.1</v>
      </c>
      <c r="AA828" s="2" t="s">
        <v>548</v>
      </c>
      <c r="AB828" s="2">
        <v>49.6</v>
      </c>
    </row>
    <row r="829" spans="1:28" x14ac:dyDescent="0.25">
      <c r="A829" s="4">
        <v>46247</v>
      </c>
      <c r="B829" s="8" t="s">
        <v>2974</v>
      </c>
      <c r="C829" s="8" t="s">
        <v>36</v>
      </c>
      <c r="D829" s="8" t="s">
        <v>49</v>
      </c>
      <c r="E829" s="8" t="s">
        <v>47</v>
      </c>
      <c r="F829" s="13"/>
      <c r="G829" s="59"/>
      <c r="H829" s="6">
        <f t="shared" si="61"/>
        <v>2500</v>
      </c>
      <c r="I829" s="6">
        <f>IFERROR(O829/K829,)</f>
        <v>276.89393939393938</v>
      </c>
      <c r="J829" s="2">
        <v>10.72</v>
      </c>
      <c r="K829" s="2">
        <v>7.92</v>
      </c>
      <c r="L829" s="2">
        <v>2.8</v>
      </c>
      <c r="M829" s="2">
        <v>26.12</v>
      </c>
      <c r="N829" s="2" t="s">
        <v>3098</v>
      </c>
      <c r="O829" s="56">
        <f>3443-1250</f>
        <v>2193</v>
      </c>
      <c r="P829" s="2">
        <v>3.76</v>
      </c>
      <c r="Q829" s="2">
        <v>11.09</v>
      </c>
      <c r="R829" s="2">
        <v>310.39999999999998</v>
      </c>
      <c r="S829" s="2">
        <v>12.3</v>
      </c>
      <c r="T829" s="2">
        <v>4.3899999999999997</v>
      </c>
      <c r="U829" s="2">
        <v>298.10000000000002</v>
      </c>
      <c r="V829" s="2">
        <v>37.64</v>
      </c>
      <c r="W829" s="2">
        <v>2088.0700000000002</v>
      </c>
      <c r="X829" s="2" t="s">
        <v>3099</v>
      </c>
      <c r="Y829" s="2" t="s">
        <v>3100</v>
      </c>
      <c r="Z829" s="2" t="s">
        <v>548</v>
      </c>
      <c r="AA829" s="2" t="s">
        <v>548</v>
      </c>
      <c r="AB829" s="2">
        <v>5.6</v>
      </c>
    </row>
    <row r="830" spans="1:28" x14ac:dyDescent="0.25">
      <c r="A830" s="4">
        <v>46247</v>
      </c>
      <c r="B830" s="8" t="s">
        <v>2974</v>
      </c>
      <c r="C830" s="8" t="s">
        <v>36</v>
      </c>
      <c r="D830" s="8" t="s">
        <v>49</v>
      </c>
      <c r="E830" s="8" t="s">
        <v>61</v>
      </c>
      <c r="F830" s="13"/>
      <c r="G830" s="59"/>
      <c r="H830" s="6"/>
      <c r="I830" s="6"/>
      <c r="J830" s="2"/>
      <c r="K830" s="2"/>
      <c r="L830" s="2"/>
      <c r="M830" s="2"/>
      <c r="N830" s="2"/>
      <c r="O830" s="56">
        <f>50*25</f>
        <v>1250</v>
      </c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x14ac:dyDescent="0.25">
      <c r="A831" s="4">
        <v>46248</v>
      </c>
      <c r="B831" s="8" t="s">
        <v>2974</v>
      </c>
      <c r="C831" s="8" t="s">
        <v>36</v>
      </c>
      <c r="D831" s="8" t="s">
        <v>39</v>
      </c>
      <c r="E831" s="8" t="s">
        <v>47</v>
      </c>
      <c r="F831" s="13"/>
      <c r="G831" s="59"/>
      <c r="H831" s="6">
        <f>15000/6</f>
        <v>2500</v>
      </c>
      <c r="I831" s="6">
        <f t="shared" ref="I831:I862" si="62">IFERROR(O831/K831,)</f>
        <v>206.18556701030928</v>
      </c>
      <c r="J831" s="2">
        <v>8.44</v>
      </c>
      <c r="K831" s="2">
        <v>6.79</v>
      </c>
      <c r="L831" s="2">
        <v>1.65</v>
      </c>
      <c r="M831" s="2">
        <v>19.55</v>
      </c>
      <c r="N831" s="2" t="s">
        <v>2081</v>
      </c>
      <c r="O831" s="56">
        <v>1400</v>
      </c>
      <c r="P831" s="2">
        <v>1.46</v>
      </c>
      <c r="Q831" s="2">
        <v>8.86</v>
      </c>
      <c r="R831" s="2">
        <v>132.02000000000001</v>
      </c>
      <c r="S831" s="2">
        <v>6.62</v>
      </c>
      <c r="T831" s="2">
        <v>4.01</v>
      </c>
      <c r="U831" s="2">
        <v>125.39</v>
      </c>
      <c r="V831" s="2">
        <v>18.46</v>
      </c>
      <c r="W831" s="2">
        <v>9339.11</v>
      </c>
      <c r="X831" s="2" t="s">
        <v>3105</v>
      </c>
      <c r="Y831" s="2" t="s">
        <v>3104</v>
      </c>
      <c r="Z831" s="2" t="s">
        <v>548</v>
      </c>
      <c r="AA831" s="2" t="s">
        <v>548</v>
      </c>
      <c r="AB831" s="2">
        <v>292.3</v>
      </c>
    </row>
    <row r="832" spans="1:28" x14ac:dyDescent="0.25">
      <c r="A832" s="4">
        <v>46248</v>
      </c>
      <c r="B832" s="8" t="s">
        <v>2974</v>
      </c>
      <c r="C832" s="8" t="s">
        <v>36</v>
      </c>
      <c r="D832" s="8" t="s">
        <v>43</v>
      </c>
      <c r="E832" s="8" t="s">
        <v>3144</v>
      </c>
      <c r="F832" s="13"/>
      <c r="G832" s="59"/>
      <c r="H832" s="6"/>
      <c r="I832" s="6">
        <f t="shared" si="62"/>
        <v>0</v>
      </c>
      <c r="J832" s="2">
        <v>7.29</v>
      </c>
      <c r="K832" s="2">
        <v>4.3899999999999997</v>
      </c>
      <c r="L832" s="2">
        <v>2.9</v>
      </c>
      <c r="M832" s="2">
        <v>39.770000000000003</v>
      </c>
      <c r="N832" s="2" t="s">
        <v>45</v>
      </c>
      <c r="O832" s="56" t="s">
        <v>45</v>
      </c>
      <c r="P832" s="2" t="s">
        <v>45</v>
      </c>
      <c r="Q832" s="2" t="s">
        <v>45</v>
      </c>
      <c r="R832" s="2">
        <v>90.38</v>
      </c>
      <c r="S832" s="2">
        <v>11.83</v>
      </c>
      <c r="T832" s="2">
        <v>4.08</v>
      </c>
      <c r="U832" s="2">
        <v>78.55</v>
      </c>
      <c r="V832" s="2">
        <v>17.89</v>
      </c>
      <c r="W832" s="2">
        <v>8930.76</v>
      </c>
      <c r="X832" s="2" t="s">
        <v>45</v>
      </c>
      <c r="Y832" s="2" t="s">
        <v>45</v>
      </c>
      <c r="Z832" s="2">
        <v>0.1</v>
      </c>
      <c r="AA832" s="2" t="s">
        <v>45</v>
      </c>
      <c r="AB832" s="2">
        <v>265.39999999999998</v>
      </c>
    </row>
    <row r="833" spans="1:28" x14ac:dyDescent="0.25">
      <c r="A833" s="4">
        <v>46248</v>
      </c>
      <c r="B833" s="8" t="s">
        <v>2974</v>
      </c>
      <c r="C833" s="8" t="s">
        <v>36</v>
      </c>
      <c r="D833" s="8" t="s">
        <v>67</v>
      </c>
      <c r="E833" s="8" t="s">
        <v>47</v>
      </c>
      <c r="F833" s="13"/>
      <c r="G833" s="59"/>
      <c r="H833" s="6">
        <f t="shared" ref="H833:H838" si="63">15000/6</f>
        <v>2500</v>
      </c>
      <c r="I833" s="6">
        <f t="shared" si="62"/>
        <v>335.66433566433568</v>
      </c>
      <c r="J833" s="2">
        <v>11.48</v>
      </c>
      <c r="K833" s="2">
        <v>8.58</v>
      </c>
      <c r="L833" s="2">
        <v>2.9</v>
      </c>
      <c r="M833" s="2">
        <v>25.25</v>
      </c>
      <c r="N833" s="2" t="s">
        <v>3109</v>
      </c>
      <c r="O833" s="56">
        <v>2880</v>
      </c>
      <c r="P833" s="2">
        <v>1.93</v>
      </c>
      <c r="Q833" s="2">
        <v>15.65</v>
      </c>
      <c r="R833" s="2">
        <v>184.07</v>
      </c>
      <c r="S833" s="2">
        <v>8.99</v>
      </c>
      <c r="T833" s="2">
        <v>3.1</v>
      </c>
      <c r="U833" s="2">
        <v>175.08</v>
      </c>
      <c r="V833" s="2">
        <v>20.39</v>
      </c>
      <c r="W833" s="2">
        <v>750.02</v>
      </c>
      <c r="X833" s="2" t="s">
        <v>3110</v>
      </c>
      <c r="Y833" s="2" t="s">
        <v>3111</v>
      </c>
      <c r="Z833" s="2">
        <v>1.3</v>
      </c>
      <c r="AA833" s="2" t="s">
        <v>548</v>
      </c>
      <c r="AB833" s="2">
        <v>72.3</v>
      </c>
    </row>
    <row r="834" spans="1:28" x14ac:dyDescent="0.25">
      <c r="A834" s="4">
        <v>46248</v>
      </c>
      <c r="B834" s="8" t="s">
        <v>2974</v>
      </c>
      <c r="C834" s="8" t="s">
        <v>36</v>
      </c>
      <c r="D834" s="8" t="s">
        <v>50</v>
      </c>
      <c r="E834" s="8" t="s">
        <v>47</v>
      </c>
      <c r="F834" s="13"/>
      <c r="G834" s="59"/>
      <c r="H834" s="6">
        <f t="shared" si="63"/>
        <v>2500</v>
      </c>
      <c r="I834" s="6">
        <f t="shared" si="62"/>
        <v>35.971223021582738</v>
      </c>
      <c r="J834" s="2">
        <v>5.82</v>
      </c>
      <c r="K834" s="2">
        <v>4.17</v>
      </c>
      <c r="L834" s="2">
        <v>1.65</v>
      </c>
      <c r="M834" s="2">
        <v>28.35</v>
      </c>
      <c r="N834" s="2" t="s">
        <v>3118</v>
      </c>
      <c r="O834" s="56">
        <v>150</v>
      </c>
      <c r="P834" s="2">
        <v>1.01</v>
      </c>
      <c r="Q834" s="2">
        <v>2.0099999999999998</v>
      </c>
      <c r="R834" s="2">
        <v>74.760000000000005</v>
      </c>
      <c r="S834" s="2">
        <v>5.68</v>
      </c>
      <c r="T834" s="2">
        <v>3.44</v>
      </c>
      <c r="U834" s="2">
        <v>69.08</v>
      </c>
      <c r="V834" s="2">
        <v>16.57</v>
      </c>
      <c r="W834" s="2">
        <v>2577.02</v>
      </c>
      <c r="X834" s="2" t="s">
        <v>3119</v>
      </c>
      <c r="Y834" s="2" t="s">
        <v>3120</v>
      </c>
      <c r="Z834" s="2" t="s">
        <v>1696</v>
      </c>
      <c r="AA834" s="2">
        <v>0.01</v>
      </c>
      <c r="AB834" s="2">
        <v>337.4</v>
      </c>
    </row>
    <row r="835" spans="1:28" x14ac:dyDescent="0.25">
      <c r="A835" s="4">
        <v>46248</v>
      </c>
      <c r="B835" s="8" t="s">
        <v>2974</v>
      </c>
      <c r="C835" s="8" t="s">
        <v>36</v>
      </c>
      <c r="D835" s="8" t="s">
        <v>52</v>
      </c>
      <c r="E835" s="8" t="s">
        <v>47</v>
      </c>
      <c r="F835" s="13"/>
      <c r="G835" s="59"/>
      <c r="H835" s="6">
        <f t="shared" si="63"/>
        <v>2500</v>
      </c>
      <c r="I835" s="6">
        <f t="shared" si="62"/>
        <v>243.23308270676691</v>
      </c>
      <c r="J835" s="2">
        <v>8.83</v>
      </c>
      <c r="K835" s="2">
        <v>7.98</v>
      </c>
      <c r="L835" s="2">
        <v>0.85</v>
      </c>
      <c r="M835" s="2">
        <v>9.6300000000000008</v>
      </c>
      <c r="N835" s="2" t="s">
        <v>3124</v>
      </c>
      <c r="O835" s="56">
        <v>1941</v>
      </c>
      <c r="P835" s="2">
        <v>1.87</v>
      </c>
      <c r="Q835" s="2">
        <v>11.12</v>
      </c>
      <c r="R835" s="2">
        <v>174.6</v>
      </c>
      <c r="S835" s="2">
        <v>3.31</v>
      </c>
      <c r="T835" s="2">
        <v>3.9</v>
      </c>
      <c r="U835" s="2">
        <v>171.29</v>
      </c>
      <c r="V835" s="2">
        <v>21.47</v>
      </c>
      <c r="W835" s="2">
        <v>1176.6199999999999</v>
      </c>
      <c r="X835" s="2" t="s">
        <v>3125</v>
      </c>
      <c r="Y835" s="2" t="s">
        <v>3126</v>
      </c>
      <c r="Z835" s="2" t="s">
        <v>548</v>
      </c>
      <c r="AA835" s="2" t="s">
        <v>548</v>
      </c>
      <c r="AB835" s="2">
        <v>121.1</v>
      </c>
    </row>
    <row r="836" spans="1:28" x14ac:dyDescent="0.25">
      <c r="A836" s="4">
        <v>46248</v>
      </c>
      <c r="B836" s="8" t="s">
        <v>2974</v>
      </c>
      <c r="C836" s="8" t="s">
        <v>36</v>
      </c>
      <c r="D836" s="7" t="s">
        <v>46</v>
      </c>
      <c r="E836" s="8" t="s">
        <v>47</v>
      </c>
      <c r="F836" s="13"/>
      <c r="G836" s="59"/>
      <c r="H836" s="6">
        <f t="shared" si="63"/>
        <v>2500</v>
      </c>
      <c r="I836" s="6">
        <f t="shared" si="62"/>
        <v>309.63244613434728</v>
      </c>
      <c r="J836" s="2">
        <v>9.44</v>
      </c>
      <c r="K836" s="2">
        <v>7.89</v>
      </c>
      <c r="L836" s="2">
        <v>1.55</v>
      </c>
      <c r="M836" s="2">
        <v>16.41</v>
      </c>
      <c r="N836" s="2" t="s">
        <v>3130</v>
      </c>
      <c r="O836" s="56">
        <v>2443</v>
      </c>
      <c r="P836" s="2">
        <v>3.2</v>
      </c>
      <c r="Q836" s="2">
        <v>10.47</v>
      </c>
      <c r="R836" s="2">
        <v>233.28</v>
      </c>
      <c r="S836" s="2">
        <v>8.99</v>
      </c>
      <c r="T836" s="2">
        <v>5.8</v>
      </c>
      <c r="U836" s="2">
        <v>224.29</v>
      </c>
      <c r="V836" s="2">
        <v>28.41</v>
      </c>
      <c r="W836" s="2">
        <v>8143.52</v>
      </c>
      <c r="X836" s="2" t="s">
        <v>3131</v>
      </c>
      <c r="Y836" s="2" t="s">
        <v>3132</v>
      </c>
      <c r="Z836" s="2">
        <v>0.1</v>
      </c>
      <c r="AA836" s="2" t="s">
        <v>548</v>
      </c>
      <c r="AB836" s="2">
        <v>256.2</v>
      </c>
    </row>
    <row r="837" spans="1:28" x14ac:dyDescent="0.25">
      <c r="A837" s="4">
        <v>46248</v>
      </c>
      <c r="B837" s="8" t="s">
        <v>2974</v>
      </c>
      <c r="C837" s="8" t="s">
        <v>36</v>
      </c>
      <c r="D837" s="8" t="s">
        <v>48</v>
      </c>
      <c r="E837" s="7" t="s">
        <v>38</v>
      </c>
      <c r="F837" s="13">
        <v>2904</v>
      </c>
      <c r="G837" s="59"/>
      <c r="H837" s="6">
        <f>24000/6</f>
        <v>4000</v>
      </c>
      <c r="I837" s="6">
        <f t="shared" si="62"/>
        <v>497.11155378486058</v>
      </c>
      <c r="J837" s="2">
        <v>11.29</v>
      </c>
      <c r="K837" s="2">
        <v>10.039999999999999</v>
      </c>
      <c r="L837" s="2">
        <v>1.25</v>
      </c>
      <c r="M837" s="2">
        <v>11.07</v>
      </c>
      <c r="N837" s="2" t="s">
        <v>2569</v>
      </c>
      <c r="O837" s="56">
        <v>4991</v>
      </c>
      <c r="P837" s="2">
        <v>4.33</v>
      </c>
      <c r="Q837" s="2">
        <v>12.71</v>
      </c>
      <c r="R837" s="2">
        <v>392.74</v>
      </c>
      <c r="S837" s="2">
        <v>7.57</v>
      </c>
      <c r="T837" s="2">
        <v>6.06</v>
      </c>
      <c r="U837" s="2">
        <v>385.17</v>
      </c>
      <c r="V837" s="2">
        <v>38.35</v>
      </c>
      <c r="W837" s="2">
        <v>6768.41</v>
      </c>
      <c r="X837" s="2" t="s">
        <v>3136</v>
      </c>
      <c r="Y837" s="2" t="s">
        <v>3137</v>
      </c>
      <c r="Z837" s="2" t="s">
        <v>548</v>
      </c>
      <c r="AA837" s="2" t="s">
        <v>548</v>
      </c>
      <c r="AB837" s="2">
        <v>49.6</v>
      </c>
    </row>
    <row r="838" spans="1:28" x14ac:dyDescent="0.25">
      <c r="A838" s="4">
        <v>46248</v>
      </c>
      <c r="B838" s="8" t="s">
        <v>2974</v>
      </c>
      <c r="C838" s="8" t="s">
        <v>36</v>
      </c>
      <c r="D838" s="8" t="s">
        <v>49</v>
      </c>
      <c r="E838" s="8" t="s">
        <v>47</v>
      </c>
      <c r="F838" s="13"/>
      <c r="G838" s="59"/>
      <c r="H838" s="6">
        <f t="shared" si="63"/>
        <v>2500</v>
      </c>
      <c r="I838" s="6">
        <f t="shared" si="62"/>
        <v>482.26466575716233</v>
      </c>
      <c r="J838" s="2">
        <v>10.38</v>
      </c>
      <c r="K838" s="2">
        <v>7.33</v>
      </c>
      <c r="L838" s="2">
        <v>3.05</v>
      </c>
      <c r="M838" s="2">
        <v>29.39</v>
      </c>
      <c r="N838" s="2" t="s">
        <v>2936</v>
      </c>
      <c r="O838" s="56">
        <v>3535</v>
      </c>
      <c r="P838" s="2">
        <v>3.88</v>
      </c>
      <c r="Q838" s="2">
        <v>12.15</v>
      </c>
      <c r="R838" s="2" t="s">
        <v>3141</v>
      </c>
      <c r="S838" s="2">
        <v>11.83</v>
      </c>
      <c r="T838" s="2">
        <v>3.88</v>
      </c>
      <c r="U838" s="2">
        <v>279.17</v>
      </c>
      <c r="V838" s="2">
        <v>38.11</v>
      </c>
      <c r="W838" s="2">
        <v>2098.44</v>
      </c>
      <c r="X838" s="2" t="s">
        <v>3142</v>
      </c>
      <c r="Y838" s="2" t="s">
        <v>3143</v>
      </c>
      <c r="Z838" s="2" t="s">
        <v>548</v>
      </c>
      <c r="AA838" s="2" t="s">
        <v>548</v>
      </c>
      <c r="AB838" s="2">
        <v>5.6</v>
      </c>
    </row>
    <row r="839" spans="1:28" x14ac:dyDescent="0.25">
      <c r="A839" s="4">
        <v>46249</v>
      </c>
      <c r="B839" s="8" t="s">
        <v>55</v>
      </c>
      <c r="C839" s="8" t="s">
        <v>56</v>
      </c>
      <c r="D839" s="8" t="s">
        <v>39</v>
      </c>
      <c r="E839" s="8" t="s">
        <v>47</v>
      </c>
      <c r="F839" s="13"/>
      <c r="G839" s="59" t="s">
        <v>146</v>
      </c>
      <c r="H839" s="6"/>
      <c r="I839" s="6">
        <f t="shared" si="62"/>
        <v>0</v>
      </c>
      <c r="J839" s="2">
        <v>0.6</v>
      </c>
      <c r="K839" s="2">
        <v>0.45</v>
      </c>
      <c r="L839" s="2">
        <v>0.15</v>
      </c>
      <c r="M839" s="2">
        <v>25.1</v>
      </c>
      <c r="N839" s="2" t="s">
        <v>1380</v>
      </c>
      <c r="O839" s="56">
        <v>0</v>
      </c>
      <c r="P839" s="2" t="s">
        <v>548</v>
      </c>
      <c r="Q839" s="2" t="s">
        <v>548</v>
      </c>
      <c r="R839" s="2">
        <v>3.79</v>
      </c>
      <c r="S839" s="2">
        <v>0.47</v>
      </c>
      <c r="T839" s="2">
        <v>3.15</v>
      </c>
      <c r="U839" s="2">
        <v>3.31</v>
      </c>
      <c r="V839" s="2">
        <v>7.4</v>
      </c>
      <c r="W839" s="2">
        <v>9339.7099999999991</v>
      </c>
      <c r="X839" s="2" t="s">
        <v>3103</v>
      </c>
      <c r="Y839" s="2" t="s">
        <v>3104</v>
      </c>
      <c r="Z839" s="2">
        <v>0.1</v>
      </c>
      <c r="AA839" s="2">
        <v>0.05</v>
      </c>
      <c r="AB839" s="2">
        <v>292.39999999999998</v>
      </c>
    </row>
    <row r="840" spans="1:28" x14ac:dyDescent="0.25">
      <c r="A840" s="4">
        <v>46249</v>
      </c>
      <c r="B840" s="8" t="s">
        <v>2974</v>
      </c>
      <c r="C840" s="8" t="s">
        <v>36</v>
      </c>
      <c r="D840" s="8" t="s">
        <v>43</v>
      </c>
      <c r="E840" s="8" t="s">
        <v>3144</v>
      </c>
      <c r="F840" s="13"/>
      <c r="G840" s="59"/>
      <c r="H840" s="6"/>
      <c r="I840" s="6">
        <f t="shared" si="62"/>
        <v>0</v>
      </c>
      <c r="J840" s="2">
        <v>5.75</v>
      </c>
      <c r="K840" s="2">
        <v>3.15</v>
      </c>
      <c r="L840" s="2">
        <v>2.6</v>
      </c>
      <c r="M840" s="2">
        <v>45.24</v>
      </c>
      <c r="N840" s="2" t="s">
        <v>45</v>
      </c>
      <c r="O840" s="56" t="s">
        <v>45</v>
      </c>
      <c r="P840" s="2" t="s">
        <v>45</v>
      </c>
      <c r="Q840" s="2" t="s">
        <v>45</v>
      </c>
      <c r="R840" s="2">
        <v>69.08</v>
      </c>
      <c r="S840" s="2">
        <v>9.94</v>
      </c>
      <c r="T840" s="2">
        <v>3.82</v>
      </c>
      <c r="U840" s="2">
        <v>59.15</v>
      </c>
      <c r="V840" s="2">
        <v>18.79</v>
      </c>
      <c r="W840" s="2">
        <v>8936.51</v>
      </c>
      <c r="X840" s="2" t="s">
        <v>45</v>
      </c>
      <c r="Y840" s="2" t="s">
        <v>45</v>
      </c>
      <c r="Z840" s="2">
        <v>0.4</v>
      </c>
      <c r="AA840" s="2" t="s">
        <v>45</v>
      </c>
      <c r="AB840" s="2">
        <v>265.8</v>
      </c>
    </row>
    <row r="841" spans="1:28" x14ac:dyDescent="0.25">
      <c r="A841" s="4">
        <v>46249</v>
      </c>
      <c r="B841" s="8" t="s">
        <v>2974</v>
      </c>
      <c r="C841" s="8" t="s">
        <v>36</v>
      </c>
      <c r="D841" s="8" t="s">
        <v>67</v>
      </c>
      <c r="E841" s="8" t="s">
        <v>47</v>
      </c>
      <c r="F841" s="13"/>
      <c r="G841" s="59"/>
      <c r="H841" s="6">
        <f t="shared" ref="H841:H846" si="64">15000/5</f>
        <v>3000</v>
      </c>
      <c r="I841" s="6">
        <f t="shared" si="62"/>
        <v>260.33519553072625</v>
      </c>
      <c r="J841" s="2">
        <v>5.97</v>
      </c>
      <c r="K841" s="2">
        <v>5.37</v>
      </c>
      <c r="L841" s="2">
        <v>0.6</v>
      </c>
      <c r="M841" s="2">
        <v>10.050000000000001</v>
      </c>
      <c r="N841" s="2" t="s">
        <v>3106</v>
      </c>
      <c r="O841" s="56">
        <v>1398</v>
      </c>
      <c r="P841" s="2">
        <v>2.21</v>
      </c>
      <c r="Q841" s="2">
        <v>17.18</v>
      </c>
      <c r="R841" s="2">
        <v>81.39</v>
      </c>
      <c r="S841" s="2">
        <v>2.37</v>
      </c>
      <c r="T841" s="2">
        <v>3.94</v>
      </c>
      <c r="U841" s="2">
        <v>79.02</v>
      </c>
      <c r="V841" s="2">
        <v>14.72</v>
      </c>
      <c r="W841" s="2">
        <v>755.99</v>
      </c>
      <c r="X841" s="2" t="s">
        <v>3107</v>
      </c>
      <c r="Y841" s="2" t="s">
        <v>3108</v>
      </c>
      <c r="Z841" s="2" t="s">
        <v>548</v>
      </c>
      <c r="AA841" s="2" t="s">
        <v>548</v>
      </c>
      <c r="AB841" s="2">
        <v>72.3</v>
      </c>
    </row>
    <row r="842" spans="1:28" x14ac:dyDescent="0.25">
      <c r="A842" s="4">
        <v>46249</v>
      </c>
      <c r="B842" s="8" t="s">
        <v>2974</v>
      </c>
      <c r="C842" s="8" t="s">
        <v>36</v>
      </c>
      <c r="D842" s="8" t="s">
        <v>50</v>
      </c>
      <c r="E842" s="8" t="s">
        <v>47</v>
      </c>
      <c r="F842" s="13"/>
      <c r="G842" s="59"/>
      <c r="H842" s="6">
        <f t="shared" si="64"/>
        <v>3000</v>
      </c>
      <c r="I842" s="6">
        <f t="shared" si="62"/>
        <v>278.55072463768113</v>
      </c>
      <c r="J842" s="2">
        <v>7.5</v>
      </c>
      <c r="K842" s="2">
        <v>6.9</v>
      </c>
      <c r="L842" s="2">
        <v>0.6</v>
      </c>
      <c r="M842" s="2" t="s">
        <v>3114</v>
      </c>
      <c r="N842" s="2" t="s">
        <v>3115</v>
      </c>
      <c r="O842" s="56">
        <v>1922</v>
      </c>
      <c r="P842" s="2">
        <v>1.85</v>
      </c>
      <c r="Q842" s="2">
        <v>13.32</v>
      </c>
      <c r="R842" s="2">
        <v>144.32</v>
      </c>
      <c r="S842" s="2">
        <v>3.31</v>
      </c>
      <c r="T842" s="2">
        <v>5.52</v>
      </c>
      <c r="U842" s="2">
        <v>141.01</v>
      </c>
      <c r="V842" s="2">
        <v>20.43</v>
      </c>
      <c r="W842" s="2">
        <v>2584.52</v>
      </c>
      <c r="X842" s="2" t="s">
        <v>3116</v>
      </c>
      <c r="Y842" s="2" t="s">
        <v>3117</v>
      </c>
      <c r="Z842" s="2" t="s">
        <v>548</v>
      </c>
      <c r="AA842" s="2" t="s">
        <v>548</v>
      </c>
      <c r="AB842" s="2">
        <v>337.4</v>
      </c>
    </row>
    <row r="843" spans="1:28" x14ac:dyDescent="0.25">
      <c r="A843" s="4">
        <v>46249</v>
      </c>
      <c r="B843" s="8" t="s">
        <v>2974</v>
      </c>
      <c r="C843" s="8" t="s">
        <v>36</v>
      </c>
      <c r="D843" s="8" t="s">
        <v>52</v>
      </c>
      <c r="E843" s="8" t="s">
        <v>47</v>
      </c>
      <c r="F843" s="13"/>
      <c r="G843" s="59"/>
      <c r="H843" s="6">
        <f t="shared" si="64"/>
        <v>3000</v>
      </c>
      <c r="I843" s="6">
        <f t="shared" si="62"/>
        <v>205.72519083969465</v>
      </c>
      <c r="J843" s="2">
        <v>3.42</v>
      </c>
      <c r="K843" s="2">
        <v>2.62</v>
      </c>
      <c r="L843" s="2">
        <v>0.8</v>
      </c>
      <c r="M843" s="2">
        <v>23.43</v>
      </c>
      <c r="N843" s="2" t="s">
        <v>3121</v>
      </c>
      <c r="O843" s="56">
        <v>539</v>
      </c>
      <c r="P843" s="2">
        <v>1.79</v>
      </c>
      <c r="Q843" s="2">
        <v>10.36</v>
      </c>
      <c r="R843" s="2">
        <v>52.05</v>
      </c>
      <c r="S843" s="2">
        <v>3.31</v>
      </c>
      <c r="T843" s="2">
        <v>4.1399999999999997</v>
      </c>
      <c r="U843" s="2">
        <v>48.74</v>
      </c>
      <c r="V843" s="2">
        <v>18.64</v>
      </c>
      <c r="W843" s="2">
        <v>1180.03</v>
      </c>
      <c r="X843" s="2" t="s">
        <v>3122</v>
      </c>
      <c r="Y843" s="2" t="s">
        <v>3123</v>
      </c>
      <c r="Z843" s="2">
        <v>0.3</v>
      </c>
      <c r="AA843" s="2" t="s">
        <v>548</v>
      </c>
      <c r="AB843" s="2">
        <v>121.4</v>
      </c>
    </row>
    <row r="844" spans="1:28" x14ac:dyDescent="0.25">
      <c r="A844" s="4">
        <v>46249</v>
      </c>
      <c r="B844" s="8" t="s">
        <v>2974</v>
      </c>
      <c r="C844" s="8" t="s">
        <v>36</v>
      </c>
      <c r="D844" s="7" t="s">
        <v>46</v>
      </c>
      <c r="E844" s="8" t="s">
        <v>47</v>
      </c>
      <c r="F844" s="13"/>
      <c r="G844" s="59"/>
      <c r="H844" s="6">
        <f t="shared" si="64"/>
        <v>3000</v>
      </c>
      <c r="I844" s="6">
        <f t="shared" si="62"/>
        <v>328.14992025518342</v>
      </c>
      <c r="J844" s="2">
        <v>14.54</v>
      </c>
      <c r="K844" s="2">
        <v>12.54</v>
      </c>
      <c r="L844" s="2" t="s">
        <v>1380</v>
      </c>
      <c r="M844" s="2">
        <v>13.75</v>
      </c>
      <c r="N844" s="2" t="s">
        <v>3129</v>
      </c>
      <c r="O844" s="56">
        <v>4115</v>
      </c>
      <c r="P844" s="2">
        <v>3.18</v>
      </c>
      <c r="Q844" s="2">
        <v>10.87</v>
      </c>
      <c r="R844" s="2">
        <v>378.54</v>
      </c>
      <c r="S844" s="2">
        <v>12.78</v>
      </c>
      <c r="T844" s="2">
        <v>6.39</v>
      </c>
      <c r="U844" s="2">
        <v>365.77</v>
      </c>
      <c r="V844" s="2">
        <v>29.16</v>
      </c>
      <c r="W844" s="2">
        <v>8158.06</v>
      </c>
      <c r="X844" s="2" t="s">
        <v>3127</v>
      </c>
      <c r="Y844" s="2" t="s">
        <v>3128</v>
      </c>
      <c r="Z844" s="2">
        <v>0.2</v>
      </c>
      <c r="AA844" s="2" t="s">
        <v>548</v>
      </c>
      <c r="AB844" s="2">
        <v>256.39999999999998</v>
      </c>
    </row>
    <row r="845" spans="1:28" x14ac:dyDescent="0.25">
      <c r="A845" s="4">
        <v>46249</v>
      </c>
      <c r="B845" s="8" t="s">
        <v>2974</v>
      </c>
      <c r="C845" s="8" t="s">
        <v>36</v>
      </c>
      <c r="D845" s="8" t="s">
        <v>48</v>
      </c>
      <c r="E845" s="7" t="s">
        <v>38</v>
      </c>
      <c r="F845" s="13">
        <v>2575</v>
      </c>
      <c r="G845" s="59"/>
      <c r="H845" s="6">
        <f>24000/6</f>
        <v>4000</v>
      </c>
      <c r="I845" s="6">
        <f t="shared" si="62"/>
        <v>692.09302325581393</v>
      </c>
      <c r="J845" s="2">
        <v>5.05</v>
      </c>
      <c r="K845" s="2">
        <v>4.3</v>
      </c>
      <c r="L845" s="2">
        <v>0.75</v>
      </c>
      <c r="M845" s="2">
        <v>14.85</v>
      </c>
      <c r="N845" s="2" t="s">
        <v>3135</v>
      </c>
      <c r="O845" s="56">
        <v>2976</v>
      </c>
      <c r="P845" s="2">
        <v>4.9800000000000004</v>
      </c>
      <c r="Q845" s="2">
        <v>17.77</v>
      </c>
      <c r="R845" s="2">
        <v>167.5</v>
      </c>
      <c r="S845" s="2">
        <v>4.7300000000000004</v>
      </c>
      <c r="T845" s="2">
        <v>6.31</v>
      </c>
      <c r="U845" s="2">
        <v>162.77000000000001</v>
      </c>
      <c r="V845" s="2">
        <v>37.85</v>
      </c>
      <c r="W845" s="2">
        <v>6773.46</v>
      </c>
      <c r="X845" s="2" t="s">
        <v>3133</v>
      </c>
      <c r="Y845" s="2" t="s">
        <v>3134</v>
      </c>
      <c r="Z845" s="2" t="s">
        <v>548</v>
      </c>
      <c r="AA845" s="2" t="s">
        <v>548</v>
      </c>
      <c r="AB845" s="2">
        <v>49.6</v>
      </c>
    </row>
    <row r="846" spans="1:28" x14ac:dyDescent="0.25">
      <c r="A846" s="4">
        <v>46249</v>
      </c>
      <c r="B846" s="8" t="s">
        <v>2974</v>
      </c>
      <c r="C846" s="8" t="s">
        <v>36</v>
      </c>
      <c r="D846" s="8" t="s">
        <v>49</v>
      </c>
      <c r="E846" s="8" t="s">
        <v>47</v>
      </c>
      <c r="F846" s="13"/>
      <c r="G846" s="59"/>
      <c r="H846" s="6">
        <f t="shared" si="64"/>
        <v>3000</v>
      </c>
      <c r="I846" s="6">
        <f t="shared" si="62"/>
        <v>504.6913580246914</v>
      </c>
      <c r="J846" s="2">
        <v>5.65</v>
      </c>
      <c r="K846" s="2">
        <v>4.05</v>
      </c>
      <c r="L846" s="2">
        <v>1.6</v>
      </c>
      <c r="M846" s="2">
        <v>28.31</v>
      </c>
      <c r="N846" s="2" t="s">
        <v>3138</v>
      </c>
      <c r="O846" s="56">
        <v>2044</v>
      </c>
      <c r="P846" s="2">
        <v>3.96</v>
      </c>
      <c r="Q846" s="2">
        <v>12.67</v>
      </c>
      <c r="R846" s="2">
        <v>161.35</v>
      </c>
      <c r="S846" s="2">
        <v>7.57</v>
      </c>
      <c r="T846" s="2">
        <v>4.7300000000000004</v>
      </c>
      <c r="U846" s="2">
        <v>153.78</v>
      </c>
      <c r="V846" s="2">
        <v>37.96</v>
      </c>
      <c r="W846" s="2">
        <v>2104.1</v>
      </c>
      <c r="X846" s="2" t="s">
        <v>3139</v>
      </c>
      <c r="Y846" s="2" t="s">
        <v>3140</v>
      </c>
      <c r="Z846" s="2">
        <v>0.1</v>
      </c>
      <c r="AA846" s="2" t="s">
        <v>548</v>
      </c>
      <c r="AB846" s="2">
        <v>5.7</v>
      </c>
    </row>
    <row r="847" spans="1:28" x14ac:dyDescent="0.25">
      <c r="A847" s="4">
        <v>46250</v>
      </c>
      <c r="B847" s="8" t="s">
        <v>55</v>
      </c>
      <c r="C847" s="8" t="s">
        <v>56</v>
      </c>
      <c r="D847" s="8" t="s">
        <v>39</v>
      </c>
      <c r="E847" s="8" t="s">
        <v>47</v>
      </c>
      <c r="F847" s="13"/>
      <c r="G847" s="59"/>
      <c r="H847" s="6"/>
      <c r="I847" s="6">
        <f t="shared" si="62"/>
        <v>0</v>
      </c>
      <c r="J847" s="2" t="s">
        <v>548</v>
      </c>
      <c r="K847" s="2" t="s">
        <v>548</v>
      </c>
      <c r="L847" s="2" t="s">
        <v>548</v>
      </c>
      <c r="M847" s="2" t="s">
        <v>45</v>
      </c>
      <c r="N847" s="2" t="s">
        <v>548</v>
      </c>
      <c r="O847" s="56">
        <v>0</v>
      </c>
      <c r="P847" s="2" t="s">
        <v>45</v>
      </c>
      <c r="Q847" s="2" t="s">
        <v>45</v>
      </c>
      <c r="R847" s="2" t="s">
        <v>548</v>
      </c>
      <c r="S847" s="2" t="s">
        <v>548</v>
      </c>
      <c r="T847" s="2" t="s">
        <v>45</v>
      </c>
      <c r="U847" s="2" t="s">
        <v>548</v>
      </c>
      <c r="V847" s="2" t="s">
        <v>45</v>
      </c>
      <c r="W847" s="2">
        <v>9339.7099999999991</v>
      </c>
      <c r="X847" s="2" t="s">
        <v>3103</v>
      </c>
      <c r="Y847" s="2" t="s">
        <v>3104</v>
      </c>
      <c r="Z847" s="2" t="s">
        <v>548</v>
      </c>
      <c r="AA847" s="2" t="s">
        <v>45</v>
      </c>
      <c r="AB847" s="2">
        <v>292.39999999999998</v>
      </c>
    </row>
    <row r="848" spans="1:28" x14ac:dyDescent="0.25">
      <c r="A848" s="4">
        <v>46250</v>
      </c>
      <c r="B848" s="8" t="s">
        <v>55</v>
      </c>
      <c r="C848" s="8" t="s">
        <v>56</v>
      </c>
      <c r="D848" s="8" t="s">
        <v>43</v>
      </c>
      <c r="E848" s="8" t="s">
        <v>47</v>
      </c>
      <c r="F848" s="13"/>
      <c r="G848" s="59"/>
      <c r="H848" s="6"/>
      <c r="I848" s="6">
        <f t="shared" si="62"/>
        <v>0</v>
      </c>
      <c r="J848" s="2" t="s">
        <v>548</v>
      </c>
      <c r="K848" s="2" t="s">
        <v>548</v>
      </c>
      <c r="L848" s="2" t="s">
        <v>548</v>
      </c>
      <c r="M848" s="2" t="s">
        <v>45</v>
      </c>
      <c r="N848" s="2" t="s">
        <v>45</v>
      </c>
      <c r="O848" s="56" t="s">
        <v>45</v>
      </c>
      <c r="P848" s="2" t="s">
        <v>45</v>
      </c>
      <c r="Q848" s="2" t="s">
        <v>45</v>
      </c>
      <c r="R848" s="2" t="s">
        <v>548</v>
      </c>
      <c r="S848" s="2" t="s">
        <v>548</v>
      </c>
      <c r="T848" s="2" t="s">
        <v>45</v>
      </c>
      <c r="U848" s="2" t="s">
        <v>548</v>
      </c>
      <c r="V848" s="2" t="s">
        <v>45</v>
      </c>
      <c r="W848" s="2">
        <v>8936.51</v>
      </c>
      <c r="X848" s="2" t="s">
        <v>45</v>
      </c>
      <c r="Y848" s="2" t="s">
        <v>45</v>
      </c>
      <c r="Z848" s="2" t="s">
        <v>548</v>
      </c>
      <c r="AA848" s="2" t="s">
        <v>45</v>
      </c>
      <c r="AB848" s="2">
        <v>265.8</v>
      </c>
    </row>
    <row r="849" spans="1:28" x14ac:dyDescent="0.25">
      <c r="A849" s="4">
        <v>46250</v>
      </c>
      <c r="B849" s="8" t="s">
        <v>55</v>
      </c>
      <c r="C849" s="8" t="s">
        <v>56</v>
      </c>
      <c r="D849" s="8" t="s">
        <v>67</v>
      </c>
      <c r="E849" s="8" t="s">
        <v>47</v>
      </c>
      <c r="F849" s="13"/>
      <c r="G849" s="59"/>
      <c r="H849" s="6"/>
      <c r="I849" s="6">
        <f t="shared" si="62"/>
        <v>0</v>
      </c>
      <c r="J849" s="2" t="s">
        <v>45</v>
      </c>
      <c r="K849" s="2" t="s">
        <v>45</v>
      </c>
      <c r="L849" s="2" t="s">
        <v>45</v>
      </c>
      <c r="M849" s="2" t="s">
        <v>45</v>
      </c>
      <c r="N849" s="2" t="s">
        <v>45</v>
      </c>
      <c r="O849" s="56" t="s">
        <v>45</v>
      </c>
      <c r="P849" s="2" t="s">
        <v>45</v>
      </c>
      <c r="Q849" s="2" t="s">
        <v>45</v>
      </c>
      <c r="R849" s="2" t="s">
        <v>45</v>
      </c>
      <c r="S849" s="2" t="s">
        <v>45</v>
      </c>
      <c r="T849" s="2" t="s">
        <v>45</v>
      </c>
      <c r="U849" s="2" t="s">
        <v>45</v>
      </c>
      <c r="V849" s="2" t="s">
        <v>45</v>
      </c>
      <c r="W849" s="2" t="s">
        <v>45</v>
      </c>
      <c r="X849" s="2" t="s">
        <v>45</v>
      </c>
      <c r="Y849" s="2" t="s">
        <v>45</v>
      </c>
      <c r="Z849" s="2" t="s">
        <v>45</v>
      </c>
      <c r="AA849" s="2" t="s">
        <v>45</v>
      </c>
      <c r="AB849" s="2" t="s">
        <v>45</v>
      </c>
    </row>
    <row r="850" spans="1:28" x14ac:dyDescent="0.25">
      <c r="A850" s="4">
        <v>46250</v>
      </c>
      <c r="B850" s="8" t="s">
        <v>55</v>
      </c>
      <c r="C850" s="8" t="s">
        <v>56</v>
      </c>
      <c r="D850" s="8" t="s">
        <v>50</v>
      </c>
      <c r="E850" s="8" t="s">
        <v>47</v>
      </c>
      <c r="F850" s="13"/>
      <c r="G850" s="59"/>
      <c r="H850" s="6"/>
      <c r="I850" s="6">
        <f t="shared" si="62"/>
        <v>0</v>
      </c>
      <c r="J850" s="2">
        <v>0.17</v>
      </c>
      <c r="K850" s="2">
        <v>7.0000000000000007E-2</v>
      </c>
      <c r="L850" s="2">
        <v>0.1</v>
      </c>
      <c r="M850" s="2">
        <v>60.31</v>
      </c>
      <c r="N850" s="2" t="s">
        <v>1380</v>
      </c>
      <c r="O850" s="56">
        <v>0</v>
      </c>
      <c r="P850" s="2" t="s">
        <v>1380</v>
      </c>
      <c r="Q850" s="2">
        <v>2.11</v>
      </c>
      <c r="R850" s="2">
        <v>1.89</v>
      </c>
      <c r="S850" s="2">
        <v>0.47</v>
      </c>
      <c r="T850" s="2">
        <v>4.7300000000000004</v>
      </c>
      <c r="U850" s="2">
        <v>1.42</v>
      </c>
      <c r="V850" s="2">
        <v>21.57</v>
      </c>
      <c r="W850" s="2">
        <v>2584.69</v>
      </c>
      <c r="X850" s="2" t="s">
        <v>3112</v>
      </c>
      <c r="Y850" s="2" t="s">
        <v>3113</v>
      </c>
      <c r="Z850" s="2" t="s">
        <v>548</v>
      </c>
      <c r="AA850" s="2" t="s">
        <v>548</v>
      </c>
      <c r="AB850" s="2">
        <v>337.4</v>
      </c>
    </row>
    <row r="851" spans="1:28" x14ac:dyDescent="0.25">
      <c r="A851" s="4">
        <v>46250</v>
      </c>
      <c r="B851" s="8" t="s">
        <v>55</v>
      </c>
      <c r="C851" s="8" t="s">
        <v>56</v>
      </c>
      <c r="D851" s="8" t="s">
        <v>52</v>
      </c>
      <c r="E851" s="8" t="s">
        <v>47</v>
      </c>
      <c r="F851" s="13"/>
      <c r="G851" s="59"/>
      <c r="H851" s="6"/>
      <c r="I851" s="6">
        <f t="shared" si="62"/>
        <v>0</v>
      </c>
      <c r="J851" s="2" t="s">
        <v>45</v>
      </c>
      <c r="K851" s="2" t="s">
        <v>45</v>
      </c>
      <c r="L851" s="2" t="s">
        <v>45</v>
      </c>
      <c r="M851" s="2" t="s">
        <v>45</v>
      </c>
      <c r="N851" s="2" t="s">
        <v>45</v>
      </c>
      <c r="O851" s="56" t="s">
        <v>45</v>
      </c>
      <c r="P851" s="2" t="s">
        <v>45</v>
      </c>
      <c r="Q851" s="2" t="s">
        <v>45</v>
      </c>
      <c r="R851" s="2" t="s">
        <v>45</v>
      </c>
      <c r="S851" s="2" t="s">
        <v>45</v>
      </c>
      <c r="T851" s="2" t="s">
        <v>45</v>
      </c>
      <c r="U851" s="2" t="s">
        <v>45</v>
      </c>
      <c r="V851" s="2" t="s">
        <v>45</v>
      </c>
      <c r="W851" s="2" t="s">
        <v>45</v>
      </c>
      <c r="X851" s="2" t="s">
        <v>45</v>
      </c>
      <c r="Y851" s="2" t="s">
        <v>45</v>
      </c>
      <c r="Z851" s="2" t="s">
        <v>45</v>
      </c>
      <c r="AA851" s="2" t="s">
        <v>45</v>
      </c>
      <c r="AB851" s="2" t="s">
        <v>45</v>
      </c>
    </row>
    <row r="852" spans="1:28" x14ac:dyDescent="0.25">
      <c r="A852" s="4">
        <v>46250</v>
      </c>
      <c r="B852" s="8" t="s">
        <v>55</v>
      </c>
      <c r="C852" s="8" t="s">
        <v>56</v>
      </c>
      <c r="D852" s="7" t="s">
        <v>46</v>
      </c>
      <c r="E852" s="8" t="s">
        <v>47</v>
      </c>
      <c r="F852" s="13"/>
      <c r="G852" s="59"/>
      <c r="H852" s="6"/>
      <c r="I852" s="6">
        <f t="shared" si="62"/>
        <v>0</v>
      </c>
      <c r="J852" s="2" t="s">
        <v>548</v>
      </c>
      <c r="K852" s="2" t="s">
        <v>548</v>
      </c>
      <c r="L852" s="2" t="s">
        <v>548</v>
      </c>
      <c r="M852" s="2" t="s">
        <v>45</v>
      </c>
      <c r="N852" s="2" t="s">
        <v>548</v>
      </c>
      <c r="O852" s="56">
        <v>0</v>
      </c>
      <c r="P852" s="2" t="s">
        <v>45</v>
      </c>
      <c r="Q852" s="2" t="s">
        <v>45</v>
      </c>
      <c r="R852" s="2" t="s">
        <v>548</v>
      </c>
      <c r="S852" s="2" t="s">
        <v>548</v>
      </c>
      <c r="T852" s="2" t="s">
        <v>45</v>
      </c>
      <c r="U852" s="2" t="s">
        <v>548</v>
      </c>
      <c r="V852" s="2" t="s">
        <v>45</v>
      </c>
      <c r="W852" s="2">
        <v>8158.06</v>
      </c>
      <c r="X852" s="2" t="s">
        <v>3127</v>
      </c>
      <c r="Y852" s="2" t="s">
        <v>3128</v>
      </c>
      <c r="Z852" s="2" t="s">
        <v>548</v>
      </c>
      <c r="AA852" s="2" t="s">
        <v>45</v>
      </c>
      <c r="AB852" s="2">
        <v>256.39999999999998</v>
      </c>
    </row>
    <row r="853" spans="1:28" x14ac:dyDescent="0.25">
      <c r="A853" s="4">
        <v>46250</v>
      </c>
      <c r="B853" s="8" t="s">
        <v>55</v>
      </c>
      <c r="C853" s="8" t="s">
        <v>56</v>
      </c>
      <c r="D853" s="8" t="s">
        <v>48</v>
      </c>
      <c r="E853" s="7" t="s">
        <v>38</v>
      </c>
      <c r="F853" s="13"/>
      <c r="G853" s="59"/>
      <c r="H853" s="6"/>
      <c r="I853" s="6">
        <f t="shared" si="62"/>
        <v>0</v>
      </c>
      <c r="J853" s="2" t="s">
        <v>548</v>
      </c>
      <c r="K853" s="2" t="s">
        <v>548</v>
      </c>
      <c r="L853" s="2" t="s">
        <v>548</v>
      </c>
      <c r="M853" s="2" t="s">
        <v>45</v>
      </c>
      <c r="N853" s="2" t="s">
        <v>548</v>
      </c>
      <c r="O853" s="56">
        <v>0</v>
      </c>
      <c r="P853" s="2" t="s">
        <v>45</v>
      </c>
      <c r="Q853" s="2" t="s">
        <v>45</v>
      </c>
      <c r="R853" s="2" t="s">
        <v>548</v>
      </c>
      <c r="S853" s="2" t="s">
        <v>548</v>
      </c>
      <c r="T853" s="2" t="s">
        <v>45</v>
      </c>
      <c r="U853" s="2" t="s">
        <v>548</v>
      </c>
      <c r="V853" s="2" t="s">
        <v>45</v>
      </c>
      <c r="W853" s="2">
        <v>6773.46</v>
      </c>
      <c r="X853" s="2" t="s">
        <v>3133</v>
      </c>
      <c r="Y853" s="2" t="s">
        <v>3134</v>
      </c>
      <c r="Z853" s="2" t="s">
        <v>548</v>
      </c>
      <c r="AA853" s="2" t="s">
        <v>45</v>
      </c>
      <c r="AB853" s="2">
        <v>49.6</v>
      </c>
    </row>
    <row r="854" spans="1:28" x14ac:dyDescent="0.25">
      <c r="A854" s="4">
        <v>46250</v>
      </c>
      <c r="B854" s="8" t="s">
        <v>55</v>
      </c>
      <c r="C854" s="8" t="s">
        <v>56</v>
      </c>
      <c r="D854" s="8" t="s">
        <v>49</v>
      </c>
      <c r="E854" s="8" t="s">
        <v>47</v>
      </c>
      <c r="F854" s="13"/>
      <c r="G854" s="59"/>
      <c r="H854" s="6"/>
      <c r="I854" s="6">
        <f t="shared" si="62"/>
        <v>0</v>
      </c>
      <c r="J854" s="2" t="s">
        <v>45</v>
      </c>
      <c r="K854" s="2" t="s">
        <v>45</v>
      </c>
      <c r="L854" s="2" t="s">
        <v>45</v>
      </c>
      <c r="M854" s="2" t="s">
        <v>45</v>
      </c>
      <c r="N854" s="2" t="s">
        <v>45</v>
      </c>
      <c r="O854" s="56" t="s">
        <v>45</v>
      </c>
      <c r="P854" s="2" t="s">
        <v>45</v>
      </c>
      <c r="Q854" s="2" t="s">
        <v>45</v>
      </c>
      <c r="R854" s="2" t="s">
        <v>45</v>
      </c>
      <c r="S854" s="2" t="s">
        <v>45</v>
      </c>
      <c r="T854" s="2" t="s">
        <v>45</v>
      </c>
      <c r="U854" s="2" t="s">
        <v>45</v>
      </c>
      <c r="V854" s="2" t="s">
        <v>45</v>
      </c>
      <c r="W854" s="2" t="s">
        <v>45</v>
      </c>
      <c r="X854" s="2" t="s">
        <v>45</v>
      </c>
      <c r="Y854" s="2" t="s">
        <v>45</v>
      </c>
      <c r="Z854" s="2" t="s">
        <v>45</v>
      </c>
      <c r="AA854" s="2" t="s">
        <v>45</v>
      </c>
      <c r="AB854" s="2" t="s">
        <v>45</v>
      </c>
    </row>
    <row r="855" spans="1:28" x14ac:dyDescent="0.25">
      <c r="A855" s="2" t="s">
        <v>3145</v>
      </c>
      <c r="B855" s="8" t="s">
        <v>3166</v>
      </c>
      <c r="C855" s="8" t="s">
        <v>36</v>
      </c>
      <c r="D855" s="8" t="s">
        <v>39</v>
      </c>
      <c r="E855" s="8" t="s">
        <v>47</v>
      </c>
      <c r="F855" s="13"/>
      <c r="G855" s="59"/>
      <c r="H855" s="6"/>
      <c r="I855" s="6">
        <f t="shared" si="62"/>
        <v>323.36578581363</v>
      </c>
      <c r="J855" s="2">
        <v>8.2899999999999991</v>
      </c>
      <c r="K855" s="2">
        <v>7.19</v>
      </c>
      <c r="L855" s="2">
        <v>1.1000000000000001</v>
      </c>
      <c r="M855" s="2">
        <v>13.27</v>
      </c>
      <c r="N855" s="2" t="s">
        <v>3146</v>
      </c>
      <c r="O855" s="85">
        <v>2325</v>
      </c>
      <c r="P855" s="2">
        <v>1.21</v>
      </c>
      <c r="Q855" s="2">
        <v>6.99</v>
      </c>
      <c r="R855" s="2">
        <v>138.16999999999999</v>
      </c>
      <c r="S855" s="2">
        <v>4.26</v>
      </c>
      <c r="T855" s="2">
        <v>3.87</v>
      </c>
      <c r="U855" s="2">
        <v>133.91</v>
      </c>
      <c r="V855" s="2">
        <v>18.63</v>
      </c>
      <c r="W855" s="2" t="s">
        <v>3147</v>
      </c>
      <c r="X855" s="2" t="s">
        <v>3148</v>
      </c>
      <c r="Y855" s="2" t="s">
        <v>3149</v>
      </c>
      <c r="Z855" s="2">
        <v>0.4</v>
      </c>
      <c r="AA855" s="2" t="s">
        <v>548</v>
      </c>
      <c r="AB855" s="2">
        <v>292.8</v>
      </c>
    </row>
    <row r="856" spans="1:28" x14ac:dyDescent="0.25">
      <c r="A856" s="2" t="s">
        <v>3145</v>
      </c>
      <c r="B856" s="8" t="s">
        <v>3166</v>
      </c>
      <c r="C856" s="8" t="s">
        <v>36</v>
      </c>
      <c r="D856" s="8" t="s">
        <v>43</v>
      </c>
      <c r="E856" s="8" t="s">
        <v>3144</v>
      </c>
      <c r="F856" s="13"/>
      <c r="G856" s="59"/>
      <c r="H856" s="6"/>
      <c r="I856" s="6">
        <f t="shared" si="62"/>
        <v>0</v>
      </c>
      <c r="J856" s="2">
        <v>2.1800000000000002</v>
      </c>
      <c r="K856" s="2">
        <v>1.48</v>
      </c>
      <c r="L856" s="2">
        <v>0.7</v>
      </c>
      <c r="M856" s="2">
        <v>32.18</v>
      </c>
      <c r="N856" s="2" t="s">
        <v>45</v>
      </c>
      <c r="O856" s="85" t="s">
        <v>45</v>
      </c>
      <c r="P856" s="2" t="s">
        <v>45</v>
      </c>
      <c r="Q856" s="2" t="s">
        <v>45</v>
      </c>
      <c r="R856" s="2">
        <v>29.34</v>
      </c>
      <c r="S856" s="2">
        <v>3.31</v>
      </c>
      <c r="T856" s="2">
        <v>4.7300000000000004</v>
      </c>
      <c r="U856" s="2">
        <v>26.02</v>
      </c>
      <c r="V856" s="2">
        <v>17.64</v>
      </c>
      <c r="W856" s="2">
        <v>8938.68</v>
      </c>
      <c r="X856" s="2" t="s">
        <v>45</v>
      </c>
      <c r="Y856" s="2" t="s">
        <v>45</v>
      </c>
      <c r="Z856" s="2">
        <v>0.2</v>
      </c>
      <c r="AA856" s="2" t="s">
        <v>45</v>
      </c>
      <c r="AB856" s="2" t="s">
        <v>3150</v>
      </c>
    </row>
    <row r="857" spans="1:28" x14ac:dyDescent="0.25">
      <c r="A857" s="2" t="s">
        <v>3145</v>
      </c>
      <c r="B857" s="8" t="s">
        <v>3166</v>
      </c>
      <c r="C857" s="8" t="s">
        <v>36</v>
      </c>
      <c r="D857" s="8" t="s">
        <v>67</v>
      </c>
      <c r="E857" s="8" t="s">
        <v>47</v>
      </c>
      <c r="F857" s="13"/>
      <c r="G857" s="59"/>
      <c r="H857" s="6"/>
      <c r="I857" s="6">
        <f t="shared" si="62"/>
        <v>343.53826850690086</v>
      </c>
      <c r="J857" s="2">
        <v>8.9700000000000006</v>
      </c>
      <c r="K857" s="2">
        <v>7.97</v>
      </c>
      <c r="L857" s="2" t="s">
        <v>1696</v>
      </c>
      <c r="M857" s="2">
        <v>11.15</v>
      </c>
      <c r="N857" s="2" t="s">
        <v>3151</v>
      </c>
      <c r="O857" s="85">
        <v>2738</v>
      </c>
      <c r="P857" s="2">
        <v>2.27</v>
      </c>
      <c r="Q857" s="2">
        <v>19.420000000000002</v>
      </c>
      <c r="R857" s="2">
        <v>141.01</v>
      </c>
      <c r="S857" s="2">
        <v>3.31</v>
      </c>
      <c r="T857" s="2">
        <v>3.31</v>
      </c>
      <c r="U857" s="2">
        <v>137.69</v>
      </c>
      <c r="V857" s="2">
        <v>17.28</v>
      </c>
      <c r="W857" s="2">
        <v>764.96</v>
      </c>
      <c r="X857" s="2" t="s">
        <v>3152</v>
      </c>
      <c r="Y857" s="2" t="s">
        <v>3153</v>
      </c>
      <c r="Z857" s="2" t="s">
        <v>548</v>
      </c>
      <c r="AA857" s="2" t="s">
        <v>548</v>
      </c>
      <c r="AB857" s="2">
        <v>72.3</v>
      </c>
    </row>
    <row r="858" spans="1:28" x14ac:dyDescent="0.25">
      <c r="A858" s="2" t="s">
        <v>3145</v>
      </c>
      <c r="B858" s="8" t="s">
        <v>3166</v>
      </c>
      <c r="C858" s="8" t="s">
        <v>36</v>
      </c>
      <c r="D858" s="8" t="s">
        <v>50</v>
      </c>
      <c r="E858" s="8" t="s">
        <v>47</v>
      </c>
      <c r="F858" s="13"/>
      <c r="G858" s="59"/>
      <c r="H858" s="6"/>
      <c r="I858" s="6">
        <f t="shared" si="62"/>
        <v>365.1605231866825</v>
      </c>
      <c r="J858" s="2">
        <v>9.16</v>
      </c>
      <c r="K858" s="2">
        <v>8.41</v>
      </c>
      <c r="L858" s="2">
        <v>0.75</v>
      </c>
      <c r="M858" s="2">
        <v>8.19</v>
      </c>
      <c r="N858" s="2" t="s">
        <v>2016</v>
      </c>
      <c r="O858" s="85">
        <v>3071</v>
      </c>
      <c r="P858" s="2">
        <v>2.2000000000000002</v>
      </c>
      <c r="Q858" s="2">
        <v>17.45</v>
      </c>
      <c r="R858" s="2">
        <v>176.02</v>
      </c>
      <c r="S858" s="2">
        <v>2.84</v>
      </c>
      <c r="T858" s="2">
        <v>3.79</v>
      </c>
      <c r="U858" s="2">
        <v>173.18</v>
      </c>
      <c r="V858" s="2">
        <v>20.59</v>
      </c>
      <c r="W858" s="2">
        <v>2593.85</v>
      </c>
      <c r="X858" s="2" t="s">
        <v>3154</v>
      </c>
      <c r="Y858" s="2" t="s">
        <v>3155</v>
      </c>
      <c r="Z858" s="2">
        <v>0.1</v>
      </c>
      <c r="AA858" s="2" t="s">
        <v>548</v>
      </c>
      <c r="AB858" s="2">
        <v>337.5</v>
      </c>
    </row>
    <row r="859" spans="1:28" x14ac:dyDescent="0.25">
      <c r="A859" s="2" t="s">
        <v>3145</v>
      </c>
      <c r="B859" s="8" t="s">
        <v>3166</v>
      </c>
      <c r="C859" s="8" t="s">
        <v>36</v>
      </c>
      <c r="D859" s="8" t="s">
        <v>52</v>
      </c>
      <c r="E859" s="8" t="s">
        <v>47</v>
      </c>
      <c r="F859" s="13"/>
      <c r="G859" s="59"/>
      <c r="H859" s="6"/>
      <c r="I859" s="6">
        <f t="shared" si="62"/>
        <v>276.1194029850746</v>
      </c>
      <c r="J859" s="2">
        <v>12.44</v>
      </c>
      <c r="K859" s="2">
        <v>11.39</v>
      </c>
      <c r="L859" s="2">
        <v>1.05</v>
      </c>
      <c r="M859" s="2">
        <v>8.44</v>
      </c>
      <c r="N859" s="2" t="s">
        <v>3156</v>
      </c>
      <c r="O859" s="85">
        <v>3145</v>
      </c>
      <c r="P859" s="2">
        <v>1.82</v>
      </c>
      <c r="Q859" s="2">
        <v>12.88</v>
      </c>
      <c r="R859" s="2">
        <v>244.16</v>
      </c>
      <c r="S859" s="2">
        <v>3.79</v>
      </c>
      <c r="T859" s="2">
        <v>3.61</v>
      </c>
      <c r="U859" s="2">
        <v>240.37</v>
      </c>
      <c r="V859" s="2">
        <v>21.1</v>
      </c>
      <c r="W859" s="2">
        <v>1192.47</v>
      </c>
      <c r="X859" s="2" t="s">
        <v>3157</v>
      </c>
      <c r="Y859" s="2" t="s">
        <v>3158</v>
      </c>
      <c r="Z859" s="2">
        <v>0.1</v>
      </c>
      <c r="AA859" s="2" t="s">
        <v>548</v>
      </c>
      <c r="AB859" s="2">
        <v>121.5</v>
      </c>
    </row>
    <row r="860" spans="1:28" x14ac:dyDescent="0.25">
      <c r="A860" s="2" t="s">
        <v>3145</v>
      </c>
      <c r="B860" s="8" t="s">
        <v>3166</v>
      </c>
      <c r="C860" s="8" t="s">
        <v>36</v>
      </c>
      <c r="D860" s="7" t="s">
        <v>46</v>
      </c>
      <c r="E860" s="8" t="s">
        <v>47</v>
      </c>
      <c r="F860" s="13"/>
      <c r="G860" s="59"/>
      <c r="H860" s="6"/>
      <c r="I860" s="6">
        <f t="shared" si="62"/>
        <v>344.45479962721339</v>
      </c>
      <c r="J860" s="2">
        <v>12.88</v>
      </c>
      <c r="K860" s="2">
        <v>10.73</v>
      </c>
      <c r="L860" s="2">
        <v>2.15</v>
      </c>
      <c r="M860" s="2">
        <v>16.7</v>
      </c>
      <c r="N860" s="2" t="s">
        <v>3129</v>
      </c>
      <c r="O860" s="85">
        <v>3696</v>
      </c>
      <c r="P860" s="2">
        <v>2.86</v>
      </c>
      <c r="Q860" s="2">
        <v>11.45</v>
      </c>
      <c r="R860" s="2">
        <v>322.70999999999998</v>
      </c>
      <c r="S860" s="2">
        <v>12.3</v>
      </c>
      <c r="T860" s="2">
        <v>5.72</v>
      </c>
      <c r="U860" s="2">
        <v>310.39999999999998</v>
      </c>
      <c r="V860" s="2">
        <v>28.94</v>
      </c>
      <c r="W860" s="2">
        <v>8170.94</v>
      </c>
      <c r="X860" s="2" t="s">
        <v>3159</v>
      </c>
      <c r="Y860" s="2" t="s">
        <v>3160</v>
      </c>
      <c r="Z860" s="2" t="s">
        <v>548</v>
      </c>
      <c r="AA860" s="2" t="s">
        <v>548</v>
      </c>
      <c r="AB860" s="2">
        <v>256.39999999999998</v>
      </c>
    </row>
    <row r="861" spans="1:28" x14ac:dyDescent="0.25">
      <c r="A861" s="2" t="s">
        <v>3145</v>
      </c>
      <c r="B861" s="8" t="s">
        <v>3166</v>
      </c>
      <c r="C861" s="8" t="s">
        <v>36</v>
      </c>
      <c r="D861" s="8" t="s">
        <v>48</v>
      </c>
      <c r="E861" s="7" t="s">
        <v>38</v>
      </c>
      <c r="F861" s="13">
        <v>3194</v>
      </c>
      <c r="G861" s="59"/>
      <c r="H861" s="6"/>
      <c r="I861" s="6">
        <f t="shared" si="62"/>
        <v>567.97546012269936</v>
      </c>
      <c r="J861" s="2">
        <v>9.1999999999999993</v>
      </c>
      <c r="K861" s="2">
        <v>8.15</v>
      </c>
      <c r="L861" s="2">
        <v>1.05</v>
      </c>
      <c r="M861" s="2">
        <v>11.42</v>
      </c>
      <c r="N861" s="2" t="s">
        <v>898</v>
      </c>
      <c r="O861" s="85">
        <v>4629</v>
      </c>
      <c r="P861" s="2">
        <v>4.5</v>
      </c>
      <c r="Q861" s="2">
        <v>14.67</v>
      </c>
      <c r="R861" s="2">
        <v>315.61</v>
      </c>
      <c r="S861" s="2">
        <v>6.15</v>
      </c>
      <c r="T861" s="2">
        <v>5.86</v>
      </c>
      <c r="U861" s="2">
        <v>309.45999999999998</v>
      </c>
      <c r="V861" s="2">
        <v>37.979999999999997</v>
      </c>
      <c r="W861" s="2">
        <v>6782.66</v>
      </c>
      <c r="X861" s="2" t="s">
        <v>3161</v>
      </c>
      <c r="Y861" s="2" t="s">
        <v>3162</v>
      </c>
      <c r="Z861" s="2">
        <v>0.1</v>
      </c>
      <c r="AA861" s="2" t="s">
        <v>548</v>
      </c>
      <c r="AB861" s="2">
        <v>49.7</v>
      </c>
    </row>
    <row r="862" spans="1:28" x14ac:dyDescent="0.25">
      <c r="A862" s="2" t="s">
        <v>3145</v>
      </c>
      <c r="B862" s="8" t="s">
        <v>3166</v>
      </c>
      <c r="C862" s="8" t="s">
        <v>36</v>
      </c>
      <c r="D862" s="8" t="s">
        <v>49</v>
      </c>
      <c r="E862" s="8" t="s">
        <v>47</v>
      </c>
      <c r="F862" s="13"/>
      <c r="G862" s="59"/>
      <c r="H862" s="6"/>
      <c r="I862" s="6">
        <f t="shared" si="62"/>
        <v>178.79256965944273</v>
      </c>
      <c r="J862" s="2">
        <v>8.61</v>
      </c>
      <c r="K862" s="2">
        <v>6.46</v>
      </c>
      <c r="L862" s="2">
        <v>2.15</v>
      </c>
      <c r="M862" s="2">
        <v>24.98</v>
      </c>
      <c r="N862" s="2" t="s">
        <v>3163</v>
      </c>
      <c r="O862" s="85">
        <f>2205-1050</f>
        <v>1155</v>
      </c>
      <c r="P862" s="2">
        <v>3.04</v>
      </c>
      <c r="Q862" s="2">
        <v>8.86</v>
      </c>
      <c r="R862" s="2">
        <v>248.89</v>
      </c>
      <c r="S862" s="2">
        <v>9.4600000000000009</v>
      </c>
      <c r="T862" s="2">
        <v>4.4000000000000004</v>
      </c>
      <c r="U862" s="2">
        <v>239.43</v>
      </c>
      <c r="V862" s="2">
        <v>37.07</v>
      </c>
      <c r="W862" s="2">
        <v>2112.6999999999998</v>
      </c>
      <c r="X862" s="2" t="s">
        <v>3164</v>
      </c>
      <c r="Y862" s="2" t="s">
        <v>3165</v>
      </c>
      <c r="Z862" s="2" t="s">
        <v>548</v>
      </c>
      <c r="AA862" s="2" t="s">
        <v>548</v>
      </c>
      <c r="AB862" s="2">
        <v>5.7</v>
      </c>
    </row>
    <row r="863" spans="1:28" x14ac:dyDescent="0.25">
      <c r="A863" s="2" t="s">
        <v>3145</v>
      </c>
      <c r="B863" s="8" t="s">
        <v>3166</v>
      </c>
      <c r="C863" s="8" t="s">
        <v>36</v>
      </c>
      <c r="D863" s="8" t="s">
        <v>49</v>
      </c>
      <c r="E863" s="8" t="s">
        <v>61</v>
      </c>
      <c r="F863" s="13"/>
      <c r="G863" s="59"/>
      <c r="H863" s="6"/>
      <c r="I863" s="6">
        <f t="shared" ref="I863" si="65">IFERROR(O863/K863,)</f>
        <v>0</v>
      </c>
      <c r="J863" s="2"/>
      <c r="K863" s="2"/>
      <c r="L863" s="2"/>
      <c r="M863" s="2"/>
      <c r="N863" s="2"/>
      <c r="O863" s="85">
        <f>42*25</f>
        <v>1050</v>
      </c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</sheetData>
  <autoFilter ref="A4:AB811" xr:uid="{00000000-0001-0000-0000-000000000000}">
    <sortState xmlns:xlrd2="http://schemas.microsoft.com/office/spreadsheetml/2017/richdata2" ref="A5:AB854">
      <sortCondition ref="A4:A811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2"/>
  <sheetViews>
    <sheetView topLeftCell="H1" zoomScale="90" zoomScaleNormal="90" workbookViewId="0">
      <selection activeCell="R18" sqref="R18"/>
    </sheetView>
  </sheetViews>
  <sheetFormatPr defaultRowHeight="12.75" x14ac:dyDescent="0.2"/>
  <cols>
    <col min="1" max="1" width="16.7109375" bestFit="1" customWidth="1"/>
    <col min="2" max="2" width="19.28515625" bestFit="1" customWidth="1"/>
    <col min="3" max="3" width="22.7109375" bestFit="1" customWidth="1"/>
    <col min="4" max="5" width="17.7109375" bestFit="1" customWidth="1"/>
    <col min="6" max="6" width="9.5703125" bestFit="1" customWidth="1"/>
    <col min="7" max="7" width="16.28515625" bestFit="1" customWidth="1"/>
    <col min="17" max="17" width="16.7109375" bestFit="1" customWidth="1"/>
    <col min="18" max="18" width="21.42578125" bestFit="1" customWidth="1"/>
    <col min="19" max="19" width="18.140625" bestFit="1" customWidth="1"/>
    <col min="20" max="20" width="19.5703125" bestFit="1" customWidth="1"/>
  </cols>
  <sheetData>
    <row r="1" spans="1:20" x14ac:dyDescent="0.2">
      <c r="Q1" s="9" t="s">
        <v>3011</v>
      </c>
      <c r="R1" t="s">
        <v>3012</v>
      </c>
      <c r="S1" t="s">
        <v>3013</v>
      </c>
      <c r="T1" t="s">
        <v>3014</v>
      </c>
    </row>
    <row r="2" spans="1:20" x14ac:dyDescent="0.2">
      <c r="Q2" s="18" t="s">
        <v>1827</v>
      </c>
      <c r="R2" s="19">
        <v>21413</v>
      </c>
      <c r="S2" s="19">
        <v>24000</v>
      </c>
      <c r="T2" s="19">
        <v>17022</v>
      </c>
    </row>
    <row r="3" spans="1:20" x14ac:dyDescent="0.2">
      <c r="A3" s="9" t="s">
        <v>3011</v>
      </c>
      <c r="B3" s="15" t="s">
        <v>3013</v>
      </c>
      <c r="C3" s="15" t="s">
        <v>3012</v>
      </c>
      <c r="D3" t="s">
        <v>3015</v>
      </c>
      <c r="Q3" s="18" t="s">
        <v>2254</v>
      </c>
      <c r="R3" s="19">
        <v>23332</v>
      </c>
      <c r="S3" s="19">
        <v>23999.999999999996</v>
      </c>
      <c r="T3" s="19">
        <v>17642</v>
      </c>
    </row>
    <row r="4" spans="1:20" x14ac:dyDescent="0.2">
      <c r="A4" s="10" t="s">
        <v>2974</v>
      </c>
      <c r="B4" s="15">
        <v>90000.000000000015</v>
      </c>
      <c r="C4" s="15">
        <v>61676</v>
      </c>
      <c r="D4">
        <v>35</v>
      </c>
      <c r="Q4" s="18" t="s">
        <v>2681</v>
      </c>
      <c r="R4" s="19">
        <v>37834</v>
      </c>
      <c r="S4" s="19">
        <v>23999.999999999996</v>
      </c>
      <c r="T4" s="19">
        <v>29549</v>
      </c>
    </row>
    <row r="5" spans="1:20" x14ac:dyDescent="0.2">
      <c r="A5" s="11" t="s">
        <v>47</v>
      </c>
      <c r="B5" s="15">
        <v>90000.000000000015</v>
      </c>
      <c r="C5" s="15">
        <v>61676</v>
      </c>
      <c r="D5">
        <v>35</v>
      </c>
      <c r="Q5" s="18" t="s">
        <v>2974</v>
      </c>
      <c r="R5" s="19">
        <v>28356</v>
      </c>
      <c r="S5" s="19">
        <v>24000</v>
      </c>
      <c r="T5" s="19">
        <v>24262</v>
      </c>
    </row>
    <row r="6" spans="1:20" x14ac:dyDescent="0.2">
      <c r="A6" s="12">
        <v>46249</v>
      </c>
      <c r="B6" s="15">
        <v>15000</v>
      </c>
      <c r="C6" s="15">
        <v>10018</v>
      </c>
      <c r="D6">
        <v>5</v>
      </c>
      <c r="Q6" s="18" t="s">
        <v>3016</v>
      </c>
      <c r="R6" s="19">
        <v>110935</v>
      </c>
      <c r="S6" s="19">
        <v>96000</v>
      </c>
      <c r="T6" s="19">
        <v>88475</v>
      </c>
    </row>
    <row r="7" spans="1:20" x14ac:dyDescent="0.2">
      <c r="A7" s="12">
        <v>46248</v>
      </c>
      <c r="B7" s="15">
        <v>15000</v>
      </c>
      <c r="C7" s="15">
        <v>12349</v>
      </c>
      <c r="D7">
        <v>6</v>
      </c>
    </row>
    <row r="8" spans="1:20" x14ac:dyDescent="0.2">
      <c r="A8" s="12">
        <v>46247</v>
      </c>
      <c r="B8" s="15">
        <v>15000</v>
      </c>
      <c r="C8" s="15">
        <v>12708</v>
      </c>
      <c r="D8">
        <v>6</v>
      </c>
    </row>
    <row r="9" spans="1:20" x14ac:dyDescent="0.2">
      <c r="A9" s="12">
        <v>46246</v>
      </c>
      <c r="B9" s="15">
        <v>15000</v>
      </c>
      <c r="C9" s="15">
        <v>12153</v>
      </c>
      <c r="D9">
        <v>6</v>
      </c>
    </row>
    <row r="10" spans="1:20" x14ac:dyDescent="0.2">
      <c r="A10" s="12">
        <v>46245</v>
      </c>
      <c r="B10" s="15">
        <v>15000</v>
      </c>
      <c r="C10" s="15">
        <v>5587</v>
      </c>
      <c r="D10">
        <v>5</v>
      </c>
    </row>
    <row r="11" spans="1:20" x14ac:dyDescent="0.2">
      <c r="A11" s="12">
        <v>46244</v>
      </c>
      <c r="B11" s="15">
        <v>15000</v>
      </c>
      <c r="C11" s="15">
        <v>8861</v>
      </c>
      <c r="D11">
        <v>7</v>
      </c>
    </row>
    <row r="12" spans="1:20" hidden="1" x14ac:dyDescent="0.2">
      <c r="A12" s="10" t="s">
        <v>3016</v>
      </c>
      <c r="B12" s="15">
        <v>90000.000000000015</v>
      </c>
      <c r="C12" s="15">
        <v>61676</v>
      </c>
      <c r="D12">
        <v>35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2.75" x14ac:dyDescent="0.2"/>
  <cols>
    <col min="1" max="1" width="16.28515625" bestFit="1" customWidth="1"/>
    <col min="2" max="2" width="17.42578125" bestFit="1" customWidth="1"/>
    <col min="3" max="3" width="19" bestFit="1" customWidth="1"/>
    <col min="4" max="4" width="3.85546875" bestFit="1" customWidth="1"/>
    <col min="5" max="5" width="9.42578125" bestFit="1" customWidth="1"/>
    <col min="15" max="15" width="16.28515625" bestFit="1" customWidth="1"/>
    <col min="16" max="16" width="17.42578125" bestFit="1" customWidth="1"/>
    <col min="17" max="17" width="19" bestFit="1" customWidth="1"/>
  </cols>
  <sheetData>
    <row r="3" spans="1:17" x14ac:dyDescent="0.2">
      <c r="A3" s="9" t="s">
        <v>3011</v>
      </c>
      <c r="B3" t="s">
        <v>3013</v>
      </c>
      <c r="C3" t="s">
        <v>3017</v>
      </c>
      <c r="O3" s="9" t="s">
        <v>3011</v>
      </c>
      <c r="P3" t="s">
        <v>3013</v>
      </c>
      <c r="Q3" t="s">
        <v>3017</v>
      </c>
    </row>
    <row r="4" spans="1:17" x14ac:dyDescent="0.2">
      <c r="A4" s="10" t="s">
        <v>62</v>
      </c>
      <c r="B4" s="52">
        <v>12</v>
      </c>
      <c r="C4" s="52">
        <v>13.446791486291486</v>
      </c>
      <c r="O4" s="10" t="s">
        <v>35</v>
      </c>
      <c r="P4">
        <v>12</v>
      </c>
      <c r="Q4">
        <v>8.4977777777777774</v>
      </c>
    </row>
    <row r="5" spans="1:17" x14ac:dyDescent="0.2">
      <c r="A5" s="55">
        <v>46167</v>
      </c>
      <c r="B5" s="52">
        <v>2</v>
      </c>
      <c r="C5" s="52">
        <v>3.2472222222222222</v>
      </c>
      <c r="O5" s="10" t="s">
        <v>57</v>
      </c>
      <c r="P5">
        <v>12</v>
      </c>
      <c r="Q5">
        <v>6.1769166666666671</v>
      </c>
    </row>
    <row r="6" spans="1:17" x14ac:dyDescent="0.2">
      <c r="A6" s="55">
        <v>46168</v>
      </c>
      <c r="B6" s="52">
        <v>2</v>
      </c>
      <c r="C6" s="52">
        <v>2.375</v>
      </c>
      <c r="O6" s="10" t="s">
        <v>58</v>
      </c>
      <c r="P6">
        <v>12</v>
      </c>
      <c r="Q6">
        <v>7.8098349673202616</v>
      </c>
    </row>
    <row r="7" spans="1:17" x14ac:dyDescent="0.2">
      <c r="A7" s="55">
        <v>46169</v>
      </c>
      <c r="B7" s="52">
        <v>2</v>
      </c>
      <c r="C7" s="52">
        <v>1.83125</v>
      </c>
      <c r="O7" s="10" t="s">
        <v>62</v>
      </c>
      <c r="P7">
        <v>12</v>
      </c>
      <c r="Q7">
        <v>13.446791486291486</v>
      </c>
    </row>
    <row r="8" spans="1:17" x14ac:dyDescent="0.2">
      <c r="A8" s="55">
        <v>46170</v>
      </c>
      <c r="B8" s="52">
        <v>2</v>
      </c>
      <c r="C8" s="52">
        <v>2.2142500000000003</v>
      </c>
      <c r="O8" s="10" t="s">
        <v>3018</v>
      </c>
    </row>
    <row r="9" spans="1:17" x14ac:dyDescent="0.2">
      <c r="A9" s="55">
        <v>46171</v>
      </c>
      <c r="B9" s="52">
        <v>2</v>
      </c>
      <c r="C9" s="52">
        <v>2.0195454545454545</v>
      </c>
      <c r="O9" s="10" t="s">
        <v>3016</v>
      </c>
      <c r="P9">
        <v>48</v>
      </c>
      <c r="Q9">
        <v>35.931320898056192</v>
      </c>
    </row>
    <row r="10" spans="1:17" x14ac:dyDescent="0.2">
      <c r="A10" s="55">
        <v>46172</v>
      </c>
      <c r="B10" s="52">
        <v>2</v>
      </c>
      <c r="C10" s="52">
        <v>1.7595238095238097</v>
      </c>
    </row>
    <row r="11" spans="1:17" x14ac:dyDescent="0.2">
      <c r="A11" s="10" t="s">
        <v>3016</v>
      </c>
      <c r="B11" s="52">
        <v>12</v>
      </c>
      <c r="C11" s="52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2.75" x14ac:dyDescent="0.2"/>
  <cols>
    <col min="6" max="6" width="9.85546875" style="17" bestFit="1" customWidth="1"/>
    <col min="7" max="7" width="9" style="17" bestFit="1" customWidth="1"/>
    <col min="8" max="8" width="9.7109375" style="17" bestFit="1" customWidth="1"/>
    <col min="9" max="9" width="7.5703125" style="17" bestFit="1" customWidth="1"/>
    <col min="10" max="10" width="11.7109375" style="17" bestFit="1" customWidth="1"/>
    <col min="11" max="11" width="10.28515625" customWidth="1"/>
  </cols>
  <sheetData>
    <row r="3" spans="6:11" x14ac:dyDescent="0.2">
      <c r="F3" s="17" t="s">
        <v>3019</v>
      </c>
      <c r="G3" s="17" t="s">
        <v>3020</v>
      </c>
      <c r="H3" s="17" t="s">
        <v>3021</v>
      </c>
      <c r="I3" s="17" t="s">
        <v>3022</v>
      </c>
      <c r="J3" s="17" t="s">
        <v>3023</v>
      </c>
      <c r="K3" s="17" t="s">
        <v>3024</v>
      </c>
    </row>
    <row r="4" spans="6:11" x14ac:dyDescent="0.2">
      <c r="F4" s="17">
        <v>99</v>
      </c>
      <c r="G4" s="17">
        <v>101</v>
      </c>
      <c r="H4" s="17">
        <v>96</v>
      </c>
      <c r="I4" s="17">
        <v>97</v>
      </c>
      <c r="J4" s="17" t="s">
        <v>3025</v>
      </c>
    </row>
    <row r="5" spans="6:11" x14ac:dyDescent="0.2">
      <c r="F5" s="17">
        <v>116</v>
      </c>
      <c r="H5" s="17">
        <v>110</v>
      </c>
      <c r="J5" s="17" t="s">
        <v>3026</v>
      </c>
    </row>
    <row r="6" spans="6:11" x14ac:dyDescent="0.2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2.75" x14ac:dyDescent="0.2"/>
  <cols>
    <col min="1" max="1" width="23.140625" customWidth="1"/>
    <col min="2" max="4" width="12.28515625" customWidth="1"/>
    <col min="5" max="5" width="14.28515625" customWidth="1"/>
    <col min="6" max="6" width="19.42578125" style="24" customWidth="1"/>
    <col min="8" max="8" width="20.7109375" customWidth="1"/>
    <col min="9" max="13" width="9.5703125" customWidth="1"/>
    <col min="15" max="15" width="10.5703125" bestFit="1" customWidth="1"/>
    <col min="16" max="16" width="11.7109375" customWidth="1"/>
    <col min="17" max="17" width="10.140625" customWidth="1"/>
  </cols>
  <sheetData>
    <row r="1" spans="1:17" ht="18.75" x14ac:dyDescent="0.3">
      <c r="A1" s="30"/>
    </row>
    <row r="2" spans="1:17" ht="18.75" x14ac:dyDescent="0.3">
      <c r="A2" s="30"/>
      <c r="O2" s="33" t="s">
        <v>3027</v>
      </c>
    </row>
    <row r="3" spans="1:17" x14ac:dyDescent="0.2">
      <c r="A3" s="25" t="s">
        <v>7</v>
      </c>
      <c r="B3" s="25" t="s">
        <v>3028</v>
      </c>
      <c r="C3" s="25" t="s">
        <v>3029</v>
      </c>
      <c r="D3" s="25" t="s">
        <v>3030</v>
      </c>
      <c r="E3" s="25" t="s">
        <v>3031</v>
      </c>
      <c r="F3" s="25" t="s">
        <v>3032</v>
      </c>
      <c r="H3" s="22" t="s">
        <v>3032</v>
      </c>
      <c r="I3" s="22" t="s">
        <v>3028</v>
      </c>
      <c r="J3" s="22" t="s">
        <v>3029</v>
      </c>
      <c r="K3" s="22" t="s">
        <v>3031</v>
      </c>
      <c r="L3" s="22" t="s">
        <v>3033</v>
      </c>
      <c r="M3" s="25" t="s">
        <v>3034</v>
      </c>
      <c r="O3" s="25" t="s">
        <v>7</v>
      </c>
      <c r="P3" s="25" t="s">
        <v>3031</v>
      </c>
      <c r="Q3" s="25" t="s">
        <v>14</v>
      </c>
    </row>
    <row r="4" spans="1:17" x14ac:dyDescent="0.2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3035</v>
      </c>
      <c r="H4" s="28" t="s">
        <v>3035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 x14ac:dyDescent="0.2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3035</v>
      </c>
      <c r="H5" s="28" t="s">
        <v>3036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 x14ac:dyDescent="0.2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3035</v>
      </c>
      <c r="H6" s="28" t="s">
        <v>3037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 x14ac:dyDescent="0.2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3035</v>
      </c>
      <c r="H7" s="28" t="s">
        <v>3038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 x14ac:dyDescent="0.2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3035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 x14ac:dyDescent="0.2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3035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 x14ac:dyDescent="0.2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3035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 x14ac:dyDescent="0.2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3035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 x14ac:dyDescent="0.2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3035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 x14ac:dyDescent="0.2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3035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 x14ac:dyDescent="0.2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3036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 x14ac:dyDescent="0.2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3036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 x14ac:dyDescent="0.2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3036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 x14ac:dyDescent="0.2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3036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 x14ac:dyDescent="0.2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3036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 x14ac:dyDescent="0.2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3036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 x14ac:dyDescent="0.2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3036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 x14ac:dyDescent="0.2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3037</v>
      </c>
    </row>
    <row r="22" spans="1:17" x14ac:dyDescent="0.2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3037</v>
      </c>
    </row>
    <row r="23" spans="1:17" x14ac:dyDescent="0.2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3037</v>
      </c>
    </row>
    <row r="24" spans="1:17" x14ac:dyDescent="0.2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3037</v>
      </c>
    </row>
    <row r="25" spans="1:17" x14ac:dyDescent="0.2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3037</v>
      </c>
    </row>
    <row r="26" spans="1:17" x14ac:dyDescent="0.2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3037</v>
      </c>
    </row>
    <row r="27" spans="1:17" x14ac:dyDescent="0.2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3037</v>
      </c>
    </row>
    <row r="28" spans="1:17" x14ac:dyDescent="0.2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3037</v>
      </c>
    </row>
    <row r="29" spans="1:17" x14ac:dyDescent="0.2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3037</v>
      </c>
    </row>
    <row r="30" spans="1:17" x14ac:dyDescent="0.2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3037</v>
      </c>
    </row>
    <row r="31" spans="1:17" x14ac:dyDescent="0.2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3037</v>
      </c>
    </row>
    <row r="32" spans="1:17" x14ac:dyDescent="0.2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3037</v>
      </c>
    </row>
    <row r="33" spans="1:10" x14ac:dyDescent="0.2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3037</v>
      </c>
    </row>
    <row r="34" spans="1:10" x14ac:dyDescent="0.2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3038</v>
      </c>
    </row>
    <row r="35" spans="1:10" x14ac:dyDescent="0.2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3038</v>
      </c>
      <c r="I35" s="26"/>
      <c r="J35" s="26"/>
    </row>
    <row r="36" spans="1:10" x14ac:dyDescent="0.2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3038</v>
      </c>
    </row>
    <row r="37" spans="1:10" x14ac:dyDescent="0.2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3038</v>
      </c>
    </row>
    <row r="38" spans="1:10" x14ac:dyDescent="0.2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3038</v>
      </c>
    </row>
    <row r="39" spans="1:10" x14ac:dyDescent="0.2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3038</v>
      </c>
    </row>
    <row r="40" spans="1:10" x14ac:dyDescent="0.2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3038</v>
      </c>
    </row>
    <row r="41" spans="1:10" x14ac:dyDescent="0.2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3038</v>
      </c>
    </row>
    <row r="42" spans="1:10" x14ac:dyDescent="0.2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3038</v>
      </c>
    </row>
    <row r="43" spans="1:10" x14ac:dyDescent="0.2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3038</v>
      </c>
    </row>
    <row r="44" spans="1:10" x14ac:dyDescent="0.2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3038</v>
      </c>
    </row>
    <row r="45" spans="1:10" x14ac:dyDescent="0.2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3038</v>
      </c>
    </row>
    <row r="46" spans="1:10" x14ac:dyDescent="0.2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3038</v>
      </c>
    </row>
    <row r="47" spans="1:10" x14ac:dyDescent="0.2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3038</v>
      </c>
    </row>
    <row r="48" spans="1:10" x14ac:dyDescent="0.2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3038</v>
      </c>
    </row>
    <row r="49" spans="1:6" x14ac:dyDescent="0.2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3038</v>
      </c>
    </row>
    <row r="50" spans="1:6" x14ac:dyDescent="0.2">
      <c r="A50" s="84" t="s">
        <v>3039</v>
      </c>
      <c r="B50" s="84"/>
      <c r="C50" s="84"/>
      <c r="E50" s="23">
        <f>SUM(E4:E49)</f>
        <v>12900</v>
      </c>
    </row>
    <row r="56" spans="1:6" ht="15.75" x14ac:dyDescent="0.25">
      <c r="A56" s="34" t="s">
        <v>3040</v>
      </c>
    </row>
    <row r="57" spans="1:6" ht="25.5" x14ac:dyDescent="0.2">
      <c r="A57" s="35" t="s">
        <v>3041</v>
      </c>
      <c r="B57" s="36" t="s">
        <v>3042</v>
      </c>
      <c r="C57" s="36" t="s">
        <v>3043</v>
      </c>
      <c r="D57" s="36" t="s">
        <v>3044</v>
      </c>
    </row>
    <row r="58" spans="1:6" x14ac:dyDescent="0.2">
      <c r="A58" s="40" t="s">
        <v>3045</v>
      </c>
      <c r="B58" s="37">
        <v>108384.01</v>
      </c>
      <c r="C58" s="37"/>
      <c r="D58" s="37">
        <v>108384.01</v>
      </c>
    </row>
    <row r="59" spans="1:6" x14ac:dyDescent="0.2">
      <c r="A59" s="40" t="s">
        <v>3046</v>
      </c>
      <c r="B59" s="37">
        <v>226208.87299999999</v>
      </c>
      <c r="C59" s="37"/>
      <c r="D59" s="37">
        <v>226208.87299999999</v>
      </c>
    </row>
    <row r="60" spans="1:6" x14ac:dyDescent="0.2">
      <c r="A60" s="40" t="s">
        <v>3047</v>
      </c>
      <c r="B60" s="37">
        <f>185.64+208.48</f>
        <v>394.12</v>
      </c>
      <c r="C60" s="37"/>
      <c r="D60" s="37">
        <f>185.64+208.48</f>
        <v>394.12</v>
      </c>
    </row>
    <row r="61" spans="1:6" x14ac:dyDescent="0.2">
      <c r="A61" s="40" t="s">
        <v>3048</v>
      </c>
      <c r="B61" s="37">
        <f>418.45+517.43</f>
        <v>935.87999999999988</v>
      </c>
      <c r="C61" s="37"/>
      <c r="D61" s="37">
        <f>418.45+517.43</f>
        <v>935.87999999999988</v>
      </c>
    </row>
    <row r="62" spans="1:6" x14ac:dyDescent="0.2">
      <c r="A62" s="40" t="s">
        <v>3049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 x14ac:dyDescent="0.2">
      <c r="A63" s="40" t="s">
        <v>3050</v>
      </c>
      <c r="B63" s="37">
        <v>23784.219000000001</v>
      </c>
      <c r="C63" s="37"/>
      <c r="D63" s="37">
        <v>23784.219000000001</v>
      </c>
    </row>
    <row r="64" spans="1:6" x14ac:dyDescent="0.2">
      <c r="A64" s="40" t="s">
        <v>3051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 x14ac:dyDescent="0.2">
      <c r="A65" s="40" t="s">
        <v>3052</v>
      </c>
      <c r="B65" s="37">
        <v>23860.793000000001</v>
      </c>
      <c r="C65" s="37"/>
      <c r="D65" s="37"/>
    </row>
    <row r="66" spans="1:4" x14ac:dyDescent="0.2">
      <c r="A66" s="40" t="s">
        <v>3053</v>
      </c>
      <c r="B66" s="37">
        <v>1344.431</v>
      </c>
      <c r="C66" s="37"/>
      <c r="D66" s="37"/>
    </row>
    <row r="67" spans="1:4" x14ac:dyDescent="0.2">
      <c r="A67" s="38" t="s">
        <v>3039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2.75" x14ac:dyDescent="0.2"/>
  <cols>
    <col min="1" max="1" width="5.42578125" customWidth="1"/>
    <col min="2" max="2" width="10.42578125" style="24" bestFit="1" customWidth="1"/>
    <col min="3" max="3" width="7.140625" style="24" bestFit="1" customWidth="1"/>
    <col min="4" max="4" width="13.140625" style="46" bestFit="1" customWidth="1"/>
    <col min="5" max="5" width="11.42578125" style="46" bestFit="1" customWidth="1"/>
    <col min="6" max="6" width="15" style="46" bestFit="1" customWidth="1"/>
    <col min="7" max="8" width="15" style="46" customWidth="1"/>
    <col min="9" max="9" width="8.140625" style="46" bestFit="1" customWidth="1"/>
    <col min="10" max="10" width="16" style="46" bestFit="1" customWidth="1"/>
    <col min="11" max="11" width="14" style="46" bestFit="1" customWidth="1"/>
    <col min="12" max="12" width="10.42578125" bestFit="1" customWidth="1"/>
  </cols>
  <sheetData>
    <row r="2" spans="2:12" x14ac:dyDescent="0.2">
      <c r="B2" s="47" t="s">
        <v>7</v>
      </c>
      <c r="C2" s="47" t="s">
        <v>8</v>
      </c>
      <c r="D2" s="48" t="s">
        <v>3054</v>
      </c>
      <c r="E2" s="48" t="s">
        <v>3055</v>
      </c>
      <c r="F2" s="48" t="s">
        <v>3056</v>
      </c>
      <c r="G2" s="48" t="s">
        <v>3057</v>
      </c>
      <c r="H2" s="48" t="s">
        <v>3058</v>
      </c>
      <c r="I2" s="48" t="s">
        <v>3059</v>
      </c>
      <c r="J2" s="48" t="s">
        <v>3060</v>
      </c>
      <c r="K2" s="48" t="s">
        <v>3061</v>
      </c>
      <c r="L2" s="48" t="s">
        <v>14</v>
      </c>
    </row>
    <row r="3" spans="2:12" x14ac:dyDescent="0.2">
      <c r="B3" s="49">
        <v>46160</v>
      </c>
      <c r="C3" s="49" t="s">
        <v>58</v>
      </c>
      <c r="D3" s="48">
        <v>4602</v>
      </c>
      <c r="E3" s="48">
        <v>3</v>
      </c>
      <c r="F3" s="48">
        <v>19</v>
      </c>
      <c r="G3" s="48">
        <v>2</v>
      </c>
      <c r="H3" s="48">
        <f>F3-G3</f>
        <v>17</v>
      </c>
      <c r="I3" s="48">
        <f>D3/H3</f>
        <v>270.70588235294116</v>
      </c>
      <c r="J3" s="48">
        <f>I3/25</f>
        <v>10.828235294117647</v>
      </c>
      <c r="K3" s="50">
        <f>J3/8</f>
        <v>1.3535294117647059</v>
      </c>
      <c r="L3" s="50">
        <v>2</v>
      </c>
    </row>
    <row r="4" spans="2:12" x14ac:dyDescent="0.2">
      <c r="B4" s="49">
        <v>46161</v>
      </c>
      <c r="C4" s="49" t="s">
        <v>58</v>
      </c>
      <c r="D4" s="48">
        <v>4601</v>
      </c>
      <c r="E4" s="48">
        <v>3</v>
      </c>
      <c r="F4" s="48">
        <v>20</v>
      </c>
      <c r="G4" s="48">
        <v>2</v>
      </c>
      <c r="H4" s="48">
        <f t="shared" ref="H4:H25" si="0">F4-G4</f>
        <v>18</v>
      </c>
      <c r="I4" s="48">
        <f t="shared" ref="I4:I25" si="1">D4/H4</f>
        <v>255.61111111111111</v>
      </c>
      <c r="J4" s="48">
        <f t="shared" ref="J4:J7" si="2">I4/25</f>
        <v>10.224444444444444</v>
      </c>
      <c r="K4" s="50">
        <f t="shared" ref="K4:K25" si="3">J4/8</f>
        <v>1.2780555555555555</v>
      </c>
      <c r="L4" s="50">
        <v>2</v>
      </c>
    </row>
    <row r="5" spans="2:12" x14ac:dyDescent="0.2">
      <c r="B5" s="49">
        <v>46162</v>
      </c>
      <c r="C5" s="49" t="s">
        <v>58</v>
      </c>
      <c r="D5" s="48">
        <v>3587</v>
      </c>
      <c r="E5" s="48">
        <v>3</v>
      </c>
      <c r="F5" s="48">
        <v>22</v>
      </c>
      <c r="G5" s="48">
        <v>2</v>
      </c>
      <c r="H5" s="48">
        <f t="shared" si="0"/>
        <v>20</v>
      </c>
      <c r="I5" s="48">
        <f t="shared" si="1"/>
        <v>179.35</v>
      </c>
      <c r="J5" s="48">
        <f t="shared" si="2"/>
        <v>7.1739999999999995</v>
      </c>
      <c r="K5" s="50">
        <f t="shared" si="3"/>
        <v>0.89674999999999994</v>
      </c>
      <c r="L5" s="50">
        <v>2</v>
      </c>
    </row>
    <row r="6" spans="2:12" x14ac:dyDescent="0.2">
      <c r="B6" s="49">
        <v>46163</v>
      </c>
      <c r="C6" s="49" t="s">
        <v>58</v>
      </c>
      <c r="D6" s="48">
        <v>3853</v>
      </c>
      <c r="E6" s="48">
        <v>4</v>
      </c>
      <c r="F6" s="48">
        <v>22</v>
      </c>
      <c r="G6" s="48">
        <v>2</v>
      </c>
      <c r="H6" s="48">
        <f t="shared" si="0"/>
        <v>20</v>
      </c>
      <c r="I6" s="48">
        <f t="shared" si="1"/>
        <v>192.65</v>
      </c>
      <c r="J6" s="48">
        <f t="shared" si="2"/>
        <v>7.7060000000000004</v>
      </c>
      <c r="K6" s="50">
        <f t="shared" si="3"/>
        <v>0.96325000000000005</v>
      </c>
      <c r="L6" s="50">
        <v>2</v>
      </c>
    </row>
    <row r="7" spans="2:12" x14ac:dyDescent="0.2">
      <c r="B7" s="49">
        <v>46164</v>
      </c>
      <c r="C7" s="49" t="s">
        <v>58</v>
      </c>
      <c r="D7" s="48">
        <v>6487</v>
      </c>
      <c r="E7" s="48">
        <v>5</v>
      </c>
      <c r="F7" s="48">
        <v>22</v>
      </c>
      <c r="G7" s="48">
        <v>2</v>
      </c>
      <c r="H7" s="48">
        <f t="shared" si="0"/>
        <v>20</v>
      </c>
      <c r="I7" s="48">
        <f t="shared" si="1"/>
        <v>324.35000000000002</v>
      </c>
      <c r="J7" s="48">
        <f t="shared" si="2"/>
        <v>12.974</v>
      </c>
      <c r="K7" s="50">
        <f t="shared" si="3"/>
        <v>1.62175</v>
      </c>
      <c r="L7" s="50">
        <v>2</v>
      </c>
    </row>
    <row r="8" spans="2:12" x14ac:dyDescent="0.2">
      <c r="B8" s="49">
        <v>46165</v>
      </c>
      <c r="C8" s="49" t="s">
        <v>58</v>
      </c>
      <c r="D8" s="48">
        <v>6786</v>
      </c>
      <c r="E8" s="48">
        <v>4</v>
      </c>
      <c r="F8" s="48">
        <v>22</v>
      </c>
      <c r="G8" s="48">
        <v>2</v>
      </c>
      <c r="H8" s="48">
        <f t="shared" si="0"/>
        <v>20</v>
      </c>
      <c r="I8" s="48">
        <f t="shared" si="1"/>
        <v>339.3</v>
      </c>
      <c r="J8" s="48">
        <f>I8/25</f>
        <v>13.572000000000001</v>
      </c>
      <c r="K8" s="50">
        <f t="shared" si="3"/>
        <v>1.6965000000000001</v>
      </c>
      <c r="L8" s="50">
        <v>2</v>
      </c>
    </row>
    <row r="9" spans="2:12" x14ac:dyDescent="0.2">
      <c r="B9" s="49">
        <v>46153</v>
      </c>
      <c r="C9" s="49" t="s">
        <v>57</v>
      </c>
      <c r="D9" s="48">
        <v>3615</v>
      </c>
      <c r="E9" s="48">
        <v>2</v>
      </c>
      <c r="F9" s="48">
        <v>20</v>
      </c>
      <c r="G9" s="48">
        <v>2</v>
      </c>
      <c r="H9" s="48">
        <f t="shared" si="0"/>
        <v>18</v>
      </c>
      <c r="I9" s="48">
        <f t="shared" si="1"/>
        <v>200.83333333333334</v>
      </c>
      <c r="J9" s="48">
        <f>I9/25</f>
        <v>8.0333333333333332</v>
      </c>
      <c r="K9" s="50">
        <f t="shared" si="3"/>
        <v>1.0041666666666667</v>
      </c>
      <c r="L9" s="50">
        <v>4</v>
      </c>
    </row>
    <row r="10" spans="2:12" x14ac:dyDescent="0.2">
      <c r="B10" s="49">
        <v>46154</v>
      </c>
      <c r="C10" s="49" t="s">
        <v>57</v>
      </c>
      <c r="D10" s="48">
        <v>5949</v>
      </c>
      <c r="E10" s="48">
        <v>3</v>
      </c>
      <c r="F10" s="48">
        <v>20</v>
      </c>
      <c r="G10" s="48">
        <v>2</v>
      </c>
      <c r="H10" s="48">
        <f t="shared" si="0"/>
        <v>18</v>
      </c>
      <c r="I10" s="48">
        <f t="shared" si="1"/>
        <v>330.5</v>
      </c>
      <c r="J10" s="48">
        <f t="shared" ref="J10:J16" si="4">I10/25</f>
        <v>13.22</v>
      </c>
      <c r="K10" s="50">
        <f t="shared" si="3"/>
        <v>1.6525000000000001</v>
      </c>
      <c r="L10" s="50">
        <v>2</v>
      </c>
    </row>
    <row r="11" spans="2:12" x14ac:dyDescent="0.2">
      <c r="B11" s="49">
        <v>46156</v>
      </c>
      <c r="C11" s="49" t="s">
        <v>57</v>
      </c>
      <c r="D11" s="48">
        <v>6222</v>
      </c>
      <c r="E11" s="48">
        <v>3</v>
      </c>
      <c r="F11" s="48">
        <v>22</v>
      </c>
      <c r="G11" s="48">
        <v>2</v>
      </c>
      <c r="H11" s="48">
        <f t="shared" si="0"/>
        <v>20</v>
      </c>
      <c r="I11" s="48">
        <f t="shared" si="1"/>
        <v>311.10000000000002</v>
      </c>
      <c r="J11" s="48">
        <f t="shared" si="4"/>
        <v>12.444000000000001</v>
      </c>
      <c r="K11" s="50">
        <f t="shared" si="3"/>
        <v>1.5555000000000001</v>
      </c>
      <c r="L11" s="50">
        <v>2</v>
      </c>
    </row>
    <row r="12" spans="2:12" x14ac:dyDescent="0.2">
      <c r="B12" s="49">
        <v>46157</v>
      </c>
      <c r="C12" s="49" t="s">
        <v>57</v>
      </c>
      <c r="D12" s="48">
        <v>5481</v>
      </c>
      <c r="E12" s="48">
        <v>2</v>
      </c>
      <c r="F12" s="48">
        <v>22</v>
      </c>
      <c r="G12" s="48">
        <v>2</v>
      </c>
      <c r="H12" s="48">
        <f t="shared" si="0"/>
        <v>20</v>
      </c>
      <c r="I12" s="48">
        <f t="shared" si="1"/>
        <v>274.05</v>
      </c>
      <c r="J12" s="48">
        <f t="shared" si="4"/>
        <v>10.962</v>
      </c>
      <c r="K12" s="50">
        <f t="shared" si="3"/>
        <v>1.37025</v>
      </c>
      <c r="L12" s="50">
        <v>2</v>
      </c>
    </row>
    <row r="13" spans="2:12" x14ac:dyDescent="0.2">
      <c r="B13" s="49">
        <v>46158</v>
      </c>
      <c r="C13" s="49" t="s">
        <v>57</v>
      </c>
      <c r="D13" s="48">
        <v>2378</v>
      </c>
      <c r="E13" s="48">
        <v>2</v>
      </c>
      <c r="F13" s="48">
        <v>22</v>
      </c>
      <c r="G13" s="48">
        <v>2</v>
      </c>
      <c r="H13" s="48">
        <f t="shared" si="0"/>
        <v>20</v>
      </c>
      <c r="I13" s="48">
        <f t="shared" si="1"/>
        <v>118.9</v>
      </c>
      <c r="J13" s="48">
        <f t="shared" si="4"/>
        <v>4.7560000000000002</v>
      </c>
      <c r="K13" s="50">
        <f t="shared" si="3"/>
        <v>0.59450000000000003</v>
      </c>
      <c r="L13" s="50">
        <v>2</v>
      </c>
    </row>
    <row r="14" spans="2:12" x14ac:dyDescent="0.2">
      <c r="B14" s="49">
        <v>46146</v>
      </c>
      <c r="C14" s="51" t="s">
        <v>35</v>
      </c>
      <c r="D14" s="48">
        <v>6571</v>
      </c>
      <c r="E14" s="48">
        <v>3</v>
      </c>
      <c r="F14" s="48">
        <v>20</v>
      </c>
      <c r="G14" s="48">
        <v>2</v>
      </c>
      <c r="H14" s="48">
        <f t="shared" si="0"/>
        <v>18</v>
      </c>
      <c r="I14" s="48">
        <f t="shared" si="1"/>
        <v>365.05555555555554</v>
      </c>
      <c r="J14" s="48">
        <f t="shared" si="4"/>
        <v>14.602222222222222</v>
      </c>
      <c r="K14" s="50">
        <f t="shared" si="3"/>
        <v>1.8252777777777778</v>
      </c>
      <c r="L14" s="50">
        <v>2</v>
      </c>
    </row>
    <row r="15" spans="2:12" x14ac:dyDescent="0.2">
      <c r="B15" s="49">
        <v>46147</v>
      </c>
      <c r="C15" s="51" t="s">
        <v>35</v>
      </c>
      <c r="D15" s="48">
        <v>5905</v>
      </c>
      <c r="E15" s="48">
        <v>2</v>
      </c>
      <c r="F15" s="48">
        <v>20</v>
      </c>
      <c r="G15" s="48">
        <v>2</v>
      </c>
      <c r="H15" s="48">
        <f t="shared" si="0"/>
        <v>18</v>
      </c>
      <c r="I15" s="48">
        <f t="shared" si="1"/>
        <v>328.05555555555554</v>
      </c>
      <c r="J15" s="48">
        <f t="shared" si="4"/>
        <v>13.122222222222222</v>
      </c>
      <c r="K15" s="50">
        <f t="shared" si="3"/>
        <v>1.6402777777777777</v>
      </c>
      <c r="L15" s="50">
        <v>2</v>
      </c>
    </row>
    <row r="16" spans="2:12" x14ac:dyDescent="0.2">
      <c r="B16" s="49">
        <v>46148</v>
      </c>
      <c r="C16" s="51" t="s">
        <v>35</v>
      </c>
      <c r="D16" s="48">
        <v>3942</v>
      </c>
      <c r="E16" s="48">
        <v>2</v>
      </c>
      <c r="F16" s="48">
        <v>20</v>
      </c>
      <c r="G16" s="48">
        <v>2</v>
      </c>
      <c r="H16" s="48">
        <f t="shared" si="0"/>
        <v>18</v>
      </c>
      <c r="I16" s="48">
        <f t="shared" si="1"/>
        <v>219</v>
      </c>
      <c r="J16" s="48">
        <f t="shared" si="4"/>
        <v>8.76</v>
      </c>
      <c r="K16" s="50">
        <f t="shared" si="3"/>
        <v>1.095</v>
      </c>
      <c r="L16" s="50">
        <v>2</v>
      </c>
    </row>
    <row r="17" spans="2:12" x14ac:dyDescent="0.2">
      <c r="B17" s="49">
        <v>46149</v>
      </c>
      <c r="C17" s="51" t="s">
        <v>35</v>
      </c>
      <c r="D17" s="48">
        <v>4670</v>
      </c>
      <c r="E17" s="48">
        <v>2</v>
      </c>
      <c r="F17" s="48">
        <v>20</v>
      </c>
      <c r="G17" s="48">
        <v>2</v>
      </c>
      <c r="H17" s="48">
        <f t="shared" si="0"/>
        <v>18</v>
      </c>
      <c r="I17" s="48">
        <f t="shared" si="1"/>
        <v>259.44444444444446</v>
      </c>
      <c r="J17" s="48">
        <f t="shared" ref="J17:J25" si="5">I17/25</f>
        <v>10.377777777777778</v>
      </c>
      <c r="K17" s="50">
        <f t="shared" si="3"/>
        <v>1.2972222222222223</v>
      </c>
      <c r="L17" s="50">
        <v>2</v>
      </c>
    </row>
    <row r="18" spans="2:12" x14ac:dyDescent="0.2">
      <c r="B18" s="49">
        <v>46150</v>
      </c>
      <c r="C18" s="51" t="s">
        <v>35</v>
      </c>
      <c r="D18" s="48">
        <v>5774</v>
      </c>
      <c r="E18" s="48">
        <v>2</v>
      </c>
      <c r="F18" s="48">
        <v>20</v>
      </c>
      <c r="G18" s="48">
        <v>2</v>
      </c>
      <c r="H18" s="48">
        <f t="shared" si="0"/>
        <v>18</v>
      </c>
      <c r="I18" s="48">
        <f t="shared" si="1"/>
        <v>320.77777777777777</v>
      </c>
      <c r="J18" s="48">
        <f t="shared" si="5"/>
        <v>12.831111111111111</v>
      </c>
      <c r="K18" s="50">
        <f t="shared" si="3"/>
        <v>1.6038888888888889</v>
      </c>
      <c r="L18" s="50">
        <v>2</v>
      </c>
    </row>
    <row r="19" spans="2:12" x14ac:dyDescent="0.2">
      <c r="B19" s="49">
        <v>46151</v>
      </c>
      <c r="C19" s="51" t="s">
        <v>35</v>
      </c>
      <c r="D19" s="48">
        <v>3730</v>
      </c>
      <c r="E19" s="48">
        <v>2</v>
      </c>
      <c r="F19" s="48">
        <v>20</v>
      </c>
      <c r="G19" s="48">
        <v>2</v>
      </c>
      <c r="H19" s="48">
        <f t="shared" si="0"/>
        <v>18</v>
      </c>
      <c r="I19" s="48">
        <f t="shared" si="1"/>
        <v>207.22222222222223</v>
      </c>
      <c r="J19" s="48">
        <f t="shared" si="5"/>
        <v>8.2888888888888896</v>
      </c>
      <c r="K19" s="50">
        <f t="shared" si="3"/>
        <v>1.0361111111111112</v>
      </c>
      <c r="L19" s="50">
        <v>2</v>
      </c>
    </row>
    <row r="20" spans="2:12" x14ac:dyDescent="0.2">
      <c r="B20" s="49">
        <v>46167</v>
      </c>
      <c r="C20" s="51" t="s">
        <v>62</v>
      </c>
      <c r="D20" s="48">
        <v>11690</v>
      </c>
      <c r="E20" s="48">
        <v>2</v>
      </c>
      <c r="F20" s="48">
        <v>20</v>
      </c>
      <c r="G20" s="48">
        <v>2</v>
      </c>
      <c r="H20" s="48">
        <f t="shared" si="0"/>
        <v>18</v>
      </c>
      <c r="I20" s="48">
        <f t="shared" si="1"/>
        <v>649.44444444444446</v>
      </c>
      <c r="J20" s="48">
        <f t="shared" si="5"/>
        <v>25.977777777777778</v>
      </c>
      <c r="K20" s="50">
        <f t="shared" si="3"/>
        <v>3.2472222222222222</v>
      </c>
      <c r="L20" s="50">
        <v>2</v>
      </c>
    </row>
    <row r="21" spans="2:12" x14ac:dyDescent="0.2">
      <c r="B21" s="49">
        <v>46168</v>
      </c>
      <c r="C21" s="51" t="s">
        <v>62</v>
      </c>
      <c r="D21" s="48">
        <v>9500</v>
      </c>
      <c r="E21" s="48">
        <v>2</v>
      </c>
      <c r="F21" s="48">
        <v>22</v>
      </c>
      <c r="G21" s="48">
        <v>2</v>
      </c>
      <c r="H21" s="48">
        <f t="shared" si="0"/>
        <v>20</v>
      </c>
      <c r="I21" s="48">
        <f t="shared" si="1"/>
        <v>475</v>
      </c>
      <c r="J21" s="48">
        <f t="shared" si="5"/>
        <v>19</v>
      </c>
      <c r="K21" s="50">
        <f t="shared" si="3"/>
        <v>2.375</v>
      </c>
      <c r="L21" s="50">
        <v>2</v>
      </c>
    </row>
    <row r="22" spans="2:12" x14ac:dyDescent="0.2">
      <c r="B22" s="49">
        <v>46169</v>
      </c>
      <c r="C22" s="51" t="s">
        <v>62</v>
      </c>
      <c r="D22" s="48">
        <v>7325</v>
      </c>
      <c r="E22" s="48">
        <v>2</v>
      </c>
      <c r="F22" s="48">
        <v>22</v>
      </c>
      <c r="G22" s="48">
        <v>2</v>
      </c>
      <c r="H22" s="48">
        <f t="shared" si="0"/>
        <v>20</v>
      </c>
      <c r="I22" s="48">
        <f t="shared" si="1"/>
        <v>366.25</v>
      </c>
      <c r="J22" s="48">
        <f t="shared" si="5"/>
        <v>14.65</v>
      </c>
      <c r="K22" s="50">
        <f t="shared" si="3"/>
        <v>1.83125</v>
      </c>
      <c r="L22" s="50">
        <v>2</v>
      </c>
    </row>
    <row r="23" spans="2:12" x14ac:dyDescent="0.2">
      <c r="B23" s="49">
        <v>46170</v>
      </c>
      <c r="C23" s="51" t="s">
        <v>62</v>
      </c>
      <c r="D23" s="48">
        <v>8857</v>
      </c>
      <c r="E23" s="48">
        <v>2</v>
      </c>
      <c r="F23" s="48">
        <v>22</v>
      </c>
      <c r="G23" s="48">
        <v>2</v>
      </c>
      <c r="H23" s="48">
        <f t="shared" si="0"/>
        <v>20</v>
      </c>
      <c r="I23" s="48">
        <f t="shared" si="1"/>
        <v>442.85</v>
      </c>
      <c r="J23" s="48">
        <f t="shared" si="5"/>
        <v>17.714000000000002</v>
      </c>
      <c r="K23" s="50">
        <f t="shared" si="3"/>
        <v>2.2142500000000003</v>
      </c>
      <c r="L23" s="50">
        <v>2</v>
      </c>
    </row>
    <row r="24" spans="2:12" x14ac:dyDescent="0.2">
      <c r="B24" s="49">
        <v>46171</v>
      </c>
      <c r="C24" s="51" t="s">
        <v>62</v>
      </c>
      <c r="D24" s="48">
        <v>8886</v>
      </c>
      <c r="E24" s="48">
        <v>2</v>
      </c>
      <c r="F24" s="48">
        <v>24</v>
      </c>
      <c r="G24" s="48">
        <v>2</v>
      </c>
      <c r="H24" s="48">
        <f t="shared" si="0"/>
        <v>22</v>
      </c>
      <c r="I24" s="48">
        <f t="shared" si="1"/>
        <v>403.90909090909093</v>
      </c>
      <c r="J24" s="48">
        <f t="shared" si="5"/>
        <v>16.156363636363636</v>
      </c>
      <c r="K24" s="50">
        <f t="shared" si="3"/>
        <v>2.0195454545454545</v>
      </c>
      <c r="L24" s="50">
        <v>2</v>
      </c>
    </row>
    <row r="25" spans="2:12" x14ac:dyDescent="0.2">
      <c r="B25" s="49">
        <v>46172</v>
      </c>
      <c r="C25" s="51" t="s">
        <v>62</v>
      </c>
      <c r="D25" s="48">
        <v>7390</v>
      </c>
      <c r="E25" s="48">
        <v>2</v>
      </c>
      <c r="F25" s="48">
        <v>23</v>
      </c>
      <c r="G25" s="48">
        <v>2</v>
      </c>
      <c r="H25" s="48">
        <f t="shared" si="0"/>
        <v>21</v>
      </c>
      <c r="I25" s="48">
        <f t="shared" si="1"/>
        <v>351.90476190476193</v>
      </c>
      <c r="J25" s="48">
        <f t="shared" si="5"/>
        <v>14.076190476190478</v>
      </c>
      <c r="K25" s="50">
        <f t="shared" si="3"/>
        <v>1.7595238095238097</v>
      </c>
      <c r="L25" s="50">
        <v>2</v>
      </c>
    </row>
    <row r="26" spans="2:12" x14ac:dyDescent="0.2">
      <c r="B26" s="49"/>
      <c r="C26" s="51"/>
      <c r="D26" s="48"/>
      <c r="E26" s="48"/>
      <c r="F26" s="48"/>
      <c r="G26" s="48"/>
      <c r="H26" s="48"/>
      <c r="I26" s="48"/>
      <c r="J26" s="48"/>
      <c r="K26" s="50"/>
      <c r="L26" s="50"/>
    </row>
    <row r="27" spans="2:12" x14ac:dyDescent="0.2">
      <c r="B27" s="49"/>
      <c r="C27" s="51"/>
      <c r="D27" s="48"/>
      <c r="E27" s="48"/>
      <c r="F27" s="48"/>
      <c r="G27" s="48"/>
      <c r="H27" s="48"/>
      <c r="I27" s="48"/>
      <c r="J27" s="48"/>
      <c r="K27" s="50"/>
      <c r="L27" s="50"/>
    </row>
    <row r="28" spans="2:12" x14ac:dyDescent="0.2">
      <c r="B28" s="49"/>
      <c r="C28" s="51"/>
      <c r="D28" s="48"/>
      <c r="E28" s="48"/>
      <c r="F28" s="48"/>
      <c r="G28" s="48"/>
      <c r="H28" s="48"/>
      <c r="I28" s="48"/>
      <c r="J28" s="48"/>
      <c r="K28" s="50"/>
      <c r="L28" s="50"/>
    </row>
    <row r="29" spans="2:12" x14ac:dyDescent="0.2">
      <c r="B29" s="49"/>
      <c r="C29" s="51"/>
      <c r="D29" s="48"/>
      <c r="E29" s="48"/>
      <c r="F29" s="48"/>
      <c r="G29" s="48"/>
      <c r="H29" s="48"/>
      <c r="I29" s="48"/>
      <c r="J29" s="48"/>
      <c r="K29" s="50"/>
      <c r="L29" s="50"/>
    </row>
    <row r="30" spans="2:12" x14ac:dyDescent="0.2">
      <c r="B30" s="49"/>
      <c r="C30" s="51"/>
      <c r="D30" s="48"/>
      <c r="E30" s="48"/>
      <c r="F30" s="48"/>
      <c r="G30" s="48"/>
      <c r="H30" s="48"/>
      <c r="I30" s="48"/>
      <c r="J30" s="48"/>
      <c r="K30" s="50"/>
      <c r="L30" s="50"/>
    </row>
    <row r="31" spans="2:12" x14ac:dyDescent="0.2">
      <c r="B31" s="49"/>
      <c r="C31" s="51"/>
      <c r="D31" s="48"/>
      <c r="E31" s="48"/>
      <c r="F31" s="48"/>
      <c r="G31" s="48"/>
      <c r="H31" s="48"/>
      <c r="I31" s="48"/>
      <c r="J31" s="48"/>
      <c r="K31" s="50"/>
      <c r="L31" s="50"/>
    </row>
    <row r="32" spans="2:12" x14ac:dyDescent="0.2">
      <c r="B32" s="49"/>
      <c r="C32" s="51"/>
      <c r="D32" s="48"/>
      <c r="E32" s="48"/>
      <c r="F32" s="48"/>
      <c r="G32" s="48"/>
      <c r="H32" s="48"/>
      <c r="I32" s="48"/>
      <c r="J32" s="48"/>
      <c r="K32" s="50"/>
      <c r="L32" s="50"/>
    </row>
    <row r="33" spans="2:12" x14ac:dyDescent="0.2">
      <c r="B33" s="49"/>
      <c r="C33" s="51"/>
      <c r="D33" s="48"/>
      <c r="E33" s="48"/>
      <c r="F33" s="48"/>
      <c r="G33" s="48"/>
      <c r="H33" s="48"/>
      <c r="I33" s="48"/>
      <c r="J33" s="48"/>
      <c r="K33" s="50"/>
      <c r="L33" s="50"/>
    </row>
    <row r="34" spans="2:12" x14ac:dyDescent="0.2">
      <c r="B34" s="49"/>
      <c r="C34" s="51"/>
      <c r="D34" s="48"/>
      <c r="E34" s="48"/>
      <c r="F34" s="48"/>
      <c r="G34" s="48"/>
      <c r="H34" s="48"/>
      <c r="I34" s="48"/>
      <c r="J34" s="48"/>
      <c r="K34" s="50"/>
      <c r="L34" s="50"/>
    </row>
    <row r="35" spans="2:12" x14ac:dyDescent="0.2">
      <c r="B35" s="49"/>
      <c r="C35" s="51"/>
      <c r="D35" s="48"/>
      <c r="E35" s="48"/>
      <c r="F35" s="48"/>
      <c r="G35" s="48"/>
      <c r="H35" s="48"/>
      <c r="I35" s="48"/>
      <c r="J35" s="48"/>
      <c r="K35" s="50"/>
      <c r="L35" s="50"/>
    </row>
    <row r="36" spans="2:12" x14ac:dyDescent="0.2">
      <c r="B36" s="49"/>
      <c r="C36" s="51"/>
      <c r="D36" s="48"/>
      <c r="E36" s="48"/>
      <c r="F36" s="48"/>
      <c r="G36" s="48"/>
      <c r="H36" s="48"/>
      <c r="I36" s="48"/>
      <c r="J36" s="48"/>
      <c r="K36" s="50"/>
      <c r="L36" s="50"/>
    </row>
    <row r="37" spans="2:12" x14ac:dyDescent="0.2">
      <c r="B37" s="49"/>
      <c r="C37" s="51"/>
      <c r="D37" s="48"/>
      <c r="E37" s="48"/>
      <c r="F37" s="48"/>
      <c r="G37" s="48"/>
      <c r="H37" s="48"/>
      <c r="I37" s="48"/>
      <c r="J37" s="48"/>
      <c r="K37" s="50"/>
      <c r="L37" s="50"/>
    </row>
    <row r="38" spans="2:12" x14ac:dyDescent="0.2">
      <c r="B38" s="49"/>
      <c r="C38" s="51"/>
      <c r="D38" s="48"/>
      <c r="E38" s="48"/>
      <c r="F38" s="48"/>
      <c r="G38" s="48"/>
      <c r="H38" s="48"/>
      <c r="I38" s="48"/>
      <c r="J38" s="48"/>
      <c r="K38" s="50"/>
      <c r="L38" s="50"/>
    </row>
    <row r="39" spans="2:12" x14ac:dyDescent="0.2">
      <c r="B39" s="49"/>
      <c r="C39" s="51"/>
      <c r="D39" s="48"/>
      <c r="E39" s="48"/>
      <c r="F39" s="48"/>
      <c r="G39" s="48"/>
      <c r="H39" s="48"/>
      <c r="I39" s="48"/>
      <c r="J39" s="48"/>
      <c r="K39" s="50"/>
      <c r="L39" s="50"/>
    </row>
    <row r="40" spans="2:12" x14ac:dyDescent="0.2">
      <c r="B40" s="49"/>
      <c r="C40" s="51"/>
      <c r="D40" s="48"/>
      <c r="E40" s="48"/>
      <c r="F40" s="48"/>
      <c r="G40" s="48"/>
      <c r="H40" s="48"/>
      <c r="I40" s="48"/>
      <c r="J40" s="48"/>
      <c r="K40" s="50"/>
      <c r="L40" s="50"/>
    </row>
    <row r="41" spans="2:12" x14ac:dyDescent="0.2">
      <c r="B41" s="49"/>
      <c r="C41" s="51"/>
      <c r="D41" s="48"/>
      <c r="E41" s="48"/>
      <c r="F41" s="48"/>
      <c r="G41" s="48"/>
      <c r="H41" s="48"/>
      <c r="I41" s="48"/>
      <c r="J41" s="48"/>
      <c r="K41" s="50"/>
      <c r="L41" s="50"/>
    </row>
    <row r="42" spans="2:12" x14ac:dyDescent="0.2">
      <c r="B42" s="49"/>
      <c r="C42" s="51"/>
      <c r="D42" s="48"/>
      <c r="E42" s="48"/>
      <c r="F42" s="48"/>
      <c r="G42" s="48"/>
      <c r="H42" s="48"/>
      <c r="I42" s="48"/>
      <c r="J42" s="48"/>
      <c r="K42" s="50"/>
      <c r="L42" s="50"/>
    </row>
    <row r="43" spans="2:12" x14ac:dyDescent="0.2">
      <c r="B43" s="49"/>
      <c r="C43" s="51"/>
      <c r="D43" s="48"/>
      <c r="E43" s="48"/>
      <c r="F43" s="48"/>
      <c r="G43" s="48"/>
      <c r="H43" s="48"/>
      <c r="I43" s="48"/>
      <c r="J43" s="48"/>
      <c r="K43" s="50"/>
      <c r="L43" s="50"/>
    </row>
    <row r="44" spans="2:12" x14ac:dyDescent="0.2">
      <c r="B44" s="49"/>
      <c r="C44" s="51"/>
      <c r="D44" s="48"/>
      <c r="E44" s="48"/>
      <c r="F44" s="48"/>
      <c r="G44" s="48"/>
      <c r="H44" s="48"/>
      <c r="I44" s="48"/>
      <c r="J44" s="48"/>
      <c r="K44" s="50"/>
      <c r="L44" s="50"/>
    </row>
    <row r="45" spans="2:12" x14ac:dyDescent="0.2">
      <c r="B45" s="49"/>
      <c r="C45" s="51"/>
      <c r="D45" s="48"/>
      <c r="E45" s="48"/>
      <c r="F45" s="48"/>
      <c r="G45" s="48"/>
      <c r="H45" s="48"/>
      <c r="I45" s="48"/>
      <c r="J45" s="48"/>
      <c r="K45" s="50"/>
      <c r="L45" s="50"/>
    </row>
    <row r="46" spans="2:12" x14ac:dyDescent="0.2">
      <c r="B46" s="49"/>
      <c r="C46" s="51"/>
      <c r="D46" s="48"/>
      <c r="E46" s="48"/>
      <c r="F46" s="48"/>
      <c r="G46" s="48"/>
      <c r="H46" s="48"/>
      <c r="I46" s="48"/>
      <c r="J46" s="48"/>
      <c r="K46" s="50"/>
      <c r="L46" s="50"/>
    </row>
    <row r="47" spans="2:12" x14ac:dyDescent="0.2">
      <c r="B47" s="49"/>
      <c r="C47" s="51"/>
      <c r="D47" s="48"/>
      <c r="E47" s="48"/>
      <c r="F47" s="48"/>
      <c r="G47" s="48"/>
      <c r="H47" s="48"/>
      <c r="I47" s="48"/>
      <c r="J47" s="48"/>
      <c r="K47" s="50"/>
      <c r="L47" s="50"/>
    </row>
    <row r="48" spans="2:12" x14ac:dyDescent="0.2">
      <c r="B48" s="49"/>
      <c r="C48" s="51"/>
      <c r="D48" s="48"/>
      <c r="E48" s="48"/>
      <c r="F48" s="48"/>
      <c r="G48" s="48"/>
      <c r="H48" s="48"/>
      <c r="I48" s="48"/>
      <c r="J48" s="48"/>
      <c r="K48" s="50"/>
      <c r="L48" s="50"/>
    </row>
    <row r="49" spans="2:12" x14ac:dyDescent="0.2">
      <c r="B49" s="49"/>
      <c r="C49" s="51"/>
      <c r="D49" s="48"/>
      <c r="E49" s="48"/>
      <c r="F49" s="48"/>
      <c r="G49" s="48"/>
      <c r="H49" s="48"/>
      <c r="I49" s="48"/>
      <c r="J49" s="48"/>
      <c r="K49" s="50"/>
      <c r="L49" s="50"/>
    </row>
    <row r="50" spans="2:12" x14ac:dyDescent="0.2">
      <c r="B50" s="49"/>
      <c r="C50" s="51"/>
      <c r="D50" s="48"/>
      <c r="E50" s="48"/>
      <c r="F50" s="48"/>
      <c r="G50" s="48"/>
      <c r="H50" s="48"/>
      <c r="I50" s="48"/>
      <c r="J50" s="48"/>
      <c r="K50" s="50"/>
      <c r="L50" s="50"/>
    </row>
    <row r="51" spans="2:12" x14ac:dyDescent="0.2">
      <c r="B51" s="49"/>
      <c r="C51" s="51"/>
      <c r="D51" s="48"/>
      <c r="E51" s="48"/>
      <c r="F51" s="48"/>
      <c r="G51" s="48"/>
      <c r="H51" s="48"/>
      <c r="I51" s="48"/>
      <c r="J51" s="48"/>
      <c r="K51" s="50"/>
      <c r="L51" s="50"/>
    </row>
    <row r="52" spans="2:12" x14ac:dyDescent="0.2">
      <c r="B52" s="49"/>
      <c r="C52" s="51"/>
      <c r="D52" s="48"/>
      <c r="E52" s="48"/>
      <c r="F52" s="48"/>
      <c r="G52" s="48"/>
      <c r="H52" s="48"/>
      <c r="I52" s="48"/>
      <c r="J52" s="48"/>
      <c r="K52" s="50"/>
      <c r="L52" s="50"/>
    </row>
    <row r="53" spans="2:12" x14ac:dyDescent="0.2">
      <c r="B53" s="49"/>
      <c r="C53" s="51"/>
      <c r="D53" s="48"/>
      <c r="E53" s="48"/>
      <c r="F53" s="48"/>
      <c r="G53" s="48"/>
      <c r="H53" s="48"/>
      <c r="I53" s="48"/>
      <c r="J53" s="48"/>
      <c r="K53" s="50"/>
      <c r="L53" s="50"/>
    </row>
    <row r="54" spans="2:12" x14ac:dyDescent="0.2">
      <c r="B54" s="49"/>
      <c r="C54" s="51"/>
      <c r="D54" s="48"/>
      <c r="E54" s="48"/>
      <c r="F54" s="48"/>
      <c r="G54" s="48"/>
      <c r="H54" s="48"/>
      <c r="I54" s="48"/>
      <c r="J54" s="48"/>
      <c r="K54" s="50"/>
      <c r="L54" s="50"/>
    </row>
    <row r="55" spans="2:12" x14ac:dyDescent="0.2">
      <c r="B55" s="49"/>
      <c r="C55" s="51"/>
      <c r="D55" s="48"/>
      <c r="E55" s="48"/>
      <c r="F55" s="48"/>
      <c r="G55" s="48"/>
      <c r="H55" s="48"/>
      <c r="I55" s="48"/>
      <c r="J55" s="48"/>
      <c r="K55" s="50"/>
      <c r="L55" s="50"/>
    </row>
    <row r="56" spans="2:12" x14ac:dyDescent="0.2">
      <c r="B56" s="49"/>
      <c r="C56" s="51"/>
      <c r="D56" s="48"/>
      <c r="E56" s="48"/>
      <c r="F56" s="48"/>
      <c r="G56" s="48"/>
      <c r="H56" s="48"/>
      <c r="I56" s="48"/>
      <c r="J56" s="48"/>
      <c r="K56" s="50"/>
      <c r="L56" s="50"/>
    </row>
    <row r="57" spans="2:12" x14ac:dyDescent="0.2">
      <c r="B57" s="49"/>
      <c r="C57" s="51"/>
      <c r="D57" s="48"/>
      <c r="E57" s="48"/>
      <c r="F57" s="48"/>
      <c r="G57" s="48"/>
      <c r="H57" s="48"/>
      <c r="I57" s="48"/>
      <c r="J57" s="48"/>
      <c r="K57" s="50"/>
      <c r="L57" s="50"/>
    </row>
    <row r="58" spans="2:12" x14ac:dyDescent="0.2">
      <c r="B58" s="49"/>
      <c r="C58" s="51"/>
      <c r="D58" s="48"/>
      <c r="E58" s="48"/>
      <c r="F58" s="48"/>
      <c r="G58" s="48"/>
      <c r="H58" s="48"/>
      <c r="I58" s="48"/>
      <c r="J58" s="48"/>
      <c r="K58" s="50"/>
      <c r="L58" s="50"/>
    </row>
    <row r="59" spans="2:12" x14ac:dyDescent="0.2">
      <c r="B59" s="49"/>
      <c r="C59" s="51"/>
      <c r="D59" s="48"/>
      <c r="E59" s="48"/>
      <c r="F59" s="48"/>
      <c r="G59" s="48"/>
      <c r="H59" s="48"/>
      <c r="I59" s="48"/>
      <c r="J59" s="48"/>
      <c r="K59" s="50"/>
      <c r="L59" s="50"/>
    </row>
    <row r="60" spans="2:12" x14ac:dyDescent="0.2">
      <c r="B60" s="49"/>
      <c r="C60" s="51"/>
      <c r="D60" s="48"/>
      <c r="E60" s="48"/>
      <c r="F60" s="48"/>
      <c r="G60" s="48"/>
      <c r="H60" s="48"/>
      <c r="I60" s="48"/>
      <c r="J60" s="48"/>
      <c r="K60" s="50"/>
      <c r="L60" s="50"/>
    </row>
    <row r="61" spans="2:12" x14ac:dyDescent="0.2">
      <c r="B61" s="49"/>
      <c r="C61" s="51"/>
      <c r="D61" s="48"/>
      <c r="E61" s="48"/>
      <c r="F61" s="48"/>
      <c r="G61" s="48"/>
      <c r="H61" s="48"/>
      <c r="I61" s="48"/>
      <c r="J61" s="48"/>
      <c r="K61" s="50"/>
      <c r="L61" s="50"/>
    </row>
    <row r="62" spans="2:12" x14ac:dyDescent="0.2">
      <c r="B62" s="49"/>
      <c r="C62" s="51"/>
      <c r="D62" s="48"/>
      <c r="E62" s="48"/>
      <c r="F62" s="48"/>
      <c r="G62" s="48"/>
      <c r="H62" s="48"/>
      <c r="I62" s="48"/>
      <c r="J62" s="48"/>
      <c r="K62" s="50"/>
      <c r="L62" s="50"/>
    </row>
    <row r="63" spans="2:12" x14ac:dyDescent="0.2">
      <c r="B63" s="49"/>
      <c r="C63" s="51"/>
      <c r="D63" s="48"/>
      <c r="E63" s="48"/>
      <c r="F63" s="48"/>
      <c r="G63" s="48"/>
      <c r="H63" s="48"/>
      <c r="I63" s="48"/>
      <c r="J63" s="48"/>
      <c r="K63" s="50"/>
      <c r="L63" s="50"/>
    </row>
    <row r="64" spans="2:12" x14ac:dyDescent="0.2">
      <c r="B64" s="49"/>
      <c r="C64" s="51"/>
      <c r="D64" s="48"/>
      <c r="E64" s="48"/>
      <c r="F64" s="48"/>
      <c r="G64" s="48"/>
      <c r="H64" s="48"/>
      <c r="I64" s="48"/>
      <c r="J64" s="48"/>
      <c r="K64" s="50"/>
      <c r="L64" s="50"/>
    </row>
    <row r="65" spans="2:12" x14ac:dyDescent="0.2">
      <c r="B65" s="49"/>
      <c r="C65" s="51"/>
      <c r="D65" s="48"/>
      <c r="E65" s="48"/>
      <c r="F65" s="48"/>
      <c r="G65" s="48"/>
      <c r="H65" s="48"/>
      <c r="I65" s="48"/>
      <c r="J65" s="48"/>
      <c r="K65" s="50"/>
      <c r="L65" s="50"/>
    </row>
    <row r="66" spans="2:12" x14ac:dyDescent="0.2">
      <c r="B66" s="49"/>
      <c r="C66" s="51"/>
      <c r="D66" s="48"/>
      <c r="E66" s="48"/>
      <c r="F66" s="48"/>
      <c r="G66" s="48"/>
      <c r="H66" s="48"/>
      <c r="I66" s="48"/>
      <c r="J66" s="48"/>
      <c r="K66" s="50"/>
      <c r="L66" s="50"/>
    </row>
    <row r="67" spans="2:12" x14ac:dyDescent="0.2">
      <c r="B67" s="49"/>
      <c r="C67" s="51"/>
      <c r="D67" s="48"/>
      <c r="E67" s="48"/>
      <c r="F67" s="48"/>
      <c r="G67" s="48"/>
      <c r="H67" s="48"/>
      <c r="I67" s="48"/>
      <c r="J67" s="48"/>
      <c r="K67" s="50"/>
      <c r="L67" s="50"/>
    </row>
    <row r="68" spans="2:12" x14ac:dyDescent="0.2">
      <c r="B68" s="49"/>
      <c r="C68" s="51"/>
      <c r="D68" s="48"/>
      <c r="E68" s="48"/>
      <c r="F68" s="48"/>
      <c r="G68" s="48"/>
      <c r="H68" s="48"/>
      <c r="I68" s="48"/>
      <c r="J68" s="48"/>
      <c r="K68" s="50"/>
      <c r="L68" s="50"/>
    </row>
    <row r="69" spans="2:12" x14ac:dyDescent="0.2">
      <c r="B69" s="49"/>
      <c r="C69" s="51"/>
      <c r="D69" s="48"/>
      <c r="E69" s="48"/>
      <c r="F69" s="48"/>
      <c r="G69" s="48"/>
      <c r="H69" s="48"/>
      <c r="I69" s="48"/>
      <c r="J69" s="48"/>
      <c r="K69" s="50"/>
      <c r="L69" s="50"/>
    </row>
    <row r="70" spans="2:12" x14ac:dyDescent="0.2">
      <c r="B70" s="49"/>
      <c r="C70" s="51"/>
      <c r="D70" s="48"/>
      <c r="E70" s="48"/>
      <c r="F70" s="48"/>
      <c r="G70" s="48"/>
      <c r="H70" s="48"/>
      <c r="I70" s="48"/>
      <c r="J70" s="48"/>
      <c r="K70" s="50"/>
      <c r="L70" s="50"/>
    </row>
    <row r="71" spans="2:12" x14ac:dyDescent="0.2">
      <c r="B71" s="49"/>
      <c r="C71" s="51"/>
      <c r="D71" s="48"/>
      <c r="E71" s="48"/>
      <c r="F71" s="48"/>
      <c r="G71" s="48"/>
      <c r="H71" s="48"/>
      <c r="I71" s="48"/>
      <c r="J71" s="48"/>
      <c r="K71" s="50"/>
      <c r="L71" s="50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Ind. Produção Escavad. Prod.</vt:lpstr>
      <vt:lpstr>Ind. Produção Escavadeiras Casc</vt:lpstr>
      <vt:lpstr>BD</vt:lpstr>
      <vt:lpstr>TabDin</vt:lpstr>
      <vt:lpstr>TabDin CBM</vt:lpstr>
      <vt:lpstr>Disposição Máquinas</vt:lpstr>
      <vt:lpstr>Liberações de Camadas</vt:lpstr>
      <vt:lpstr>CBM</vt:lpstr>
      <vt:lpstr>'Ind. Produção Escavad. Prod.'!Area_de_impressao</vt:lpstr>
      <vt:lpstr>'Ind. Produção Escavadeiras Casc'!Area_de_impressao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Carlos Fernando Araujo Sousa</cp:lastModifiedBy>
  <cp:revision/>
  <cp:lastPrinted>2026-08-17T17:11:06Z</cp:lastPrinted>
  <dcterms:created xsi:type="dcterms:W3CDTF">2026-05-12T12:10:54Z</dcterms:created>
  <dcterms:modified xsi:type="dcterms:W3CDTF">2026-08-18T21:16:16Z</dcterms:modified>
  <cp:category/>
  <cp:contentStatus/>
</cp:coreProperties>
</file>