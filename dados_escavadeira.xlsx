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931" documentId="8_{CE5C6F22-4BE2-41D0-BCDC-905D26C0C4E3}" xr6:coauthVersionLast="47" xr6:coauthVersionMax="47" xr10:uidLastSave="{4A99226A-3EFD-4869-AAA0-A61635A1537F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4" i="1" l="1"/>
  <c r="I983" i="1"/>
  <c r="I982" i="1"/>
  <c r="I981" i="1"/>
  <c r="I980" i="1"/>
  <c r="I979" i="1"/>
  <c r="I978" i="1"/>
  <c r="I977" i="1"/>
  <c r="H975" i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<sst xmlns="http://schemas.openxmlformats.org/spreadsheetml/2006/main" count="12205" uniqueCount="3410">
  <si>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</si>
  <si>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</si>
  <si>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</si>
  <si>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</si>
  <si>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</si>
  <si>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</si>
  <si>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</si>
  <si>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</si>
  <si>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</si>
  <si>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</si>
  <si>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</si>
  <si>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</si>
  <si>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</si>
  <si>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</si>
  <si>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</si>
  <si>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</si>
  <si>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</si>
  <si>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</si>
  <si>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</si>
  <si>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</si>
  <si>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</si>
  <si>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</si>
  <si>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</si>
  <si>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</si>
  <si>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</si>
  <si>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</si>
  <si>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</si>
  <si>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</si>
  <si>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</si>
  <si>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</si>
  <si>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</si>
  <si>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</si>
  <si>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</si>
  <si>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</si>
  <si>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</si>
  <si>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</si>
  <si>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</si>
  <si>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</si>
  <si>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</si>
  <si>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</si>
  <si>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</si>
  <si>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</si>
  <si>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</si>
  <si>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</si>
  <si>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</si>
  <si>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</si>
  <si>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</si>
  <si>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</si>
  <si>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</si>
  <si>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</si>
  <si>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</si>
  <si>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</si>
  <si>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</si>
  <si>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</si>
  <si>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</si>
  <si>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</si>
  <si>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</si>
  <si>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</si>
  <si>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</si>
  <si>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</si>
  <si>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</si>
  <si>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</si>
  <si>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</si>
  <si>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</si>
  <si>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</si>
  <si>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</si>
  <si>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</si>
  <si>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</si>
  <si>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</si>
  <si>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</si>
  <si>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</si>
  <si>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</si>
  <si>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</si>
  <si>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</si>
  <si>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</si>
  <si>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</si>
  <si>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</si>
  <si>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</si>
  <si>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</si>
  <si>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</si>
  <si>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</si>
  <si>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</si>
  <si>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</si>
  <si>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</si>
  <si>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</si>
  <si>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</si>
  <si>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</si>
  <si>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</si>
  <si>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</si>
  <si>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</si>
  <si>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</si>
  <si>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</si>
  <si>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</si>
  <si>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</si>
  <si>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</si>
  <si>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</si>
  <si>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</si>
  <si>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</si>
  <si>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</si>
  <si>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</si>
  <si>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</si>
  <si>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</si>
  <si>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</si>
  <si>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</si>
  <si>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</si>
  <si>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</si>
  <si>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</si>
  <si>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</si>
  <si>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</si>
  <si>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</si>
  <si>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</si>
  <si>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</si>
  <si>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</si>
  <si>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</si>
  <si>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</si>
  <si>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</si>
  <si>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</si>
  <si>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</si>
  <si>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</si>
  <si>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</si>
  <si>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</si>
  <si>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</si>
  <si>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</si>
  <si>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</si>
  <si>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</si>
  <si>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</si>
  <si>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</si>
  <si>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</si>
  <si>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</si>
  <si>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</si>
  <si>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</si>
  <si>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</si>
  <si>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</si>
  <si>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</si>
  <si>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</si>
  <si>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</si>
  <si>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</si>
  <si>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</si>
  <si>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</si>
  <si>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</si>
  <si>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</si>
  <si>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</si>
  <si>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</si>
  <si>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</si>
  <si>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</si>
  <si>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</si>
  <si>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</si>
  <si>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</si>
  <si>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</si>
  <si>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</si>
  <si>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</si>
  <si>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</si>
  <si>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</si>
  <si>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</si>
  <si>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</si>
  <si>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</si>
  <si>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</si>
  <si>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</si>
  <si>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</si>
  <si>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</si>
  <si>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</si>
  <si>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</si>
  <si>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</si>
  <si>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</si>
  <si>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</si>
  <si>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</si>
  <si>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</si>
  <si>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</si>
  <si>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</si>
  <si>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</si>
  <si>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</si>
  <si>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</si>
  <si>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</si>
  <si>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</si>
  <si>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</si>
  <si>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</si>
  <si>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</si>
  <si>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</si>
  <si>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</si>
  <si>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</si>
  <si>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</si>
  <si>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</si>
  <si>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</si>
  <si>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</si>
  <si>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</si>
  <si>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</si>
  <si>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</si>
  <si>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</si>
  <si>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</si>
  <si>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</si>
  <si>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</si>
  <si>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</si>
  <si>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</si>
  <si>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</si>
  <si>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</si>
  <si>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</si>
  <si>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</si>
  <si>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</si>
  <si>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</si>
  <si>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</si>
  <si>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</si>
  <si>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</si>
  <si>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</si>
  <si>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</si>
  <si>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</si>
  <si>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</si>
  <si>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</si>
  <si>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</si>
  <si>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</si>
  <si>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</si>
  <si>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</si>
  <si>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</si>
  <si>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</si>
  <si>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</si>
  <si>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</si>
  <si>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</si>
  <si>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</si>
  <si>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</si>
  <si>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</si>
  <si>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</si>
  <si>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</si>
  <si>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</si>
  <si>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</si>
  <si>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</si>
  <si>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</si>
  <si>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</si>
  <si>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</si>
  <si>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</si>
  <si>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</si>
  <si>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</si>
  <si>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</si>
  <si>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</si>
  <si>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</si>
  <si>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</si>
  <si>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</si>
  <si>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</si>
  <si>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</si>
  <si>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</si>
  <si>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</si>
  <si>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</si>
  <si>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</si>
  <si>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</si>
  <si>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</si>
  <si>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</si>
  <si>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</si>
  <si>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</si>
  <si>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</si>
  <si>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</si>
  <si>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</si>
  <si>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</si>
  <si>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</si>
  <si>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</si>
  <si>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</si>
  <si>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</si>
  <si>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</si>
  <si>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</si>
  <si>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</si>
  <si>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</si>
  <si>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</si>
  <si>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</si>
  <si>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</si>
  <si>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</si>
  <si>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</si>
  <si>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</si>
  <si>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</si>
  <si>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</si>
  <si>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</si>
  <si>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</si>
  <si>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</si>
  <si>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</si>
  <si>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</si>
  <si>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</si>
  <si>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</si>
  <si>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</si>
  <si>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</si>
  <si>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</si>
  <si>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</si>
  <si>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</si>
  <si>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</si>
  <si>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</si>
  <si>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</si>
  <si>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</si>
  <si>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</si>
  <si>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</si>
  <si>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</si>
  <si>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</si>
  <si>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</si>
  <si>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</si>
  <si>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</si>
  <si>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</si>
  <si>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</si>
  <si>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</si>
  <si>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</si>
  <si>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</si>
  <si>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</si>
  <si>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</si>
  <si>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</si>
  <si>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</si>
  <si>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</si>
  <si>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</si>
  <si>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</si>
  <si>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</si>
  <si>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</si>
  <si>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</si>
  <si>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</si>
  <si>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</si>
  <si>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</si>
  <si>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</si>
  <si>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</si>
  <si>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</si>
  <si>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</si>
  <si>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</si>
  <si>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</si>
  <si>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</si>
  <si>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</si>
  <si>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</si>
  <si>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</si>
  <si>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</si>
  <si>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</si>
  <si>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</si>
  <si>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</si>
  <si>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</si>
  <si>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</si>
  <si>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</si>
  <si>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</si>
  <si>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</si>
  <si>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</si>
  <si>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</si>
  <si>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</si>
  <si>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</si>
  <si>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</si>
  <si>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</si>
  <si>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</si>
  <si>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</si>
  <si>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</si>
  <si>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</si>
  <si>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</si>
  <si>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</si>
  <si>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</si>
  <si>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</si>
  <si>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</si>
  <si>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</si>
  <si>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</si>
  <si>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</si>
  <si>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</si>
  <si>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</si>
  <si>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</si>
  <si>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</si>
  <si>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</si>
  <si>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</si>
  <si>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</si>
  <si>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</si>
  <si>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</si>
  <si>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</si>
  <si>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</si>
  <si>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</si>
  <si>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</si>
  <si>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</si>
  <si>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</si>
  <si>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</si>
  <si>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</si>
  <si>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</si>
  <si>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</si>
  <si>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</si>
  <si>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</si>
  <si>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</si>
  <si>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</si>
  <si>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</si>
  <si>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</si>
  <si>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</si>
  <si>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</si>
  <si>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</si>
  <si>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</si>
  <si>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</si>
  <si>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</si>
  <si>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</si>
  <si>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</si>
  <si>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</si>
  <si>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</si>
  <si>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</si>
  <si>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</si>
  <si>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</si>
  <si>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</si>
  <si>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</si>
  <si>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</si>
  <si>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</si>
  <si>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</si>
  <si>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</si>
  <si>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</si>
  <si>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</si>
  <si>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</si>
  <si>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</si>
  <si>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</si>
  <si>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</si>
  <si>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</si>
  <si>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</si>
  <si>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</si>
  <si>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</si>
  <si>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</si>
  <si>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</si>
  <si>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</si>
  <si>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</si>
  <si>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</si>
  <si>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</si>
  <si>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</si>
  <si>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</si>
  <si>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</si>
  <si>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</si>
  <si>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</si>
  <si>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</si>
  <si>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</si>
  <si>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</si>
  <si>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</si>
  <si>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</si>
  <si>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</si>
  <si>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</si>
  <si>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</si>
  <si>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</si>
  <si>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</si>
  <si>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</si>
  <si>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</si>
  <si>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</si>
  <si>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</si>
  <si>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</si>
  <si>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</si>
  <si>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</si>
  <si>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</si>
  <si>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</si>
  <si>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</si>
  <si>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</si>
  <si>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</si>
  <si>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</si>
  <si>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</si>
  <si>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</si>
  <si>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</si>
  <si>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</si>
  <si>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</si>
  <si>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</si>
  <si>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</si>
  <si>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</si>
  <si>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</si>
  <si>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</si>
  <si>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</si>
  <si>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</si>
  <si>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</si>
  <si>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</si>
  <si>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</si>
  <si>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</si>
  <si>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</si>
  <si>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</si>
  <si>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</si>
  <si>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</si>
  <si>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</si>
  <si>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</si>
  <si>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</si>
  <si>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</si>
  <si>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</si>
  <si>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</si>
  <si>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</si>
  <si>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</si>
  <si>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</si>
  <si>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</si>
  <si>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</si>
  <si>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</si>
  <si>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</si>
  <si>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</si>
  <si>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</si>
  <si>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</si>
  <si>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</si>
  <si>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</si>
  <si>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</si>
  <si>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</si>
  <si>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</si>
  <si>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</si>
  <si>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</si>
  <si>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</si>
  <si>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</si>
  <si>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</si>
  <si>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</si>
  <si>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</si>
  <si>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</si>
  <si>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</si>
  <si>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</si>
  <si>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</si>
  <si>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</si>
  <si>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</si>
  <si>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</si>
  <si>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</si>
  <si>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</si>
  <si>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</si>
  <si>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</si>
  <si>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</si>
  <si>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</si>
  <si>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</si>
  <si>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</si>
  <si>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</si>
  <si>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</si>
  <si>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</si>
  <si>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</si>
  <si>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</si>
  <si>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</si>
  <si>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</si>
  <si>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</si>
  <si>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</si>
  <si>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</si>
  <si>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</si>
  <si>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</si>
  <si>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</si>
  <si>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</si>
  <si>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</si>
  <si>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</si>
  <si>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</si>
  <si>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</si>
  <si>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</si>
  <si>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</si>
  <si>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</si>
  <si>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</si>
  <si>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</si>
  <si>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</si>
  <si>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</si>
  <si>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</si>
  <si>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</si>
  <si>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</si>
  <si>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</si>
  <si>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</si>
  <si>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</si>
  <si>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</si>
  <si>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</si>
  <si>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</si>
  <si>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</si>
  <si>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</si>
  <si>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</si>
  <si>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</si>
  <si>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</si>
  <si>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</si>
  <si>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</si>
  <si>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</si>
  <si>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</si>
  <si>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</si>
  <si>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</si>
  <si>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</si>
  <si>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</si>
  <si>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</si>
  <si>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</si>
  <si>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</si>
  <si>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</si>
  <si>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</si>
  <si>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</si>
  <si>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</si>
  <si>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</si>
  <si>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</si>
  <si>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</si>
  <si>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</si>
  <si>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</si>
  <si>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</si>
  <si>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</si>
  <si>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</si>
  <si>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</si>
  <si>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</si>
  <si>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</si>
  <si>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</si>
  <si>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</si>
  <si>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</si>
  <si>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</si>
  <si>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</si>
  <si>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</si>
  <si>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</si>
  <si>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</si>
  <si>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</si>
  <si>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</si>
  <si>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</si>
  <si>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</si>
  <si>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</si>
  <si>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</si>
  <si>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</si>
  <si>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</si>
  <si>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</si>
  <si>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</si>
  <si>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</si>
  <si>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</si>
  <si>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</si>
  <si>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</si>
  <si>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</si>
  <si>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</si>
  <si>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</si>
  <si>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</si>
  <si>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</si>
  <si>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</si>
  <si>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</si>
  <si>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</si>
  <si>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</si>
  <si>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</si>
  <si>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</si>
  <si>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</si>
  <si>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</si>
  <si>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</si>
  <si>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</si>
  <si>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</si>
  <si>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</si>
  <si>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</si>
  <si>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</si>
  <si>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</si>
  <si>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</si>
  <si>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</si>
  <si>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</si>
  <si>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</si>
  <si>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</si>
  <si>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</si>
  <si>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</si>
  <si>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</si>
  <si>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</si>
  <si>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</si>
  <si>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</si>
  <si>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</si>
  <si>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</si>
  <si>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</si>
  <si>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</si>
  <si>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</si>
  <si>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</si>
  <si>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</si>
  <si>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</si>
  <si>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</si>
  <si>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</si>
  <si>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</si>
  <si>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</si>
  <si>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</si>
  <si>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</si>
  <si>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</si>
  <si>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</si>
  <si>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</si>
  <si>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</si>
  <si>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</si>
  <si>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</si>
  <si>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</si>
  <si>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</si>
  <si>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</si>
  <si>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</si>
  <si>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</si>
  <si>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</si>
  <si>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</si>
  <si>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</si>
  <si>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</si>
  <si>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</si>
  <si>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</si>
  <si>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</si>
  <si>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</si>
  <si>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</si>
  <si>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</si>
  <si>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</si>
  <si>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</si>
  <si>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</si>
  <si>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</si>
  <si>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</si>
  <si>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</si>
  <si>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</si>
  <si>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</si>
  <si>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</si>
  <si>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</si>
  <si>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</si>
  <si>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</si>
  <si>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</si>
  <si>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</si>
  <si>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</si>
  <si>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</si>
  <si>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</si>
  <si>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</si>
  <si>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</si>
  <si>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</si>
  <si>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</si>
  <si>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</si>
  <si>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</si>
  <si>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</si>
  <si>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</si>
  <si>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</si>
  <si>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</si>
  <si>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</si>
  <si>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</si>
  <si>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</si>
  <si>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</si>
  <si>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</si>
  <si>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</si>
  <si>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</si>
  <si>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</si>
  <si>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</si>
  <si>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</si>
  <si>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</si>
  <si>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</si>
  <si>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</si>
  <si>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</si>
  <si>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</si>
  <si>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</si>
  <si>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</si>
  <si>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</si>
  <si>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</si>
  <si>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</si>
  <si>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</si>
  <si>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</si>
  <si>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</si>
  <si>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</si>
  <si>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</si>
  <si>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</si>
  <si>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</si>
  <si>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</si>
  <si>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</si>
  <si>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</si>
  <si>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</si>
  <si>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</si>
  <si>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</si>
  <si>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</si>
  <si>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</si>
  <si>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</si>
  <si>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</si>
  <si>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</si>
  <si>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</si>
  <si>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</si>
  <si>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</si>
  <si>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</si>
  <si>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</si>
  <si>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</si>
  <si>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</si>
  <si>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</si>
  <si>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</si>
  <si>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</si>
  <si>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</si>
  <si>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</si>
  <si>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</si>
  <si>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</si>
  <si>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</si>
  <si>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</si>
  <si>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</si>
  <si>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</si>
  <si>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</si>
  <si>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</si>
  <si>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</si>
  <si>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</si>
  <si>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</si>
  <si>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</si>
  <si>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</si>
  <si>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</si>
  <si>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</si>
  <si>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</si>
  <si>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</si>
  <si>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</si>
  <si>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</si>
  <si>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</si>
  <si>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</si>
  <si>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</si>
  <si>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</si>
  <si>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</si>
  <si>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</si>
  <si>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</si>
  <si>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</si>
  <si>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</si>
  <si>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</si>
  <si>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</si>
  <si>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</si>
  <si>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</si>
  <si>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</si>
  <si>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</si>
  <si>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</si>
  <si>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</si>
  <si>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</si>
  <si>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</si>
  <si>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</si>
  <si>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</si>
  <si>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</si>
  <si>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</si>
  <si>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</si>
  <si>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</si>
  <si>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</si>
  <si>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</si>
  <si>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</si>
  <si>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</si>
  <si>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</si>
  <si>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</si>
  <si>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</si>
  <si>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</si>
  <si>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</si>
  <si>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</si>
  <si>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</si>
  <si>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</si>
  <si>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</si>
  <si>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</si>
  <si>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</si>
  <si>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</si>
  <si>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</si>
  <si>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</si>
  <si>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</si>
  <si>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</si>
  <si>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</si>
  <si>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</si>
  <si>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</si>
  <si>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</si>
  <si>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</si>
  <si>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</si>
  <si>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</si>
  <si>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</si>
  <si>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</si>
  <si>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</si>
  <si>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</si>
  <si>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</si>
  <si>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</si>
  <si>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</si>
  <si>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</si>
  <si>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</si>
  <si>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</si>
  <si>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</si>
  <si>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</si>
  <si>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</si>
  <si>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</si>
  <si>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</si>
  <si>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</si>
  <si>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</si>
  <si>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</si>
  <si>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</si>
  <si>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</si>
  <si>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</si>
  <si>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</si>
  <si>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</si>
  <si>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</si>
  <si>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</si>
  <si>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</si>
  <si>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</si>
  <si>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</si>
  <si>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</si>
  <si>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</si>
  <si>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</si>
  <si>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</si>
  <si>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</si>
  <si>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</si>
  <si>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</si>
  <si>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</si>
  <si>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</si>
  <si>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</si>
  <si>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</si>
  <si>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</si>
  <si>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</si>
  <si>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</si>
  <si>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</si>
  <si>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</si>
  <si>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</si>
  <si>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</si>
  <si>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</si>
  <si>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</si>
  <si>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</si>
  <si>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</si>
  <si>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</si>
  <si>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</si>
  <si>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</si>
  <si>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</si>
  <si>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</si>
  <si>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</si>
  <si>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</si>
  <si>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</si>
  <si>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</si>
  <si>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</si>
  <si>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</si>
  <si>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</si>
  <si>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</si>
  <si>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</si>
  <si>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</si>
  <si>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</si>
  <si>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</si>
  <si>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</si>
  <si>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</si>
  <si>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</si>
  <si>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</si>
  <si>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</si>
  <si>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</si>
  <si>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</si>
  <si>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</si>
  <si>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</si>
  <si>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</si>
  <si>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</si>
  <si>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</si>
  <si>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</si>
  <si>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</si>
  <si>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</si>
  <si>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</si>
  <si>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</si>
  <si>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</si>
  <si>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</si>
  <si>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</si>
  <si>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</si>
  <si>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</si>
  <si>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</si>
  <si>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</si>
  <si>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</si>
  <si>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</si>
  <si>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</si>
  <si>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</si>
  <si>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</si>
  <si>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</si>
  <si>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</si>
  <si>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</si>
  <si>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</si>
  <si>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</si>
  <si>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</si>
  <si>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</si>
  <si>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</si>
  <si>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</si>
  <si>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</si>
  <si>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</si>
  <si>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</si>
  <si>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</si>
  <si>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</si>
  <si>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</si>
  <si>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</si>
  <si>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</si>
  <si>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</si>
  <si>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</si>
  <si>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</si>
  <si>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</si>
  <si>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</si>
  <si>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</si>
  <si>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</si>
  <si>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</si>
  <si>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</si>
  <si>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</si>
  <si>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</si>
  <si>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</si>
  <si>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</si>
  <si>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</si>
  <si>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</si>
  <si>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</si>
  <si>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</si>
  <si>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</si>
  <si>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</si>
  <si>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</si>
  <si>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</si>
  <si>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</si>
  <si>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</si>
  <si>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</si>
  <si>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</si>
  <si>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</si>
  <si>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</si>
  <si>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</si>
  <si>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</si>
  <si>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</si>
  <si>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</si>
  <si>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</si>
  <si>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</si>
  <si>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</si>
  <si>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</si>
  <si>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</si>
  <si>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</si>
  <si>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</si>
  <si>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</si>
  <si>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</si>
  <si>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</si>
  <si>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</si>
  <si>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</si>
  <si>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</si>
  <si>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</si>
  <si>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</si>
  <si>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</si>
  <si>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</si>
  <si>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</si>
  <si>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</si>
  <si>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</si>
  <si>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</si>
  <si>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</si>
  <si>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</si>
  <si>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</si>
  <si>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</si>
  <si>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</si>
  <si>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</si>
  <si>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</si>
  <si>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</si>
  <si>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</si>
  <si>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</si>
  <si>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</si>
  <si>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</si>
  <si>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</si>
  <si>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</si>
  <si>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</si>
  <si>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</si>
  <si>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</si>
  <si>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</si>
  <si>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</si>
  <si>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</si>
  <si>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</si>
  <si>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</si>
  <si>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</si>
  <si>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</si>
  <si>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</si>
  <si>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</si>
  <si>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</si>
  <si>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</si>
  <si>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</si>
  <si>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</si>
  <si>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</si>
  <si>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</si>
  <si>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</si>
  <si>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</si>
  <si>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</si>
  <si>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</si>
  <si>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</si>
  <si>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</si>
  <si>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</si>
  <si>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</si>
  <si>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</si>
  <si>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</si>
  <si>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</si>
  <si>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</si>
  <si>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</si>
  <si>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</si>
  <si>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</si>
  <si>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</si>
  <si>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</si>
  <si>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</si>
  <si>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</si>
  <si>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</si>
  <si>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</si>
  <si>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</si>
  <si>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</si>
  <si>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</si>
  <si>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</si>
  <si>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</si>
  <si>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</si>
  <si>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</si>
  <si>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</si>
  <si>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</si>
  <si>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</si>
  <si>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</si>
  <si>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</si>
  <si>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</si>
  <si>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</si>
  <si>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</si>
  <si>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</si>
  <si>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</si>
  <si>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</si>
  <si>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</si>
  <si>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</si>
  <si>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</si>
  <si>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</si>
  <si>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</si>
  <si>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</si>
  <si>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</si>
  <si>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</si>
  <si>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</si>
  <si>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</si>
  <si>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</si>
  <si>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</si>
  <si>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</si>
  <si>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</si>
  <si>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</si>
  <si>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</si>
  <si>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</si>
  <si>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</si>
  <si>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</si>
  <si>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</si>
  <si>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</si>
  <si>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</si>
  <si>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</si>
  <si>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</si>
  <si>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</si>
  <si>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</si>
  <si>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</si>
  <si>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</si>
  <si>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</si>
  <si>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</si>
  <si>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</si>
  <si>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</si>
  <si>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</si>
  <si>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</si>
  <si>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</si>
  <si>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</si>
  <si>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</si>
  <si>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</si>
  <si>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</si>
  <si>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</si>
  <si>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</si>
  <si>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</si>
  <si>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</si>
  <si>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</si>
  <si>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</si>
  <si>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</si>
  <si>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</si>
  <si>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</si>
  <si>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</si>
  <si>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</si>
  <si>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</si>
  <si>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</si>
  <si>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</si>
  <si>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</si>
  <si>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</si>
  <si>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</si>
  <si>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</si>
  <si>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</si>
  <si>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</si>
  <si>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</si>
  <si>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</si>
  <si>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</si>
  <si>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</si>
  <si>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</si>
  <si>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</si>
  <si>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</si>
  <si>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</si>
  <si>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</si>
  <si>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</si>
  <si>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</si>
  <si>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</si>
  <si>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</si>
  <si>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</si>
  <si>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</si>
  <si>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</si>
  <si>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</si>
  <si>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</si>
  <si>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</si>
  <si>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</si>
  <si>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</si>
  <si>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</si>
  <si>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</si>
  <si>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</si>
  <si>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</si>
  <si>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</si>
  <si>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</si>
  <si>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</si>
  <si>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</si>
  <si>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</si>
  <si>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</si>
  <si>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</si>
  <si>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</si>
  <si>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</si>
  <si>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</si>
  <si>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</si>
  <si>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</si>
  <si>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</si>
  <si>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</si>
  <si>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</si>
  <si>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</si>
  <si>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</si>
  <si>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</si>
  <si>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</si>
  <si>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</si>
  <si>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</si>
  <si>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</si>
  <si>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</si>
  <si>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</si>
  <si>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</si>
  <si>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</si>
  <si>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</si>
  <si>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</si>
  <si>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</si>
  <si>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</si>
  <si>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</si>
  <si>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</si>
  <si>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</si>
  <si>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</si>
  <si>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</si>
  <si>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</si>
  <si>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</si>
  <si>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</si>
  <si>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</si>
  <si>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</si>
  <si>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</si>
  <si>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</si>
  <si>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</si>
  <si>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</si>
  <si>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</si>
  <si>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</si>
  <si>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</si>
  <si>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</si>
  <si>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</si>
  <si>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</si>
  <si>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</si>
  <si>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</si>
  <si>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</si>
  <si>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</si>
  <si>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</si>
  <si>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</si>
  <si>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</si>
  <si>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</si>
  <si>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</si>
  <si>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</si>
  <si>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</si>
  <si>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</si>
  <si>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</si>
  <si>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</si>
  <si>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</si>
  <si>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</si>
  <si>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</si>
  <si>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</si>
  <si>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</si>
  <si>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</si>
  <si>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</si>
  <si>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</si>
  <si>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</si>
  <si>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</si>
  <si>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</si>
  <si>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</si>
  <si>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</si>
  <si>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</si>
  <si>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</si>
  <si>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</si>
  <si>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</si>
  <si>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</si>
  <si>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</si>
  <si>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</si>
  <si>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</si>
  <si>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</si>
  <si>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</si>
  <si>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</si>
  <si>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</si>
  <si>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</si>
  <si>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</si>
  <si>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</si>
  <si>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</si>
  <si>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</si>
  <si>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</si>
  <si>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</si>
  <si>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</si>
  <si>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</si>
  <si>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</si>
  <si>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</si>
  <si>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</si>
  <si>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</si>
  <si>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</si>
  <si>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</si>
  <si>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</si>
  <si>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</si>
  <si>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</si>
  <si>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</si>
  <si>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</si>
  <si>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</si>
  <si>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</si>
  <si>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</si>
  <si>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</si>
  <si>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</si>
  <si>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</si>
  <si>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</si>
  <si>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</si>
  <si>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</si>
  <si>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</si>
  <si>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</si>
  <si>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</si>
  <si>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</si>
  <si>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</si>
  <si>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</si>
  <si>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</si>
  <si>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</si>
  <si>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</si>
  <si>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</si>
  <si>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</si>
  <si>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</si>
  <si>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</si>
  <si>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</si>
  <si>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</si>
  <si>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</si>
  <si>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</si>
  <si>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</si>
  <si>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</si>
  <si>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</si>
  <si>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</si>
  <si>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</si>
  <si>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</si>
  <si>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</si>
  <si>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</si>
  <si>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</si>
  <si>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</si>
  <si>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</si>
  <si>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</si>
  <si>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</si>
  <si>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</si>
  <si>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</si>
  <si>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</si>
  <si>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</si>
  <si>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</si>
  <si>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</si>
  <si>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</si>
  <si>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</si>
  <si>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</si>
  <si>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</si>
  <si>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</si>
  <si>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</si>
  <si>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</si>
  <si>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</si>
  <si>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</si>
  <si>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</si>
  <si>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</si>
  <si>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</si>
  <si>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</si>
  <si>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</si>
  <si>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</si>
  <si>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</si>
  <si>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</si>
  <si>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</si>
  <si>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</si>
  <si>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</si>
  <si>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</si>
  <si>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</si>
  <si>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</si>
  <si>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</si>
  <si>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</si>
  <si>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</si>
  <si>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</si>
  <si>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</si>
  <si>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</si>
  <si>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</si>
  <si>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</si>
  <si>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</si>
  <si>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</si>
  <si>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</si>
  <si>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</si>
  <si>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</si>
  <si>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</si>
  <si>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</si>
  <si>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</si>
  <si>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</si>
  <si>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</si>
  <si>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</si>
  <si>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</si>
  <si>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</si>
  <si>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</si>
  <si>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</si>
  <si>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</si>
  <si>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</si>
  <si>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</si>
  <si>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</si>
  <si>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</si>
  <si>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</si>
  <si>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</si>
  <si>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</si>
  <si>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</si>
  <si>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</si>
  <si>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</si>
  <si>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</si>
  <si>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</si>
  <si>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</si>
  <si>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</si>
  <si>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</si>
  <si>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</si>
  <si>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</si>
  <si>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</si>
  <si>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</si>
  <si>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</si>
  <si>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</si>
  <si>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</si>
  <si>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</si>
  <si>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</si>
  <si>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</si>
  <si>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</si>
  <si>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</si>
  <si>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</si>
  <si>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</si>
  <si>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</si>
  <si>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</si>
  <si>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</si>
  <si>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</si>
  <si>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</si>
  <si>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</si>
  <si>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</si>
  <si>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</si>
  <si>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</si>
  <si>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</si>
  <si>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</si>
  <si>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</si>
  <si>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</si>
  <si>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</si>
  <si>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</si>
  <si>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</si>
  <si>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</si>
  <si>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</si>
  <si>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</si>
  <si>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</si>
  <si>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</si>
  <si>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</si>
  <si>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</si>
  <si>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</si>
  <si>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</si>
  <si>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</si>
  <si>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</si>
  <si>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</si>
  <si>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</si>
  <si>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</si>
  <si>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</si>
  <si>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</si>
  <si>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</si>
  <si>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</si>
  <si>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</si>
  <si>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</si>
  <si>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</si>
  <si>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</si>
  <si>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</si>
  <si>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</si>
  <si>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</si>
  <si>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</si>
  <si>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</si>
  <si>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</si>
  <si>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</si>
  <si>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</si>
  <si>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</si>
  <si>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</si>
  <si>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</si>
  <si>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</si>
  <si>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</si>
  <si>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</si>
  <si>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</si>
  <si>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</si>
  <si>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</si>
  <si>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</si>
  <si>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</si>
  <si>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</si>
  <si>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</si>
  <si>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</si>
  <si>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</si>
  <si>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</si>
  <si>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</si>
  <si>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</si>
  <si>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</si>
  <si>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</si>
  <si>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</si>
  <si>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</si>
  <si>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</si>
  <si>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</si>
  <si>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</si>
  <si>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</si>
  <si>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</si>
  <si>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</si>
  <si>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</si>
  <si>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</si>
  <si>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</si>
  <si>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</si>
  <si>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</si>
  <si>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</si>
  <si>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</si>
  <si>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</si>
  <si>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</si>
  <si>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</si>
  <si>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</si>
  <si>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</si>
  <si>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</si>
  <si>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</si>
  <si>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</si>
  <si>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</si>
  <si>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</si>
  <si>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</si>
  <si>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</si>
  <si>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</si>
  <si>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</si>
  <si>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</si>
  <si>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</si>
  <si>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</si>
  <si>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</si>
  <si>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</si>
  <si>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</si>
  <si>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</si>
  <si>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</si>
  <si>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</si>
  <si>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</si>
  <si>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</si>
  <si>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</si>
  <si>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</si>
  <si>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</si>
  <si>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</si>
  <si>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</si>
  <si>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</si>
  <si>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</si>
  <si>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</si>
  <si>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</si>
  <si>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</si>
  <si>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</si>
  <si>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</si>
  <si>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</si>
  <si>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</si>
  <si>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</si>
  <si>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</si>
  <si>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</si>
  <si>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</si>
  <si>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</si>
  <si>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</si>
  <si>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</si>
  <si>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</si>
  <si>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</si>
  <si>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</si>
  <si>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</si>
  <si>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</si>
  <si>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</si>
  <si>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</si>
  <si>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</si>
  <si>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</si>
  <si>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</si>
  <si>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</si>
  <si>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</si>
  <si>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</si>
  <si>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</si>
  <si>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</si>
  <si>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</si>
  <si>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</si>
  <si>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</si>
  <si>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</si>
  <si>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</si>
  <si>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</si>
  <si>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</si>
  <si>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</si>
  <si>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</si>
  <si>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</si>
  <si>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</si>
  <si>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</si>
  <si>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</si>
  <si>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</si>
  <si>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</si>
  <si>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</si>
  <si>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</si>
  <si>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</si>
  <si>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</si>
  <si>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</si>
  <si>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</si>
  <si>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</si>
  <si>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</si>
  <si>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</si>
  <si>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</si>
  <si>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</si>
  <si>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</si>
  <si>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</si>
  <si>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</si>
  <si>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</si>
  <si>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</si>
  <si>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</si>
  <si>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</si>
  <si>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</si>
  <si>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</si>
  <si>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</si>
  <si>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</si>
  <si>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</si>
  <si>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</si>
  <si>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</si>
  <si>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</si>
  <si>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</si>
  <si>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</si>
  <si>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</si>
  <si>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</si>
  <si>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</si>
  <si>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</si>
  <si>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</si>
  <si>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</si>
  <si>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</si>
  <si>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</si>
  <si>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</si>
  <si>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</si>
  <si>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</si>
  <si>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</si>
  <si>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</si>
  <si>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</si>
  <si>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</si>
  <si>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</si>
  <si>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</si>
  <si>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</si>
  <si>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</si>
  <si>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</si>
  <si>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</si>
  <si>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</si>
  <si>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</si>
  <si>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</si>
  <si>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</si>
  <si>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</si>
  <si>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</si>
  <si>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</si>
  <si>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</si>
  <si>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</si>
  <si>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</si>
  <si>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</si>
  <si>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</si>
  <si>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</si>
  <si>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</si>
  <si>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</si>
  <si>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</si>
  <si>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</si>
  <si>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</si>
  <si>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</si>
  <si>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</si>
  <si>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</si>
  <si>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</si>
  <si>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</si>
  <si>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</si>
  <si>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</si>
  <si>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</si>
  <si>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</si>
  <si>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</si>
  <si>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</si>
  <si>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</si>
  <si>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</si>
  <si>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</si>
  <si>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</si>
  <si>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</si>
  <si>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</si>
  <si>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</si>
  <si>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</si>
  <si>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</si>
  <si>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</si>
  <si>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</si>
  <si>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</si>
  <si>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</si>
  <si>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</si>
  <si>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</si>
  <si>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</si>
  <si>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</si>
  <si>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</si>
  <si>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</si>
  <si>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</si>
  <si>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</si>
  <si>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</si>
  <si>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</si>
  <si>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</si>
  <si>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</si>
  <si>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</si>
  <si>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</si>
  <si>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</si>
  <si>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</si>
  <si>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</si>
  <si>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</si>
  <si>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</si>
  <si>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</si>
  <si>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</si>
  <si>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</si>
  <si>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</si>
  <si>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</si>
  <si>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</si>
  <si>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</si>
  <si>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</si>
  <si>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</si>
  <si>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</si>
  <si>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</si>
  <si>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</si>
  <si>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</si>
  <si>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</si>
  <si>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</si>
  <si>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</si>
  <si>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</si>
  <si>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</si>
  <si>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</si>
  <si>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</si>
  <si>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</si>
  <si>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</si>
  <si>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</si>
  <si>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</si>
  <si>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</si>
  <si>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</si>
  <si>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</si>
  <si>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</si>
  <si>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</si>
  <si>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</si>
  <si>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</si>
  <si>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</si>
  <si>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</si>
  <si>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</si>
  <si>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</si>
  <si>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</si>
  <si>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</si>
  <si>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</si>
  <si>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</si>
  <si>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</si>
  <si>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</si>
  <si>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</si>
  <si>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</si>
  <si>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</si>
  <si>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</si>
  <si>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</si>
  <si>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</si>
  <si>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</si>
  <si>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</si>
  <si>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</si>
  <si>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</si>
  <si>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</si>
  <si>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</si>
  <si>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</si>
  <si>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</si>
  <si>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</si>
  <si>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</si>
  <si>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</si>
  <si>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</si>
  <si>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</si>
  <si>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</si>
  <si>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</si>
  <si>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</si>
  <si>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</si>
  <si>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</si>
  <si>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</si>
  <si>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</si>
  <si>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</si>
  <si>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</si>
  <si>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</si>
  <si>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</si>
  <si>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</si>
  <si>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</si>
  <si>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</si>
  <si>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</si>
  <si>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</si>
  <si>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</si>
  <si>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</si>
  <si>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</si>
  <si>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</si>
  <si>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</si>
  <si>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</si>
  <si>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</si>
  <si>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</si>
  <si>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</si>
  <si>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</si>
  <si>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</si>
  <si>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</si>
  <si>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</si>
  <si>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</si>
  <si>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</si>
  <si>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</si>
  <si>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</si>
  <si>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</si>
  <si>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</si>
  <si>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</si>
  <si>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</si>
  <si>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</si>
  <si>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</si>
  <si>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</si>
  <si>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</si>
  <si>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</si>
  <si>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</si>
  <si>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</si>
  <si>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</si>
  <si>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</si>
  <si>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</si>
  <si>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</si>
  <si>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</si>
  <si>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</si>
  <si>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</si>
  <si>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</si>
  <si>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</si>
  <si>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</si>
  <si>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</si>
  <si>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</si>
  <si>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</si>
  <si>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</si>
  <si>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</si>
  <si>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</si>
  <si>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</si>
  <si>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</si>
  <si>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</si>
  <si>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</si>
  <si>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</si>
  <si>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</si>
  <si>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</si>
  <si>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</si>
  <si>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</si>
  <si>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</si>
  <si>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</si>
  <si>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</si>
  <si>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</si>
  <si>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</si>
  <si>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</si>
  <si>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</si>
  <si>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</si>
  <si>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</si>
  <si>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</si>
  <si>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</si>
  <si>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</si>
  <si>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</si>
  <si>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</si>
  <si>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</si>
  <si>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</si>
  <si>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</si>
  <si>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</si>
  <si>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</si>
  <si>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</si>
  <si>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</si>
  <si>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</si>
  <si>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</si>
  <si>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</si>
  <si>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</si>
  <si>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</si>
  <si>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</si>
  <si>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</si>
  <si>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</si>
  <si>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</si>
  <si>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</si>
  <si>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</si>
  <si>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</si>
  <si>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</si>
  <si>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</si>
  <si>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</si>
  <si>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</si>
  <si>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</si>
  <si>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</si>
  <si>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</si>
  <si>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</si>
  <si>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</si>
  <si>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</si>
  <si>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</si>
  <si>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</si>
  <si>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</si>
  <si>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</si>
  <si>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</si>
  <si>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</si>
  <si>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</si>
  <si>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</si>
  <si>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</si>
  <si>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</si>
  <si>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</si>
  <si>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</si>
  <si>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</si>
  <si>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</si>
  <si>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</si>
  <si>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</si>
  <si>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</si>
  <si>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</si>
  <si>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</si>
  <si>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</si>
  <si>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</si>
  <si>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</si>
  <si>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</si>
  <si>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</si>
  <si>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</si>
  <si>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</si>
  <si>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</si>
  <si>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</si>
  <si>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</si>
  <si>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</si>
  <si>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</si>
  <si>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</si>
  <si>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</si>
  <si>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</si>
  <si>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</si>
  <si>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</si>
  <si>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</si>
  <si>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</si>
  <si>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</si>
  <si>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</si>
  <si>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</si>
  <si>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</si>
  <si>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</si>
  <si>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</si>
  <si>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</si>
  <si>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</si>
  <si>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</si>
  <si>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</si>
  <si>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</si>
  <si>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</si>
  <si>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</si>
  <si>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</si>
  <si>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</si>
  <si>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</si>
  <si>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</si>
  <si>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</si>
  <si>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</si>
  <si>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</si>
  <si>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</si>
  <si>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</si>
  <si>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</si>
  <si>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</si>
  <si>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</si>
  <si>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</si>
  <si>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</si>
  <si>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</si>
  <si>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</si>
  <si>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</si>
  <si>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</si>
  <si>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</si>
  <si>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</si>
  <si>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</si>
  <si>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</si>
  <si>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</si>
  <si>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</si>
  <si>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</si>
  <si>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</si>
  <si>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</si>
  <si>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</si>
  <si>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</si>
  <si>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</si>
  <si>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</si>
  <si>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</si>
  <si>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</si>
  <si>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</si>
  <si>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</si>
  <si>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</si>
  <si>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</si>
  <si>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</si>
  <si>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</si>
  <si>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</si>
  <si>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</si>
  <si>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</si>
  <si>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</si>
  <si>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</si>
  <si>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</si>
  <si>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</si>
  <si>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</si>
  <si>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</si>
  <si>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</si>
  <si>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</si>
  <si>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</si>
  <si>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</si>
  <si>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</si>
  <si>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</si>
  <si>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</si>
  <si>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</si>
  <si>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</si>
  <si>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</si>
  <si>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</si>
  <si>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</si>
  <si>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</si>
  <si>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</si>
  <si>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</si>
  <si>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</si>
  <si>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</si>
  <si>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</si>
  <si>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</si>
  <si>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</si>
  <si>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</si>
  <si>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</si>
  <si>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</si>
  <si>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</si>
  <si>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</si>
  <si>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</si>
  <si>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</si>
  <si>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</si>
  <si>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</si>
  <si>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</si>
  <si>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</si>
  <si>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</si>
  <si>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</si>
  <si>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</si>
  <si>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</si>
  <si>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</si>
  <si>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</si>
  <si>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</si>
  <si>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</si>
  <si>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</si>
  <si>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</si>
  <si>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</si>
  <si>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</si>
  <si>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</si>
  <si>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</si>
  <si>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</si>
  <si>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</si>
  <si>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</si>
  <si>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</si>
  <si>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</si>
  <si>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</si>
  <si>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</si>
  <si>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</si>
  <si>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</si>
  <si>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</si>
  <si>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</si>
  <si>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</si>
  <si>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</si>
  <si>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</si>
  <si>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</si>
  <si>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</si>
  <si>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</si>
  <si>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</si>
  <si>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</si>
  <si>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</si>
  <si>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</si>
  <si>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</si>
  <si>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</si>
  <si>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</si>
  <si>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</si>
  <si>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</si>
  <si>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</si>
  <si>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</si>
  <si>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</si>
  <si>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</si>
  <si>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</si>
  <si>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</si>
  <si>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</si>
  <si>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</si>
  <si>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</si>
  <si>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</si>
  <si>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</si>
  <si>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</si>
  <si>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</si>
  <si>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</si>
  <si>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</si>
  <si>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</si>
  <si>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</si>
  <si>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</si>
  <si>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</si>
  <si>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</si>
  <si>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</si>
  <si>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</si>
  <si>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</si>
  <si>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</si>
  <si>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</si>
  <si>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</si>
  <si>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</si>
  <si>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</si>
  <si>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</si>
  <si>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</si>
  <si>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</si>
  <si>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</si>
  <si>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</si>
  <si>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</si>
  <si>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</si>
  <si>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</si>
  <si>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</si>
  <si>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</si>
  <si>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</si>
  <si>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</si>
  <si>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</si>
  <si>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</si>
  <si>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</si>
  <si>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</si>
  <si>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</si>
  <si>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</si>
  <si>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</si>
  <si>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</si>
  <si>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</si>
  <si>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</si>
  <si>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</si>
  <si>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</si>
  <si>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</si>
  <si>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</si>
  <si>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</si>
  <si>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</si>
  <si>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</si>
  <si>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</si>
  <si>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</si>
  <si>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</si>
  <si>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</si>
  <si>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</si>
  <si>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</si>
  <si>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</si>
  <si>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</si>
  <si>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</si>
  <si>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</si>
  <si>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</si>
  <si>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</si>
  <si>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</si>
  <si>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</si>
  <si>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</si>
  <si>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</si>
  <si>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</si>
  <si>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</si>
  <si>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</si>
  <si>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</si>
  <si>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</si>
  <si>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</si>
  <si>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</si>
  <si>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</si>
  <si>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</si>
  <si>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</si>
  <si>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</si>
  <si>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</si>
  <si>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</si>
  <si>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</si>
  <si>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</si>
  <si>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</si>
  <si>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</si>
  <si>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</si>
  <si>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</si>
  <si>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</si>
  <si>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</si>
  <si>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</si>
  <si>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</si>
  <si>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</si>
  <si>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</si>
  <si>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</si>
  <si>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</si>
  <si>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</si>
  <si>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</si>
  <si>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</si>
  <si>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</si>
  <si>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</si>
  <si>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</si>
  <si>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</si>
  <si>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</si>
  <si>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</si>
  <si>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</si>
  <si>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</si>
  <si>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</si>
  <si>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</si>
  <si>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</si>
  <si>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</si>
  <si>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</si>
  <si>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</si>
  <si>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</si>
  <si>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</si>
  <si>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</si>
  <si>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</si>
  <si>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</si>
  <si>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</si>
  <si>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</si>
  <si>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</si>
  <si>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</si>
  <si>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</si>
  <si>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</si>
  <si>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</si>
  <si>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</si>
  <si>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</si>
  <si>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</si>
  <si>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</si>
  <si>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</si>
  <si>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</si>
  <si>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</si>
  <si>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</si>
  <si>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</si>
  <si>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</si>
  <si>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</si>
  <si>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</si>
  <si>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</si>
  <si>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</si>
  <si>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</si>
  <si>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</si>
  <si>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</si>
  <si>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</si>
  <si>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</si>
  <si>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</si>
  <si>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</si>
  <si>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</si>
  <si>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</si>
  <si>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</si>
  <si>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</si>
  <si>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</si>
  <si>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</si>
  <si>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</si>
  <si>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</si>
  <si>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</si>
  <si>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</si>
  <si>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</si>
  <si>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</si>
  <si>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</si>
  <si>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</si>
  <si>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</si>
  <si>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</si>
  <si>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</si>
  <si>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</si>
  <si>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</si>
  <si>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</si>
  <si>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</si>
  <si>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</si>
  <si>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</si>
  <si>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</si>
  <si>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</si>
  <si>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</si>
  <si>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</si>
  <si>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</si>
  <si>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</si>
  <si>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</si>
  <si>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</si>
  <si>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</si>
  <si>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</si>
  <si>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</si>
  <si>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</si>
  <si>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</si>
  <si>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</si>
  <si>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</si>
  <si>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</si>
  <si>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</si>
  <si>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</si>
  <si>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</si>
  <si>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</si>
  <si>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</si>
  <si>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</si>
  <si>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</si>
  <si>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</si>
  <si>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</si>
  <si>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</si>
  <si>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</si>
  <si>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</si>
  <si>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</si>
  <si>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</si>
  <si>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</si>
  <si>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</si>
  <si>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</si>
  <si>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</si>
  <si>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</si>
  <si>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</si>
  <si>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</si>
  <si>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</si>
  <si>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</si>
  <si>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</si>
  <si>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</si>
  <si>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</si>
  <si>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</si>
  <si>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</si>
  <si>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</si>
  <si>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</si>
  <si>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</si>
  <si>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</si>
  <si>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</si>
  <si>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</si>
  <si>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</si>
  <si>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</si>
  <si>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</si>
  <si>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</si>
  <si>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</si>
  <si>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</si>
  <si>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</si>
  <si>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</si>
  <si>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</si>
  <si>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</si>
  <si>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</si>
  <si>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</si>
  <si>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</si>
  <si>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</si>
  <si>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</si>
  <si>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</si>
  <si>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</si>
  <si>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</si>
  <si>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</si>
  <si>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</si>
  <si>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</si>
  <si>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</si>
  <si>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</si>
  <si>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</si>
  <si>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</si>
  <si>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</si>
  <si>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</si>
  <si>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</si>
  <si>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</si>
  <si>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</si>
  <si>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</si>
  <si>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</si>
  <si>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</si>
  <si>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</si>
  <si>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</si>
  <si>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</si>
  <si>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</si>
  <si>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</si>
  <si>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</si>
  <si>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</si>
  <si>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</si>
  <si>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</si>
  <si>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</si>
  <si>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</si>
  <si>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</si>
  <si>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</si>
  <si>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</si>
  <si>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</si>
  <si>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</si>
  <si>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</si>
  <si>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</si>
  <si>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</si>
  <si>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</si>
  <si>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</si>
  <si>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</si>
  <si>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</si>
  <si>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</si>
  <si>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</si>
  <si>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</si>
  <si>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</si>
  <si>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</si>
  <si>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</si>
  <si>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</si>
  <si>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</si>
  <si>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</si>
  <si>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</si>
  <si>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</si>
  <si>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</si>
  <si>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</si>
  <si>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</si>
  <si>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</si>
  <si>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</si>
  <si>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</si>
  <si>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</si>
  <si>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</si>
  <si>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</si>
  <si>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</si>
  <si>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</si>
  <si>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</si>
  <si>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</si>
  <si>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</si>
  <si>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</si>
  <si>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</si>
  <si>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</si>
  <si>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</si>
  <si>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</si>
  <si>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</si>
  <si>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</si>
  <si>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</si>
  <si>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</si>
  <si>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</si>
  <si>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</si>
  <si>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</si>
  <si>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</si>
  <si>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</si>
  <si>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</si>
  <si>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</si>
  <si>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</si>
  <si>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</si>
  <si>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</si>
  <si>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</si>
  <si>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</si>
  <si>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</si>
  <si>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</si>
  <si>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</si>
  <si>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</si>
  <si>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</si>
  <si>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</si>
  <si>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</si>
  <si>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</si>
  <si>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</si>
  <si>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</si>
  <si>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</si>
  <si>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</si>
  <si>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</si>
  <si>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</si>
  <si>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</si>
  <si>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</si>
  <si>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</si>
  <si>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</si>
  <si>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</si>
  <si>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</si>
  <si>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</si>
  <si>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</si>
  <si>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</si>
  <si>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</si>
  <si>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</si>
  <si>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</si>
  <si>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</si>
  <si>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</si>
  <si>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</si>
  <si>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</si>
  <si>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</si>
  <si>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</si>
  <si>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</si>
  <si>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</si>
  <si>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</si>
  <si>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</si>
  <si>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</si>
  <si>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</si>
  <si>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</si>
  <si>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</si>
  <si>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</si>
  <si>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</si>
  <si>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</si>
  <si>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</si>
  <si>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</si>
  <si>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</si>
  <si>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</si>
  <si>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</si>
  <si>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</si>
  <si>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</si>
  <si>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</si>
  <si>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</si>
  <si>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</si>
  <si>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</si>
  <si>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</si>
  <si>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</si>
  <si>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</si>
  <si>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</si>
  <si>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</si>
  <si>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</si>
  <si>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</si>
  <si>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</si>
  <si>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</si>
  <si>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</si>
  <si>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</si>
  <si>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</si>
  <si>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</si>
  <si>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</si>
  <si>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</si>
  <si>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</si>
  <si>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</si>
  <si>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</si>
  <si>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</si>
  <si>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</si>
  <si>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</si>
  <si>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</si>
  <si>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</si>
  <si>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</si>
  <si>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</si>
  <si>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</si>
  <si>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</si>
  <si>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</si>
  <si>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</si>
  <si>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</si>
  <si>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</si>
  <si>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</si>
  <si>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</si>
  <si>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</si>
  <si>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</si>
  <si>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</si>
  <si>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</si>
  <si>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</si>
  <si>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</si>
  <si>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</si>
  <si>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</si>
  <si>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</si>
  <si>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</si>
  <si>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</si>
  <si>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</si>
  <si>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</si>
  <si>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</si>
  <si>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</si>
  <si>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</si>
  <si>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</si>
  <si>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</si>
  <si>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</si>
  <si>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</si>
  <si>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</si>
  <si>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</si>
  <si>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</si>
  <si>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</si>
  <si>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</si>
  <si>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</si>
  <si>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</si>
  <si>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</si>
  <si>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</si>
  <si>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</si>
  <si>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</si>
  <si>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</si>
  <si>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</si>
  <si>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</si>
  <si>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</si>
  <si>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</si>
  <si>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</si>
  <si>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</si>
  <si>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</si>
  <si>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</si>
  <si>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</si>
  <si>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</si>
  <si>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</si>
  <si>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</si>
  <si>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</si>
  <si>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</si>
  <si>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</si>
  <si>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</si>
  <si>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</si>
  <si>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</si>
  <si>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</si>
  <si>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</si>
  <si>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</si>
  <si>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</si>
  <si>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</si>
  <si>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</si>
  <si>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</si>
  <si>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</si>
  <si>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</si>
  <si>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</si>
  <si>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</si>
  <si>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</si>
  <si>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</si>
  <si>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</si>
  <si>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</si>
  <si>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</si>
  <si>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</si>
  <si>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</si>
  <si>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</si>
  <si>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</si>
  <si>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</si>
  <si>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</si>
  <si>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</si>
  <si>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</si>
  <si>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</si>
  <si>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</si>
  <si>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</si>
  <si>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</si>
  <si>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</si>
  <si>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</si>
  <si>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</si>
  <si>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</si>
  <si>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</si>
  <si>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</si>
  <si>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</si>
  <si>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</si>
  <si>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</si>
  <si>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</si>
  <si>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</si>
  <si>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</si>
  <si>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</si>
  <si>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</si>
  <si>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</si>
  <si>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</si>
  <si>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</si>
  <si>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</si>
  <si>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</si>
  <si>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</si>
  <si>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</si>
  <si>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</si>
  <si>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</si>
  <si>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</si>
  <si>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</si>
  <si>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</si>
  <si>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</si>
  <si>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</si>
  <si>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</si>
  <si>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</si>
  <si>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</si>
  <si>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</si>
  <si>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</si>
  <si>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</si>
  <si>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</si>
  <si>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</si>
  <si>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</si>
  <si>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</si>
  <si>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</si>
  <si>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</si>
  <si>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</si>
  <si>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</si>
  <si>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</si>
  <si>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</si>
  <si>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</si>
  <si>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</si>
  <si>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</si>
  <si>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</si>
  <si>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</si>
  <si>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</si>
  <si>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</si>
  <si>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</si>
  <si>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</si>
  <si>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</si>
  <si>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</si>
  <si>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</si>
  <si>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</si>
  <si>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</si>
  <si>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</si>
  <si>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</si>
  <si>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</si>
  <si>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</si>
  <si>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</si>
  <si>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</si>
  <si>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</si>
  <si>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</si>
  <si>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</si>
  <si>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</si>
  <si>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</si>
  <si>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</si>
  <si>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</si>
  <si>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</si>
  <si>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</si>
  <si>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</si>
  <si>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</si>
  <si>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</si>
  <si>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</si>
  <si>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</si>
  <si>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</si>
  <si>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</si>
  <si>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</si>
  <si>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</si>
  <si>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</si>
  <si>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</si>
  <si>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</si>
  <si>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</si>
  <si>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</si>
  <si>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</si>
  <si>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</si>
  <si>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</si>
  <si>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</si>
  <si>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</si>
  <si>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</si>
  <si>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</si>
  <si>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</si>
  <si>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</si>
  <si>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</si>
  <si>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</si>
  <si>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</si>
  <si>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</si>
  <si>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</si>
  <si>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</si>
  <si>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</si>
  <si>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</si>
  <si>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</si>
  <si>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</si>
  <si>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</si>
  <si>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</si>
  <si>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</si>
  <si>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</si>
  <si>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</si>
  <si>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</si>
  <si>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</si>
  <si>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</si>
  <si>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</si>
  <si>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</si>
  <si>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</si>
  <si>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</si>
  <si>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</si>
  <si>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</si>
  <si>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</si>
  <si>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</si>
  <si>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</si>
  <si>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</si>
  <si>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</si>
  <si>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</si>
  <si>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</si>
  <si>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</si>
  <si>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</si>
  <si>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</si>
  <si>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</si>
  <si>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</si>
  <si>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</si>
  <si>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</si>
  <si>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</si>
  <si>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</si>
  <si>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</si>
  <si>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</si>
  <si>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</si>
  <si>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</si>
  <si>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</si>
  <si>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</si>
  <si>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</si>
  <si>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</si>
  <si>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</si>
  <si>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</si>
  <si>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</si>
  <si>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</si>
  <si>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</si>
  <si>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</si>
  <si>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</si>
  <si>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</si>
  <si>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</si>
  <si>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</si>
  <si>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</si>
  <si>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</si>
  <si>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</si>
  <si>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</si>
  <si>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</si>
  <si>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</si>
  <si>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</si>
  <si>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</si>
  <si>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</si>
  <si>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</si>
  <si>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</si>
  <si>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</si>
  <si>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</si>
  <si>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</si>
  <si>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</si>
  <si>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</si>
  <si>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</si>
  <si>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</si>
  <si>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</si>
  <si>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</si>
  <si>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</si>
  <si>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</si>
  <si>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</si>
  <si>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</si>
  <si>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</si>
  <si>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</si>
  <si>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</si>
  <si>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</si>
  <si>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</si>
  <si>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</si>
  <si>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</si>
  <si>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</si>
  <si>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</si>
  <si>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</si>
  <si>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</si>
  <si>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</si>
  <si>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</si>
  <si>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</si>
  <si>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</si>
  <si>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</si>
  <si>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</si>
  <si>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</si>
  <si>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</si>
  <si>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</si>
  <si>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</si>
  <si>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</si>
  <si>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</si>
  <si>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</si>
  <si>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</si>
  <si>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</si>
  <si>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</si>
  <si>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</si>
  <si>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</si>
  <si>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</si>
  <si>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</si>
  <si>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</si>
  <si>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</si>
  <si>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</si>
  <si>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</si>
  <si>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</si>
  <si>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</si>
  <si>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</si>
  <si>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</si>
  <si>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</si>
  <si>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</si>
  <si>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</si>
  <si>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</si>
  <si>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</si>
  <si>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</si>
  <si>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</si>
  <si>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</si>
  <si>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</si>
  <si>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</si>
  <si>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</si>
  <si>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</si>
  <si>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</si>
  <si>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</si>
  <si>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</si>
  <si>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</si>
  <si>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</si>
  <si>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</si>
  <si>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</si>
  <si>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</si>
  <si>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</si>
  <si>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</si>
  <si>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</si>
  <si>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</si>
  <si>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</si>
  <si>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</si>
  <si>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</si>
  <si>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</si>
  <si>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</si>
  <si>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</si>
  <si>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</si>
  <si>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</si>
  <si>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</si>
  <si>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</si>
  <si>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</si>
  <si>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</si>
  <si>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</si>
  <si>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</si>
  <si>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</si>
  <si>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</si>
  <si>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</si>
  <si>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</si>
  <si>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</si>
  <si>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</si>
  <si>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</si>
  <si>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</si>
  <si>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</si>
  <si>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</si>
  <si>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</si>
  <si>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</si>
  <si>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</si>
  <si>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</si>
  <si>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</si>
  <si>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</si>
  <si>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</si>
  <si>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</si>
  <si>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</si>
  <si>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</si>
  <si>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</si>
  <si>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</si>
  <si>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</si>
  <si>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</si>
  <si>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</si>
  <si>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</si>
  <si>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</si>
  <si>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</si>
  <si>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</si>
  <si>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</si>
  <si>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</si>
  <si>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</si>
  <si>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</si>
  <si>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</si>
  <si>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</si>
  <si>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</si>
  <si>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</si>
  <si>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</si>
  <si>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</si>
  <si>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</si>
  <si>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</si>
  <si>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</si>
  <si>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</si>
  <si>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</si>
  <si>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</si>
  <si>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</si>
  <si>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</si>
  <si>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</si>
  <si>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</si>
  <si>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</si>
  <si>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</si>
  <si>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</si>
  <si>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</si>
  <si>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</si>
  <si>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</si>
  <si>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</si>
  <si>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</si>
  <si>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</si>
  <si>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</si>
  <si>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</si>
  <si>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</si>
  <si>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</si>
  <si>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</si>
  <si>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</si>
  <si>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</si>
  <si>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</si>
  <si>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</si>
  <si>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</si>
  <si>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</si>
  <si>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</si>
  <si>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</si>
  <si>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</si>
  <si>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</si>
  <si>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</si>
  <si>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</si>
  <si>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</si>
  <si>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</si>
  <si>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</si>
  <si>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</si>
  <si>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</si>
  <si>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</si>
  <si>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</si>
  <si>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</si>
  <si>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</si>
  <si>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</si>
  <si>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</si>
  <si>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</si>
  <si>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</si>
  <si>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</si>
  <si>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</si>
  <si>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</si>
  <si>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</si>
  <si>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</si>
  <si>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</si>
  <si>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</si>
  <si>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</si>
  <si>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</si>
  <si>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</si>
  <si>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</si>
  <si>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</si>
  <si>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</si>
  <si>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</si>
  <si>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</si>
  <si>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</si>
  <si>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</si>
  <si>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</si>
  <si>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</si>
  <si>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</si>
  <si>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</si>
  <si>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</si>
  <si>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</si>
  <si>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</si>
  <si>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</si>
  <si>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</si>
  <si>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</si>
  <si>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</si>
  <si>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</si>
  <si>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</si>
  <si>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</si>
  <si>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</si>
  <si>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</si>
  <si>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</si>
  <si>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</si>
  <si>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</si>
  <si>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</si>
  <si>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</si>
  <si>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</si>
  <si>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</si>
  <si>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</si>
  <si>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</si>
  <si>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</si>
  <si>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</si>
  <si>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</si>
  <si>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</si>
  <si>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</si>
  <si>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</si>
  <si>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</si>
  <si>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</si>
  <si>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</si>
  <si>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</si>
  <si>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</si>
  <si>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</si>
  <si>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</si>
  <si>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</si>
  <si>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</si>
  <si>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</si>
  <si>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</si>
  <si>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</si>
  <si>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</si>
  <si>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</si>
  <si>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</si>
  <si>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</si>
  <si>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</si>
  <si>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</si>
  <si>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</si>
  <si>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</si>
  <si>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</si>
  <si>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</si>
  <si>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</si>
  <si>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</si>
  <si>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</si>
  <si>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</si>
  <si>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</si>
  <si>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</si>
  <si>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</si>
  <si>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</si>
  <si>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</si>
  <si>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</si>
  <si>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</si>
  <si>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</si>
  <si>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</si>
  <si>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</si>
  <si>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</si>
  <si>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</si>
  <si>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</si>
  <si>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</si>
  <si>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</si>
  <si>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</si>
  <si>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</si>
  <si>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</si>
  <si>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</si>
  <si>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</si>
  <si>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</si>
  <si>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</si>
  <si>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</si>
  <si>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</si>
  <si>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</si>
  <si>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</si>
  <si>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</si>
  <si>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</si>
  <si>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</si>
  <si>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</si>
  <si>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</si>
  <si>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</si>
  <si>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</si>
  <si>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</si>
  <si>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</si>
  <si>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</si>
  <si>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</si>
  <si>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</si>
  <si>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</si>
  <si>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</si>
  <si>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</si>
  <si>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</si>
  <si>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</si>
  <si>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</si>
  <si>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</si>
  <si>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</si>
  <si>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</si>
  <si>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</si>
  <si>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</si>
  <si>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</si>
  <si>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</si>
  <si>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</si>
  <si>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</si>
  <si>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</si>
  <si>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</si>
  <si>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</si>
  <si>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</si>
  <si>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</si>
  <si>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</si>
  <si>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</si>
  <si>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</si>
  <si>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</si>
  <si>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</si>
  <si>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</si>
  <si>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</si>
  <si>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</si>
  <si>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</si>
  <si>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</si>
  <si>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</si>
  <si>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</si>
  <si>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</si>
  <si>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</si>
  <si>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</si>
  <si>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</si>
  <si>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</si>
  <si>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</si>
  <si>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</si>
  <si>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</si>
  <si>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</si>
  <si>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</si>
  <si>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</si>
  <si>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</si>
  <si>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</si>
  <si>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</si>
  <si>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</si>
  <si>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</si>
  <si>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</si>
  <si>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</si>
  <si>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</si>
  <si>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</si>
  <si>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</si>
  <si>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</si>
  <si>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</si>
  <si>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</si>
  <si>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</si>
  <si>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</si>
  <si>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</si>
  <si>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</si>
  <si>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</si>
  <si>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</si>
  <si>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</si>
  <si>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</si>
  <si>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</si>
  <si>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</si>
  <si>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</si>
  <si>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</si>
  <si>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</si>
  <si>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</si>
  <si>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</si>
  <si>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</si>
  <si>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</si>
  <si>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</si>
  <si>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</si>
  <si>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</si>
  <si>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</si>
  <si>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</si>
  <si>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</si>
  <si>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</si>
  <si>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</si>
  <si>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</si>
  <si>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</si>
  <si>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</si>
  <si>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</si>
  <si>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</si>
  <si>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</si>
  <si>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</si>
  <si>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</si>
  <si>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</si>
  <si>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</si>
  <si>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</si>
  <si>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</si>
  <si>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</si>
  <si>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</si>
  <si>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</si>
  <si>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</si>
  <si>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</si>
  <si>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</si>
  <si>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</si>
  <si>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</si>
  <si>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</si>
  <si>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</si>
  <si>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</si>
  <si>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</si>
  <si>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</si>
  <si>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</si>
  <si>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</si>
  <si>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</si>
  <si>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</si>
  <si>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</si>
  <si>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</si>
  <si>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</si>
  <si>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</si>
  <si>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</si>
  <si>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</si>
  <si>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</si>
  <si>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</si>
  <si>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</si>
  <si>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</si>
  <si>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</si>
  <si>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</si>
  <si>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</si>
  <si>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</si>
  <si>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</si>
  <si>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</si>
  <si>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</si>
  <si>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</si>
  <si>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</si>
  <si>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</si>
  <si>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</si>
  <si>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</si>
  <si>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</si>
  <si>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</si>
  <si>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</si>
  <si>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</si>
  <si>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</si>
  <si>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</si>
  <si>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</si>
  <si>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</si>
  <si>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</si>
  <si>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</si>
  <si>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</si>
  <si>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</si>
  <si>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</si>
  <si>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</si>
  <si>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</si>
  <si>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</si>
  <si>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</si>
  <si>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</si>
  <si>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</si>
  <si>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</si>
  <si>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</si>
  <si>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</si>
  <si>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</si>
  <si>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</si>
  <si>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</si>
  <si>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</si>
  <si>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</si>
  <si>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</si>
  <si>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</si>
  <si>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</si>
  <si>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</si>
  <si>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</si>
  <si>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</si>
  <si>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</si>
  <si>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</si>
  <si>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</si>
  <si>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</si>
  <si>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</si>
  <si>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</si>
  <si>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</si>
  <si>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</si>
  <si>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</si>
  <si>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</si>
  <si>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</si>
  <si>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</si>
  <si>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</si>
  <si>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</si>
  <si>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</si>
  <si>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</si>
  <si>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</si>
  <si>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</si>
  <si>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</si>
  <si>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</si>
  <si>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</si>
  <si>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</si>
  <si>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</si>
  <si>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</si>
  <si>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</si>
  <si>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</si>
  <si>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</si>
  <si>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</si>
  <si>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</si>
  <si>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</si>
  <si>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</si>
  <si>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</si>
  <si>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</si>
  <si>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</si>
  <si>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</si>
  <si>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</si>
  <si>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</si>
  <si>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</si>
  <si>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</si>
  <si>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</si>
  <si>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</si>
  <si>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</si>
  <si>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</si>
  <si>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</si>
  <si>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</si>
  <si>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</si>
  <si>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</si>
  <si>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</si>
  <si>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</si>
  <si>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</si>
  <si>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</si>
  <si>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</si>
  <si>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</si>
  <si>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</si>
  <si>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</si>
  <si>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</si>
  <si>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</si>
  <si>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</si>
  <si>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</si>
  <si>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</si>
  <si>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</si>
  <si>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</si>
  <si>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</si>
  <si>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</si>
  <si>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</si>
  <si>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</si>
  <si>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</si>
  <si>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</si>
  <si>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</si>
  <si>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</si>
  <si>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</si>
  <si>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</si>
  <si>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</si>
  <si>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</si>
  <si>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</si>
  <si>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</si>
  <si>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</si>
  <si>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</si>
  <si>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</si>
  <si>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</si>
  <si>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</si>
  <si>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</si>
  <si>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</si>
  <si>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</si>
  <si>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</si>
  <si>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</si>
  <si>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</si>
  <si>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</si>
  <si>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</si>
  <si>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</si>
  <si>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</si>
  <si>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</si>
  <si>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</si>
  <si>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</si>
  <si>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</si>
  <si>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</si>
  <si>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</si>
  <si>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</si>
  <si>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</si>
  <si>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</si>
  <si>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</si>
  <si>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</si>
  <si>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</si>
  <si>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</si>
  <si>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</si>
  <si>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</si>
  <si>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</si>
  <si>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</si>
  <si>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</si>
  <si>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</si>
  <si>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</si>
  <si>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</si>
  <si>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</si>
  <si>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</si>
  <si>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</si>
  <si>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</si>
  <si>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</si>
  <si>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</si>
  <si>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</si>
  <si>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</si>
  <si>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</si>
  <si>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</si>
  <si>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</si>
  <si>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</si>
  <si>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</si>
  <si>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</si>
  <si>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</si>
  <si>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</si>
  <si>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</si>
  <si>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</si>
  <si>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</si>
  <si>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</si>
  <si>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</si>
  <si>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</si>
  <si>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</si>
  <si>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</si>
  <si>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</si>
  <si>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</si>
  <si>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</si>
  <si>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</si>
  <si>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</si>
  <si>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</si>
  <si>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</si>
  <si>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</si>
  <si>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</si>
  <si>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</si>
  <si>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</si>
  <si>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</si>
  <si>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</si>
  <si>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</si>
  <si>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</si>
  <si>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</si>
  <si>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</si>
  <si>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</si>
  <si>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</si>
  <si>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</si>
  <si>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</si>
  <si>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</si>
  <si>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</si>
  <si>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</si>
  <si>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</si>
  <si>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</si>
  <si>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</si>
  <si>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</si>
  <si>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</si>
  <si>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</si>
  <si>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</si>
  <si>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</si>
  <si>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</si>
  <si>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</si>
  <si>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</si>
  <si>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</si>
  <si>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</si>
  <si>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</si>
  <si>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</si>
  <si>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</si>
  <si>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</si>
  <si>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</si>
  <si>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</si>
  <si>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</si>
  <si>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</si>
  <si>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</si>
  <si>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</si>
  <si>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</si>
  <si>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</si>
  <si>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</si>
  <si>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</si>
  <si>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</si>
  <si>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</si>
  <si>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</si>
  <si>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</si>
  <si>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</si>
  <si>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</si>
  <si>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</si>
  <si>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</si>
  <si>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</si>
  <si>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</si>
  <si>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</si>
  <si>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</si>
  <si>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</si>
  <si>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</si>
  <si>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</si>
  <si>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</si>
  <si>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</si>
  <si>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</si>
  <si>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</si>
  <si>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</si>
  <si>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</si>
  <si>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</si>
  <si>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</si>
  <si>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</si>
  <si>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</si>
  <si>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</si>
  <si>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</si>
  <si>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</si>
  <si>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</si>
  <si>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</si>
  <si>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</si>
  <si>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</si>
  <si>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</si>
  <si>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</si>
  <si>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</si>
  <si>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</si>
  <si>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</si>
  <si>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</si>
  <si>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</si>
  <si>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</si>
  <si>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</si>
  <si>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</si>
  <si>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</si>
  <si>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</si>
  <si>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</si>
  <si>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</si>
  <si>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</si>
  <si>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</si>
  <si>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</si>
  <si>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</si>
  <si>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</si>
  <si>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</si>
  <si>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</si>
  <si>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</si>
  <si>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</si>
  <si>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</si>
  <si>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</si>
  <si>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</si>
  <si>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</si>
  <si>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</si>
  <si>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</si>
  <si>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</si>
  <si>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</si>
  <si>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</si>
  <si>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</si>
  <si>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</si>
  <si>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</si>
  <si>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</si>
  <si>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</si>
  <si>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</si>
  <si>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</si>
  <si>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</si>
  <si>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</si>
  <si>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</si>
  <si>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</si>
  <si>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</si>
  <si>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</si>
  <si>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</si>
  <si>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</si>
  <si>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</si>
  <si>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</si>
  <si>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</si>
  <si>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</si>
  <si>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</si>
  <si>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</si>
  <si>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</si>
  <si>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</si>
  <si>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</si>
  <si>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</si>
  <si>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</si>
  <si>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</si>
  <si>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</si>
  <si>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</si>
  <si>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</si>
  <si>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</si>
  <si>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</si>
  <si>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</si>
  <si>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</si>
  <si>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</si>
  <si>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</si>
  <si>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</si>
  <si>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</si>
  <si>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</si>
  <si>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</si>
  <si>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</si>
  <si>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</si>
  <si>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</si>
  <si>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</si>
  <si>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</si>
  <si>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</si>
  <si>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</si>
  <si>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</si>
  <si>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</si>
  <si>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</si>
  <si>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</si>
  <si>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</si>
  <si>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</si>
  <si>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</si>
  <si>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</si>
  <si>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</si>
  <si>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</si>
  <si>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</si>
  <si>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</si>
  <si>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</si>
  <si>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</si>
  <si>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</si>
  <si>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</si>
  <si>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</si>
  <si>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</si>
  <si>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</si>
  <si>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</si>
  <si>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</si>
  <si>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</si>
  <si>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</si>
  <si>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</si>
  <si>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</si>
  <si>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31 Aug 2026</t>
  </si>
  <si>
    <t>570</t>
  </si>
  <si>
    <t>111151</t>
  </si>
  <si>
    <t>168133</t>
  </si>
  <si>
    <t>S36</t>
  </si>
  <si>
    <t>84974</t>
  </si>
  <si>
    <t>168184</t>
  </si>
  <si>
    <t>190728</t>
  </si>
  <si>
    <t>369311</t>
  </si>
  <si>
    <t>1568</t>
  </si>
  <si>
    <t>137161</t>
  </si>
  <si>
    <t>301522</t>
  </si>
  <si>
    <t>467</t>
  </si>
  <si>
    <t>151422</t>
  </si>
  <si>
    <t>455578</t>
  </si>
  <si>
    <t>447021</t>
  </si>
  <si>
    <t>1631888</t>
  </si>
  <si>
    <t>50</t>
  </si>
  <si>
    <t>245</t>
  </si>
  <si>
    <t>634</t>
  </si>
  <si>
    <t>214309</t>
  </si>
  <si>
    <t>721039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</si>
</sst>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10519</c:v>
                </c:pt>
                <c:pt idx="1">
                  <c:v>12007</c:v>
                </c:pt>
                <c:pt idx="2">
                  <c:v>14016</c:v>
                </c:pt>
                <c:pt idx="3">
                  <c:v>12976</c:v>
                </c:pt>
                <c:pt idx="4">
                  <c:v>12332</c:v>
                </c:pt>
                <c:pt idx="5">
                  <c:v>14761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3"/>
              <c:layout>
                <c:manualLayout>
                  <c:x val="-2.9045643153526972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BAB789-0592-4EE8-B90A-7B7D224A38A2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dk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 w="25400" cap="flat" cmpd="sng" algn="ctr">
                  <a:solidFill>
                    <a:srgbClr val="00B050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37834</c:v>
                </c:pt>
                <c:pt idx="1">
                  <c:v>28356</c:v>
                </c:pt>
                <c:pt idx="2">
                  <c:v>7965</c:v>
                </c:pt>
                <c:pt idx="3">
                  <c:v>24352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29549</c:v>
                </c:pt>
                <c:pt idx="1">
                  <c:v>24262</c:v>
                </c:pt>
                <c:pt idx="2">
                  <c:v>7087</c:v>
                </c:pt>
                <c:pt idx="3">
                  <c:v>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15740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38888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85184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24305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showAll="0" sortType="ascending">
      <items count="20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sd="0" x="14"/>
        <item sd="0" x="15"/>
        <item sd="0" x="16"/>
        <item sd="0" x="17"/>
        <item h="1" x="18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1"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1">
        <item h="1" sd="0" x="1"/>
        <item h="1" m="1" x="19"/>
        <item h="1" sd="0" x="0"/>
        <item h="1" x="18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x="17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9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15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 s="1"/>
        <i x="19" nd="1"/>
        <i x="1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 s="1"/>
        <i x="16" s="1"/>
        <i x="17" s="1"/>
        <i x="1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view="pageBreakPreview" topLeftCell="A2" zoomScaleNormal="100" zoomScaleSheetLayoutView="100" workbookViewId="0">
      <selection activeCell="R8" sqref="R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46258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35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60" zoomScaleNormal="100" workbookViewId="0">
      <selection activeCell="T20" sqref="T2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74" activePane="bottomLeft" state="frozen"/>
      <selection pane="bottomLeft" activeCell="D986" sqref="D986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7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 t="s">
        <v>3388</v>
      </c>
      <c r="B977" s="8" t="s">
        <v>3392</v>
      </c>
      <c r="C977" s="8" t="s">
        <v>36</v>
      </c>
      <c r="D977" s="8" t="s">
        <v>39</v>
      </c>
      <c r="E977" s="8" t="s">
        <v>47</v>
      </c>
      <c r="F977" s="13"/>
      <c r="G977" s="59"/>
      <c r="H977" s="59"/>
      <c r="I977" s="6">
        <f t="shared" si="76"/>
        <v>217.39130434782609</v>
      </c>
      <c r="J977" s="2">
        <v>5.93</v>
      </c>
      <c r="K977" s="2">
        <v>4.83</v>
      </c>
      <c r="L977" s="2">
        <v>1.1000000000000001</v>
      </c>
      <c r="M977" s="2">
        <v>18.54</v>
      </c>
      <c r="N977" s="2" t="s">
        <v>3389</v>
      </c>
      <c r="O977" s="56">
        <v>1050</v>
      </c>
      <c r="P977" s="2">
        <v>1.73</v>
      </c>
      <c r="Q977" s="2">
        <v>9.83</v>
      </c>
      <c r="R977" s="2">
        <v>100.31</v>
      </c>
      <c r="S977" s="2">
        <v>3.79</v>
      </c>
      <c r="T977" s="2">
        <v>3.44</v>
      </c>
      <c r="U977" s="2">
        <v>96.53</v>
      </c>
      <c r="V977" s="2">
        <v>19.97</v>
      </c>
      <c r="W977" s="2">
        <v>9422.43</v>
      </c>
      <c r="X977" s="2" t="s">
        <v>3390</v>
      </c>
      <c r="Y977" s="2" t="s">
        <v>3391</v>
      </c>
      <c r="Z977" s="2" t="s">
        <v>548</v>
      </c>
      <c r="AA977" s="2" t="s">
        <v>548</v>
      </c>
      <c r="AB977" s="2">
        <v>293.60000000000002</v>
      </c>
    </row>
    <row r="978" spans="1:28" x14ac:dyDescent="0.25">
      <c r="A978" s="2" t="s">
        <v>3388</v>
      </c>
      <c r="B978" s="8" t="s">
        <v>3392</v>
      </c>
      <c r="C978" s="8" t="s">
        <v>36</v>
      </c>
      <c r="D978" s="8" t="s">
        <v>43</v>
      </c>
      <c r="E978" s="8" t="s">
        <v>2994</v>
      </c>
      <c r="F978" s="13"/>
      <c r="G978" s="59"/>
      <c r="H978" s="59"/>
      <c r="I978" s="6">
        <f t="shared" ref="I978" si="77">IFERROR(O978/K978,)</f>
        <v>0</v>
      </c>
      <c r="J978" s="2">
        <v>6.18</v>
      </c>
      <c r="K978" s="2">
        <v>3.23</v>
      </c>
      <c r="L978" s="2">
        <v>2.95</v>
      </c>
      <c r="M978" s="2">
        <v>47.74</v>
      </c>
      <c r="N978" s="2" t="s">
        <v>45</v>
      </c>
      <c r="O978" s="56" t="s">
        <v>45</v>
      </c>
      <c r="P978" s="2" t="s">
        <v>45</v>
      </c>
      <c r="Q978" s="2" t="s">
        <v>45</v>
      </c>
      <c r="R978" s="2">
        <v>79.489999999999995</v>
      </c>
      <c r="S978" s="2">
        <v>11.83</v>
      </c>
      <c r="T978" s="2">
        <v>4.01</v>
      </c>
      <c r="U978" s="2">
        <v>67.66</v>
      </c>
      <c r="V978" s="2">
        <v>20.95</v>
      </c>
      <c r="W978" s="2">
        <v>8976.5499999999993</v>
      </c>
      <c r="X978" s="2" t="s">
        <v>45</v>
      </c>
      <c r="Y978" s="2" t="s">
        <v>45</v>
      </c>
      <c r="Z978" s="2">
        <v>0.5</v>
      </c>
      <c r="AA978" s="2" t="s">
        <v>45</v>
      </c>
      <c r="AB978" s="2">
        <v>268.2</v>
      </c>
    </row>
    <row r="979" spans="1:28" x14ac:dyDescent="0.25">
      <c r="A979" s="2" t="s">
        <v>3388</v>
      </c>
      <c r="B979" s="8" t="s">
        <v>3392</v>
      </c>
      <c r="C979" s="8" t="s">
        <v>36</v>
      </c>
      <c r="D979" s="8" t="s">
        <v>67</v>
      </c>
      <c r="E979" s="8" t="s">
        <v>47</v>
      </c>
      <c r="F979" s="13"/>
      <c r="G979" s="59"/>
      <c r="H979" s="59"/>
      <c r="I979" s="6">
        <f t="shared" ref="I979" si="78">IFERROR(O979/K979,)</f>
        <v>84.688346883468839</v>
      </c>
      <c r="J979" s="2">
        <v>8.33</v>
      </c>
      <c r="K979" s="2">
        <v>7.38</v>
      </c>
      <c r="L979" s="2">
        <v>0.95</v>
      </c>
      <c r="M979" s="2">
        <v>11.41</v>
      </c>
      <c r="N979" s="2" t="s">
        <v>3223</v>
      </c>
      <c r="O979" s="56">
        <v>625</v>
      </c>
      <c r="P979" s="2">
        <v>1.83</v>
      </c>
      <c r="Q979" s="2">
        <v>5.0199999999999996</v>
      </c>
      <c r="R979" s="2">
        <v>124.45</v>
      </c>
      <c r="S979" s="2">
        <v>3.79</v>
      </c>
      <c r="T979" s="2">
        <v>3.98</v>
      </c>
      <c r="U979" s="2">
        <v>120.66</v>
      </c>
      <c r="V979" s="2">
        <v>16.350000000000001</v>
      </c>
      <c r="W979" s="2">
        <v>862.9</v>
      </c>
      <c r="X979" s="2" t="s">
        <v>3393</v>
      </c>
      <c r="Y979" s="2" t="s">
        <v>3394</v>
      </c>
      <c r="Z979" s="2">
        <v>1.1000000000000001</v>
      </c>
      <c r="AA979" s="2" t="s">
        <v>548</v>
      </c>
      <c r="AB979" s="2" t="s">
        <v>1730</v>
      </c>
    </row>
    <row r="980" spans="1:28" x14ac:dyDescent="0.25">
      <c r="A980" s="2" t="s">
        <v>3388</v>
      </c>
      <c r="B980" s="8" t="s">
        <v>3392</v>
      </c>
      <c r="C980" s="8" t="s">
        <v>36</v>
      </c>
      <c r="D980" s="8" t="s">
        <v>50</v>
      </c>
      <c r="E980" s="8" t="s">
        <v>47</v>
      </c>
      <c r="F980" s="13"/>
      <c r="G980" s="59"/>
      <c r="H980" s="59"/>
      <c r="I980" s="6">
        <f t="shared" ref="I980" si="79">IFERROR(O980/K980,)</f>
        <v>429.92831541218635</v>
      </c>
      <c r="J980" s="2">
        <v>6.78</v>
      </c>
      <c r="K980" s="2">
        <v>5.58</v>
      </c>
      <c r="L980" s="2">
        <v>1.2</v>
      </c>
      <c r="M980" s="2">
        <v>17.690000000000001</v>
      </c>
      <c r="N980" s="2" t="s">
        <v>2768</v>
      </c>
      <c r="O980" s="56">
        <v>2399</v>
      </c>
      <c r="P980" s="2">
        <v>2.04</v>
      </c>
      <c r="Q980" s="2">
        <v>18.850000000000001</v>
      </c>
      <c r="R980" s="2">
        <v>127.28</v>
      </c>
      <c r="S980" s="2">
        <v>3.79</v>
      </c>
      <c r="T980" s="2">
        <v>3.15</v>
      </c>
      <c r="U980" s="2">
        <v>123.5</v>
      </c>
      <c r="V980" s="2">
        <v>22.11</v>
      </c>
      <c r="W980" s="2">
        <v>2682.03</v>
      </c>
      <c r="X980" s="2" t="s">
        <v>3395</v>
      </c>
      <c r="Y980" s="2" t="s">
        <v>3396</v>
      </c>
      <c r="Z980" s="2" t="s">
        <v>548</v>
      </c>
      <c r="AA980" s="2" t="s">
        <v>548</v>
      </c>
      <c r="AB980" s="2">
        <v>342.1</v>
      </c>
    </row>
    <row r="981" spans="1:28" x14ac:dyDescent="0.25">
      <c r="A981" s="2" t="s">
        <v>3388</v>
      </c>
      <c r="B981" s="8" t="s">
        <v>3392</v>
      </c>
      <c r="C981" s="8" t="s">
        <v>36</v>
      </c>
      <c r="D981" s="8" t="s">
        <v>52</v>
      </c>
      <c r="E981" s="8" t="s">
        <v>47</v>
      </c>
      <c r="F981" s="13"/>
      <c r="G981" s="59"/>
      <c r="H981" s="59"/>
      <c r="I981" s="6">
        <f t="shared" ref="I981" si="80">IFERROR(O981/K981,)</f>
        <v>348.07302231237327</v>
      </c>
      <c r="J981" s="2">
        <v>11.41</v>
      </c>
      <c r="K981" s="2">
        <v>9.86</v>
      </c>
      <c r="L981" s="2">
        <v>1.55</v>
      </c>
      <c r="M981" s="2">
        <v>13.59</v>
      </c>
      <c r="N981" s="2" t="s">
        <v>3397</v>
      </c>
      <c r="O981" s="56">
        <v>3432</v>
      </c>
      <c r="P981" s="2">
        <v>2.19</v>
      </c>
      <c r="Q981" s="2">
        <v>16.12</v>
      </c>
      <c r="R981" s="2">
        <v>212.93</v>
      </c>
      <c r="S981" s="2">
        <v>6.15</v>
      </c>
      <c r="T981" s="2">
        <v>3.97</v>
      </c>
      <c r="U981" s="2">
        <v>206.78</v>
      </c>
      <c r="V981" s="2">
        <v>20.98</v>
      </c>
      <c r="W981" s="2">
        <v>1321.63</v>
      </c>
      <c r="X981" s="2" t="s">
        <v>3398</v>
      </c>
      <c r="Y981" s="2" t="s">
        <v>3399</v>
      </c>
      <c r="Z981" s="2" t="s">
        <v>548</v>
      </c>
      <c r="AA981" s="2" t="s">
        <v>548</v>
      </c>
      <c r="AB981" s="2">
        <v>126.6</v>
      </c>
    </row>
    <row r="982" spans="1:28" x14ac:dyDescent="0.25">
      <c r="A982" s="2" t="s">
        <v>3388</v>
      </c>
      <c r="B982" s="8" t="s">
        <v>3392</v>
      </c>
      <c r="C982" s="8" t="s">
        <v>36</v>
      </c>
      <c r="D982" s="7" t="s">
        <v>46</v>
      </c>
      <c r="E982" s="8" t="s">
        <v>47</v>
      </c>
      <c r="F982" s="13"/>
      <c r="G982" s="59"/>
      <c r="H982" s="59"/>
      <c r="I982" s="6">
        <f t="shared" ref="I982" si="81">IFERROR(O982/K982,)</f>
        <v>263.42281879194633</v>
      </c>
      <c r="J982" s="2">
        <v>7.46</v>
      </c>
      <c r="K982" s="2">
        <v>5.96</v>
      </c>
      <c r="L982" s="2">
        <v>1.5</v>
      </c>
      <c r="M982" s="2">
        <v>20.11</v>
      </c>
      <c r="N982" s="2" t="s">
        <v>3400</v>
      </c>
      <c r="O982" s="56">
        <v>1570</v>
      </c>
      <c r="P982" s="2">
        <v>3.36</v>
      </c>
      <c r="Q982" s="2">
        <v>8.92</v>
      </c>
      <c r="R982" s="2">
        <v>176.02</v>
      </c>
      <c r="S982" s="2">
        <v>10.41</v>
      </c>
      <c r="T982" s="2">
        <v>6.94</v>
      </c>
      <c r="U982" s="2">
        <v>165.61</v>
      </c>
      <c r="V982" s="2">
        <v>27.79</v>
      </c>
      <c r="W982" s="2">
        <v>8323.6299999999992</v>
      </c>
      <c r="X982" s="2" t="s">
        <v>3401</v>
      </c>
      <c r="Y982" s="2" t="s">
        <v>3402</v>
      </c>
      <c r="Z982" s="2" t="s">
        <v>548</v>
      </c>
      <c r="AA982" s="2" t="s">
        <v>548</v>
      </c>
      <c r="AB982" s="2">
        <v>259.7</v>
      </c>
    </row>
    <row r="983" spans="1:28" x14ac:dyDescent="0.25">
      <c r="A983" s="2" t="s">
        <v>3388</v>
      </c>
      <c r="B983" s="8" t="s">
        <v>3392</v>
      </c>
      <c r="C983" s="8" t="s">
        <v>36</v>
      </c>
      <c r="D983" s="8" t="s">
        <v>48</v>
      </c>
      <c r="E983" s="7" t="s">
        <v>38</v>
      </c>
      <c r="F983" s="13"/>
      <c r="G983" s="59"/>
      <c r="H983" s="59"/>
      <c r="I983" s="6">
        <f t="shared" ref="I983" si="82">IFERROR(O983/K983,)</f>
        <v>558.97129186602876</v>
      </c>
      <c r="J983" s="2">
        <v>9.01</v>
      </c>
      <c r="K983" s="2">
        <v>8.36</v>
      </c>
      <c r="L983" s="2">
        <v>0.65</v>
      </c>
      <c r="M983" s="2">
        <v>7.21</v>
      </c>
      <c r="N983" s="2" t="s">
        <v>3321</v>
      </c>
      <c r="O983" s="56">
        <v>4673</v>
      </c>
      <c r="P983" s="2">
        <v>4.6500000000000004</v>
      </c>
      <c r="Q983" s="2">
        <v>13.7</v>
      </c>
      <c r="R983" s="2">
        <v>341.16</v>
      </c>
      <c r="S983" s="2">
        <v>3.79</v>
      </c>
      <c r="T983" s="2">
        <v>5.82</v>
      </c>
      <c r="U983" s="2">
        <v>337.37</v>
      </c>
      <c r="V983" s="2">
        <v>40.36</v>
      </c>
      <c r="W983" s="2">
        <v>6878.47</v>
      </c>
      <c r="X983" s="2" t="s">
        <v>3403</v>
      </c>
      <c r="Y983" s="2" t="s">
        <v>3404</v>
      </c>
      <c r="Z983" s="2">
        <v>0.1</v>
      </c>
      <c r="AA983" s="2" t="s">
        <v>548</v>
      </c>
      <c r="AB983" s="2" t="s">
        <v>3405</v>
      </c>
    </row>
    <row r="984" spans="1:28" x14ac:dyDescent="0.25">
      <c r="A984" s="2" t="s">
        <v>3388</v>
      </c>
      <c r="B984" s="8" t="s">
        <v>3392</v>
      </c>
      <c r="C984" s="8" t="s">
        <v>36</v>
      </c>
      <c r="D984" s="8" t="s">
        <v>49</v>
      </c>
      <c r="E984" s="8" t="s">
        <v>47</v>
      </c>
      <c r="F984" s="13"/>
      <c r="G984" s="59"/>
      <c r="H984" s="59"/>
      <c r="I984" s="6">
        <f t="shared" ref="I984" si="83">IFERROR(O984/K984,)</f>
        <v>189.82035928143713</v>
      </c>
      <c r="J984" s="2">
        <v>3.69</v>
      </c>
      <c r="K984" s="2">
        <v>3.34</v>
      </c>
      <c r="L984" s="2">
        <v>0.35</v>
      </c>
      <c r="M984" s="2">
        <v>9.48</v>
      </c>
      <c r="N984" s="2" t="s">
        <v>3406</v>
      </c>
      <c r="O984" s="2" t="s">
        <v>3407</v>
      </c>
      <c r="P984" s="2">
        <v>2.59</v>
      </c>
      <c r="Q984" s="2">
        <v>6.35</v>
      </c>
      <c r="R984" s="2">
        <v>99.84</v>
      </c>
      <c r="S984" s="2">
        <v>1.89</v>
      </c>
      <c r="T984" s="2">
        <v>5.41</v>
      </c>
      <c r="U984" s="2">
        <v>97.95</v>
      </c>
      <c r="V984" s="2">
        <v>29.32</v>
      </c>
      <c r="W984" s="2">
        <v>2181.4499999999998</v>
      </c>
      <c r="X984" s="2" t="s">
        <v>3408</v>
      </c>
      <c r="Y984" s="2" t="s">
        <v>3409</v>
      </c>
      <c r="Z984" s="2" t="s">
        <v>548</v>
      </c>
      <c r="AA984" s="2" t="s">
        <v>548</v>
      </c>
      <c r="AB984" s="2">
        <v>5.9</v>
      </c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M1" zoomScale="90" zoomScaleNormal="90" workbookViewId="0">
      <selection activeCell="AA20" sqref="AA20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3337</v>
      </c>
      <c r="R1" t="s">
        <v>3338</v>
      </c>
      <c r="S1" t="s">
        <v>3339</v>
      </c>
      <c r="T1" t="s">
        <v>3340</v>
      </c>
    </row>
    <row r="2" spans="1:20" x14ac:dyDescent="0.2">
      <c r="Q2" s="18" t="s">
        <v>2681</v>
      </c>
      <c r="R2" s="19">
        <v>37834</v>
      </c>
      <c r="S2" s="19">
        <v>23999.999999999996</v>
      </c>
      <c r="T2" s="19">
        <v>29549</v>
      </c>
    </row>
    <row r="3" spans="1:20" x14ac:dyDescent="0.2">
      <c r="A3" s="9" t="s">
        <v>3337</v>
      </c>
      <c r="B3" s="15" t="s">
        <v>3339</v>
      </c>
      <c r="C3" s="15" t="s">
        <v>3338</v>
      </c>
      <c r="D3" t="s">
        <v>3341</v>
      </c>
      <c r="Q3" s="18" t="s">
        <v>2974</v>
      </c>
      <c r="R3" s="19">
        <v>28356</v>
      </c>
      <c r="S3" s="19">
        <v>24000</v>
      </c>
      <c r="T3" s="19">
        <v>24262</v>
      </c>
    </row>
    <row r="4" spans="1:20" x14ac:dyDescent="0.2">
      <c r="A4" s="10" t="s">
        <v>3213</v>
      </c>
      <c r="B4" s="15">
        <v>90000.000000000015</v>
      </c>
      <c r="C4" s="15">
        <v>76611</v>
      </c>
      <c r="D4">
        <v>36</v>
      </c>
      <c r="Q4" s="18" t="s">
        <v>3094</v>
      </c>
      <c r="R4" s="19">
        <v>7965</v>
      </c>
      <c r="S4" s="19">
        <v>24000</v>
      </c>
      <c r="T4" s="19">
        <v>7087</v>
      </c>
    </row>
    <row r="5" spans="1:20" x14ac:dyDescent="0.2">
      <c r="A5" s="11" t="s">
        <v>47</v>
      </c>
      <c r="B5" s="15">
        <v>90000.000000000015</v>
      </c>
      <c r="C5" s="15">
        <v>76611</v>
      </c>
      <c r="D5">
        <v>36</v>
      </c>
      <c r="Q5" s="18" t="s">
        <v>3213</v>
      </c>
      <c r="R5" s="19">
        <v>24352</v>
      </c>
      <c r="S5" s="19">
        <v>24000</v>
      </c>
      <c r="T5" s="19">
        <v>18061</v>
      </c>
    </row>
    <row r="6" spans="1:20" x14ac:dyDescent="0.2">
      <c r="A6" s="12">
        <v>46263</v>
      </c>
      <c r="B6" s="15">
        <v>15000</v>
      </c>
      <c r="C6" s="15">
        <v>10519</v>
      </c>
      <c r="D6">
        <v>6</v>
      </c>
      <c r="Q6" s="18" t="s">
        <v>3342</v>
      </c>
      <c r="R6" s="19">
        <v>98507</v>
      </c>
      <c r="S6" s="19">
        <v>96000</v>
      </c>
      <c r="T6" s="19">
        <v>78959</v>
      </c>
    </row>
    <row r="7" spans="1:20" x14ac:dyDescent="0.2">
      <c r="A7" s="12">
        <v>46262</v>
      </c>
      <c r="B7" s="15">
        <v>15000</v>
      </c>
      <c r="C7" s="15">
        <v>12007</v>
      </c>
      <c r="D7">
        <v>6</v>
      </c>
    </row>
    <row r="8" spans="1:20" x14ac:dyDescent="0.2">
      <c r="A8" s="12">
        <v>46261</v>
      </c>
      <c r="B8" s="15">
        <v>15000</v>
      </c>
      <c r="C8" s="15">
        <v>14016</v>
      </c>
      <c r="D8">
        <v>6</v>
      </c>
    </row>
    <row r="9" spans="1:20" x14ac:dyDescent="0.2">
      <c r="A9" s="12">
        <v>46260</v>
      </c>
      <c r="B9" s="15">
        <v>15000</v>
      </c>
      <c r="C9" s="15">
        <v>12976</v>
      </c>
      <c r="D9">
        <v>6</v>
      </c>
    </row>
    <row r="10" spans="1:20" x14ac:dyDescent="0.2">
      <c r="A10" s="12">
        <v>46259</v>
      </c>
      <c r="B10" s="15">
        <v>15000</v>
      </c>
      <c r="C10" s="15">
        <v>12332</v>
      </c>
      <c r="D10">
        <v>5</v>
      </c>
    </row>
    <row r="11" spans="1:20" x14ac:dyDescent="0.2">
      <c r="A11" s="12">
        <v>46258</v>
      </c>
      <c r="B11" s="15">
        <v>15000</v>
      </c>
      <c r="C11" s="15">
        <v>14761</v>
      </c>
      <c r="D11">
        <v>7</v>
      </c>
    </row>
    <row r="12" spans="1:20" hidden="1" x14ac:dyDescent="0.2">
      <c r="A12" s="10" t="s">
        <v>3342</v>
      </c>
      <c r="B12" s="15">
        <v>90000.000000000015</v>
      </c>
      <c r="C12" s="15">
        <v>76611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3337</v>
      </c>
      <c r="B3" t="s">
        <v>3339</v>
      </c>
      <c r="C3" t="s">
        <v>3343</v>
      </c>
      <c r="O3" s="9" t="s">
        <v>3337</v>
      </c>
      <c r="P3" t="s">
        <v>3339</v>
      </c>
      <c r="Q3" t="s">
        <v>3343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3344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3342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3342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3345</v>
      </c>
      <c r="G3" s="17" t="s">
        <v>3346</v>
      </c>
      <c r="H3" s="17" t="s">
        <v>3347</v>
      </c>
      <c r="I3" s="17" t="s">
        <v>3348</v>
      </c>
      <c r="J3" s="17" t="s">
        <v>3349</v>
      </c>
      <c r="K3" s="17" t="s">
        <v>3350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3351</v>
      </c>
    </row>
    <row r="5" spans="6:11" x14ac:dyDescent="0.2">
      <c r="F5" s="17">
        <v>116</v>
      </c>
      <c r="H5" s="17">
        <v>110</v>
      </c>
      <c r="J5" s="17" t="s">
        <v>3352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3353</v>
      </c>
    </row>
    <row r="3" spans="1:17" x14ac:dyDescent="0.2">
      <c r="A3" s="25" t="s">
        <v>7</v>
      </c>
      <c r="B3" s="25" t="s">
        <v>3354</v>
      </c>
      <c r="C3" s="25" t="s">
        <v>3355</v>
      </c>
      <c r="D3" s="25" t="s">
        <v>3356</v>
      </c>
      <c r="E3" s="25" t="s">
        <v>3357</v>
      </c>
      <c r="F3" s="25" t="s">
        <v>3358</v>
      </c>
      <c r="H3" s="22" t="s">
        <v>3358</v>
      </c>
      <c r="I3" s="22" t="s">
        <v>3354</v>
      </c>
      <c r="J3" s="22" t="s">
        <v>3355</v>
      </c>
      <c r="K3" s="22" t="s">
        <v>3357</v>
      </c>
      <c r="L3" s="22" t="s">
        <v>3359</v>
      </c>
      <c r="M3" s="25" t="s">
        <v>3360</v>
      </c>
      <c r="O3" s="25" t="s">
        <v>7</v>
      </c>
      <c r="P3" s="25" t="s">
        <v>3357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3361</v>
      </c>
      <c r="H4" s="28" t="s">
        <v>3361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3361</v>
      </c>
      <c r="H5" s="28" t="s">
        <v>3362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3361</v>
      </c>
      <c r="H6" s="28" t="s">
        <v>3363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3361</v>
      </c>
      <c r="H7" s="28" t="s">
        <v>3364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3361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3361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3361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3361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3361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3361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3362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3362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3362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3362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3362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3362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3362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3363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3363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3363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3363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3363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3363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3363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3363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3363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3363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3363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3363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3363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3364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3364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3364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3364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3364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3364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3364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3364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3364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3364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3364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3364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3364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3364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3364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3364</v>
      </c>
    </row>
    <row r="50" spans="1:6" x14ac:dyDescent="0.2">
      <c r="A50" s="84" t="s">
        <v>3365</v>
      </c>
      <c r="B50" s="84"/>
      <c r="C50" s="84"/>
      <c r="E50" s="23">
        <f>SUM(E4:E49)</f>
        <v>12900</v>
      </c>
    </row>
    <row r="56" spans="1:6" ht="15.75" x14ac:dyDescent="0.25">
      <c r="A56" s="34" t="s">
        <v>3366</v>
      </c>
    </row>
    <row r="57" spans="1:6" ht="25.5" x14ac:dyDescent="0.2">
      <c r="A57" s="35" t="s">
        <v>3367</v>
      </c>
      <c r="B57" s="36" t="s">
        <v>3368</v>
      </c>
      <c r="C57" s="36" t="s">
        <v>3369</v>
      </c>
      <c r="D57" s="36" t="s">
        <v>3370</v>
      </c>
    </row>
    <row r="58" spans="1:6" x14ac:dyDescent="0.2">
      <c r="A58" s="40" t="s">
        <v>3371</v>
      </c>
      <c r="B58" s="37">
        <v>108384.01</v>
      </c>
      <c r="C58" s="37"/>
      <c r="D58" s="37">
        <v>108384.01</v>
      </c>
    </row>
    <row r="59" spans="1:6" x14ac:dyDescent="0.2">
      <c r="A59" s="40" t="s">
        <v>3372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3373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3374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3375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3376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3377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3378</v>
      </c>
      <c r="B65" s="37">
        <v>23860.793000000001</v>
      </c>
      <c r="C65" s="37"/>
      <c r="D65" s="37"/>
    </row>
    <row r="66" spans="1:4" x14ac:dyDescent="0.2">
      <c r="A66" s="40" t="s">
        <v>3379</v>
      </c>
      <c r="B66" s="37">
        <v>1344.431</v>
      </c>
      <c r="C66" s="37"/>
      <c r="D66" s="37"/>
    </row>
    <row r="67" spans="1:4" x14ac:dyDescent="0.2">
      <c r="A67" s="38" t="s">
        <v>3365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3380</v>
      </c>
      <c r="E2" s="48" t="s">
        <v>3381</v>
      </c>
      <c r="F2" s="48" t="s">
        <v>3382</v>
      </c>
      <c r="G2" s="48" t="s">
        <v>3383</v>
      </c>
      <c r="H2" s="48" t="s">
        <v>3384</v>
      </c>
      <c r="I2" s="48" t="s">
        <v>3385</v>
      </c>
      <c r="J2" s="48" t="s">
        <v>3386</v>
      </c>
      <c r="K2" s="48" t="s">
        <v>3387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2026-08-31T19:43:58Z</cp:lastPrinted>
  <dcterms:created xsi:type="dcterms:W3CDTF">2026-05-12T12:10:54Z</dcterms:created>
  <dcterms:modified xsi:type="dcterms:W3CDTF">2026-09-01T17:40:16Z</dcterms:modified>
  <cp:category/>
  <cp:contentStatus/>
</cp:coreProperties>
</file>