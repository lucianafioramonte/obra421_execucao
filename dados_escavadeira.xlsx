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6832" documentId="8_{CE5C6F22-4BE2-41D0-BCDC-905D26C0C4E3}" xr6:coauthVersionLast="47" xr6:coauthVersionMax="47" xr10:uidLastSave="{46C89087-4000-4A38-A905-BB76D7375BCE}"/>
  <bookViews>
    <workbookView xWindow="-120" yWindow="-120" windowWidth="20730" windowHeight="11040" tabRatio="678" firstSheet="2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52" i="1" l="1"/>
  <c r="I853" i="1"/>
  <c r="I854" i="1"/>
  <c r="I849" i="1"/>
  <c r="I850" i="1"/>
  <c r="I851" i="1"/>
  <c r="I846" i="1"/>
  <c r="I847" i="1"/>
  <c r="I848" i="1"/>
  <c r="I843" i="1"/>
  <c r="I844" i="1"/>
  <c r="I845" i="1"/>
  <c r="I840" i="1"/>
  <c r="I841" i="1"/>
  <c r="I842" i="1"/>
  <c r="I837" i="1"/>
  <c r="I838" i="1"/>
  <c r="I839" i="1"/>
  <c r="I834" i="1"/>
  <c r="I835" i="1"/>
  <c r="I836" i="1"/>
  <c r="I831" i="1"/>
  <c r="I832" i="1"/>
  <c r="I833" i="1"/>
  <c r="O818" i="1"/>
  <c r="O819" i="1"/>
  <c r="O828" i="1"/>
  <c r="I828" i="1" s="1"/>
  <c r="O829" i="1"/>
  <c r="O816" i="1"/>
  <c r="O817" i="1"/>
  <c r="I830" i="1"/>
  <c r="I826" i="1"/>
  <c r="I827" i="1"/>
  <c r="I824" i="1"/>
  <c r="I825" i="1"/>
  <c r="I822" i="1"/>
  <c r="I823" i="1"/>
  <c r="I820" i="1"/>
  <c r="I821" i="1"/>
  <c r="I816" i="1"/>
  <c r="I818" i="1"/>
  <c r="I814" i="1"/>
  <c r="I815" i="1"/>
  <c r="I812" i="1"/>
  <c r="I813" i="1"/>
  <c r="O804" i="1"/>
  <c r="O803" i="1" s="1"/>
  <c r="I803" i="1" s="1"/>
  <c r="O798" i="1"/>
  <c r="O797" i="1" s="1"/>
  <c r="I797" i="1" s="1"/>
  <c r="O800" i="1"/>
  <c r="O799" i="1" s="1"/>
  <c r="I799" i="1" s="1"/>
  <c r="I810" i="1"/>
  <c r="I811" i="1"/>
  <c r="I808" i="1"/>
  <c r="I809" i="1"/>
  <c r="I806" i="1"/>
  <c r="I807" i="1"/>
  <c r="I805" i="1"/>
  <c r="I801" i="1"/>
  <c r="I802" i="1"/>
  <c r="I795" i="1"/>
  <c r="I796" i="1"/>
  <c r="I794" i="1"/>
  <c r="I793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O778" i="1"/>
  <c r="I778" i="1" s="1"/>
  <c r="I787" i="1"/>
  <c r="I77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O764" i="1"/>
  <c r="I764" i="1" s="1"/>
  <c r="I763" i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<sst xmlns="http://schemas.openxmlformats.org/spreadsheetml/2006/main" count="10890" uniqueCount="3151">
  <si>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</si>
  <si>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</si>
  <si>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</si>
  <si>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</si>
  <si>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</si>
  <si>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</si>
  <si>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</si>
  <si>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</si>
  <si>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</si>
  <si>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</si>
  <si>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</si>
  <si>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</si>
  <si>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</si>
  <si>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</si>
  <si>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</si>
  <si>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</si>
  <si>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</si>
  <si>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</si>
  <si>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</si>
  <si>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</si>
  <si>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</si>
  <si>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</si>
  <si>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</si>
  <si>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</si>
  <si>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</si>
  <si>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</si>
  <si>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</si>
  <si>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</si>
  <si>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</si>
  <si>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</si>
  <si>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</si>
  <si>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</si>
  <si>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</si>
  <si>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</si>
  <si>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</si>
  <si>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</si>
  <si>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</si>
  <si>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</si>
  <si>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</si>
  <si>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</si>
  <si>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</si>
  <si>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</si>
  <si>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</si>
  <si>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</si>
  <si>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</si>
  <si>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</si>
  <si>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</si>
  <si>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</si>
  <si>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</si>
  <si>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</si>
  <si>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</si>
  <si>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</si>
  <si>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</si>
  <si>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</si>
  <si>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</si>
  <si>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</si>
  <si>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</si>
  <si>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</si>
  <si>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</si>
  <si>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</si>
  <si>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</si>
  <si>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</si>
  <si>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</si>
  <si>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</si>
  <si>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</si>
  <si>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</si>
  <si>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</si>
  <si>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</si>
  <si>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</si>
  <si>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</si>
  <si>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</si>
  <si>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</si>
  <si>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</si>
  <si>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</si>
  <si>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</si>
  <si>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</si>
  <si>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</si>
  <si>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</si>
  <si>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</si>
  <si>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</si>
  <si>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</si>
  <si>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</si>
  <si>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</si>
  <si>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</si>
  <si>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</si>
  <si>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</si>
  <si>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</si>
  <si>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</si>
  <si>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</si>
  <si>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</si>
  <si>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</si>
  <si>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</si>
  <si>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</si>
  <si>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</si>
  <si>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</si>
  <si>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</si>
  <si>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</si>
  <si>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</si>
  <si>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</si>
  <si>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</si>
  <si>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</si>
  <si>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</si>
  <si>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</si>
  <si>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</si>
  <si>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</si>
  <si>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</si>
  <si>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</si>
  <si>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</si>
  <si>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</si>
  <si>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</si>
  <si>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</si>
  <si>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</si>
  <si>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</si>
  <si>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</si>
  <si>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</si>
  <si>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</si>
  <si>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</si>
  <si>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</si>
  <si>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</si>
  <si>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</si>
  <si>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</si>
  <si>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</si>
  <si>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</si>
  <si>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</si>
  <si>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</si>
  <si>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</si>
  <si>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</si>
  <si>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</si>
  <si>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</si>
  <si>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</si>
  <si>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</si>
  <si>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</si>
  <si>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</si>
  <si>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</si>
  <si>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</si>
  <si>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</si>
  <si>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</si>
  <si>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</si>
  <si>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</si>
  <si>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</si>
  <si>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</si>
  <si>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</si>
  <si>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</si>
  <si>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</si>
  <si>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</si>
  <si>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</si>
  <si>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</si>
  <si>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</si>
  <si>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</si>
  <si>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</si>
  <si>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</si>
  <si>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</si>
  <si>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</si>
  <si>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</si>
  <si>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</si>
  <si>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</si>
  <si>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</si>
  <si>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</si>
  <si>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</si>
  <si>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</si>
  <si>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</si>
  <si>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</si>
  <si>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</si>
  <si>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</si>
  <si>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</si>
  <si>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</si>
  <si>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</si>
  <si>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</si>
  <si>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</si>
  <si>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</si>
  <si>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</si>
  <si>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</si>
  <si>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</si>
  <si>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</si>
  <si>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</si>
  <si>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</si>
  <si>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</si>
  <si>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</si>
  <si>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</si>
  <si>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</si>
  <si>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</si>
  <si>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</si>
  <si>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</si>
  <si>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</si>
  <si>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</si>
  <si>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</si>
  <si>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</si>
  <si>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</si>
  <si>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</si>
  <si>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</si>
  <si>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</si>
  <si>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</si>
  <si>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</si>
  <si>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</si>
  <si>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</si>
  <si>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</si>
  <si>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</si>
  <si>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</si>
  <si>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</si>
  <si>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</si>
  <si>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</si>
  <si>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</si>
  <si>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</si>
  <si>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</si>
  <si>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</si>
  <si>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</si>
  <si>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</si>
  <si>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</si>
  <si>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</si>
  <si>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</si>
  <si>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</si>
  <si>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</si>
  <si>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</si>
  <si>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</si>
  <si>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</si>
  <si>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</si>
  <si>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</si>
  <si>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</si>
  <si>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</si>
  <si>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</si>
  <si>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</si>
  <si>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</si>
  <si>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</si>
  <si>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</si>
  <si>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</si>
  <si>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</si>
  <si>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</si>
  <si>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</si>
  <si>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</si>
  <si>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</si>
  <si>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</si>
  <si>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</si>
  <si>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</si>
  <si>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</si>
  <si>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</si>
  <si>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</si>
  <si>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</si>
  <si>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</si>
  <si>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</si>
  <si>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</si>
  <si>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</si>
  <si>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</si>
  <si>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</si>
  <si>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</si>
  <si>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</si>
  <si>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</si>
  <si>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</si>
  <si>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</si>
  <si>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</si>
  <si>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</si>
  <si>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</si>
  <si>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</si>
  <si>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</si>
  <si>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</si>
  <si>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</si>
  <si>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</si>
  <si>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</si>
  <si>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</si>
  <si>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</si>
  <si>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</si>
  <si>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</si>
  <si>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</si>
  <si>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</si>
  <si>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</si>
  <si>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</si>
  <si>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</si>
  <si>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</si>
  <si>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</si>
  <si>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</si>
  <si>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</si>
  <si>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</si>
  <si>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</si>
  <si>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</si>
  <si>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</si>
  <si>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</si>
  <si>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</si>
  <si>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</si>
  <si>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</si>
  <si>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</si>
  <si>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</si>
  <si>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</si>
  <si>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</si>
  <si>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</si>
  <si>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</si>
  <si>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</si>
  <si>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</si>
  <si>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</si>
  <si>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</si>
  <si>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</si>
  <si>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</si>
  <si>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</si>
  <si>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</si>
  <si>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</si>
  <si>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</si>
  <si>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</si>
  <si>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</si>
  <si>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</si>
  <si>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</si>
  <si>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</si>
  <si>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</si>
  <si>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</si>
  <si>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</si>
  <si>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</si>
  <si>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</si>
  <si>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</si>
  <si>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</si>
  <si>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</si>
  <si>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</si>
  <si>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</si>
  <si>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</si>
  <si>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</si>
  <si>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</si>
  <si>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</si>
  <si>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</si>
  <si>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</si>
  <si>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</si>
  <si>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</si>
  <si>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</si>
  <si>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</si>
  <si>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</si>
  <si>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</si>
  <si>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</si>
  <si>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</si>
  <si>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</si>
  <si>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</si>
  <si>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</si>
  <si>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</si>
  <si>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</si>
  <si>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</si>
  <si>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</si>
  <si>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</si>
  <si>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</si>
  <si>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</si>
  <si>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</si>
  <si>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</si>
  <si>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</si>
  <si>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</si>
  <si>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</si>
  <si>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</si>
  <si>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</si>
  <si>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</si>
  <si>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</si>
  <si>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</si>
  <si>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</si>
  <si>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</si>
  <si>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</si>
  <si>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</si>
  <si>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</si>
  <si>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</si>
  <si>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</si>
  <si>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</si>
  <si>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</si>
  <si>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</si>
  <si>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</si>
  <si>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</si>
  <si>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</si>
  <si>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</si>
  <si>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</si>
  <si>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</si>
  <si>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</si>
  <si>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</si>
  <si>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</si>
  <si>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</si>
  <si>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</si>
  <si>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</si>
  <si>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</si>
  <si>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</si>
  <si>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</si>
  <si>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</si>
  <si>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</si>
  <si>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</si>
  <si>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</si>
  <si>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</si>
  <si>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</si>
  <si>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</si>
  <si>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</si>
  <si>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</si>
  <si>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</si>
  <si>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</si>
  <si>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</si>
  <si>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</si>
  <si>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</si>
  <si>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</si>
  <si>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</si>
  <si>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</si>
  <si>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</si>
  <si>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</si>
  <si>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</si>
  <si>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</si>
  <si>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</si>
  <si>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</si>
  <si>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</si>
  <si>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</si>
  <si>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</si>
  <si>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</si>
  <si>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</si>
  <si>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</si>
  <si>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</si>
  <si>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</si>
  <si>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</si>
  <si>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</si>
  <si>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</si>
  <si>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</si>
  <si>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</si>
  <si>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</si>
  <si>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</si>
  <si>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</si>
  <si>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</si>
  <si>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</si>
  <si>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</si>
  <si>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</si>
  <si>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</si>
  <si>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</si>
  <si>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</si>
  <si>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</si>
  <si>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</si>
  <si>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</si>
  <si>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</si>
  <si>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</si>
  <si>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</si>
  <si>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</si>
  <si>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</si>
  <si>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</si>
  <si>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</si>
  <si>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</si>
  <si>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</si>
  <si>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</si>
  <si>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</si>
  <si>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</si>
  <si>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</si>
  <si>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</si>
  <si>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</si>
  <si>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</si>
  <si>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</si>
  <si>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</si>
  <si>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</si>
  <si>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</si>
  <si>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</si>
  <si>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</si>
  <si>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</si>
  <si>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</si>
  <si>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</si>
  <si>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</si>
  <si>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</si>
  <si>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</si>
  <si>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</si>
  <si>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</si>
  <si>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</si>
  <si>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</si>
  <si>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</si>
  <si>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</si>
  <si>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</si>
  <si>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</si>
  <si>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</si>
  <si>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</si>
  <si>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</si>
  <si>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</si>
  <si>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</si>
  <si>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</si>
  <si>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</si>
  <si>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</si>
  <si>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</si>
  <si>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</si>
  <si>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</si>
  <si>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</si>
  <si>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</si>
  <si>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</si>
  <si>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</si>
  <si>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</si>
  <si>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</si>
  <si>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</si>
  <si>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</si>
  <si>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</si>
  <si>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</si>
  <si>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</si>
  <si>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</si>
  <si>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</si>
  <si>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</si>
  <si>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</si>
  <si>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</si>
  <si>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</si>
  <si>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</si>
  <si>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</si>
  <si>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</si>
  <si>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</si>
  <si>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</si>
  <si>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</si>
  <si>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</si>
  <si>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</si>
  <si>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</si>
  <si>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</si>
  <si>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</si>
  <si>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</si>
  <si>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</si>
  <si>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</si>
  <si>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</si>
  <si>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</si>
  <si>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</si>
  <si>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</si>
  <si>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</si>
  <si>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</si>
  <si>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</si>
  <si>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</si>
  <si>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</si>
  <si>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</si>
  <si>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</si>
  <si>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</si>
  <si>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</si>
  <si>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</si>
  <si>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</si>
  <si>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</si>
  <si>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</si>
  <si>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</si>
  <si>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</si>
  <si>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</si>
  <si>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</si>
  <si>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</si>
  <si>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</si>
  <si>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</si>
  <si>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</si>
  <si>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</si>
  <si>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</si>
  <si>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</si>
  <si>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</si>
  <si>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</si>
  <si>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</si>
  <si>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</si>
  <si>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</si>
  <si>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</si>
  <si>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</si>
  <si>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</si>
  <si>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</si>
  <si>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</si>
  <si>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</si>
  <si>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</si>
  <si>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</si>
  <si>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</si>
  <si>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</si>
  <si>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</si>
  <si>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</si>
  <si>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</si>
  <si>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</si>
  <si>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</si>
  <si>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</si>
  <si>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</si>
  <si>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</si>
  <si>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</si>
  <si>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</si>
  <si>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</si>
  <si>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</si>
  <si>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</si>
  <si>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</si>
  <si>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</si>
  <si>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</si>
  <si>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</si>
  <si>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</si>
  <si>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</si>
  <si>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</si>
  <si>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</si>
  <si>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</si>
  <si>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</si>
  <si>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</si>
  <si>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</si>
  <si>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</si>
  <si>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</si>
  <si>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</si>
  <si>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</si>
  <si>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</si>
  <si>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</si>
  <si>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</si>
  <si>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</si>
  <si>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</si>
  <si>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</si>
  <si>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</si>
  <si>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</si>
  <si>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</si>
  <si>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</si>
  <si>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</si>
  <si>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</si>
  <si>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</si>
  <si>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</si>
  <si>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</si>
  <si>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</si>
  <si>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</si>
  <si>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</si>
  <si>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</si>
  <si>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</si>
  <si>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</si>
  <si>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</si>
  <si>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</si>
  <si>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</si>
  <si>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</si>
  <si>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</si>
  <si>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</si>
  <si>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</si>
  <si>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</si>
  <si>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</si>
  <si>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</si>
  <si>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</si>
  <si>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</si>
  <si>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</si>
  <si>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</si>
  <si>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</si>
  <si>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</si>
  <si>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</si>
  <si>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</si>
  <si>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</si>
  <si>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</si>
  <si>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</si>
  <si>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</si>
  <si>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</si>
  <si>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</si>
  <si>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</si>
  <si>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</si>
  <si>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</si>
  <si>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</si>
  <si>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</si>
  <si>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</si>
  <si>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</si>
  <si>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</si>
  <si>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</si>
  <si>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</si>
  <si>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</si>
  <si>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</si>
  <si>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</si>
  <si>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</si>
  <si>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</si>
  <si>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</si>
  <si>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</si>
  <si>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</si>
  <si>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</si>
  <si>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</si>
  <si>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</si>
  <si>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</si>
  <si>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</si>
  <si>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</si>
  <si>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</si>
  <si>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</si>
  <si>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</si>
  <si>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</si>
  <si>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</si>
  <si>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</si>
  <si>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</si>
  <si>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</si>
  <si>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</si>
  <si>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</si>
  <si>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</si>
  <si>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</si>
  <si>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</si>
  <si>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</si>
  <si>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</si>
  <si>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</si>
  <si>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</si>
  <si>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</si>
  <si>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</si>
  <si>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</si>
  <si>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</si>
  <si>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</si>
  <si>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</si>
  <si>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</si>
  <si>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</si>
  <si>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</si>
  <si>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</si>
  <si>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</si>
  <si>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</si>
  <si>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</si>
  <si>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</si>
  <si>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</si>
  <si>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</si>
  <si>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</si>
  <si>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</si>
  <si>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</si>
  <si>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</si>
  <si>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</si>
  <si>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</si>
  <si>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</si>
  <si>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</si>
  <si>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</si>
  <si>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</si>
  <si>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</si>
  <si>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</si>
  <si>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</si>
  <si>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</si>
  <si>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</si>
  <si>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</si>
  <si>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</si>
  <si>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</si>
  <si>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</si>
  <si>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</si>
  <si>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</si>
  <si>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</si>
  <si>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</si>
  <si>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</si>
  <si>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</si>
  <si>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</si>
  <si>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</si>
  <si>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</si>
  <si>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</si>
  <si>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</si>
  <si>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</si>
  <si>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</si>
  <si>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</si>
  <si>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</si>
  <si>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</si>
  <si>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</si>
  <si>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</si>
  <si>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</si>
  <si>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</si>
  <si>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</si>
  <si>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</si>
  <si>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</si>
  <si>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</si>
  <si>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</si>
  <si>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</si>
  <si>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</si>
  <si>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</si>
  <si>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</si>
  <si>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</si>
  <si>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</si>
  <si>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</si>
  <si>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</si>
  <si>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</si>
  <si>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</si>
  <si>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</si>
  <si>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</si>
  <si>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</si>
  <si>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</si>
  <si>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</si>
  <si>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</si>
  <si>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</si>
  <si>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</si>
  <si>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</si>
  <si>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</si>
  <si>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</si>
  <si>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</si>
  <si>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</si>
  <si>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</si>
  <si>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</si>
  <si>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</si>
  <si>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</si>
  <si>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</si>
  <si>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</si>
  <si>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</si>
  <si>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</si>
  <si>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</si>
  <si>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</si>
  <si>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</si>
  <si>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</si>
  <si>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</si>
  <si>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</si>
  <si>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</si>
  <si>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</si>
  <si>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</si>
  <si>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</si>
  <si>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</si>
  <si>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</si>
  <si>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</si>
  <si>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</si>
  <si>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</si>
  <si>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</si>
  <si>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</si>
  <si>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</si>
  <si>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</si>
  <si>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</si>
  <si>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</si>
  <si>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</si>
  <si>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</si>
  <si>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</si>
  <si>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</si>
  <si>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</si>
  <si>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</si>
  <si>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</si>
  <si>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</si>
  <si>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</si>
  <si>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</si>
  <si>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</si>
  <si>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</si>
  <si>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</si>
  <si>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</si>
  <si>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</si>
  <si>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</si>
  <si>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</si>
  <si>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</si>
  <si>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</si>
  <si>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</si>
  <si>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</si>
  <si>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</si>
  <si>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</si>
  <si>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</si>
  <si>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</si>
  <si>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</si>
  <si>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</si>
  <si>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</si>
  <si>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</si>
  <si>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</si>
  <si>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</si>
  <si>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</si>
  <si>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</si>
  <si>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</si>
  <si>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</si>
  <si>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</si>
  <si>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</si>
  <si>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</si>
  <si>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</si>
  <si>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</si>
  <si>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</si>
  <si>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</si>
  <si>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</si>
  <si>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</si>
  <si>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</si>
  <si>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</si>
  <si>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</si>
  <si>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</si>
  <si>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</si>
  <si>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</si>
  <si>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</si>
  <si>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</si>
  <si>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</si>
  <si>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</si>
  <si>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</si>
  <si>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</si>
  <si>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</si>
  <si>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</si>
  <si>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</si>
  <si>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</si>
  <si>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</si>
  <si>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</si>
  <si>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</si>
  <si>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</si>
  <si>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</si>
  <si>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</si>
  <si>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</si>
  <si>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</si>
  <si>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</si>
  <si>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</si>
  <si>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</si>
  <si>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</si>
  <si>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</si>
  <si>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</si>
  <si>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</si>
  <si>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</si>
  <si>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</si>
  <si>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</si>
  <si>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</si>
  <si>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</si>
  <si>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</si>
  <si>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</si>
  <si>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</si>
  <si>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</si>
  <si>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</si>
  <si>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</si>
  <si>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</si>
  <si>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</si>
  <si>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</si>
  <si>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</si>
  <si>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</si>
  <si>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</si>
  <si>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</si>
  <si>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</si>
  <si>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</si>
  <si>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</si>
  <si>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</si>
  <si>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</si>
  <si>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</si>
  <si>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</si>
  <si>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</si>
  <si>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</si>
  <si>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</si>
  <si>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</si>
  <si>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</si>
  <si>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</si>
  <si>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</si>
  <si>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</si>
  <si>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</si>
  <si>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</si>
  <si>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</si>
  <si>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</si>
  <si>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</si>
  <si>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</si>
  <si>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</si>
  <si>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</si>
  <si>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</si>
  <si>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</si>
  <si>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</si>
  <si>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</si>
  <si>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</si>
  <si>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</si>
  <si>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</si>
  <si>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</si>
  <si>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</si>
  <si>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</si>
  <si>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</si>
  <si>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</si>
  <si>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</si>
  <si>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</si>
  <si>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</si>
  <si>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</si>
  <si>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</si>
  <si>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</si>
  <si>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</si>
  <si>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</si>
  <si>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</si>
  <si>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</si>
  <si>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</si>
  <si>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</si>
  <si>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</si>
  <si>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</si>
  <si>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</si>
  <si>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</si>
  <si>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</si>
  <si>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</si>
  <si>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</si>
  <si>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</si>
  <si>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</si>
  <si>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</si>
  <si>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</si>
  <si>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</si>
  <si>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</si>
  <si>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</si>
  <si>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</si>
  <si>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</si>
  <si>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</si>
  <si>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</si>
  <si>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</si>
  <si>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</si>
  <si>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</si>
  <si>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</si>
  <si>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</si>
  <si>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</si>
  <si>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</si>
  <si>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</si>
  <si>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</si>
  <si>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</si>
  <si>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</si>
  <si>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</si>
  <si>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</si>
  <si>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</si>
  <si>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</si>
  <si>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</si>
  <si>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</si>
  <si>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</si>
  <si>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</si>
  <si>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</si>
  <si>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</si>
  <si>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</si>
  <si>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</si>
  <si>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</si>
  <si>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</si>
  <si>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</si>
  <si>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</si>
  <si>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</si>
  <si>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</si>
  <si>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</si>
  <si>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</si>
  <si>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</si>
  <si>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</si>
  <si>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</si>
  <si>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</si>
  <si>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</si>
  <si>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</si>
  <si>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</si>
  <si>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</si>
  <si>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</si>
  <si>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</si>
  <si>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</si>
  <si>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</si>
  <si>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</si>
  <si>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</si>
  <si>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</si>
  <si>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</si>
  <si>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</si>
  <si>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</si>
  <si>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</si>
  <si>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</si>
  <si>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</si>
  <si>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</si>
  <si>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</si>
  <si>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</si>
  <si>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</si>
  <si>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</si>
  <si>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</si>
  <si>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</si>
  <si>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</si>
  <si>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</si>
  <si>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</si>
  <si>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</si>
  <si>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</si>
  <si>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</si>
  <si>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</si>
  <si>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</si>
  <si>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</si>
  <si>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</si>
  <si>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</si>
  <si>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</si>
  <si>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</si>
  <si>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</si>
  <si>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</si>
  <si>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</si>
  <si>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</si>
  <si>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</si>
  <si>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</si>
  <si>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</si>
  <si>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</si>
  <si>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</si>
  <si>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</si>
  <si>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</si>
  <si>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</si>
  <si>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</si>
  <si>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</si>
  <si>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</si>
  <si>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</si>
  <si>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</si>
  <si>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</si>
  <si>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</si>
  <si>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</si>
  <si>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</si>
  <si>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</si>
  <si>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</si>
  <si>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</si>
  <si>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</si>
  <si>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</si>
  <si>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</si>
  <si>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</si>
  <si>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</si>
  <si>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</si>
  <si>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</si>
  <si>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</si>
  <si>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</si>
  <si>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</si>
  <si>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</si>
  <si>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</si>
  <si>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</si>
  <si>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</si>
  <si>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</si>
  <si>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</si>
  <si>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</si>
  <si>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</si>
  <si>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</si>
  <si>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</si>
  <si>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</si>
  <si>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</si>
  <si>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</si>
  <si>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</si>
  <si>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</si>
  <si>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</si>
  <si>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</si>
  <si>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</si>
  <si>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</si>
  <si>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</si>
  <si>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</si>
  <si>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</si>
  <si>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</si>
  <si>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</si>
  <si>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</si>
  <si>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</si>
  <si>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</si>
  <si>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</si>
  <si>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</si>
  <si>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</si>
  <si>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</si>
  <si>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</si>
  <si>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</si>
  <si>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</si>
  <si>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</si>
  <si>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</si>
  <si>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</si>
  <si>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</si>
  <si>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</si>
  <si>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</si>
  <si>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</si>
  <si>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</si>
  <si>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</si>
  <si>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</si>
  <si>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</si>
  <si>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</si>
  <si>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</si>
  <si>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</si>
  <si>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</si>
  <si>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</si>
  <si>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</si>
  <si>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</si>
  <si>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</si>
  <si>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</si>
  <si>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</si>
  <si>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</si>
  <si>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</si>
  <si>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</si>
  <si>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</si>
  <si>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</si>
  <si>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</si>
  <si>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</si>
  <si>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</si>
  <si>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</si>
  <si>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</si>
  <si>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</si>
  <si>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</si>
  <si>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</si>
  <si>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</si>
  <si>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</si>
  <si>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</si>
  <si>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</si>
  <si>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</si>
  <si>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</si>
  <si>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</si>
  <si>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</si>
  <si>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</si>
  <si>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</si>
  <si>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</si>
  <si>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</si>
  <si>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</si>
  <si>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</si>
  <si>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</si>
  <si>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</si>
  <si>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</si>
  <si>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</si>
  <si>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</si>
  <si>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</si>
  <si>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</si>
  <si>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</si>
  <si>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</si>
  <si>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</si>
  <si>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</si>
  <si>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</si>
  <si>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</si>
  <si>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</si>
  <si>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</si>
  <si>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</si>
  <si>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</si>
  <si>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</si>
  <si>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</si>
  <si>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</si>
  <si>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</si>
  <si>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</si>
  <si>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</si>
  <si>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</si>
  <si>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</si>
  <si>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</si>
  <si>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</si>
  <si>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</si>
  <si>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</si>
  <si>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</si>
  <si>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</si>
  <si>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</si>
  <si>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</si>
  <si>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</si>
  <si>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</si>
  <si>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</si>
  <si>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</si>
  <si>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</si>
  <si>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</si>
  <si>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</si>
  <si>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</si>
  <si>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</si>
  <si>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</si>
  <si>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</si>
  <si>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</si>
  <si>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</si>
  <si>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</si>
  <si>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</si>
  <si>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</si>
  <si>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</si>
  <si>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</si>
  <si>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</si>
  <si>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</si>
  <si>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</si>
  <si>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</si>
  <si>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</si>
  <si>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</si>
  <si>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</si>
  <si>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</si>
  <si>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</si>
  <si>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</si>
  <si>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</si>
  <si>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</si>
  <si>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</si>
  <si>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</si>
  <si>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</si>
  <si>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</si>
  <si>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</si>
  <si>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</si>
  <si>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</si>
  <si>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</si>
  <si>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</si>
  <si>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</si>
  <si>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</si>
  <si>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</si>
  <si>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</si>
  <si>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</si>
  <si>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</si>
  <si>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</si>
  <si>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</si>
  <si>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</si>
  <si>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</si>
  <si>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</si>
  <si>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</si>
  <si>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</si>
  <si>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</si>
  <si>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</si>
  <si>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</si>
  <si>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</si>
  <si>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</si>
  <si>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</si>
  <si>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</si>
  <si>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</si>
  <si>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</si>
  <si>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</si>
  <si>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</si>
  <si>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</si>
  <si>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</si>
  <si>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</si>
  <si>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</si>
  <si>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</si>
  <si>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</si>
  <si>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</si>
  <si>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</si>
  <si>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</si>
  <si>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</si>
  <si>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</si>
  <si>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</si>
  <si>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</si>
  <si>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</si>
  <si>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</si>
  <si>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</si>
  <si>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</si>
  <si>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</si>
  <si>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</si>
  <si>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</si>
  <si>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</si>
  <si>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</si>
  <si>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</si>
  <si>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</si>
  <si>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</si>
  <si>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</si>
  <si>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</si>
  <si>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</si>
  <si>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</si>
  <si>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</si>
  <si>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</si>
  <si>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</si>
  <si>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</si>
  <si>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</si>
  <si>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</si>
  <si>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</si>
  <si>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</si>
  <si>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</si>
  <si>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</si>
  <si>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</si>
  <si>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</si>
  <si>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</si>
  <si>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</si>
  <si>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</si>
  <si>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</si>
  <si>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</si>
  <si>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</si>
  <si>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</si>
  <si>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</si>
  <si>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</si>
  <si>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</si>
  <si>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</si>
  <si>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</si>
  <si>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</si>
  <si>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</si>
  <si>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</si>
  <si>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</si>
  <si>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</si>
  <si>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</si>
  <si>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</si>
  <si>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</si>
  <si>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</si>
  <si>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</si>
  <si>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</si>
  <si>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</si>
  <si>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</si>
  <si>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</si>
  <si>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</si>
  <si>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</si>
  <si>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</si>
  <si>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</si>
  <si>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</si>
  <si>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</si>
  <si>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</si>
  <si>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</si>
  <si>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</si>
  <si>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</si>
  <si>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</si>
  <si>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</si>
  <si>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</si>
  <si>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</si>
  <si>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</si>
  <si>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</si>
  <si>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</si>
  <si>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</si>
  <si>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</si>
  <si>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</si>
  <si>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</si>
  <si>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</si>
  <si>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</si>
  <si>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</si>
  <si>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</si>
  <si>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</si>
  <si>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</si>
  <si>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</si>
  <si>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</si>
  <si>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</si>
  <si>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</si>
  <si>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</si>
  <si>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</si>
  <si>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</si>
  <si>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</si>
  <si>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</si>
  <si>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</si>
  <si>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</si>
  <si>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</si>
  <si>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</si>
  <si>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</si>
  <si>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</si>
  <si>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</si>
  <si>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</si>
  <si>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</si>
  <si>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</si>
  <si>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</si>
  <si>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</si>
  <si>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</si>
  <si>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</si>
  <si>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</si>
  <si>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</si>
  <si>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</si>
  <si>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</si>
  <si>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</si>
  <si>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</si>
  <si>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</si>
  <si>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</si>
  <si>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</si>
  <si>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</si>
  <si>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</si>
  <si>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</si>
  <si>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</si>
  <si>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</si>
  <si>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</si>
  <si>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</si>
  <si>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</si>
  <si>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</si>
  <si>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</si>
  <si>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</si>
  <si>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</si>
  <si>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</si>
  <si>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</si>
  <si>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</si>
  <si>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</si>
  <si>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</si>
  <si>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</si>
  <si>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</si>
  <si>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</si>
  <si>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</si>
  <si>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</si>
  <si>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</si>
  <si>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</si>
  <si>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</si>
  <si>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</si>
  <si>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</si>
  <si>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</si>
  <si>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</si>
  <si>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</si>
  <si>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</si>
  <si>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</si>
  <si>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</si>
  <si>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</si>
  <si>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</si>
  <si>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</si>
  <si>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</si>
  <si>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</si>
  <si>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</si>
  <si>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</si>
  <si>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</si>
  <si>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</si>
  <si>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</si>
  <si>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</si>
  <si>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</si>
  <si>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</si>
  <si>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</si>
  <si>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</si>
  <si>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</si>
  <si>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</si>
  <si>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</si>
  <si>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</si>
  <si>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</si>
  <si>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</si>
  <si>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</si>
  <si>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</si>
  <si>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</si>
  <si>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</si>
  <si>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</si>
  <si>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</si>
  <si>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</si>
  <si>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</si>
  <si>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</si>
  <si>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</si>
  <si>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</si>
  <si>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</si>
  <si>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</si>
  <si>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</si>
  <si>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</si>
  <si>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</si>
  <si>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</si>
  <si>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</si>
  <si>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</si>
  <si>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</si>
  <si>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</si>
  <si>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</si>
  <si>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</si>
  <si>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</si>
  <si>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</si>
  <si>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</si>
  <si>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</si>
  <si>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</si>
  <si>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</si>
  <si>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</si>
  <si>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</si>
  <si>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</si>
  <si>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</si>
  <si>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</si>
  <si>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</si>
  <si>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</si>
  <si>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</si>
  <si>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</si>
  <si>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</si>
  <si>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</si>
  <si>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</si>
  <si>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</si>
  <si>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</si>
  <si>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</si>
  <si>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</si>
  <si>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</si>
  <si>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</si>
  <si>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</si>
  <si>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</si>
  <si>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</si>
  <si>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</si>
  <si>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</si>
  <si>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</si>
  <si>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</si>
  <si>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</si>
  <si>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</si>
  <si>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</si>
  <si>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</si>
  <si>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</si>
  <si>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</si>
  <si>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</si>
  <si>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</si>
  <si>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</si>
  <si>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</si>
  <si>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</si>
  <si>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</si>
  <si>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</si>
  <si>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</si>
  <si>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</si>
  <si>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</si>
  <si>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</si>
  <si>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</si>
  <si>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</si>
  <si>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</si>
  <si>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</si>
  <si>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</si>
  <si>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</si>
  <si>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</si>
  <si>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</si>
  <si>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</si>
  <si>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</si>
  <si>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</si>
  <si>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</si>
  <si>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</si>
  <si>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</si>
  <si>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</si>
  <si>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</si>
  <si>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</si>
  <si>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</si>
  <si>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</si>
  <si>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</si>
  <si>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</si>
  <si>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</si>
  <si>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</si>
  <si>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</si>
  <si>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</si>
  <si>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</si>
  <si>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</si>
  <si>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</si>
  <si>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</si>
  <si>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</si>
  <si>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</si>
  <si>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</si>
  <si>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</si>
  <si>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</si>
  <si>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</si>
  <si>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</si>
  <si>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</si>
  <si>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</si>
  <si>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</si>
  <si>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</si>
  <si>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</si>
  <si>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</si>
  <si>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</si>
  <si>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</si>
  <si>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</si>
  <si>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</si>
  <si>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</si>
  <si>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</si>
  <si>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</si>
  <si>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</si>
  <si>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</si>
  <si>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</si>
  <si>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</si>
  <si>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</si>
  <si>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</si>
  <si>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</si>
  <si>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</si>
  <si>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</si>
  <si>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</si>
  <si>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</si>
  <si>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</si>
  <si>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</si>
  <si>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</si>
  <si>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</si>
  <si>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</si>
  <si>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</si>
  <si>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</si>
  <si>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</si>
  <si>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</si>
  <si>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</si>
  <si>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</si>
  <si>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</si>
  <si>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</si>
  <si>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</si>
  <si>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</si>
  <si>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</si>
  <si>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</si>
  <si>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</si>
  <si>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</si>
  <si>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</si>
  <si>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</si>
  <si>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</si>
  <si>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</si>
  <si>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</si>
  <si>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</si>
  <si>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</si>
  <si>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</si>
  <si>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</si>
  <si>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</si>
  <si>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</si>
  <si>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</si>
  <si>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</si>
  <si>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</si>
  <si>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</si>
  <si>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</si>
  <si>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</si>
  <si>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</si>
  <si>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</si>
  <si>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</si>
  <si>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</si>
  <si>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</si>
  <si>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</si>
  <si>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</si>
  <si>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</si>
  <si>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</si>
  <si>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</si>
  <si>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</si>
  <si>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</si>
  <si>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</si>
  <si>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</si>
  <si>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</si>
  <si>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</si>
  <si>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</si>
  <si>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</si>
  <si>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</si>
  <si>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</si>
  <si>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</si>
  <si>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</si>
  <si>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</si>
  <si>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</si>
  <si>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</si>
  <si>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</si>
  <si>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</si>
  <si>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</si>
  <si>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</si>
  <si>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</si>
  <si>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</si>
  <si>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</si>
  <si>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</si>
  <si>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</si>
  <si>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</si>
  <si>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</si>
  <si>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</si>
  <si>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</si>
  <si>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</si>
  <si>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</si>
  <si>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</si>
  <si>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</si>
  <si>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</si>
  <si>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</si>
  <si>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</si>
  <si>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</si>
  <si>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</si>
  <si>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</si>
  <si>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</si>
  <si>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</si>
  <si>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</si>
  <si>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</si>
  <si>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</si>
  <si>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</si>
  <si>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</si>
  <si>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</si>
  <si>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</si>
  <si>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</si>
  <si>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</si>
  <si>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</si>
  <si>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</si>
  <si>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</si>
  <si>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</si>
  <si>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</si>
  <si>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</si>
  <si>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</si>
  <si>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</si>
  <si>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</si>
  <si>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</si>
  <si>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</si>
  <si>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</si>
  <si>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</si>
  <si>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</si>
  <si>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</si>
  <si>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</si>
  <si>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</si>
  <si>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</si>
  <si>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</si>
  <si>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</si>
  <si>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</si>
  <si>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</si>
  <si>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</si>
  <si>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</si>
  <si>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</si>
  <si>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</si>
  <si>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</si>
  <si>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</si>
  <si>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</si>
  <si>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</si>
  <si>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</si>
  <si>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</si>
  <si>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</si>
  <si>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</si>
  <si>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</si>
  <si>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</si>
  <si>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</si>
  <si>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</si>
  <si>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</si>
  <si>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</si>
  <si>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</si>
  <si>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</si>
  <si>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</si>
  <si>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</si>
  <si>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</si>
  <si>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</si>
  <si>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</si>
  <si>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</si>
  <si>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</si>
  <si>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</si>
  <si>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</si>
  <si>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</si>
  <si>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</si>
  <si>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</si>
  <si>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</si>
  <si>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</si>
  <si>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</si>
  <si>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</si>
  <si>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</si>
  <si>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</si>
  <si>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</si>
  <si>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</si>
  <si>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</si>
  <si>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</si>
  <si>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</si>
  <si>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</si>
  <si>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</si>
  <si>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</si>
  <si>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</si>
  <si>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</si>
  <si>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</si>
  <si>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</si>
  <si>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</si>
  <si>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</si>
  <si>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</si>
  <si>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</si>
  <si>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</si>
  <si>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</si>
  <si>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</si>
  <si>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</si>
  <si>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</si>
  <si>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</si>
  <si>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</si>
  <si>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</si>
  <si>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</si>
  <si>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</si>
  <si>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</si>
  <si>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</si>
  <si>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</si>
  <si>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</si>
  <si>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</si>
  <si>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</si>
  <si>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</si>
  <si>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</si>
  <si>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</si>
  <si>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</si>
  <si>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</si>
  <si>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</si>
  <si>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</si>
  <si>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</si>
  <si>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</si>
  <si>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</si>
  <si>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</si>
  <si>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</si>
  <si>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</si>
  <si>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</si>
  <si>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</si>
  <si>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</si>
  <si>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</si>
  <si>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</si>
  <si>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</si>
  <si>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</si>
  <si>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</si>
  <si>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</si>
  <si>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</si>
  <si>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</si>
  <si>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</si>
  <si>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</si>
  <si>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</si>
  <si>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</si>
  <si>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</si>
  <si>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</si>
  <si>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</si>
  <si>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</si>
  <si>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</si>
  <si>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</si>
  <si>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</si>
  <si>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</si>
  <si>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</si>
  <si>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</si>
  <si>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</si>
  <si>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</si>
  <si>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</si>
  <si>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</si>
  <si>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</si>
  <si>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</si>
  <si>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</si>
  <si>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</si>
  <si>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</si>
  <si>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</si>
  <si>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</si>
  <si>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</si>
  <si>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</si>
  <si>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</si>
  <si>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</si>
  <si>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</si>
  <si>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</si>
  <si>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</si>
  <si>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</si>
  <si>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</si>
  <si>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</si>
  <si>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</si>
  <si>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</si>
  <si>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</si>
  <si>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</si>
  <si>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</si>
  <si>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</si>
  <si>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</si>
  <si>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</si>
  <si>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</si>
  <si>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</si>
  <si>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</si>
  <si>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</si>
  <si>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</si>
  <si>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</si>
  <si>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</si>
  <si>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</si>
  <si>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</si>
  <si>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</si>
  <si>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</si>
  <si>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</si>
  <si>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</si>
  <si>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</si>
  <si>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</si>
  <si>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</si>
  <si>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</si>
  <si>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</si>
  <si>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</si>
  <si>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</si>
  <si>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</si>
  <si>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</si>
  <si>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</si>
  <si>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</si>
  <si>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</si>
  <si>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</si>
  <si>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</si>
  <si>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</si>
  <si>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</si>
  <si>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</si>
  <si>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</si>
  <si>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</si>
  <si>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</si>
  <si>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</si>
  <si>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</si>
  <si>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</si>
  <si>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</si>
  <si>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</si>
  <si>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</si>
  <si>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</si>
  <si>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</si>
  <si>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</si>
  <si>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</si>
  <si>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</si>
  <si>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</si>
  <si>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</si>
  <si>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</si>
  <si>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</si>
  <si>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</si>
  <si>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</si>
  <si>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</si>
  <si>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</si>
  <si>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</si>
  <si>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</si>
  <si>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</si>
  <si>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</si>
  <si>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</si>
  <si>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</si>
  <si>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</si>
  <si>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</si>
  <si>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</si>
  <si>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</si>
  <si>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</si>
  <si>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</si>
  <si>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</si>
  <si>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</si>
  <si>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</si>
  <si>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</si>
  <si>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</si>
  <si>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</si>
  <si>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</si>
  <si>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</si>
  <si>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</si>
  <si>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</si>
  <si>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</si>
  <si>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</si>
  <si>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</si>
  <si>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</si>
  <si>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</si>
  <si>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</si>
  <si>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</si>
  <si>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</si>
  <si>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</si>
  <si>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</si>
  <si>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</si>
  <si>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</si>
  <si>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</si>
  <si>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</si>
  <si>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</si>
  <si>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</si>
  <si>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</si>
  <si>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</si>
  <si>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</si>
  <si>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</si>
  <si>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</si>
  <si>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</si>
  <si>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</si>
  <si>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</si>
  <si>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</si>
  <si>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</si>
  <si>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</si>
  <si>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</si>
  <si>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</si>
  <si>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</si>
  <si>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</si>
  <si>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</si>
  <si>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</si>
  <si>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</si>
  <si>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</si>
  <si>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</si>
  <si>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</si>
  <si>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</si>
  <si>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</si>
  <si>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</si>
  <si>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</si>
  <si>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</si>
  <si>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</si>
  <si>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</si>
  <si>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</si>
  <si>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</si>
  <si>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</si>
  <si>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</si>
  <si>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</si>
  <si>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</si>
  <si>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</si>
  <si>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</si>
  <si>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</si>
  <si>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</si>
  <si>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</si>
  <si>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</si>
  <si>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</si>
  <si>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</si>
  <si>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</si>
  <si>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</si>
  <si>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</si>
  <si>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</si>
  <si>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</si>
  <si>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</si>
  <si>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</si>
  <si>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</si>
  <si>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</si>
  <si>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</si>
  <si>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</si>
  <si>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</si>
  <si>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</si>
  <si>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</si>
  <si>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</si>
  <si>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</si>
  <si>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</si>
  <si>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</si>
  <si>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</si>
  <si>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</si>
  <si>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</si>
  <si>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</si>
  <si>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</si>
  <si>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</si>
  <si>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</si>
  <si>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</si>
  <si>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</si>
  <si>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</si>
  <si>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</si>
  <si>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</si>
  <si>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</si>
  <si>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</si>
  <si>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</si>
  <si>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</si>
  <si>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</si>
  <si>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</si>
  <si>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</si>
  <si>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</si>
  <si>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</si>
  <si>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</si>
  <si>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</si>
  <si>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</si>
  <si>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</si>
  <si>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</si>
  <si>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</si>
  <si>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</si>
  <si>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</si>
  <si>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</si>
  <si>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</si>
  <si>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</si>
  <si>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</si>
  <si>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</si>
  <si>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</si>
  <si>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</si>
  <si>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</si>
  <si>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</si>
  <si>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</si>
  <si>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</si>
  <si>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</si>
  <si>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</si>
  <si>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</si>
  <si>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</si>
  <si>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</si>
  <si>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</si>
  <si>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</si>
  <si>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</si>
  <si>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</si>
  <si>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</si>
  <si>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</si>
  <si>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</si>
  <si>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</si>
  <si>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</si>
  <si>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</si>
  <si>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</si>
  <si>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</si>
  <si>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</si>
  <si>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</si>
  <si>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</si>
  <si>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</si>
  <si>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</si>
  <si>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</si>
  <si>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</si>
  <si>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</si>
  <si>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</si>
  <si>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</si>
  <si>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</si>
  <si>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</si>
  <si>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</si>
  <si>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</si>
  <si>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</si>
  <si>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</si>
  <si>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</si>
  <si>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</si>
  <si>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</si>
  <si>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</si>
  <si>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</si>
  <si>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</si>
  <si>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</si>
  <si>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</si>
  <si>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</si>
  <si>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</si>
  <si>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</si>
  <si>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</si>
  <si>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</si>
  <si>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</si>
  <si>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</si>
  <si>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</si>
  <si>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</si>
  <si>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</si>
  <si>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</si>
  <si>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</si>
  <si>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</si>
  <si>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</si>
  <si>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</si>
  <si>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</si>
  <si>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</si>
  <si>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</si>
  <si>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</si>
  <si>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</si>
  <si>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</si>
  <si>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</si>
  <si>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</si>
  <si>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</si>
  <si>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</si>
  <si>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</si>
  <si>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</si>
  <si>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</si>
  <si>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</si>
  <si>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</si>
  <si>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</si>
  <si>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</si>
  <si>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</si>
  <si>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</si>
  <si>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</si>
  <si>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</si>
  <si>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</si>
  <si>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</si>
  <si>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</si>
  <si>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</si>
  <si>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</si>
  <si>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</si>
  <si>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</si>
  <si>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</si>
  <si>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</si>
  <si>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</si>
  <si>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</si>
  <si>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</si>
  <si>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</si>
  <si>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</si>
  <si>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</si>
  <si>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</si>
  <si>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</si>
  <si>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</si>
  <si>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</si>
  <si>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</si>
  <si>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</si>
  <si>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</si>
  <si>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</si>
  <si>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</si>
  <si>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</si>
  <si>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</si>
  <si>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</si>
  <si>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</si>
  <si>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</si>
  <si>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</si>
  <si>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</si>
  <si>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</si>
  <si>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</si>
  <si>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</si>
  <si>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</si>
  <si>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</si>
  <si>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</si>
  <si>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</si>
  <si>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</si>
  <si>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</si>
  <si>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</si>
  <si>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</si>
  <si>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</si>
  <si>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</si>
  <si>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</si>
  <si>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</si>
  <si>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</si>
  <si>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</si>
  <si>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</si>
  <si>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</si>
  <si>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</si>
  <si>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</si>
  <si>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</si>
  <si>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</si>
  <si>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</si>
  <si>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</si>
  <si>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</si>
  <si>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</si>
  <si>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</si>
  <si>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</si>
  <si>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</si>
  <si>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</si>
  <si>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</si>
  <si>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</si>
  <si>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</si>
  <si>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</si>
  <si>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</si>
  <si>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</si>
  <si>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</si>
  <si>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</si>
  <si>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</si>
  <si>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</si>
  <si>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</si>
  <si>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</si>
  <si>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</si>
  <si>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</si>
  <si>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</si>
  <si>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</si>
  <si>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</si>
  <si>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</si>
  <si>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</si>
  <si>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</si>
  <si>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</si>
  <si>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</si>
  <si>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</si>
  <si>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</si>
  <si>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</si>
  <si>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</si>
  <si>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</si>
  <si>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</si>
  <si>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</si>
  <si>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</si>
  <si>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</si>
  <si>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</si>
  <si>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</si>
  <si>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</si>
  <si>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</si>
  <si>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</si>
  <si>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</si>
  <si>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</si>
  <si>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</si>
  <si>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</si>
  <si>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</si>
  <si>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</si>
  <si>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</si>
  <si>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</si>
  <si>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</si>
  <si>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</si>
  <si>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</si>
  <si>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</si>
  <si>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</si>
  <si>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</si>
  <si>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</si>
  <si>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</si>
  <si>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</si>
  <si>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</si>
  <si>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</si>
  <si>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</si>
  <si>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</si>
  <si>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</si>
  <si>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</si>
  <si>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</si>
  <si>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</si>
  <si>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</si>
  <si>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</si>
  <si>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</si>
  <si>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</si>
  <si>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</si>
  <si>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</si>
  <si>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</si>
  <si>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</si>
  <si>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</si>
  <si>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</si>
  <si>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</si>
  <si>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</si>
  <si>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</si>
  <si>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</si>
  <si>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</si>
  <si>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</si>
  <si>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</si>
  <si>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</si>
  <si>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</si>
  <si>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</si>
  <si>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</si>
  <si>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</si>
  <si>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</si>
  <si>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</si>
  <si>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</si>
  <si>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</si>
  <si>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</si>
  <si>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</si>
  <si>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</si>
  <si>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</si>
  <si>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</si>
  <si>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</si>
  <si>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</si>
  <si>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</si>
  <si>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</si>
  <si>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</si>
  <si>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</si>
  <si>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</si>
  <si>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</si>
  <si>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</si>
  <si>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</si>
  <si>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</si>
  <si>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</si>
  <si>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</si>
  <si>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</si>
  <si>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</si>
  <si>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</si>
  <si>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</si>
  <si>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</si>
  <si>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</si>
  <si>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</si>
  <si>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</si>
  <si>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</si>
  <si>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</si>
  <si>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</si>
  <si>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</si>
  <si>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</si>
  <si>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</si>
  <si>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</si>
  <si>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</si>
  <si>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</si>
  <si>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</si>
  <si>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</si>
  <si>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</si>
  <si>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</si>
  <si>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</si>
  <si>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</si>
  <si>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</si>
  <si>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</si>
  <si>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</si>
  <si>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</si>
  <si>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</si>
  <si>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</si>
  <si>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</si>
  <si>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</si>
  <si>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</si>
  <si>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</si>
  <si>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</si>
  <si>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</si>
  <si>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</si>
  <si>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</si>
  <si>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</si>
  <si>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</si>
  <si>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</si>
  <si>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</si>
  <si>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</si>
  <si>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</si>
  <si>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</si>
  <si>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</si>
  <si>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</si>
  <si>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</si>
  <si>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</si>
  <si>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</si>
  <si>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</si>
  <si>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</si>
  <si>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</si>
  <si>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</si>
  <si>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</si>
  <si>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</si>
  <si>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</si>
  <si>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</si>
  <si>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</si>
  <si>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</si>
  <si>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</si>
  <si>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</si>
  <si>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</si>
  <si>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</si>
  <si>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</si>
  <si>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</si>
  <si>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</si>
  <si>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</si>
  <si>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</si>
  <si>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</si>
  <si>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</si>
  <si>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</si>
  <si>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</si>
  <si>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</si>
  <si>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</si>
  <si>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</si>
  <si>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</si>
  <si>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</si>
  <si>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</si>
  <si>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</si>
  <si>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</si>
  <si>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</si>
  <si>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</si>
  <si>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</si>
  <si>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</si>
  <si>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</si>
  <si>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</si>
  <si>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</si>
  <si>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</si>
  <si>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</si>
  <si>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</si>
  <si>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</si>
  <si>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</si>
  <si>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</si>
  <si>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</si>
  <si>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</si>
  <si>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</si>
  <si>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</si>
  <si>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</si>
  <si>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</si>
  <si>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</si>
  <si>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</si>
  <si>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</si>
  <si>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</si>
  <si>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</si>
  <si>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</si>
  <si>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</si>
  <si>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</si>
  <si>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</si>
  <si>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</si>
  <si>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</si>
  <si>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</si>
  <si>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</si>
  <si>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</si>
  <si>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</si>
  <si>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</si>
  <si>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</si>
  <si>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</si>
  <si>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</si>
  <si>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</si>
  <si>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</si>
  <si>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</si>
  <si>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</si>
  <si>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</si>
  <si>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</si>
  <si>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</si>
  <si>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</si>
  <si>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</si>
  <si>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</si>
  <si>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</si>
  <si>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</si>
  <si>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</si>
  <si>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</si>
  <si>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</si>
  <si>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</si>
  <si>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</si>
  <si>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</si>
  <si>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</si>
  <si>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</si>
  <si>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</si>
  <si>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</si>
  <si>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</si>
  <si>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</si>
  <si>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</si>
  <si>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</si>
  <si>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</si>
  <si>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</si>
  <si>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</si>
  <si>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</si>
  <si>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</si>
  <si>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</si>
  <si>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</si>
  <si>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</si>
  <si>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</si>
  <si>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</si>
  <si>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</si>
  <si>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</si>
  <si>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</si>
  <si>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</si>
  <si>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</si>
  <si>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</si>
  <si>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</si>
  <si>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</si>
  <si>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</si>
  <si>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</si>
  <si>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</si>
  <si>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</si>
  <si>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</si>
  <si>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</si>
  <si>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</si>
  <si>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</si>
  <si>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</si>
  <si>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</si>
  <si>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</si>
  <si>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</si>
  <si>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</si>
  <si>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</si>
  <si>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</si>
  <si>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</si>
  <si>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</si>
  <si>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</si>
  <si>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</si>
  <si>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</si>
  <si>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</si>
  <si>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</si>
  <si>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</si>
  <si>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</si>
  <si>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</si>
  <si>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</si>
  <si>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</si>
  <si>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</si>
  <si>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</si>
  <si>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</si>
  <si>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</si>
  <si>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</si>
  <si>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</si>
  <si>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</si>
  <si>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</si>
  <si>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</si>
  <si>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</si>
  <si>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</si>
  <si>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</si>
  <si>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</si>
  <si>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</si>
  <si>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</si>
  <si>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</si>
  <si>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</si>
  <si>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</si>
  <si>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</si>
  <si>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</si>
  <si>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</si>
  <si>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</si>
  <si>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</si>
  <si>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</si>
  <si>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</si>
  <si>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</si>
  <si>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</si>
  <si>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</si>
  <si>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</si>
  <si>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</si>
  <si>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</si>
  <si>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</si>
  <si>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</si>
  <si>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</si>
  <si>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</si>
  <si>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</si>
  <si>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</si>
  <si>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</si>
  <si>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</si>
  <si>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</si>
  <si>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</si>
  <si>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</si>
  <si>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</si>
  <si>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</si>
  <si>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</si>
  <si>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</si>
  <si>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</si>
  <si>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</si>
  <si>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</si>
  <si>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</si>
  <si>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</si>
  <si>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</si>
  <si>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</si>
  <si>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</si>
  <si>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</si>
  <si>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</si>
  <si>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</si>
  <si>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</si>
  <si>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</si>
  <si>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</si>
  <si>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</si>
  <si>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</si>
  <si>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</si>
  <si>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</si>
  <si>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</si>
  <si>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</si>
  <si>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</si>
  <si>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</si>
  <si>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</si>
  <si>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</si>
  <si>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</si>
  <si>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</si>
  <si>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</si>
  <si>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</si>
  <si>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</si>
  <si>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</si>
  <si>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</si>
  <si>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</si>
  <si>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</si>
  <si>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</si>
  <si>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</si>
  <si>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</si>
  <si>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</si>
  <si>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</si>
  <si>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</si>
  <si>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</si>
  <si>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</si>
  <si>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</si>
  <si>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</si>
  <si>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</si>
  <si>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</si>
  <si>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</si>
  <si>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</si>
  <si>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</si>
  <si>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</si>
  <si>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</si>
  <si>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</si>
  <si>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</si>
  <si>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</si>
  <si>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</si>
  <si>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</si>
  <si>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</si>
  <si>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</si>
  <si>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</si>
  <si>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</si>
  <si>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</si>
  <si>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</si>
  <si>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</si>
  <si>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</si>
  <si>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</si>
  <si>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</si>
  <si>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</si>
  <si>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</si>
  <si>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</si>
  <si>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</si>
  <si>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</si>
  <si>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</si>
  <si>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</si>
  <si>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</si>
  <si>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</si>
  <si>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</si>
  <si>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</si>
  <si>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</si>
  <si>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</si>
  <si>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</si>
  <si>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</si>
  <si>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</si>
  <si>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</si>
  <si>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</si>
  <si>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</si>
  <si>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</si>
  <si>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</si>
  <si>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</si>
  <si>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</si>
  <si>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</si>
  <si>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</si>
  <si>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</si>
  <si>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</si>
  <si>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</si>
  <si>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</si>
  <si>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</si>
  <si>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</si>
  <si>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</si>
  <si>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</si>
  <si>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</si>
  <si>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</si>
  <si>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</si>
  <si>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</si>
  <si>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</si>
  <si>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</si>
  <si>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</si>
  <si>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</si>
  <si>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</si>
  <si>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</si>
  <si>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</si>
  <si>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</si>
  <si>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</si>
  <si>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</si>
  <si>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</si>
  <si>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</si>
  <si>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</si>
  <si>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</si>
  <si>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</si>
  <si>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</si>
  <si>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</si>
  <si>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</si>
  <si>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</si>
  <si>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</si>
  <si>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</si>
  <si>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</si>
  <si>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</si>
  <si>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</si>
  <si>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</si>
  <si>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</si>
  <si>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</si>
  <si>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</si>
  <si>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</si>
  <si>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</si>
  <si>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</si>
  <si>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</si>
  <si>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</si>
  <si>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</si>
  <si>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</si>
  <si>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</si>
  <si>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</si>
  <si>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</si>
  <si>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</si>
  <si>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</si>
  <si>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</si>
  <si>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</si>
  <si>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</si>
  <si>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</si>
  <si>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</si>
  <si>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</si>
  <si>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</si>
  <si>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</si>
  <si>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</si>
  <si>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</si>
  <si>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</si>
  <si>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</si>
  <si>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</si>
  <si>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</si>
  <si>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</si>
  <si>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</si>
  <si>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</si>
  <si>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</si>
  <si>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</si>
  <si>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</si>
  <si>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</si>
  <si>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</si>
  <si>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</si>
  <si>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</si>
  <si>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</si>
  <si>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</si>
  <si>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</si>
  <si>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</si>
  <si>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</si>
  <si>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</si>
  <si>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</si>
  <si>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</si>
  <si>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</si>
  <si>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</si>
  <si>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</si>
  <si>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</si>
  <si>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</si>
  <si>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</si>
  <si>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</si>
  <si>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</si>
  <si>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</si>
  <si>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</si>
  <si>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</si>
  <si>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</si>
  <si>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</si>
  <si>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</si>
  <si>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</si>
  <si>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</si>
  <si>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</si>
  <si>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</si>
  <si>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</si>
  <si>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</si>
  <si>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</si>
  <si>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</si>
  <si>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</si>
  <si>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</si>
  <si>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</si>
  <si>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</si>
  <si>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</si>
  <si>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</si>
  <si>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</si>
  <si>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</si>
  <si>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</si>
  <si>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</si>
  <si>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</si>
  <si>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</si>
  <si>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</si>
  <si>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</si>
  <si>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</si>
  <si>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</si>
  <si>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</si>
  <si>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</si>
  <si>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</si>
  <si>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</si>
  <si>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</si>
  <si>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</si>
  <si>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</si>
  <si>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</si>
  <si>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</si>
  <si>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</si>
  <si>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</si>
  <si>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</si>
  <si>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</si>
  <si>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</si>
  <si>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</si>
  <si>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</si>
  <si>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</si>
  <si>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</si>
  <si>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</si>
  <si>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</si>
  <si>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</si>
  <si>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</si>
  <si>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</si>
  <si>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</si>
  <si>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</si>
  <si>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</si>
  <si>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</si>
  <si>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</si>
  <si>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</si>
  <si>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</si>
  <si>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</si>
  <si>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</si>
  <si>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</si>
  <si>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</si>
  <si>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</si>
  <si>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</si>
  <si>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</si>
  <si>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</si>
  <si>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</si>
  <si>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</si>
  <si>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</si>
  <si>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</si>
  <si>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</si>
  <si>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</si>
  <si>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</si>
  <si>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</si>
  <si>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</si>
  <si>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</si>
  <si>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</si>
  <si>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</si>
  <si>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</si>
  <si>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</si>
  <si>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</si>
  <si>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</si>
  <si>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</si>
  <si>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</si>
  <si>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</si>
  <si>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</si>
  <si>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</si>
  <si>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</si>
  <si>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</si>
  <si>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</si>
  <si>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</si>
  <si>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</si>
  <si>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</si>
  <si>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</si>
  <si>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</si>
  <si>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</si>
  <si>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</si>
  <si>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</si>
  <si>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</si>
  <si>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</si>
  <si>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</si>
  <si>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</si>
  <si>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</si>
  <si>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</si>
  <si>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</si>
  <si>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</si>
  <si>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</si>
  <si>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</si>
  <si>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</si>
  <si>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</si>
  <si>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</si>
  <si>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</si>
  <si>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</si>
  <si>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</si>
  <si>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</si>
  <si>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</si>
  <si>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</si>
  <si>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</si>
  <si>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</si>
  <si>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</si>
  <si>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</si>
  <si>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</si>
  <si>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</si>
  <si>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</si>
  <si>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</si>
  <si>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</si>
  <si>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</si>
  <si>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</si>
  <si>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</si>
  <si>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</si>
  <si>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</si>
  <si>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</si>
  <si>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</si>
  <si>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</si>
  <si>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</si>
  <si>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</si>
  <si>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</si>
  <si>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</si>
  <si>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</si>
  <si>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</si>
  <si>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</si>
  <si>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</si>
  <si>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</si>
  <si>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</si>
  <si>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</si>
  <si>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</si>
  <si>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</si>
  <si>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</si>
  <si>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</si>
  <si>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</si>
  <si>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</si>
  <si>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</si>
  <si>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</si>
  <si>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</si>
  <si>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</si>
  <si>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</si>
  <si>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</si>
  <si>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</si>
  <si>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</si>
  <si>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</si>
  <si>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</si>
  <si>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</si>
  <si>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</si>
  <si>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</si>
  <si>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</si>
  <si>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</si>
  <si>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</si>
  <si>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</si>
  <si>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</si>
  <si>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</si>
  <si>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</si>
  <si>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</si>
  <si>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</si>
  <si>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</si>
  <si>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</si>
  <si>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</si>
  <si>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</si>
  <si>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</si>
  <si>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</si>
  <si>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</si>
  <si>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</si>
  <si>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</si>
  <si>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</si>
  <si>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</si>
  <si>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</si>
  <si>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</si>
  <si>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</si>
  <si>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</si>
  <si>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</si>
  <si>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</si>
  <si>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</si>
  <si>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</si>
  <si>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</si>
  <si>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</si>
  <si>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</si>
  <si>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</si>
  <si>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</si>
  <si>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</si>
  <si>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</si>
  <si>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</si>
  <si>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</si>
  <si>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</si>
  <si>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</si>
  <si>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</si>
  <si>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</si>
  <si>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</si>
  <si>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</si>
  <si>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</si>
  <si>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</si>
  <si>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</si>
  <si>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</si>
  <si>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</si>
  <si>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</si>
  <si>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</si>
  <si>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</si>
  <si>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</si>
  <si>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</si>
  <si>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</si>
  <si>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</si>
  <si>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</si>
  <si>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</si>
  <si>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</si>
  <si>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</si>
  <si>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</si>
  <si>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</si>
  <si>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</si>
  <si>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</si>
  <si>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</si>
  <si>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</si>
  <si>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</si>
  <si>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</si>
  <si>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</si>
  <si>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</si>
  <si>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</si>
  <si>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</si>
  <si>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</si>
  <si>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</si>
  <si>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</si>
  <si>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</si>
  <si>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</si>
  <si>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</si>
  <si>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</si>
  <si>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</si>
  <si>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</si>
  <si>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</si>
  <si>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</si>
  <si>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</si>
  <si>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</si>
  <si>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</si>
  <si>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</si>
  <si>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</si>
  <si>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</si>
  <si>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</si>
  <si>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</si>
  <si>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</si>
  <si>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</si>
  <si>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</si>
  <si>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</si>
  <si>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</si>
  <si>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</si>
  <si>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</si>
  <si>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</si>
  <si>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</si>
  <si>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</si>
  <si>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</si>
  <si>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</si>
  <si>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</si>
  <si>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</si>
  <si>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</si>
  <si>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</si>
  <si>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</si>
  <si>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</si>
  <si>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</si>
  <si>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</si>
  <si>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</si>
  <si>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</si>
  <si>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</si>
  <si>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</si>
  <si>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</si>
  <si>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</si>
  <si>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</si>
  <si>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</si>
  <si>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</si>
  <si>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</si>
  <si>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</si>
  <si>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</si>
  <si>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</si>
  <si>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</si>
  <si>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</si>
  <si>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</si>
  <si>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</si>
  <si>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</si>
  <si>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</si>
  <si>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</si>
  <si>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</si>
  <si>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</si>
  <si>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</si>
  <si>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</si>
  <si>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</si>
  <si>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</si>
  <si>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</si>
  <si>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</si>
  <si>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</si>
  <si>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</si>
  <si>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</si>
  <si>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</si>
  <si>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</si>
  <si>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</si>
  <si>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</si>
  <si>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</si>
  <si>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</si>
  <si>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</si>
  <si>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</si>
  <si>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</si>
  <si>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</si>
  <si>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</si>
  <si>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</si>
  <si>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</si>
  <si>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</si>
  <si>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</si>
  <si>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</si>
  <si>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</si>
  <si>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</si>
  <si>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</si>
  <si>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</si>
  <si>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</si>
  <si>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</si>
  <si>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</si>
  <si>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</si>
  <si>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</si>
  <si>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</si>
  <si>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</si>
  <si>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</si>
  <si>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</si>
  <si>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</si>
  <si>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</si>
  <si>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</si>
  <si>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</si>
  <si>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</si>
  <si>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</si>
  <si>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</si>
  <si>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</si>
  <si>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</si>
  <si>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</si>
  <si>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</si>
  <si>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</si>
  <si>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</si>
  <si>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</si>
  <si>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</si>
  <si>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 xml:space="preserve"> 11 Aug 2026</t>
  </si>
  <si>
    <t>S33</t>
  </si>
  <si>
    <t>99774</t>
  </si>
  <si>
    <t>151290</t>
  </si>
  <si>
    <t xml:space="preserve"> 10 Aug 2026</t>
  </si>
  <si>
    <t>942</t>
  </si>
  <si>
    <t>98676</t>
  </si>
  <si>
    <t>149544</t>
  </si>
  <si>
    <t>1600</t>
  </si>
  <si>
    <t>67492</t>
  </si>
  <si>
    <t>134202</t>
  </si>
  <si>
    <t>1222</t>
  </si>
  <si>
    <t>65892</t>
  </si>
  <si>
    <t>130330</t>
  </si>
  <si>
    <t>702</t>
  </si>
  <si>
    <t>174991</t>
  </si>
  <si>
    <t>336394</t>
  </si>
  <si>
    <t>838</t>
  </si>
  <si>
    <t>118709</t>
  </si>
  <si>
    <t>264250</t>
  </si>
  <si>
    <t>794</t>
  </si>
  <si>
    <t>117812</t>
  </si>
  <si>
    <t>262668</t>
  </si>
  <si>
    <t>662</t>
  </si>
  <si>
    <t>134064</t>
  </si>
  <si>
    <t>398166</t>
  </si>
  <si>
    <t>944</t>
  </si>
  <si>
    <t>133402</t>
  </si>
  <si>
    <t>396329</t>
  </si>
  <si>
    <t>433160</t>
  </si>
  <si>
    <t>1570564</t>
  </si>
  <si>
    <t>432359</t>
  </si>
  <si>
    <t>1566104</t>
  </si>
  <si>
    <t>25</t>
  </si>
  <si>
    <t>203595</t>
  </si>
  <si>
    <t>685229</t>
  </si>
  <si>
    <t>155</t>
  </si>
  <si>
    <t>203570</t>
  </si>
  <si>
    <t>685170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</si>
  <si>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</si>
  <si>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</si>
  <si>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</si>
  <si>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</si>
  <si>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</si>
  <si>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</si>
  <si>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</si>
  <si>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</si>
  <si>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</si>
  <si>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</si>
  <si>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</si>
  <si>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</si>
  <si>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</si>
  <si>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</si>
  <si>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</si>
  <si>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</si>
  <si>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</si>
  <si>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</si>
  <si>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</si>
  <si>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</si>
  <si>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</si>
  <si>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</si>
  <si>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</si>
  <si>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</si>
  <si>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</si>
  <si>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</si>
  <si>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</si>
  <si>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</si>
  <si>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</si>
  <si>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</si>
  <si>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</si>
  <si>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</si>
  <si>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</si>
  <si>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</si>
  <si>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</si>
  <si>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</si>
  <si>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</si>
  <si>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</si>
  <si>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</si>
  <si>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</si>
  <si>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</si>
  <si>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</si>
  <si>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</si>
  <si>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</si>
  <si>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</si>
  <si>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</si>
  <si>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</si>
  <si>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</si>
  <si>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</si>
  <si>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</si>
  <si>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</si>
  <si>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 xml:space="preserve"> 13 Aug 2026</t>
  </si>
  <si>
    <t>101604</t>
  </si>
  <si>
    <t>153865</t>
  </si>
  <si>
    <t xml:space="preserve"> 12 Aug 2026</t>
  </si>
  <si>
    <t>886</t>
  </si>
  <si>
    <t>100660</t>
  </si>
  <si>
    <t>152582</t>
  </si>
  <si>
    <t>1784</t>
  </si>
  <si>
    <t>71410</t>
  </si>
  <si>
    <t>143178</t>
  </si>
  <si>
    <t>71</t>
  </si>
  <si>
    <t>2134</t>
  </si>
  <si>
    <t>69626</t>
  </si>
  <si>
    <t>139130</t>
  </si>
  <si>
    <t>703</t>
  </si>
  <si>
    <t>176208</t>
  </si>
  <si>
    <t>338803</t>
  </si>
  <si>
    <t>514</t>
  </si>
  <si>
    <t>175505</t>
  </si>
  <si>
    <t>337244</t>
  </si>
  <si>
    <t>336</t>
  </si>
  <si>
    <t>1118</t>
  </si>
  <si>
    <t>120679</t>
  </si>
  <si>
    <t>267427</t>
  </si>
  <si>
    <t>679</t>
  </si>
  <si>
    <t>119561</t>
  </si>
  <si>
    <t>265499</t>
  </si>
  <si>
    <t>433</t>
  </si>
  <si>
    <t>135238</t>
  </si>
  <si>
    <t>401624</t>
  </si>
  <si>
    <t>741</t>
  </si>
  <si>
    <t>134805</t>
  </si>
  <si>
    <t>400219</t>
  </si>
  <si>
    <t>1091</t>
  </si>
  <si>
    <t>435278</t>
  </si>
  <si>
    <t>1580128</t>
  </si>
  <si>
    <t>434187</t>
  </si>
  <si>
    <t>1575090</t>
  </si>
  <si>
    <t>915</t>
  </si>
  <si>
    <t>205593</t>
  </si>
  <si>
    <t>691263</t>
  </si>
  <si>
    <t>204678</t>
  </si>
  <si>
    <t>687820</t>
  </si>
  <si>
    <t xml:space="preserve"> 16 Aug 2026</t>
  </si>
  <si>
    <t>102409</t>
  </si>
  <si>
    <t>155035</t>
  </si>
  <si>
    <t xml:space="preserve"> 15 Aug 2026</t>
  </si>
  <si>
    <t xml:space="preserve"> 14 Aug 2026</t>
  </si>
  <si>
    <t>102407</t>
  </si>
  <si>
    <t>633</t>
  </si>
  <si>
    <t>73532</t>
  </si>
  <si>
    <t>147456</t>
  </si>
  <si>
    <t>1489</t>
  </si>
  <si>
    <t>72899</t>
  </si>
  <si>
    <t>146058</t>
  </si>
  <si>
    <t>177396</t>
  </si>
  <si>
    <t>340879</t>
  </si>
  <si>
    <t>8</t>
  </si>
  <si>
    <t>1038</t>
  </si>
  <si>
    <t>177394</t>
  </si>
  <si>
    <t>340875</t>
  </si>
  <si>
    <t>148</t>
  </si>
  <si>
    <t>176356</t>
  </si>
  <si>
    <t>338953</t>
  </si>
  <si>
    <t>301</t>
  </si>
  <si>
    <t>122019</t>
  </si>
  <si>
    <t>269907</t>
  </si>
  <si>
    <t>1039</t>
  </si>
  <si>
    <t>121718</t>
  </si>
  <si>
    <t>269368</t>
  </si>
  <si>
    <t>137294</t>
  </si>
  <si>
    <t>408182</t>
  </si>
  <si>
    <t>1293</t>
  </si>
  <si>
    <t>763</t>
  </si>
  <si>
    <t>136001</t>
  </si>
  <si>
    <t>404067</t>
  </si>
  <si>
    <t>437029</t>
  </si>
  <si>
    <t>1588095</t>
  </si>
  <si>
    <t>598</t>
  </si>
  <si>
    <t>436431</t>
  </si>
  <si>
    <t>1585119</t>
  </si>
  <si>
    <t>516</t>
  </si>
  <si>
    <t>207021</t>
  </si>
  <si>
    <t>696842</t>
  </si>
  <si>
    <t>291</t>
  </si>
  <si>
    <t>206505</t>
  </si>
  <si>
    <t>694798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</si>
</sst>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8" borderId="1" xfId="0" applyNumberFormat="1" applyFont="1" applyFill="1" applyBorder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35" formatCode="_-* #,##0.00_-;\-* #,##0.0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0746887966804978E-2"/>
              <c:y val="-6.2745098039215713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08/08/2026</c:v>
                  </c:pt>
                  <c:pt idx="1">
                    <c:v>07/08/2026</c:v>
                  </c:pt>
                  <c:pt idx="2">
                    <c:v>06/08/2026</c:v>
                  </c:pt>
                  <c:pt idx="3">
                    <c:v>05/08/2026</c:v>
                  </c:pt>
                  <c:pt idx="4">
                    <c:v>04/08/2026</c:v>
                  </c:pt>
                  <c:pt idx="5">
                    <c:v>03/08/2026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S32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9967</c:v>
                </c:pt>
                <c:pt idx="1">
                  <c:v>13601</c:v>
                </c:pt>
                <c:pt idx="2">
                  <c:v>12983</c:v>
                </c:pt>
                <c:pt idx="3">
                  <c:v>13036</c:v>
                </c:pt>
                <c:pt idx="4">
                  <c:v>10698</c:v>
                </c:pt>
                <c:pt idx="5">
                  <c:v>15401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08/08/2026</c:v>
                  </c:pt>
                  <c:pt idx="1">
                    <c:v>07/08/2026</c:v>
                  </c:pt>
                  <c:pt idx="2">
                    <c:v>06/08/2026</c:v>
                  </c:pt>
                  <c:pt idx="3">
                    <c:v>05/08/2026</c:v>
                  </c:pt>
                  <c:pt idx="4">
                    <c:v>04/08/2026</c:v>
                  </c:pt>
                  <c:pt idx="5">
                    <c:v>03/08/2026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S32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4</c:v>
                </c:pt>
                <c:pt idx="1">
                  <c:v>6</c:v>
                </c:pt>
                <c:pt idx="2">
                  <c:v>7</c:v>
                </c:pt>
                <c:pt idx="3">
                  <c:v>7</c:v>
                </c:pt>
                <c:pt idx="4">
                  <c:v>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304-451C-8119-5BD1CA49CA4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304-451C-8119-5BD1CA49CA4F}"/>
                </c:ext>
              </c:extLst>
            </c:dLbl>
            <c:dLbl>
              <c:idx val="2"/>
              <c:layout>
                <c:manualLayout>
                  <c:x val="2.0746887966804978E-2"/>
                  <c:y val="-6.27450980392157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9E6-4F81-A507-37E7FBCD13D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2C0-47C5-880F-3A7B8D543E9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2C0-47C5-880F-3A7B8D543E98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08/08/2026</c:v>
                  </c:pt>
                  <c:pt idx="1">
                    <c:v>07/08/2026</c:v>
                  </c:pt>
                  <c:pt idx="2">
                    <c:v>06/08/2026</c:v>
                  </c:pt>
                  <c:pt idx="3">
                    <c:v>05/08/2026</c:v>
                  </c:pt>
                  <c:pt idx="4">
                    <c:v>04/08/2026</c:v>
                  </c:pt>
                  <c:pt idx="5">
                    <c:v>03/08/2026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S32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S29</c:v>
                </c:pt>
                <c:pt idx="1">
                  <c:v>S30</c:v>
                </c:pt>
                <c:pt idx="2">
                  <c:v>S31</c:v>
                </c:pt>
                <c:pt idx="3">
                  <c:v>S32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8451</c:v>
                </c:pt>
                <c:pt idx="1">
                  <c:v>21413</c:v>
                </c:pt>
                <c:pt idx="2">
                  <c:v>23332</c:v>
                </c:pt>
                <c:pt idx="3">
                  <c:v>37834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S29</c:v>
                </c:pt>
                <c:pt idx="1">
                  <c:v>S30</c:v>
                </c:pt>
                <c:pt idx="2">
                  <c:v>S31</c:v>
                </c:pt>
                <c:pt idx="3">
                  <c:v>S32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6570</c:v>
                </c:pt>
                <c:pt idx="1">
                  <c:v>17022</c:v>
                </c:pt>
                <c:pt idx="2">
                  <c:v>17642</c:v>
                </c:pt>
                <c:pt idx="3">
                  <c:v>29549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layout>
                <c:manualLayout>
                  <c:x val="8.3945435466946487E-3"/>
                  <c:y val="-7.7087794432548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FFC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S29</c:v>
                </c:pt>
                <c:pt idx="1">
                  <c:v>S30</c:v>
                </c:pt>
                <c:pt idx="2">
                  <c:v>S31</c:v>
                </c:pt>
                <c:pt idx="3">
                  <c:v>S32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23999.999999999996</c:v>
                </c:pt>
                <c:pt idx="3">
                  <c:v>23999.999999999996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2717708331" createdVersion="8" refreshedVersion="8" minRefreshableVersion="3" recordCount="852" xr:uid="{8D9D6DB7-C64F-4C80-9A78-61C3071D7139}">
  <cacheSource type="worksheet">
    <worksheetSource ref="A4:AB2546" sheet="BD"/>
  </cacheSource>
  <cacheFields count="28">
    <cacheField name="Data" numFmtId="14">
      <sharedItems containsNonDate="0" containsDate="1" containsString="0" containsBlank="1" minDate="2026-05-04T00:00:00" maxDate="2026-08-10T00:00:00" count="99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m/>
        <s v="S33" u="1"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5749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296.65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1.5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27181713" createdVersion="8" refreshedVersion="8" minRefreshableVersion="3" recordCount="852" xr:uid="{9D45AC4C-13ED-4258-A051-E1A0E0BEF410}">
  <cacheSource type="worksheet">
    <worksheetSource ref="A4:AB7112" sheet="BD"/>
  </cacheSource>
  <cacheFields count="28">
    <cacheField name="Data" numFmtId="14">
      <sharedItems containsNonDate="0" containsDate="1" containsString="0" containsBlank="1" minDate="2026-05-04T00:00:00" maxDate="2026-08-10T00:00:00" count="99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m/>
      </sharedItems>
    </cacheField>
    <cacheField name="Semana" numFmtId="0">
      <sharedItems containsBlank="1" count="17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m/>
        <s v="S33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5749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296.65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1.5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2718518516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44.602718634262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2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2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  <r>
    <x v="98"/>
    <x v="15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100"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9">
        <item h="1" x="1"/>
        <item h="1" m="1" x="17"/>
        <item h="1" x="0"/>
        <item h="1" x="15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x="14"/>
        <item h="1" m="1" x="16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6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0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5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94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53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48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3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3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18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1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axis="axisRow" showAll="0" sortType="ascending">
      <items count="18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sd="0" x="11"/>
        <item sd="0" x="12"/>
        <item sd="0" x="13"/>
        <item sd="0" x="14"/>
        <item h="1" m="1" x="16"/>
        <item h="1" x="15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1"/>
    </i>
    <i>
      <x v="12"/>
    </i>
    <i>
      <x v="13"/>
    </i>
    <i>
      <x v="1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6">
      <pivotArea outline="0" collapsedLevelsAreSubtotals="1" fieldPosition="0"/>
    </format>
    <format dxfId="5">
      <pivotArea dataOnly="0" labelOnly="1" fieldPosition="0">
        <references count="1">
          <reference field="1" count="0"/>
        </references>
      </pivotArea>
    </format>
    <format dxfId="4">
      <pivotArea dataOnly="0" labelOnly="1" grandRow="1" outline="0" fieldPosition="0"/>
    </format>
    <format dxfId="3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2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4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8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 s="1"/>
        <i x="17" nd="1"/>
        <i x="16" nd="1"/>
        <i x="15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7">
        <i x="1"/>
        <i x="0"/>
        <i x="2"/>
        <i x="3"/>
        <i x="4"/>
        <i x="5"/>
        <i x="6"/>
        <i x="7"/>
        <i x="8"/>
        <i x="9"/>
        <i x="10"/>
        <i x="11" s="1"/>
        <i x="12" s="1"/>
        <i x="13" s="1"/>
        <i x="14" s="1"/>
        <i x="16" nd="1"/>
        <i x="15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8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9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11" sqref="S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46237</v>
      </c>
      <c r="D2" s="81"/>
      <c r="E2" s="62" t="s">
        <v>1</v>
      </c>
      <c r="F2" s="81">
        <v>46243</v>
      </c>
      <c r="G2" s="81"/>
      <c r="H2" s="61"/>
      <c r="I2" s="82" t="s">
        <v>2</v>
      </c>
      <c r="J2" s="82"/>
      <c r="K2" s="61">
        <f>_xlfn.ISOWEEKNUM(C2)</f>
        <v>32</v>
      </c>
      <c r="L2" s="61" t="s">
        <v>1</v>
      </c>
      <c r="M2" s="61">
        <f>_xlfn.ISOWEEKNUM(F2)</f>
        <v>32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workbookViewId="0">
      <selection activeCell="T16" sqref="T1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46216</v>
      </c>
      <c r="D2" s="81"/>
      <c r="E2" s="62" t="s">
        <v>1</v>
      </c>
      <c r="F2" s="81">
        <v>46243</v>
      </c>
      <c r="G2" s="81"/>
      <c r="H2" s="61"/>
      <c r="I2" s="82" t="s">
        <v>2</v>
      </c>
      <c r="J2" s="82"/>
      <c r="K2" s="61">
        <f>_xlfn.ISOWEEKNUM(C2)</f>
        <v>29</v>
      </c>
      <c r="L2" s="61" t="s">
        <v>1</v>
      </c>
      <c r="M2" s="61">
        <f>_xlfn.ISOWEEKNUM(F2)</f>
        <v>32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58"/>
  <sheetViews>
    <sheetView tabSelected="1" zoomScaleNormal="100" workbookViewId="0">
      <pane ySplit="4" topLeftCell="A832" activePane="bottomLeft" state="frozen"/>
      <selection pane="bottomLeft" activeCell="A841" sqref="A841:XFD841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1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 t="shared" ref="I732:I784" si="54"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 t="shared" ref="H733:H740" si="55">15000/7</f>
        <v>2142.8571428571427</v>
      </c>
      <c r="I733" s="6">
        <f t="shared" si="54"/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 t="shared" si="55"/>
        <v>2142.8571428571427</v>
      </c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 t="shared" si="55"/>
        <v>2142.8571428571427</v>
      </c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 t="shared" si="55"/>
        <v>2142.8571428571427</v>
      </c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 t="shared" si="55"/>
        <v>2142.8571428571427</v>
      </c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 t="shared" si="54"/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 t="shared" si="55"/>
        <v>2142.8571428571427</v>
      </c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 t="shared" si="54"/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>15000/7</f>
        <v>2142.8571428571427</v>
      </c>
      <c r="I749" s="6">
        <f t="shared" si="54"/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ref="H750:H766" si="56">15000/7</f>
        <v>2142.8571428571427</v>
      </c>
      <c r="I750" s="6">
        <f t="shared" si="54"/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56"/>
        <v>2142.8571428571427</v>
      </c>
      <c r="I751" s="6">
        <f t="shared" si="54"/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56"/>
        <v>2142.8571428571427</v>
      </c>
      <c r="I752" s="6">
        <f t="shared" si="54"/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56"/>
        <v>2142.8571428571427</v>
      </c>
      <c r="I753" s="6">
        <f t="shared" si="54"/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56"/>
        <v>2142.8571428571427</v>
      </c>
      <c r="I754" s="6">
        <f t="shared" si="54"/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 t="shared" si="54"/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 t="shared" si="56"/>
        <v>2142.8571428571427</v>
      </c>
      <c r="I756" s="6">
        <f t="shared" si="54"/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 t="shared" si="56"/>
        <v>2142.8571428571427</v>
      </c>
      <c r="I757" s="6">
        <f t="shared" si="54"/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 t="shared" si="56"/>
        <v>2142.8571428571427</v>
      </c>
      <c r="I758" s="6">
        <f t="shared" si="54"/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4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 t="shared" si="56"/>
        <v>2142.8571428571427</v>
      </c>
      <c r="I760" s="6">
        <f t="shared" si="54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 t="shared" si="56"/>
        <v>2142.8571428571427</v>
      </c>
      <c r="I761" s="6">
        <f t="shared" si="54"/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 t="shared" si="56"/>
        <v>2142.8571428571427</v>
      </c>
      <c r="I762" s="6">
        <f t="shared" si="54"/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 t="shared" si="56"/>
        <v>2142.8571428571427</v>
      </c>
      <c r="I763" s="6">
        <f t="shared" si="54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4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 t="shared" si="54"/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 t="shared" si="56"/>
        <v>2142.8571428571427</v>
      </c>
      <c r="I766" s="6">
        <f t="shared" si="54"/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 t="shared" si="54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 t="shared" ref="H768:H774" si="57">15000/6</f>
        <v>2500</v>
      </c>
      <c r="I768" s="6">
        <f t="shared" si="54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 t="shared" si="57"/>
        <v>2500</v>
      </c>
      <c r="I769" s="6">
        <f t="shared" si="54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 t="shared" si="57"/>
        <v>2500</v>
      </c>
      <c r="I770" s="6">
        <f t="shared" si="54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 t="shared" si="57"/>
        <v>2500</v>
      </c>
      <c r="I771" s="6">
        <f t="shared" si="54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4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 t="shared" si="54"/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 t="shared" si="57"/>
        <v>2500</v>
      </c>
      <c r="I774" s="6">
        <f t="shared" si="54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 t="shared" si="54"/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 t="shared" si="54"/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 t="shared" ref="H777:H783" si="58">15000/5</f>
        <v>3000</v>
      </c>
      <c r="I777" s="6">
        <f t="shared" si="54"/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 t="shared" si="54"/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 t="shared" si="54"/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 t="shared" si="58"/>
        <v>3000</v>
      </c>
      <c r="I780" s="6">
        <f t="shared" si="54"/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 t="shared" si="54"/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 t="shared" si="54"/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 t="shared" si="58"/>
        <v>3000</v>
      </c>
      <c r="I783" s="6">
        <f t="shared" si="54"/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 t="shared" si="54"/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 t="shared" ref="I785:I799" si="59">IFERROR(O785/K785,)</f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 t="shared" si="59"/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 t="shared" si="59"/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 t="shared" si="59"/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 t="shared" si="59"/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 t="shared" si="59"/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 t="shared" si="59"/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 t="shared" si="59"/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2" t="s">
        <v>2974</v>
      </c>
      <c r="B793" s="8" t="s">
        <v>2975</v>
      </c>
      <c r="C793" s="8" t="s">
        <v>36</v>
      </c>
      <c r="D793" s="8" t="s">
        <v>39</v>
      </c>
      <c r="E793" s="8" t="s">
        <v>47</v>
      </c>
      <c r="F793" s="13"/>
      <c r="G793" s="59"/>
      <c r="H793" s="13"/>
      <c r="I793" s="6">
        <f t="shared" si="59"/>
        <v>247.074122236671</v>
      </c>
      <c r="J793" s="2">
        <v>8.24</v>
      </c>
      <c r="K793" s="2">
        <v>7.69</v>
      </c>
      <c r="L793" s="2">
        <v>0.55000000000000004</v>
      </c>
      <c r="M793" s="2">
        <v>6.68</v>
      </c>
      <c r="N793" s="2" t="s">
        <v>1975</v>
      </c>
      <c r="O793" s="56">
        <v>1900</v>
      </c>
      <c r="P793" s="2">
        <v>1.59</v>
      </c>
      <c r="Q793" s="2">
        <v>11.53</v>
      </c>
      <c r="R793" s="2">
        <v>151.41999999999999</v>
      </c>
      <c r="S793" s="2">
        <v>2.37</v>
      </c>
      <c r="T793" s="2">
        <v>4.3</v>
      </c>
      <c r="U793" s="2">
        <v>149.05000000000001</v>
      </c>
      <c r="V793" s="2">
        <v>19.39</v>
      </c>
      <c r="W793" s="2">
        <v>9313.74</v>
      </c>
      <c r="X793" s="2" t="s">
        <v>2976</v>
      </c>
      <c r="Y793" s="2" t="s">
        <v>2977</v>
      </c>
      <c r="Z793" s="2" t="s">
        <v>548</v>
      </c>
      <c r="AA793" s="2" t="s">
        <v>548</v>
      </c>
      <c r="AB793" s="2">
        <v>291.8</v>
      </c>
    </row>
    <row r="794" spans="1:28" x14ac:dyDescent="0.25">
      <c r="A794" s="2" t="s">
        <v>2978</v>
      </c>
      <c r="B794" s="8" t="s">
        <v>2975</v>
      </c>
      <c r="C794" s="8" t="s">
        <v>36</v>
      </c>
      <c r="D794" s="8" t="s">
        <v>39</v>
      </c>
      <c r="E794" s="8" t="s">
        <v>47</v>
      </c>
      <c r="F794" s="13"/>
      <c r="G794" s="59"/>
      <c r="H794" s="13"/>
      <c r="I794" s="6">
        <f t="shared" si="59"/>
        <v>331.76943699731902</v>
      </c>
      <c r="J794" s="2">
        <v>8.86</v>
      </c>
      <c r="K794" s="2">
        <v>7.46</v>
      </c>
      <c r="L794" s="2">
        <v>1.4</v>
      </c>
      <c r="M794" s="2">
        <v>15.81</v>
      </c>
      <c r="N794" s="2" t="s">
        <v>2979</v>
      </c>
      <c r="O794" s="56">
        <v>2475</v>
      </c>
      <c r="P794" s="2">
        <v>1.58</v>
      </c>
      <c r="Q794" s="2">
        <v>9.84</v>
      </c>
      <c r="R794" s="2">
        <v>150.94</v>
      </c>
      <c r="S794" s="2">
        <v>6.15</v>
      </c>
      <c r="T794" s="2">
        <v>4.3899999999999997</v>
      </c>
      <c r="U794" s="2">
        <v>144.79</v>
      </c>
      <c r="V794" s="2">
        <v>19.420000000000002</v>
      </c>
      <c r="W794" s="2">
        <v>9305.5</v>
      </c>
      <c r="X794" s="2" t="s">
        <v>2980</v>
      </c>
      <c r="Y794" s="2" t="s">
        <v>2981</v>
      </c>
      <c r="Z794" s="2">
        <v>0.2</v>
      </c>
      <c r="AA794" s="2" t="s">
        <v>548</v>
      </c>
      <c r="AB794" s="2">
        <v>291.8</v>
      </c>
    </row>
    <row r="795" spans="1:28" x14ac:dyDescent="0.25">
      <c r="A795" s="2" t="s">
        <v>2974</v>
      </c>
      <c r="B795" s="8" t="s">
        <v>2975</v>
      </c>
      <c r="C795" s="8" t="s">
        <v>36</v>
      </c>
      <c r="D795" s="8" t="s">
        <v>43</v>
      </c>
      <c r="E795" s="8" t="s">
        <v>47</v>
      </c>
      <c r="F795" s="13"/>
      <c r="G795" s="59"/>
      <c r="H795" s="13"/>
      <c r="I795" s="6">
        <f t="shared" si="59"/>
        <v>0</v>
      </c>
      <c r="J795" s="2" t="s">
        <v>45</v>
      </c>
      <c r="K795" s="2" t="s">
        <v>45</v>
      </c>
      <c r="L795" s="2" t="s">
        <v>45</v>
      </c>
      <c r="M795" s="2" t="s">
        <v>45</v>
      </c>
      <c r="N795" s="2" t="s">
        <v>45</v>
      </c>
      <c r="O795" s="56">
        <v>450</v>
      </c>
      <c r="P795" s="2" t="s">
        <v>45</v>
      </c>
      <c r="Q795" s="2" t="s">
        <v>45</v>
      </c>
      <c r="R795" s="2" t="s">
        <v>45</v>
      </c>
      <c r="S795" s="2" t="s">
        <v>45</v>
      </c>
      <c r="T795" s="2" t="s">
        <v>45</v>
      </c>
      <c r="U795" s="2" t="s">
        <v>45</v>
      </c>
      <c r="V795" s="2" t="s">
        <v>45</v>
      </c>
      <c r="W795" s="2" t="s">
        <v>45</v>
      </c>
      <c r="X795" s="2" t="s">
        <v>45</v>
      </c>
      <c r="Y795" s="2" t="s">
        <v>45</v>
      </c>
      <c r="Z795" s="2" t="s">
        <v>45</v>
      </c>
      <c r="AA795" s="2" t="s">
        <v>45</v>
      </c>
      <c r="AB795" s="2" t="s">
        <v>45</v>
      </c>
    </row>
    <row r="796" spans="1:28" x14ac:dyDescent="0.25">
      <c r="A796" s="2" t="s">
        <v>2978</v>
      </c>
      <c r="B796" s="8" t="s">
        <v>2975</v>
      </c>
      <c r="C796" s="8" t="s">
        <v>36</v>
      </c>
      <c r="D796" s="8" t="s">
        <v>43</v>
      </c>
      <c r="E796" s="8" t="s">
        <v>47</v>
      </c>
      <c r="F796" s="13"/>
      <c r="G796" s="59"/>
      <c r="H796" s="13"/>
      <c r="I796" s="6">
        <f t="shared" si="59"/>
        <v>37.313432835820898</v>
      </c>
      <c r="J796" s="2">
        <v>2.46</v>
      </c>
      <c r="K796" s="2">
        <v>2.0099999999999998</v>
      </c>
      <c r="L796" s="2">
        <v>0.45</v>
      </c>
      <c r="M796" s="2">
        <v>18.309999999999999</v>
      </c>
      <c r="N796" s="2" t="s">
        <v>45</v>
      </c>
      <c r="O796" s="56">
        <v>75</v>
      </c>
      <c r="P796" s="2" t="s">
        <v>45</v>
      </c>
      <c r="Q796" s="2" t="s">
        <v>45</v>
      </c>
      <c r="R796" s="2">
        <v>35.49</v>
      </c>
      <c r="S796" s="2">
        <v>1.42</v>
      </c>
      <c r="T796" s="2">
        <v>3.15</v>
      </c>
      <c r="U796" s="2">
        <v>34.07</v>
      </c>
      <c r="V796" s="2">
        <v>16.97</v>
      </c>
      <c r="W796" s="2">
        <v>8899.67</v>
      </c>
      <c r="X796" s="2" t="s">
        <v>45</v>
      </c>
      <c r="Y796" s="2" t="s">
        <v>45</v>
      </c>
      <c r="Z796" s="2">
        <v>0.4</v>
      </c>
      <c r="AA796" s="2" t="s">
        <v>45</v>
      </c>
      <c r="AB796" s="2">
        <v>263.60000000000002</v>
      </c>
    </row>
    <row r="797" spans="1:28" x14ac:dyDescent="0.25">
      <c r="A797" s="2" t="s">
        <v>2974</v>
      </c>
      <c r="B797" s="8" t="s">
        <v>2975</v>
      </c>
      <c r="C797" s="8" t="s">
        <v>36</v>
      </c>
      <c r="D797" s="8" t="s">
        <v>67</v>
      </c>
      <c r="E797" s="8" t="s">
        <v>61</v>
      </c>
      <c r="F797" s="13"/>
      <c r="G797" s="59"/>
      <c r="H797" s="59"/>
      <c r="I797" s="6">
        <f t="shared" si="59"/>
        <v>307.66045548654245</v>
      </c>
      <c r="J797" s="2">
        <v>13.16</v>
      </c>
      <c r="K797" s="2">
        <v>9.66</v>
      </c>
      <c r="L797" s="2">
        <v>3.5</v>
      </c>
      <c r="M797" s="2">
        <v>26.59</v>
      </c>
      <c r="N797" s="2" t="s">
        <v>2982</v>
      </c>
      <c r="O797" s="56">
        <f>3872-O798</f>
        <v>2972</v>
      </c>
      <c r="P797" s="2">
        <v>2.42</v>
      </c>
      <c r="Q797" s="2">
        <v>18.18</v>
      </c>
      <c r="R797" s="2">
        <v>212.93</v>
      </c>
      <c r="S797" s="2">
        <v>11.36</v>
      </c>
      <c r="T797" s="2">
        <v>3.24</v>
      </c>
      <c r="U797" s="2">
        <v>201.57</v>
      </c>
      <c r="V797" s="2">
        <v>20.86</v>
      </c>
      <c r="W797" s="2">
        <v>707.22</v>
      </c>
      <c r="X797" s="2" t="s">
        <v>2983</v>
      </c>
      <c r="Y797" s="2" t="s">
        <v>2984</v>
      </c>
      <c r="Z797" s="2">
        <v>0.6</v>
      </c>
      <c r="AA797" s="2" t="s">
        <v>548</v>
      </c>
      <c r="AB797" s="2">
        <v>68.2</v>
      </c>
    </row>
    <row r="798" spans="1:28" x14ac:dyDescent="0.25">
      <c r="A798" s="2" t="s">
        <v>2974</v>
      </c>
      <c r="B798" s="8" t="s">
        <v>2975</v>
      </c>
      <c r="C798" s="8" t="s">
        <v>36</v>
      </c>
      <c r="D798" s="8" t="s">
        <v>67</v>
      </c>
      <c r="E798" s="8" t="s">
        <v>47</v>
      </c>
      <c r="F798" s="13"/>
      <c r="G798" s="59"/>
      <c r="H798" s="59"/>
      <c r="I798" s="6"/>
      <c r="J798" s="2"/>
      <c r="K798" s="2"/>
      <c r="L798" s="2"/>
      <c r="M798" s="2"/>
      <c r="N798" s="2"/>
      <c r="O798" s="56">
        <f>36*25</f>
        <v>900</v>
      </c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x14ac:dyDescent="0.25">
      <c r="A799" s="2" t="s">
        <v>2978</v>
      </c>
      <c r="B799" s="8" t="s">
        <v>2975</v>
      </c>
      <c r="C799" s="8" t="s">
        <v>36</v>
      </c>
      <c r="D799" s="8" t="s">
        <v>67</v>
      </c>
      <c r="E799" s="8" t="s">
        <v>47</v>
      </c>
      <c r="F799" s="13"/>
      <c r="G799" s="59"/>
      <c r="H799" s="59"/>
      <c r="I799" s="6">
        <f t="shared" si="59"/>
        <v>258.160237388724</v>
      </c>
      <c r="J799" s="2">
        <v>8.94</v>
      </c>
      <c r="K799" s="2">
        <v>6.74</v>
      </c>
      <c r="L799" s="2">
        <v>2.2000000000000002</v>
      </c>
      <c r="M799" s="2">
        <v>24.62</v>
      </c>
      <c r="N799" s="2" t="s">
        <v>2985</v>
      </c>
      <c r="O799" s="56">
        <f>2665-O800</f>
        <v>1740</v>
      </c>
      <c r="P799" s="2">
        <v>2.1800000000000002</v>
      </c>
      <c r="Q799" s="2">
        <v>17.82</v>
      </c>
      <c r="R799" s="2">
        <v>149.52000000000001</v>
      </c>
      <c r="S799" s="2">
        <v>8.0399999999999991</v>
      </c>
      <c r="T799" s="2">
        <v>3.66</v>
      </c>
      <c r="U799" s="2">
        <v>141.47999999999999</v>
      </c>
      <c r="V799" s="2">
        <v>21.01</v>
      </c>
      <c r="W799" s="2">
        <v>694.05</v>
      </c>
      <c r="X799" s="2" t="s">
        <v>2986</v>
      </c>
      <c r="Y799" s="2" t="s">
        <v>2987</v>
      </c>
      <c r="Z799" s="2">
        <v>0.8</v>
      </c>
      <c r="AA799" s="2" t="s">
        <v>548</v>
      </c>
      <c r="AB799" s="2">
        <v>67.599999999999994</v>
      </c>
    </row>
    <row r="800" spans="1:28" x14ac:dyDescent="0.25">
      <c r="A800" s="2" t="s">
        <v>2978</v>
      </c>
      <c r="B800" s="8" t="s">
        <v>2975</v>
      </c>
      <c r="C800" s="8" t="s">
        <v>36</v>
      </c>
      <c r="D800" s="8" t="s">
        <v>67</v>
      </c>
      <c r="E800" s="8" t="s">
        <v>61</v>
      </c>
      <c r="F800" s="13"/>
      <c r="G800" s="59"/>
      <c r="H800" s="59"/>
      <c r="I800" s="6"/>
      <c r="J800" s="2"/>
      <c r="K800" s="2"/>
      <c r="L800" s="2"/>
      <c r="M800" s="2"/>
      <c r="N800" s="2"/>
      <c r="O800" s="56">
        <f>37*25</f>
        <v>925</v>
      </c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x14ac:dyDescent="0.25">
      <c r="A801" s="2" t="s">
        <v>2974</v>
      </c>
      <c r="B801" s="8" t="s">
        <v>2975</v>
      </c>
      <c r="C801" s="8" t="s">
        <v>36</v>
      </c>
      <c r="D801" s="8" t="s">
        <v>50</v>
      </c>
      <c r="E801" s="8" t="s">
        <v>61</v>
      </c>
      <c r="F801" s="13"/>
      <c r="G801" s="59"/>
      <c r="H801" s="59"/>
      <c r="I801" s="6">
        <f t="shared" ref="I801:I815" si="60">IFERROR(O801/K801,)</f>
        <v>372.95285359801488</v>
      </c>
      <c r="J801" s="2">
        <v>5.58</v>
      </c>
      <c r="K801" s="2">
        <v>4.03</v>
      </c>
      <c r="L801" s="2">
        <v>1.55</v>
      </c>
      <c r="M801" s="2">
        <v>27.76</v>
      </c>
      <c r="N801" s="2" t="s">
        <v>2988</v>
      </c>
      <c r="O801" s="56">
        <v>1503</v>
      </c>
      <c r="P801" s="2">
        <v>2.14</v>
      </c>
      <c r="Q801" s="2">
        <v>16.12</v>
      </c>
      <c r="R801" s="2">
        <v>93.22</v>
      </c>
      <c r="S801" s="2">
        <v>6.15</v>
      </c>
      <c r="T801" s="2">
        <v>3.97</v>
      </c>
      <c r="U801" s="2">
        <v>87.06</v>
      </c>
      <c r="V801" s="2">
        <v>21.59</v>
      </c>
      <c r="W801" s="2">
        <v>2556.8000000000002</v>
      </c>
      <c r="X801" s="2" t="s">
        <v>2989</v>
      </c>
      <c r="Y801" s="2" t="s">
        <v>2990</v>
      </c>
      <c r="Z801" s="2">
        <v>1.5</v>
      </c>
      <c r="AA801" s="2" t="s">
        <v>548</v>
      </c>
      <c r="AB801" s="2">
        <v>333.3</v>
      </c>
    </row>
    <row r="802" spans="1:28" x14ac:dyDescent="0.25">
      <c r="A802" s="2" t="s">
        <v>2978</v>
      </c>
      <c r="B802" s="8" t="s">
        <v>2975</v>
      </c>
      <c r="C802" s="8" t="s">
        <v>36</v>
      </c>
      <c r="D802" s="8" t="s">
        <v>50</v>
      </c>
      <c r="E802" s="8" t="s">
        <v>47</v>
      </c>
      <c r="F802" s="13"/>
      <c r="G802" s="59"/>
      <c r="H802" s="59"/>
      <c r="I802" s="6">
        <f t="shared" si="60"/>
        <v>0</v>
      </c>
      <c r="J802" s="2">
        <v>1.36</v>
      </c>
      <c r="K802" s="2">
        <v>0.66</v>
      </c>
      <c r="L802" s="2">
        <v>0.7</v>
      </c>
      <c r="M802" s="2">
        <v>51.39</v>
      </c>
      <c r="N802" s="2" t="s">
        <v>548</v>
      </c>
      <c r="O802" s="56">
        <v>0</v>
      </c>
      <c r="P802" s="2" t="s">
        <v>45</v>
      </c>
      <c r="Q802" s="2" t="s">
        <v>548</v>
      </c>
      <c r="R802" s="2">
        <v>10.88</v>
      </c>
      <c r="S802" s="2">
        <v>2.37</v>
      </c>
      <c r="T802" s="2">
        <v>3.38</v>
      </c>
      <c r="U802" s="2">
        <v>8.52</v>
      </c>
      <c r="V802" s="2">
        <v>12.86</v>
      </c>
      <c r="W802" s="2">
        <v>2551.2199999999998</v>
      </c>
      <c r="X802" s="2" t="s">
        <v>2956</v>
      </c>
      <c r="Y802" s="2" t="s">
        <v>2957</v>
      </c>
      <c r="Z802" s="2">
        <v>0.3</v>
      </c>
      <c r="AA802" s="2" t="s">
        <v>45</v>
      </c>
      <c r="AB802" s="2">
        <v>331.8</v>
      </c>
    </row>
    <row r="803" spans="1:28" x14ac:dyDescent="0.25">
      <c r="A803" s="2" t="s">
        <v>2974</v>
      </c>
      <c r="B803" s="8" t="s">
        <v>2975</v>
      </c>
      <c r="C803" s="8" t="s">
        <v>36</v>
      </c>
      <c r="D803" s="8" t="s">
        <v>52</v>
      </c>
      <c r="E803" s="8" t="s">
        <v>47</v>
      </c>
      <c r="F803" s="13"/>
      <c r="G803" s="59"/>
      <c r="H803" s="59"/>
      <c r="I803" s="6">
        <f t="shared" si="60"/>
        <v>108.52618757612666</v>
      </c>
      <c r="J803" s="2">
        <v>9.4600000000000009</v>
      </c>
      <c r="K803" s="2">
        <v>8.2100000000000009</v>
      </c>
      <c r="L803" s="2">
        <v>1.25</v>
      </c>
      <c r="M803" s="2">
        <v>13.22</v>
      </c>
      <c r="N803" s="2" t="s">
        <v>2991</v>
      </c>
      <c r="O803" s="56">
        <f>1491-O804</f>
        <v>891</v>
      </c>
      <c r="P803" s="2">
        <v>1.78</v>
      </c>
      <c r="Q803" s="2">
        <v>10.4</v>
      </c>
      <c r="R803" s="2">
        <v>143.37</v>
      </c>
      <c r="S803" s="2">
        <v>5.2</v>
      </c>
      <c r="T803" s="2">
        <v>4.16</v>
      </c>
      <c r="U803" s="2">
        <v>138.16999999999999</v>
      </c>
      <c r="V803" s="2">
        <v>16.829999999999998</v>
      </c>
      <c r="W803" s="2">
        <v>1151.94</v>
      </c>
      <c r="X803" s="2" t="s">
        <v>2992</v>
      </c>
      <c r="Y803" s="2" t="s">
        <v>2993</v>
      </c>
      <c r="Z803" s="2">
        <v>0.6</v>
      </c>
      <c r="AA803" s="2" t="s">
        <v>548</v>
      </c>
      <c r="AB803" s="2">
        <v>120.4</v>
      </c>
    </row>
    <row r="804" spans="1:28" x14ac:dyDescent="0.25">
      <c r="A804" s="2" t="s">
        <v>2974</v>
      </c>
      <c r="B804" s="8" t="s">
        <v>2975</v>
      </c>
      <c r="C804" s="8" t="s">
        <v>36</v>
      </c>
      <c r="D804" s="8" t="s">
        <v>52</v>
      </c>
      <c r="E804" s="8" t="s">
        <v>61</v>
      </c>
      <c r="F804" s="13"/>
      <c r="G804" s="59"/>
      <c r="H804" s="59"/>
      <c r="I804" s="6"/>
      <c r="J804" s="2"/>
      <c r="K804" s="2"/>
      <c r="L804" s="2"/>
      <c r="M804" s="2"/>
      <c r="N804" s="2"/>
      <c r="O804" s="56">
        <f>24*25</f>
        <v>600</v>
      </c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x14ac:dyDescent="0.25">
      <c r="A805" s="2" t="s">
        <v>2978</v>
      </c>
      <c r="B805" s="8" t="s">
        <v>2975</v>
      </c>
      <c r="C805" s="8" t="s">
        <v>36</v>
      </c>
      <c r="D805" s="8" t="s">
        <v>52</v>
      </c>
      <c r="E805" s="8" t="s">
        <v>47</v>
      </c>
      <c r="F805" s="13"/>
      <c r="G805" s="59"/>
      <c r="H805" s="59"/>
      <c r="I805" s="6">
        <f t="shared" si="60"/>
        <v>144.85049833887044</v>
      </c>
      <c r="J805" s="2">
        <v>10.73</v>
      </c>
      <c r="K805" s="2">
        <v>9.0299999999999994</v>
      </c>
      <c r="L805" s="2">
        <v>1.7</v>
      </c>
      <c r="M805" s="2">
        <v>15.85</v>
      </c>
      <c r="N805" s="2" t="s">
        <v>2994</v>
      </c>
      <c r="O805" s="56">
        <v>1308</v>
      </c>
      <c r="P805" s="2">
        <v>1.65</v>
      </c>
      <c r="Q805" s="2">
        <v>6.79</v>
      </c>
      <c r="R805" s="2">
        <v>192.58</v>
      </c>
      <c r="S805" s="2">
        <v>6.15</v>
      </c>
      <c r="T805" s="2">
        <v>3.62</v>
      </c>
      <c r="U805" s="2">
        <v>186.43</v>
      </c>
      <c r="V805" s="2">
        <v>20.65</v>
      </c>
      <c r="W805" s="2">
        <v>1142.1500000000001</v>
      </c>
      <c r="X805" s="2" t="s">
        <v>2995</v>
      </c>
      <c r="Y805" s="2" t="s">
        <v>2996</v>
      </c>
      <c r="Z805" s="2">
        <v>0.5</v>
      </c>
      <c r="AA805" s="2" t="s">
        <v>548</v>
      </c>
      <c r="AB805" s="2">
        <v>119.8</v>
      </c>
    </row>
    <row r="806" spans="1:28" x14ac:dyDescent="0.25">
      <c r="A806" s="2" t="s">
        <v>2974</v>
      </c>
      <c r="B806" s="8" t="s">
        <v>2975</v>
      </c>
      <c r="C806" s="8" t="s">
        <v>36</v>
      </c>
      <c r="D806" s="7" t="s">
        <v>46</v>
      </c>
      <c r="E806" s="8" t="s">
        <v>47</v>
      </c>
      <c r="F806" s="13"/>
      <c r="G806" s="59"/>
      <c r="H806" s="59"/>
      <c r="I806" s="6">
        <f t="shared" si="60"/>
        <v>285.69206842923796</v>
      </c>
      <c r="J806" s="2">
        <v>7.03</v>
      </c>
      <c r="K806" s="2">
        <v>6.43</v>
      </c>
      <c r="L806" s="2">
        <v>0.6</v>
      </c>
      <c r="M806" s="2">
        <v>8.5299999999999994</v>
      </c>
      <c r="N806" s="2" t="s">
        <v>2997</v>
      </c>
      <c r="O806" s="56">
        <v>1837</v>
      </c>
      <c r="P806" s="2">
        <v>2.77</v>
      </c>
      <c r="Q806" s="2">
        <v>8.9</v>
      </c>
      <c r="R806" s="2">
        <v>206.3</v>
      </c>
      <c r="S806" s="2">
        <v>2.84</v>
      </c>
      <c r="T806" s="2">
        <v>4.7300000000000004</v>
      </c>
      <c r="U806" s="2">
        <v>203.47</v>
      </c>
      <c r="V806" s="2">
        <v>31.64</v>
      </c>
      <c r="W806" s="2">
        <v>8120.14</v>
      </c>
      <c r="X806" s="2" t="s">
        <v>2998</v>
      </c>
      <c r="Y806" s="2" t="s">
        <v>2999</v>
      </c>
      <c r="Z806" s="2">
        <v>0.4</v>
      </c>
      <c r="AA806" s="2" t="s">
        <v>548</v>
      </c>
      <c r="AB806" s="2">
        <v>255.5</v>
      </c>
    </row>
    <row r="807" spans="1:28" x14ac:dyDescent="0.25">
      <c r="A807" s="2" t="s">
        <v>2978</v>
      </c>
      <c r="B807" s="8" t="s">
        <v>2975</v>
      </c>
      <c r="C807" s="8" t="s">
        <v>36</v>
      </c>
      <c r="D807" s="7" t="s">
        <v>46</v>
      </c>
      <c r="E807" s="8" t="s">
        <v>47</v>
      </c>
      <c r="F807" s="13"/>
      <c r="G807" s="59"/>
      <c r="H807" s="59"/>
      <c r="I807" s="6">
        <f t="shared" si="60"/>
        <v>337.05953827460507</v>
      </c>
      <c r="J807" s="2">
        <v>8.7799999999999994</v>
      </c>
      <c r="K807" s="2">
        <v>8.23</v>
      </c>
      <c r="L807" s="2">
        <v>0.55000000000000004</v>
      </c>
      <c r="M807" s="2">
        <v>6.26</v>
      </c>
      <c r="N807" s="2" t="s">
        <v>3000</v>
      </c>
      <c r="O807" s="56">
        <v>2774</v>
      </c>
      <c r="P807" s="2">
        <v>2.94</v>
      </c>
      <c r="Q807" s="2">
        <v>10.74</v>
      </c>
      <c r="R807" s="2">
        <v>258.35000000000002</v>
      </c>
      <c r="S807" s="2">
        <v>3.31</v>
      </c>
      <c r="T807" s="2">
        <v>6.02</v>
      </c>
      <c r="U807" s="2">
        <v>255.04</v>
      </c>
      <c r="V807" s="2">
        <v>30.98</v>
      </c>
      <c r="W807" s="2">
        <v>8113.11</v>
      </c>
      <c r="X807" s="2" t="s">
        <v>3001</v>
      </c>
      <c r="Y807" s="2" t="s">
        <v>3002</v>
      </c>
      <c r="Z807" s="2">
        <v>0.5</v>
      </c>
      <c r="AA807" s="2" t="s">
        <v>548</v>
      </c>
      <c r="AB807" s="2">
        <v>255.1</v>
      </c>
    </row>
    <row r="808" spans="1:28" x14ac:dyDescent="0.25">
      <c r="A808" s="2" t="s">
        <v>2974</v>
      </c>
      <c r="B808" s="8" t="s">
        <v>2975</v>
      </c>
      <c r="C808" s="8" t="s">
        <v>36</v>
      </c>
      <c r="D808" s="8" t="s">
        <v>48</v>
      </c>
      <c r="E808" s="7" t="s">
        <v>38</v>
      </c>
      <c r="F808" s="13">
        <v>4460</v>
      </c>
      <c r="G808" s="59"/>
      <c r="H808" s="59"/>
      <c r="I808" s="6">
        <f t="shared" si="60"/>
        <v>803.60360360360357</v>
      </c>
      <c r="J808" s="2">
        <v>6.1</v>
      </c>
      <c r="K808" s="2">
        <v>5.55</v>
      </c>
      <c r="L808" s="2">
        <v>0.55000000000000004</v>
      </c>
      <c r="M808" s="2">
        <v>9.01</v>
      </c>
      <c r="N808" s="2" t="s">
        <v>2955</v>
      </c>
      <c r="O808" s="56">
        <v>4460</v>
      </c>
      <c r="P808" s="2">
        <v>5.57</v>
      </c>
      <c r="Q808" s="2">
        <v>20.399999999999999</v>
      </c>
      <c r="R808" s="2">
        <v>218.61</v>
      </c>
      <c r="S808" s="2">
        <v>3.31</v>
      </c>
      <c r="T808" s="2">
        <v>6.02</v>
      </c>
      <c r="U808" s="2">
        <v>215.3</v>
      </c>
      <c r="V808" s="2">
        <v>38.76</v>
      </c>
      <c r="W808" s="2">
        <v>6734.94</v>
      </c>
      <c r="X808" s="2" t="s">
        <v>3003</v>
      </c>
      <c r="Y808" s="2" t="s">
        <v>3004</v>
      </c>
      <c r="Z808" s="2" t="s">
        <v>548</v>
      </c>
      <c r="AA808" s="2" t="s">
        <v>548</v>
      </c>
      <c r="AB808" s="2">
        <v>49.4</v>
      </c>
    </row>
    <row r="809" spans="1:28" x14ac:dyDescent="0.25">
      <c r="A809" s="2" t="s">
        <v>2978</v>
      </c>
      <c r="B809" s="8" t="s">
        <v>2975</v>
      </c>
      <c r="C809" s="8" t="s">
        <v>36</v>
      </c>
      <c r="D809" s="8" t="s">
        <v>48</v>
      </c>
      <c r="E809" s="7" t="s">
        <v>38</v>
      </c>
      <c r="F809" s="13">
        <v>6365</v>
      </c>
      <c r="G809" s="59"/>
      <c r="H809" s="59"/>
      <c r="I809" s="6">
        <f t="shared" si="60"/>
        <v>601.03871576959398</v>
      </c>
      <c r="J809" s="2">
        <v>11.74</v>
      </c>
      <c r="K809" s="2">
        <v>10.59</v>
      </c>
      <c r="L809" s="2">
        <v>1.1499999999999999</v>
      </c>
      <c r="M809" s="2">
        <v>9.8000000000000007</v>
      </c>
      <c r="N809" s="2" t="s">
        <v>2388</v>
      </c>
      <c r="O809" s="56">
        <v>6365</v>
      </c>
      <c r="P809" s="2">
        <v>5.47</v>
      </c>
      <c r="Q809" s="2">
        <v>15.53</v>
      </c>
      <c r="R809" s="2">
        <v>409.77</v>
      </c>
      <c r="S809" s="2">
        <v>7.57</v>
      </c>
      <c r="T809" s="2">
        <v>6.58</v>
      </c>
      <c r="U809" s="2">
        <v>402.2</v>
      </c>
      <c r="V809" s="2">
        <v>37.99</v>
      </c>
      <c r="W809" s="2">
        <v>6728.83</v>
      </c>
      <c r="X809" s="2" t="s">
        <v>3005</v>
      </c>
      <c r="Y809" s="2" t="s">
        <v>3006</v>
      </c>
      <c r="Z809" s="2">
        <v>0.1</v>
      </c>
      <c r="AA809" s="2" t="s">
        <v>548</v>
      </c>
      <c r="AB809" s="2">
        <v>49.4</v>
      </c>
    </row>
    <row r="810" spans="1:28" x14ac:dyDescent="0.25">
      <c r="A810" s="2" t="s">
        <v>2974</v>
      </c>
      <c r="B810" s="8" t="s">
        <v>2975</v>
      </c>
      <c r="C810" s="8" t="s">
        <v>36</v>
      </c>
      <c r="D810" s="8" t="s">
        <v>49</v>
      </c>
      <c r="E810" s="8" t="s">
        <v>47</v>
      </c>
      <c r="F810" s="13"/>
      <c r="G810" s="59"/>
      <c r="H810" s="6"/>
      <c r="I810" s="6">
        <f t="shared" si="60"/>
        <v>74.683544303797461</v>
      </c>
      <c r="J810" s="2">
        <v>1.0900000000000001</v>
      </c>
      <c r="K810" s="2">
        <v>0.79</v>
      </c>
      <c r="L810" s="2">
        <v>0.3</v>
      </c>
      <c r="M810" s="2">
        <v>27.54</v>
      </c>
      <c r="N810" s="2" t="s">
        <v>3007</v>
      </c>
      <c r="O810" s="56">
        <v>59</v>
      </c>
      <c r="P810" s="2">
        <v>2.36</v>
      </c>
      <c r="Q810" s="2">
        <v>2.97</v>
      </c>
      <c r="R810" s="2">
        <v>19.87</v>
      </c>
      <c r="S810" s="2">
        <v>0.95</v>
      </c>
      <c r="T810" s="2">
        <v>3.15</v>
      </c>
      <c r="U810" s="2">
        <v>18.93</v>
      </c>
      <c r="V810" s="2">
        <v>23.98</v>
      </c>
      <c r="W810" s="2">
        <v>2069.61</v>
      </c>
      <c r="X810" s="2" t="s">
        <v>3008</v>
      </c>
      <c r="Y810" s="2" t="s">
        <v>3009</v>
      </c>
      <c r="Z810" s="2" t="s">
        <v>548</v>
      </c>
      <c r="AA810" s="2" t="s">
        <v>548</v>
      </c>
      <c r="AB810" s="2">
        <v>5.6</v>
      </c>
    </row>
    <row r="811" spans="1:28" x14ac:dyDescent="0.25">
      <c r="A811" s="2" t="s">
        <v>2978</v>
      </c>
      <c r="B811" s="8" t="s">
        <v>2975</v>
      </c>
      <c r="C811" s="8" t="s">
        <v>36</v>
      </c>
      <c r="D811" s="8" t="s">
        <v>49</v>
      </c>
      <c r="E811" s="8" t="s">
        <v>47</v>
      </c>
      <c r="F811" s="13"/>
      <c r="G811" s="59"/>
      <c r="H811" s="6"/>
      <c r="I811" s="6">
        <f t="shared" si="60"/>
        <v>359.55882352941171</v>
      </c>
      <c r="J811" s="2">
        <v>1.96</v>
      </c>
      <c r="K811" s="2">
        <v>1.36</v>
      </c>
      <c r="L811" s="2">
        <v>0.6</v>
      </c>
      <c r="M811" s="2">
        <v>30.64</v>
      </c>
      <c r="N811" s="2" t="s">
        <v>3010</v>
      </c>
      <c r="O811" s="56">
        <v>489</v>
      </c>
      <c r="P811" s="2">
        <v>3.15</v>
      </c>
      <c r="Q811" s="2">
        <v>8.99</v>
      </c>
      <c r="R811" s="2">
        <v>54.42</v>
      </c>
      <c r="S811" s="2">
        <v>3.79</v>
      </c>
      <c r="T811" s="2">
        <v>6.31</v>
      </c>
      <c r="U811" s="2">
        <v>50.63</v>
      </c>
      <c r="V811" s="2">
        <v>37.270000000000003</v>
      </c>
      <c r="W811" s="2">
        <v>2068.52</v>
      </c>
      <c r="X811" s="2" t="s">
        <v>3011</v>
      </c>
      <c r="Y811" s="2" t="s">
        <v>3012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2" t="s">
        <v>3064</v>
      </c>
      <c r="B812" s="8" t="s">
        <v>2975</v>
      </c>
      <c r="C812" s="8" t="s">
        <v>36</v>
      </c>
      <c r="D812" s="8" t="s">
        <v>39</v>
      </c>
      <c r="E812" s="8" t="s">
        <v>47</v>
      </c>
      <c r="F812" s="13"/>
      <c r="G812" s="59"/>
      <c r="H812" s="6"/>
      <c r="I812" s="6">
        <f t="shared" si="60"/>
        <v>278.53260869565219</v>
      </c>
      <c r="J812" s="2">
        <v>8.36</v>
      </c>
      <c r="K812" s="2">
        <v>7.36</v>
      </c>
      <c r="L812" s="2" t="s">
        <v>1696</v>
      </c>
      <c r="M812" s="2">
        <v>11.96</v>
      </c>
      <c r="N812" s="2" t="s">
        <v>3000</v>
      </c>
      <c r="O812" s="56">
        <v>2050</v>
      </c>
      <c r="P812" s="2">
        <v>1.36</v>
      </c>
      <c r="Q812" s="2">
        <v>9.25</v>
      </c>
      <c r="R812" s="2">
        <v>138.63999999999999</v>
      </c>
      <c r="S812" s="2">
        <v>4.26</v>
      </c>
      <c r="T812" s="2">
        <v>4.26</v>
      </c>
      <c r="U812" s="2">
        <v>134.38</v>
      </c>
      <c r="V812" s="2">
        <v>18.260000000000002</v>
      </c>
      <c r="W812" s="2">
        <v>9330.67</v>
      </c>
      <c r="X812" s="2" t="s">
        <v>3065</v>
      </c>
      <c r="Y812" s="2" t="s">
        <v>3066</v>
      </c>
      <c r="Z812" s="2">
        <v>0.1</v>
      </c>
      <c r="AA812" s="2" t="s">
        <v>548</v>
      </c>
      <c r="AB812" s="2">
        <v>292.3</v>
      </c>
    </row>
    <row r="813" spans="1:28" x14ac:dyDescent="0.25">
      <c r="A813" s="2" t="s">
        <v>3067</v>
      </c>
      <c r="B813" s="8" t="s">
        <v>2975</v>
      </c>
      <c r="C813" s="8" t="s">
        <v>36</v>
      </c>
      <c r="D813" s="8" t="s">
        <v>39</v>
      </c>
      <c r="E813" s="8" t="s">
        <v>47</v>
      </c>
      <c r="F813" s="13"/>
      <c r="G813" s="59"/>
      <c r="H813" s="6"/>
      <c r="I813" s="6">
        <f t="shared" si="60"/>
        <v>234.87773487773489</v>
      </c>
      <c r="J813" s="2">
        <v>8.57</v>
      </c>
      <c r="K813" s="2">
        <v>7.77</v>
      </c>
      <c r="L813" s="2">
        <v>0.8</v>
      </c>
      <c r="M813" s="2">
        <v>9.33</v>
      </c>
      <c r="N813" s="2" t="s">
        <v>3068</v>
      </c>
      <c r="O813" s="56">
        <v>1825</v>
      </c>
      <c r="P813" s="2">
        <v>1.46</v>
      </c>
      <c r="Q813" s="2">
        <v>8.6999999999999993</v>
      </c>
      <c r="R813" s="2">
        <v>148.58000000000001</v>
      </c>
      <c r="S813" s="2">
        <v>3.31</v>
      </c>
      <c r="T813" s="2">
        <v>4.1399999999999997</v>
      </c>
      <c r="U813" s="2">
        <v>145.27000000000001</v>
      </c>
      <c r="V813" s="2">
        <v>18.690000000000001</v>
      </c>
      <c r="W813" s="2">
        <v>9322.31</v>
      </c>
      <c r="X813" s="2" t="s">
        <v>3069</v>
      </c>
      <c r="Y813" s="2" t="s">
        <v>3070</v>
      </c>
      <c r="Z813" s="2">
        <v>0.4</v>
      </c>
      <c r="AA813" s="2" t="s">
        <v>548</v>
      </c>
      <c r="AB813" s="2">
        <v>292.2</v>
      </c>
    </row>
    <row r="814" spans="1:28" x14ac:dyDescent="0.25">
      <c r="A814" s="2" t="s">
        <v>3064</v>
      </c>
      <c r="B814" s="8" t="s">
        <v>2975</v>
      </c>
      <c r="C814" s="8" t="s">
        <v>36</v>
      </c>
      <c r="D814" s="8" t="s">
        <v>43</v>
      </c>
      <c r="E814" s="8" t="s">
        <v>47</v>
      </c>
      <c r="F814" s="13"/>
      <c r="G814" s="59"/>
      <c r="H814" s="6"/>
      <c r="I814" s="6">
        <f t="shared" si="60"/>
        <v>0</v>
      </c>
      <c r="J814" s="2">
        <v>7.08</v>
      </c>
      <c r="K814" s="2">
        <v>5.13</v>
      </c>
      <c r="L814" s="2">
        <v>1.95</v>
      </c>
      <c r="M814" s="2">
        <v>27.53</v>
      </c>
      <c r="N814" s="2" t="s">
        <v>45</v>
      </c>
      <c r="O814" s="56" t="s">
        <v>42</v>
      </c>
      <c r="P814" s="2" t="s">
        <v>45</v>
      </c>
      <c r="Q814" s="2" t="s">
        <v>45</v>
      </c>
      <c r="R814" s="2">
        <v>105.52</v>
      </c>
      <c r="S814" s="2">
        <v>8.0399999999999991</v>
      </c>
      <c r="T814" s="2">
        <v>4.13</v>
      </c>
      <c r="U814" s="2">
        <v>97.47</v>
      </c>
      <c r="V814" s="2">
        <v>18.989999999999998</v>
      </c>
      <c r="W814" s="2">
        <v>8923.4699999999993</v>
      </c>
      <c r="X814" s="2" t="s">
        <v>45</v>
      </c>
      <c r="Y814" s="2" t="s">
        <v>45</v>
      </c>
      <c r="Z814" s="2">
        <v>0.1</v>
      </c>
      <c r="AA814" s="2" t="s">
        <v>45</v>
      </c>
      <c r="AB814" s="2">
        <v>265.3</v>
      </c>
    </row>
    <row r="815" spans="1:28" x14ac:dyDescent="0.25">
      <c r="A815" s="2" t="s">
        <v>3067</v>
      </c>
      <c r="B815" s="8" t="s">
        <v>2975</v>
      </c>
      <c r="C815" s="8" t="s">
        <v>36</v>
      </c>
      <c r="D815" s="8" t="s">
        <v>43</v>
      </c>
      <c r="E815" s="8" t="s">
        <v>47</v>
      </c>
      <c r="F815" s="13"/>
      <c r="G815" s="59"/>
      <c r="H815" s="6"/>
      <c r="I815" s="6">
        <f t="shared" si="60"/>
        <v>0</v>
      </c>
      <c r="J815" s="2">
        <v>7.96</v>
      </c>
      <c r="K815" s="2">
        <v>6.76</v>
      </c>
      <c r="L815" s="2">
        <v>1.2</v>
      </c>
      <c r="M815" s="2">
        <v>15.07</v>
      </c>
      <c r="N815" s="2" t="s">
        <v>45</v>
      </c>
      <c r="O815" s="56" t="s">
        <v>42</v>
      </c>
      <c r="P815" s="2" t="s">
        <v>45</v>
      </c>
      <c r="Q815" s="2" t="s">
        <v>45</v>
      </c>
      <c r="R815" s="2">
        <v>151.41999999999999</v>
      </c>
      <c r="S815" s="2">
        <v>5.68</v>
      </c>
      <c r="T815" s="2">
        <v>4.7300000000000004</v>
      </c>
      <c r="U815" s="2">
        <v>145.74</v>
      </c>
      <c r="V815" s="2">
        <v>21.55</v>
      </c>
      <c r="W815" s="2">
        <v>8916.3799999999992</v>
      </c>
      <c r="X815" s="2" t="s">
        <v>45</v>
      </c>
      <c r="Y815" s="2" t="s">
        <v>45</v>
      </c>
      <c r="Z815" s="2">
        <v>0.9</v>
      </c>
      <c r="AA815" s="2" t="s">
        <v>45</v>
      </c>
      <c r="AB815" s="2">
        <v>265.2</v>
      </c>
    </row>
    <row r="816" spans="1:28" x14ac:dyDescent="0.25">
      <c r="A816" s="2" t="s">
        <v>3064</v>
      </c>
      <c r="B816" s="8" t="s">
        <v>2975</v>
      </c>
      <c r="C816" s="8" t="s">
        <v>36</v>
      </c>
      <c r="D816" s="8" t="s">
        <v>67</v>
      </c>
      <c r="E816" s="8" t="s">
        <v>47</v>
      </c>
      <c r="F816" s="13"/>
      <c r="G816" s="59"/>
      <c r="H816" s="6"/>
      <c r="I816" s="6">
        <f t="shared" ref="I816:I818" si="61">IFERROR(O816/K816,)</f>
        <v>335.17823639774861</v>
      </c>
      <c r="J816" s="2">
        <v>15.76</v>
      </c>
      <c r="K816" s="2">
        <v>10.66</v>
      </c>
      <c r="L816" s="2">
        <v>5.0999999999999996</v>
      </c>
      <c r="M816" s="2">
        <v>32.36</v>
      </c>
      <c r="N816" s="2" t="s">
        <v>3071</v>
      </c>
      <c r="O816" s="56">
        <f>4048-475</f>
        <v>3573</v>
      </c>
      <c r="P816" s="2">
        <v>2.27</v>
      </c>
      <c r="Q816" s="2">
        <v>17.600000000000001</v>
      </c>
      <c r="R816" s="2">
        <v>229.96</v>
      </c>
      <c r="S816" s="2">
        <v>16.09</v>
      </c>
      <c r="T816" s="2">
        <v>3.15</v>
      </c>
      <c r="U816" s="2">
        <v>213.88</v>
      </c>
      <c r="V816" s="2">
        <v>20.059999999999999</v>
      </c>
      <c r="W816" s="2">
        <v>738.54</v>
      </c>
      <c r="X816" s="2" t="s">
        <v>3072</v>
      </c>
      <c r="Y816" s="2" t="s">
        <v>3073</v>
      </c>
      <c r="Z816" s="2">
        <v>1.6</v>
      </c>
      <c r="AA816" s="2" t="s">
        <v>548</v>
      </c>
      <c r="AB816" s="2" t="s">
        <v>3074</v>
      </c>
    </row>
    <row r="817" spans="1:28" x14ac:dyDescent="0.25">
      <c r="A817" s="2" t="s">
        <v>3064</v>
      </c>
      <c r="B817" s="8" t="s">
        <v>2975</v>
      </c>
      <c r="C817" s="8" t="s">
        <v>36</v>
      </c>
      <c r="D817" s="8" t="s">
        <v>67</v>
      </c>
      <c r="E817" s="8" t="s">
        <v>61</v>
      </c>
      <c r="F817" s="13"/>
      <c r="G817" s="59"/>
      <c r="H817" s="6"/>
      <c r="I817" s="6"/>
      <c r="J817" s="2"/>
      <c r="K817" s="2"/>
      <c r="L817" s="2"/>
      <c r="M817" s="2"/>
      <c r="N817" s="2"/>
      <c r="O817" s="56">
        <f>19*25</f>
        <v>475</v>
      </c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x14ac:dyDescent="0.25">
      <c r="A818" s="2" t="s">
        <v>3067</v>
      </c>
      <c r="B818" s="8" t="s">
        <v>2975</v>
      </c>
      <c r="C818" s="8" t="s">
        <v>36</v>
      </c>
      <c r="D818" s="8" t="s">
        <v>67</v>
      </c>
      <c r="E818" s="8" t="s">
        <v>47</v>
      </c>
      <c r="F818" s="13"/>
      <c r="G818" s="59"/>
      <c r="H818" s="6"/>
      <c r="I818" s="6">
        <f t="shared" si="61"/>
        <v>290.70487993803255</v>
      </c>
      <c r="J818" s="2">
        <v>15.56</v>
      </c>
      <c r="K818" s="2">
        <v>12.91</v>
      </c>
      <c r="L818" s="2">
        <v>2.65</v>
      </c>
      <c r="M818" s="2">
        <v>17.03</v>
      </c>
      <c r="N818" s="2" t="s">
        <v>3075</v>
      </c>
      <c r="O818" s="56">
        <f>4928-1175</f>
        <v>3753</v>
      </c>
      <c r="P818" s="2">
        <v>2.31</v>
      </c>
      <c r="Q818" s="2">
        <v>17.77</v>
      </c>
      <c r="R818" s="2">
        <v>277.27999999999997</v>
      </c>
      <c r="S818" s="2">
        <v>7.57</v>
      </c>
      <c r="T818" s="2">
        <v>2.86</v>
      </c>
      <c r="U818" s="2">
        <v>269.70999999999998</v>
      </c>
      <c r="V818" s="2">
        <v>20.88</v>
      </c>
      <c r="W818" s="2">
        <v>722.78</v>
      </c>
      <c r="X818" s="2" t="s">
        <v>3076</v>
      </c>
      <c r="Y818" s="2" t="s">
        <v>3077</v>
      </c>
      <c r="Z818" s="2">
        <v>1.2</v>
      </c>
      <c r="AA818" s="2" t="s">
        <v>548</v>
      </c>
      <c r="AB818" s="2">
        <v>69.400000000000006</v>
      </c>
    </row>
    <row r="819" spans="1:28" x14ac:dyDescent="0.25">
      <c r="A819" s="2" t="s">
        <v>3067</v>
      </c>
      <c r="B819" s="8" t="s">
        <v>2975</v>
      </c>
      <c r="C819" s="8" t="s">
        <v>36</v>
      </c>
      <c r="D819" s="8" t="s">
        <v>67</v>
      </c>
      <c r="E819" s="8" t="s">
        <v>61</v>
      </c>
      <c r="F819" s="13"/>
      <c r="G819" s="59"/>
      <c r="H819" s="6"/>
      <c r="I819" s="6"/>
      <c r="J819" s="2"/>
      <c r="K819" s="2"/>
      <c r="L819" s="2"/>
      <c r="M819" s="2"/>
      <c r="N819" s="2"/>
      <c r="O819" s="56">
        <f>47*25</f>
        <v>1175</v>
      </c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x14ac:dyDescent="0.25">
      <c r="A820" s="2" t="s">
        <v>3064</v>
      </c>
      <c r="B820" s="8" t="s">
        <v>2975</v>
      </c>
      <c r="C820" s="8" t="s">
        <v>36</v>
      </c>
      <c r="D820" s="8" t="s">
        <v>50</v>
      </c>
      <c r="E820" s="8" t="s">
        <v>47</v>
      </c>
      <c r="F820" s="13"/>
      <c r="G820" s="59"/>
      <c r="H820" s="6"/>
      <c r="I820" s="6">
        <f t="shared" ref="I820:I821" si="62">IFERROR(O820/K820,)</f>
        <v>248.64433811802235</v>
      </c>
      <c r="J820" s="2">
        <v>7.02</v>
      </c>
      <c r="K820" s="2">
        <v>6.27</v>
      </c>
      <c r="L820" s="2">
        <v>0.75</v>
      </c>
      <c r="M820" s="2">
        <v>10.68</v>
      </c>
      <c r="N820" s="2" t="s">
        <v>3078</v>
      </c>
      <c r="O820" s="56">
        <v>1559</v>
      </c>
      <c r="P820" s="2">
        <v>2.2200000000000002</v>
      </c>
      <c r="Q820" s="2">
        <v>12.2</v>
      </c>
      <c r="R820" s="2">
        <v>127.76</v>
      </c>
      <c r="S820" s="2">
        <v>3.31</v>
      </c>
      <c r="T820" s="2">
        <v>4.42</v>
      </c>
      <c r="U820" s="2">
        <v>124.45</v>
      </c>
      <c r="V820" s="2">
        <v>19.850000000000001</v>
      </c>
      <c r="W820" s="2">
        <v>2571.1999999999998</v>
      </c>
      <c r="X820" s="2" t="s">
        <v>3079</v>
      </c>
      <c r="Y820" s="2" t="s">
        <v>3080</v>
      </c>
      <c r="Z820" s="2">
        <v>0.4</v>
      </c>
      <c r="AA820" s="2" t="s">
        <v>548</v>
      </c>
      <c r="AB820" s="2">
        <v>336.4</v>
      </c>
    </row>
    <row r="821" spans="1:28" x14ac:dyDescent="0.25">
      <c r="A821" s="2" t="s">
        <v>3067</v>
      </c>
      <c r="B821" s="8" t="s">
        <v>2975</v>
      </c>
      <c r="C821" s="8" t="s">
        <v>36</v>
      </c>
      <c r="D821" s="8" t="s">
        <v>50</v>
      </c>
      <c r="E821" s="8" t="s">
        <v>47</v>
      </c>
      <c r="F821" s="13"/>
      <c r="G821" s="59"/>
      <c r="H821" s="6"/>
      <c r="I821" s="6">
        <f t="shared" si="62"/>
        <v>143.33895446880271</v>
      </c>
      <c r="J821" s="2">
        <v>7.38</v>
      </c>
      <c r="K821" s="2">
        <v>5.93</v>
      </c>
      <c r="L821" s="2">
        <v>1.45</v>
      </c>
      <c r="M821" s="2">
        <v>19.66</v>
      </c>
      <c r="N821" s="2" t="s">
        <v>3081</v>
      </c>
      <c r="O821" s="56">
        <v>850</v>
      </c>
      <c r="P821" s="2">
        <v>1.65</v>
      </c>
      <c r="Q821" s="2">
        <v>6.75</v>
      </c>
      <c r="R821" s="2">
        <v>125.86</v>
      </c>
      <c r="S821" s="2">
        <v>4.7300000000000004</v>
      </c>
      <c r="T821" s="2">
        <v>3.26</v>
      </c>
      <c r="U821" s="2">
        <v>121.13</v>
      </c>
      <c r="V821" s="2">
        <v>20.440000000000001</v>
      </c>
      <c r="W821" s="2">
        <v>2564.1799999999998</v>
      </c>
      <c r="X821" s="2" t="s">
        <v>3082</v>
      </c>
      <c r="Y821" s="2" t="s">
        <v>3083</v>
      </c>
      <c r="Z821" s="2">
        <v>2.7</v>
      </c>
      <c r="AA821" s="2">
        <v>0.01</v>
      </c>
      <c r="AB821" s="2" t="s">
        <v>3084</v>
      </c>
    </row>
    <row r="822" spans="1:28" x14ac:dyDescent="0.25">
      <c r="A822" s="2" t="s">
        <v>3064</v>
      </c>
      <c r="B822" s="8" t="s">
        <v>2975</v>
      </c>
      <c r="C822" s="8" t="s">
        <v>36</v>
      </c>
      <c r="D822" s="8" t="s">
        <v>52</v>
      </c>
      <c r="E822" s="8" t="s">
        <v>47</v>
      </c>
      <c r="F822" s="13"/>
      <c r="G822" s="59"/>
      <c r="H822" s="6"/>
      <c r="I822" s="6">
        <f t="shared" ref="I822:I825" si="63">IFERROR(O822/K822,)</f>
        <v>242.2110552763819</v>
      </c>
      <c r="J822" s="2">
        <v>8.61</v>
      </c>
      <c r="K822" s="2">
        <v>7.96</v>
      </c>
      <c r="L822" s="2">
        <v>0.65</v>
      </c>
      <c r="M822" s="2">
        <v>7.55</v>
      </c>
      <c r="N822" s="2" t="s">
        <v>3085</v>
      </c>
      <c r="O822" s="56">
        <v>1928</v>
      </c>
      <c r="P822" s="2">
        <v>1.72</v>
      </c>
      <c r="Q822" s="2">
        <v>10.98</v>
      </c>
      <c r="R822" s="2">
        <v>175.55</v>
      </c>
      <c r="S822" s="2">
        <v>2.37</v>
      </c>
      <c r="T822" s="2">
        <v>3.64</v>
      </c>
      <c r="U822" s="2">
        <v>173.18</v>
      </c>
      <c r="V822" s="2">
        <v>21.76</v>
      </c>
      <c r="W822" s="2">
        <v>1167.79</v>
      </c>
      <c r="X822" s="2" t="s">
        <v>3086</v>
      </c>
      <c r="Y822" s="2" t="s">
        <v>3087</v>
      </c>
      <c r="Z822" s="2" t="s">
        <v>548</v>
      </c>
      <c r="AA822" s="2" t="s">
        <v>548</v>
      </c>
      <c r="AB822" s="2">
        <v>121.1</v>
      </c>
    </row>
    <row r="823" spans="1:28" x14ac:dyDescent="0.25">
      <c r="A823" s="2" t="s">
        <v>3067</v>
      </c>
      <c r="B823" s="8" t="s">
        <v>2975</v>
      </c>
      <c r="C823" s="8" t="s">
        <v>36</v>
      </c>
      <c r="D823" s="8" t="s">
        <v>52</v>
      </c>
      <c r="E823" s="8" t="s">
        <v>47</v>
      </c>
      <c r="F823" s="13"/>
      <c r="G823" s="59"/>
      <c r="H823" s="6"/>
      <c r="I823" s="6">
        <f t="shared" si="63"/>
        <v>185.42024013722127</v>
      </c>
      <c r="J823" s="2">
        <v>7.23</v>
      </c>
      <c r="K823" s="2">
        <v>5.83</v>
      </c>
      <c r="L823" s="2">
        <v>1.4</v>
      </c>
      <c r="M823" s="2">
        <v>19.350000000000001</v>
      </c>
      <c r="N823" s="2" t="s">
        <v>3088</v>
      </c>
      <c r="O823" s="56">
        <v>1081</v>
      </c>
      <c r="P823" s="2">
        <v>1.59</v>
      </c>
      <c r="Q823" s="2">
        <v>8.7899999999999991</v>
      </c>
      <c r="R823" s="2">
        <v>123.03</v>
      </c>
      <c r="S823" s="2">
        <v>5.2</v>
      </c>
      <c r="T823" s="2">
        <v>3.72</v>
      </c>
      <c r="U823" s="2">
        <v>117.82</v>
      </c>
      <c r="V823" s="2">
        <v>20.190000000000001</v>
      </c>
      <c r="W823" s="2">
        <v>1159.18</v>
      </c>
      <c r="X823" s="2" t="s">
        <v>3089</v>
      </c>
      <c r="Y823" s="2" t="s">
        <v>3090</v>
      </c>
      <c r="Z823" s="2">
        <v>0.7</v>
      </c>
      <c r="AA823" s="2" t="s">
        <v>548</v>
      </c>
      <c r="AB823" s="2">
        <v>121.1</v>
      </c>
    </row>
    <row r="824" spans="1:28" x14ac:dyDescent="0.25">
      <c r="A824" s="2" t="s">
        <v>3064</v>
      </c>
      <c r="B824" s="8" t="s">
        <v>2975</v>
      </c>
      <c r="C824" s="8" t="s">
        <v>36</v>
      </c>
      <c r="D824" s="7" t="s">
        <v>46</v>
      </c>
      <c r="E824" s="8" t="s">
        <v>47</v>
      </c>
      <c r="F824" s="13"/>
      <c r="G824" s="59"/>
      <c r="H824" s="59"/>
      <c r="I824" s="6">
        <f t="shared" si="63"/>
        <v>283.26612903225805</v>
      </c>
      <c r="J824" s="2">
        <v>5.41</v>
      </c>
      <c r="K824" s="2">
        <v>4.96</v>
      </c>
      <c r="L824" s="2">
        <v>0.45</v>
      </c>
      <c r="M824" s="2">
        <v>8.32</v>
      </c>
      <c r="N824" s="2" t="s">
        <v>3091</v>
      </c>
      <c r="O824" s="56">
        <v>1405</v>
      </c>
      <c r="P824" s="2">
        <v>3.24</v>
      </c>
      <c r="Q824" s="2">
        <v>9.0299999999999994</v>
      </c>
      <c r="R824" s="2">
        <v>155.68</v>
      </c>
      <c r="S824" s="2">
        <v>2.84</v>
      </c>
      <c r="T824" s="2">
        <v>6.31</v>
      </c>
      <c r="U824" s="2">
        <v>152.84</v>
      </c>
      <c r="V824" s="2">
        <v>30.82</v>
      </c>
      <c r="W824" s="2">
        <v>8134.08</v>
      </c>
      <c r="X824" s="2" t="s">
        <v>3092</v>
      </c>
      <c r="Y824" s="2" t="s">
        <v>3093</v>
      </c>
      <c r="Z824" s="2">
        <v>0.2</v>
      </c>
      <c r="AA824" s="2" t="s">
        <v>548</v>
      </c>
      <c r="AB824" s="2">
        <v>256.10000000000002</v>
      </c>
    </row>
    <row r="825" spans="1:28" x14ac:dyDescent="0.25">
      <c r="A825" s="2" t="s">
        <v>3067</v>
      </c>
      <c r="B825" s="8" t="s">
        <v>2975</v>
      </c>
      <c r="C825" s="8" t="s">
        <v>36</v>
      </c>
      <c r="D825" s="7" t="s">
        <v>46</v>
      </c>
      <c r="E825" s="8" t="s">
        <v>47</v>
      </c>
      <c r="F825" s="13"/>
      <c r="G825" s="59"/>
      <c r="H825" s="59"/>
      <c r="I825" s="6">
        <f t="shared" si="63"/>
        <v>259.21717171717171</v>
      </c>
      <c r="J825" s="2">
        <v>8.52</v>
      </c>
      <c r="K825" s="2">
        <v>7.92</v>
      </c>
      <c r="L825" s="2">
        <v>0.6</v>
      </c>
      <c r="M825" s="2">
        <v>7.04</v>
      </c>
      <c r="N825" s="2" t="s">
        <v>3094</v>
      </c>
      <c r="O825" s="56">
        <v>2053</v>
      </c>
      <c r="P825" s="2">
        <v>2.77</v>
      </c>
      <c r="Q825" s="2">
        <v>8.3000000000000007</v>
      </c>
      <c r="R825" s="2">
        <v>247.47</v>
      </c>
      <c r="S825" s="2">
        <v>5.2</v>
      </c>
      <c r="T825" s="2">
        <v>8.67</v>
      </c>
      <c r="U825" s="2">
        <v>242.27</v>
      </c>
      <c r="V825" s="2">
        <v>30.58</v>
      </c>
      <c r="W825" s="2">
        <v>8128.67</v>
      </c>
      <c r="X825" s="2" t="s">
        <v>3095</v>
      </c>
      <c r="Y825" s="2" t="s">
        <v>3096</v>
      </c>
      <c r="Z825" s="2">
        <v>0.4</v>
      </c>
      <c r="AA825" s="2" t="s">
        <v>548</v>
      </c>
      <c r="AB825" s="2">
        <v>255.9</v>
      </c>
    </row>
    <row r="826" spans="1:28" x14ac:dyDescent="0.25">
      <c r="A826" s="2" t="s">
        <v>3064</v>
      </c>
      <c r="B826" s="8" t="s">
        <v>2975</v>
      </c>
      <c r="C826" s="8" t="s">
        <v>36</v>
      </c>
      <c r="D826" s="8" t="s">
        <v>48</v>
      </c>
      <c r="E826" s="7" t="s">
        <v>38</v>
      </c>
      <c r="F826" s="13">
        <v>4252</v>
      </c>
      <c r="G826" s="59"/>
      <c r="H826" s="59"/>
      <c r="I826" s="6">
        <f t="shared" ref="I826:I830" si="64">IFERROR(O826/K826,)</f>
        <v>483.49328214971212</v>
      </c>
      <c r="J826" s="2">
        <v>11.18</v>
      </c>
      <c r="K826" s="2">
        <v>10.42</v>
      </c>
      <c r="L826" s="2">
        <v>0.75</v>
      </c>
      <c r="M826" s="2">
        <v>6.71</v>
      </c>
      <c r="N826" s="2" t="s">
        <v>3097</v>
      </c>
      <c r="O826" s="56">
        <v>5038</v>
      </c>
      <c r="P826" s="2">
        <v>4.62</v>
      </c>
      <c r="Q826" s="2">
        <v>12.41</v>
      </c>
      <c r="R826" s="2">
        <v>405.99</v>
      </c>
      <c r="S826" s="2">
        <v>5.2</v>
      </c>
      <c r="T826" s="2">
        <v>6.94</v>
      </c>
      <c r="U826" s="2">
        <v>400.78</v>
      </c>
      <c r="V826" s="2">
        <v>38.44</v>
      </c>
      <c r="W826" s="2">
        <v>6757.12</v>
      </c>
      <c r="X826" s="2" t="s">
        <v>3098</v>
      </c>
      <c r="Y826" s="2" t="s">
        <v>3099</v>
      </c>
      <c r="Z826" s="2">
        <v>0.1</v>
      </c>
      <c r="AA826" s="2" t="s">
        <v>548</v>
      </c>
      <c r="AB826" s="2">
        <v>49.6</v>
      </c>
    </row>
    <row r="827" spans="1:28" x14ac:dyDescent="0.25">
      <c r="A827" s="2" t="s">
        <v>3067</v>
      </c>
      <c r="B827" s="8" t="s">
        <v>2975</v>
      </c>
      <c r="C827" s="8" t="s">
        <v>36</v>
      </c>
      <c r="D827" s="8" t="s">
        <v>48</v>
      </c>
      <c r="E827" s="7" t="s">
        <v>38</v>
      </c>
      <c r="F827" s="13">
        <v>3706</v>
      </c>
      <c r="G827" s="59"/>
      <c r="H827" s="59"/>
      <c r="I827" s="6">
        <f t="shared" si="64"/>
        <v>459.02636916835701</v>
      </c>
      <c r="J827" s="2">
        <v>11.01</v>
      </c>
      <c r="K827" s="2">
        <v>9.86</v>
      </c>
      <c r="L827" s="2">
        <v>1.1499999999999999</v>
      </c>
      <c r="M827" s="2">
        <v>10.45</v>
      </c>
      <c r="N827" s="2" t="s">
        <v>1699</v>
      </c>
      <c r="O827" s="56">
        <v>4526</v>
      </c>
      <c r="P827" s="2">
        <v>4.41</v>
      </c>
      <c r="Q827" s="2">
        <v>11.94</v>
      </c>
      <c r="R827" s="2">
        <v>379.01</v>
      </c>
      <c r="S827" s="2">
        <v>7.1</v>
      </c>
      <c r="T827" s="2">
        <v>6.17</v>
      </c>
      <c r="U827" s="2">
        <v>371.92</v>
      </c>
      <c r="V827" s="2">
        <v>37.72</v>
      </c>
      <c r="W827" s="2">
        <v>6745.94</v>
      </c>
      <c r="X827" s="2" t="s">
        <v>3100</v>
      </c>
      <c r="Y827" s="2" t="s">
        <v>3101</v>
      </c>
      <c r="Z827" s="2">
        <v>0.1</v>
      </c>
      <c r="AA827" s="2" t="s">
        <v>548</v>
      </c>
      <c r="AB827" s="2">
        <v>49.5</v>
      </c>
    </row>
    <row r="828" spans="1:28" x14ac:dyDescent="0.25">
      <c r="A828" s="2" t="s">
        <v>3064</v>
      </c>
      <c r="B828" s="8" t="s">
        <v>2975</v>
      </c>
      <c r="C828" s="8" t="s">
        <v>36</v>
      </c>
      <c r="D828" s="8" t="s">
        <v>49</v>
      </c>
      <c r="E828" s="8" t="s">
        <v>47</v>
      </c>
      <c r="F828" s="13"/>
      <c r="G828" s="59"/>
      <c r="H828" s="6"/>
      <c r="I828" s="6">
        <f t="shared" si="64"/>
        <v>276.89393939393938</v>
      </c>
      <c r="J828" s="2">
        <v>10.72</v>
      </c>
      <c r="K828" s="2">
        <v>7.92</v>
      </c>
      <c r="L828" s="2">
        <v>2.8</v>
      </c>
      <c r="M828" s="2">
        <v>26.12</v>
      </c>
      <c r="N828" s="2" t="s">
        <v>3102</v>
      </c>
      <c r="O828" s="56">
        <f>3443-1250</f>
        <v>2193</v>
      </c>
      <c r="P828" s="2">
        <v>3.76</v>
      </c>
      <c r="Q828" s="2">
        <v>11.09</v>
      </c>
      <c r="R828" s="2">
        <v>310.39999999999998</v>
      </c>
      <c r="S828" s="2">
        <v>12.3</v>
      </c>
      <c r="T828" s="2">
        <v>4.3899999999999997</v>
      </c>
      <c r="U828" s="2">
        <v>298.10000000000002</v>
      </c>
      <c r="V828" s="2">
        <v>37.64</v>
      </c>
      <c r="W828" s="2">
        <v>2088.0700000000002</v>
      </c>
      <c r="X828" s="2" t="s">
        <v>3103</v>
      </c>
      <c r="Y828" s="2" t="s">
        <v>3104</v>
      </c>
      <c r="Z828" s="2" t="s">
        <v>548</v>
      </c>
      <c r="AA828" s="2" t="s">
        <v>548</v>
      </c>
      <c r="AB828" s="2">
        <v>5.6</v>
      </c>
    </row>
    <row r="829" spans="1:28" x14ac:dyDescent="0.25">
      <c r="A829" s="2" t="s">
        <v>3064</v>
      </c>
      <c r="B829" s="8" t="s">
        <v>2975</v>
      </c>
      <c r="C829" s="8" t="s">
        <v>36</v>
      </c>
      <c r="D829" s="8" t="s">
        <v>49</v>
      </c>
      <c r="E829" s="8" t="s">
        <v>61</v>
      </c>
      <c r="F829" s="13"/>
      <c r="G829" s="59"/>
      <c r="H829" s="6"/>
      <c r="I829" s="6"/>
      <c r="J829" s="2"/>
      <c r="K829" s="2"/>
      <c r="L829" s="2"/>
      <c r="M829" s="2"/>
      <c r="N829" s="2"/>
      <c r="O829" s="56">
        <f>50*25</f>
        <v>1250</v>
      </c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x14ac:dyDescent="0.25">
      <c r="A830" s="2" t="s">
        <v>3067</v>
      </c>
      <c r="B830" s="8" t="s">
        <v>2975</v>
      </c>
      <c r="C830" s="8" t="s">
        <v>36</v>
      </c>
      <c r="D830" s="8" t="s">
        <v>49</v>
      </c>
      <c r="E830" s="8" t="s">
        <v>47</v>
      </c>
      <c r="F830" s="13"/>
      <c r="G830" s="59"/>
      <c r="H830" s="6"/>
      <c r="I830" s="6">
        <f t="shared" si="64"/>
        <v>415.22435897435895</v>
      </c>
      <c r="J830" s="2">
        <v>7.74</v>
      </c>
      <c r="K830" s="2">
        <v>6.24</v>
      </c>
      <c r="L830" s="2">
        <v>1.5</v>
      </c>
      <c r="M830" s="2">
        <v>19.39</v>
      </c>
      <c r="N830" s="2" t="s">
        <v>1935</v>
      </c>
      <c r="O830" s="56">
        <v>2591</v>
      </c>
      <c r="P830" s="2">
        <v>2.39</v>
      </c>
      <c r="Q830" s="2">
        <v>9.73</v>
      </c>
      <c r="R830" s="2">
        <v>266.39999999999998</v>
      </c>
      <c r="S830" s="2">
        <v>7.57</v>
      </c>
      <c r="T830" s="2">
        <v>5.05</v>
      </c>
      <c r="U830" s="2">
        <v>258.83</v>
      </c>
      <c r="V830" s="2">
        <v>41.51</v>
      </c>
      <c r="W830" s="2">
        <v>2077.35</v>
      </c>
      <c r="X830" s="2" t="s">
        <v>3105</v>
      </c>
      <c r="Y830" s="2" t="s">
        <v>3106</v>
      </c>
      <c r="Z830" s="2" t="s">
        <v>548</v>
      </c>
      <c r="AA830" s="2" t="s">
        <v>548</v>
      </c>
      <c r="AB830" s="2">
        <v>5.6</v>
      </c>
    </row>
    <row r="831" spans="1:28" x14ac:dyDescent="0.25">
      <c r="A831" s="2" t="s">
        <v>3107</v>
      </c>
      <c r="B831" s="8" t="s">
        <v>55</v>
      </c>
      <c r="C831" s="8" t="s">
        <v>56</v>
      </c>
      <c r="D831" s="8" t="s">
        <v>39</v>
      </c>
      <c r="E831" s="8" t="s">
        <v>47</v>
      </c>
      <c r="F831" s="13"/>
      <c r="G831" s="59"/>
      <c r="H831" s="6"/>
      <c r="I831" s="6">
        <f t="shared" ref="I831:I836" si="65">IFERROR(O831/K831,)</f>
        <v>0</v>
      </c>
      <c r="J831" s="2" t="s">
        <v>548</v>
      </c>
      <c r="K831" s="2" t="s">
        <v>548</v>
      </c>
      <c r="L831" s="2" t="s">
        <v>548</v>
      </c>
      <c r="M831" s="2" t="s">
        <v>45</v>
      </c>
      <c r="N831" s="2" t="s">
        <v>548</v>
      </c>
      <c r="O831" s="56">
        <v>0</v>
      </c>
      <c r="P831" s="2" t="s">
        <v>45</v>
      </c>
      <c r="Q831" s="2" t="s">
        <v>45</v>
      </c>
      <c r="R831" s="2" t="s">
        <v>548</v>
      </c>
      <c r="S831" s="2" t="s">
        <v>548</v>
      </c>
      <c r="T831" s="2" t="s">
        <v>45</v>
      </c>
      <c r="U831" s="2" t="s">
        <v>548</v>
      </c>
      <c r="V831" s="2" t="s">
        <v>45</v>
      </c>
      <c r="W831" s="2">
        <v>9339.7099999999991</v>
      </c>
      <c r="X831" s="2" t="s">
        <v>3108</v>
      </c>
      <c r="Y831" s="2" t="s">
        <v>3109</v>
      </c>
      <c r="Z831" s="2" t="s">
        <v>548</v>
      </c>
      <c r="AA831" s="2" t="s">
        <v>45</v>
      </c>
      <c r="AB831" s="2">
        <v>292.39999999999998</v>
      </c>
    </row>
    <row r="832" spans="1:28" x14ac:dyDescent="0.25">
      <c r="A832" s="2" t="s">
        <v>3110</v>
      </c>
      <c r="B832" s="8" t="s">
        <v>55</v>
      </c>
      <c r="C832" s="8" t="s">
        <v>56</v>
      </c>
      <c r="D832" s="8" t="s">
        <v>39</v>
      </c>
      <c r="E832" s="8" t="s">
        <v>47</v>
      </c>
      <c r="F832" s="13"/>
      <c r="G832" s="59" t="s">
        <v>146</v>
      </c>
      <c r="H832" s="6"/>
      <c r="I832" s="6">
        <f t="shared" si="65"/>
        <v>0</v>
      </c>
      <c r="J832" s="2">
        <v>0.6</v>
      </c>
      <c r="K832" s="2">
        <v>0.45</v>
      </c>
      <c r="L832" s="2">
        <v>0.15</v>
      </c>
      <c r="M832" s="2">
        <v>25.1</v>
      </c>
      <c r="N832" s="2" t="s">
        <v>1380</v>
      </c>
      <c r="O832" s="56">
        <v>0</v>
      </c>
      <c r="P832" s="2" t="s">
        <v>548</v>
      </c>
      <c r="Q832" s="2" t="s">
        <v>548</v>
      </c>
      <c r="R832" s="2">
        <v>3.79</v>
      </c>
      <c r="S832" s="2">
        <v>0.47</v>
      </c>
      <c r="T832" s="2">
        <v>3.15</v>
      </c>
      <c r="U832" s="2">
        <v>3.31</v>
      </c>
      <c r="V832" s="2">
        <v>7.4</v>
      </c>
      <c r="W832" s="2">
        <v>9339.7099999999991</v>
      </c>
      <c r="X832" s="2" t="s">
        <v>3108</v>
      </c>
      <c r="Y832" s="2" t="s">
        <v>3109</v>
      </c>
      <c r="Z832" s="2">
        <v>0.1</v>
      </c>
      <c r="AA832" s="2">
        <v>0.05</v>
      </c>
      <c r="AB832" s="2">
        <v>292.39999999999998</v>
      </c>
    </row>
    <row r="833" spans="1:28" x14ac:dyDescent="0.25">
      <c r="A833" s="2" t="s">
        <v>3111</v>
      </c>
      <c r="B833" s="8" t="s">
        <v>2975</v>
      </c>
      <c r="C833" s="8" t="s">
        <v>36</v>
      </c>
      <c r="D833" s="8" t="s">
        <v>39</v>
      </c>
      <c r="E833" s="8" t="s">
        <v>47</v>
      </c>
      <c r="F833" s="13"/>
      <c r="G833" s="59"/>
      <c r="H833" s="6"/>
      <c r="I833" s="6">
        <f t="shared" si="65"/>
        <v>206.18556701030928</v>
      </c>
      <c r="J833" s="2">
        <v>8.44</v>
      </c>
      <c r="K833" s="2">
        <v>6.79</v>
      </c>
      <c r="L833" s="2">
        <v>1.65</v>
      </c>
      <c r="M833" s="2">
        <v>19.55</v>
      </c>
      <c r="N833" s="2" t="s">
        <v>2081</v>
      </c>
      <c r="O833" s="56">
        <v>1400</v>
      </c>
      <c r="P833" s="2">
        <v>1.46</v>
      </c>
      <c r="Q833" s="2">
        <v>8.86</v>
      </c>
      <c r="R833" s="2">
        <v>132.02000000000001</v>
      </c>
      <c r="S833" s="2">
        <v>6.62</v>
      </c>
      <c r="T833" s="2">
        <v>4.01</v>
      </c>
      <c r="U833" s="2">
        <v>125.39</v>
      </c>
      <c r="V833" s="2">
        <v>18.46</v>
      </c>
      <c r="W833" s="2">
        <v>9339.11</v>
      </c>
      <c r="X833" s="2" t="s">
        <v>3112</v>
      </c>
      <c r="Y833" s="2" t="s">
        <v>3109</v>
      </c>
      <c r="Z833" s="2" t="s">
        <v>548</v>
      </c>
      <c r="AA833" s="2" t="s">
        <v>548</v>
      </c>
      <c r="AB833" s="2">
        <v>292.3</v>
      </c>
    </row>
    <row r="834" spans="1:28" x14ac:dyDescent="0.25">
      <c r="A834" s="2" t="s">
        <v>3107</v>
      </c>
      <c r="B834" s="8" t="s">
        <v>55</v>
      </c>
      <c r="C834" s="8" t="s">
        <v>56</v>
      </c>
      <c r="D834" s="8" t="s">
        <v>43</v>
      </c>
      <c r="E834" s="8" t="s">
        <v>47</v>
      </c>
      <c r="F834" s="13"/>
      <c r="G834" s="59"/>
      <c r="H834" s="6"/>
      <c r="I834" s="6">
        <f t="shared" si="65"/>
        <v>0</v>
      </c>
      <c r="J834" s="2" t="s">
        <v>548</v>
      </c>
      <c r="K834" s="2" t="s">
        <v>548</v>
      </c>
      <c r="L834" s="2" t="s">
        <v>548</v>
      </c>
      <c r="M834" s="2" t="s">
        <v>45</v>
      </c>
      <c r="N834" s="2" t="s">
        <v>45</v>
      </c>
      <c r="O834" s="56" t="s">
        <v>45</v>
      </c>
      <c r="P834" s="2" t="s">
        <v>45</v>
      </c>
      <c r="Q834" s="2" t="s">
        <v>45</v>
      </c>
      <c r="R834" s="2" t="s">
        <v>548</v>
      </c>
      <c r="S834" s="2" t="s">
        <v>548</v>
      </c>
      <c r="T834" s="2" t="s">
        <v>45</v>
      </c>
      <c r="U834" s="2" t="s">
        <v>548</v>
      </c>
      <c r="V834" s="2" t="s">
        <v>45</v>
      </c>
      <c r="W834" s="2">
        <v>8936.51</v>
      </c>
      <c r="X834" s="2" t="s">
        <v>45</v>
      </c>
      <c r="Y834" s="2" t="s">
        <v>45</v>
      </c>
      <c r="Z834" s="2" t="s">
        <v>548</v>
      </c>
      <c r="AA834" s="2" t="s">
        <v>45</v>
      </c>
      <c r="AB834" s="2">
        <v>265.8</v>
      </c>
    </row>
    <row r="835" spans="1:28" x14ac:dyDescent="0.25">
      <c r="A835" s="2" t="s">
        <v>3110</v>
      </c>
      <c r="B835" s="8" t="s">
        <v>2975</v>
      </c>
      <c r="C835" s="8" t="s">
        <v>36</v>
      </c>
      <c r="D835" s="8" t="s">
        <v>43</v>
      </c>
      <c r="E835" s="8" t="s">
        <v>47</v>
      </c>
      <c r="F835" s="13"/>
      <c r="G835" s="59"/>
      <c r="H835" s="6"/>
      <c r="I835" s="6">
        <f t="shared" si="65"/>
        <v>0</v>
      </c>
      <c r="J835" s="2">
        <v>5.75</v>
      </c>
      <c r="K835" s="2">
        <v>3.15</v>
      </c>
      <c r="L835" s="2">
        <v>2.6</v>
      </c>
      <c r="M835" s="2">
        <v>45.24</v>
      </c>
      <c r="N835" s="2" t="s">
        <v>45</v>
      </c>
      <c r="O835" s="56" t="s">
        <v>45</v>
      </c>
      <c r="P835" s="2" t="s">
        <v>45</v>
      </c>
      <c r="Q835" s="2" t="s">
        <v>45</v>
      </c>
      <c r="R835" s="2">
        <v>69.08</v>
      </c>
      <c r="S835" s="2">
        <v>9.94</v>
      </c>
      <c r="T835" s="2">
        <v>3.82</v>
      </c>
      <c r="U835" s="2">
        <v>59.15</v>
      </c>
      <c r="V835" s="2">
        <v>18.79</v>
      </c>
      <c r="W835" s="2">
        <v>8936.51</v>
      </c>
      <c r="X835" s="2" t="s">
        <v>45</v>
      </c>
      <c r="Y835" s="2" t="s">
        <v>45</v>
      </c>
      <c r="Z835" s="2">
        <v>0.4</v>
      </c>
      <c r="AA835" s="2" t="s">
        <v>45</v>
      </c>
      <c r="AB835" s="2">
        <v>265.8</v>
      </c>
    </row>
    <row r="836" spans="1:28" x14ac:dyDescent="0.25">
      <c r="A836" s="2" t="s">
        <v>3111</v>
      </c>
      <c r="B836" s="8" t="s">
        <v>2975</v>
      </c>
      <c r="C836" s="8" t="s">
        <v>36</v>
      </c>
      <c r="D836" s="8" t="s">
        <v>43</v>
      </c>
      <c r="E836" s="8" t="s">
        <v>47</v>
      </c>
      <c r="F836" s="13"/>
      <c r="G836" s="59"/>
      <c r="H836" s="6"/>
      <c r="I836" s="6">
        <f t="shared" si="65"/>
        <v>0</v>
      </c>
      <c r="J836" s="2">
        <v>7.29</v>
      </c>
      <c r="K836" s="2">
        <v>4.3899999999999997</v>
      </c>
      <c r="L836" s="2">
        <v>2.9</v>
      </c>
      <c r="M836" s="2">
        <v>39.770000000000003</v>
      </c>
      <c r="N836" s="2" t="s">
        <v>45</v>
      </c>
      <c r="O836" s="56" t="s">
        <v>45</v>
      </c>
      <c r="P836" s="2" t="s">
        <v>45</v>
      </c>
      <c r="Q836" s="2" t="s">
        <v>45</v>
      </c>
      <c r="R836" s="2">
        <v>90.38</v>
      </c>
      <c r="S836" s="2">
        <v>11.83</v>
      </c>
      <c r="T836" s="2">
        <v>4.08</v>
      </c>
      <c r="U836" s="2">
        <v>78.55</v>
      </c>
      <c r="V836" s="2">
        <v>17.89</v>
      </c>
      <c r="W836" s="2">
        <v>8930.76</v>
      </c>
      <c r="X836" s="2" t="s">
        <v>45</v>
      </c>
      <c r="Y836" s="2" t="s">
        <v>45</v>
      </c>
      <c r="Z836" s="2">
        <v>0.1</v>
      </c>
      <c r="AA836" s="2" t="s">
        <v>45</v>
      </c>
      <c r="AB836" s="2">
        <v>265.39999999999998</v>
      </c>
    </row>
    <row r="837" spans="1:28" x14ac:dyDescent="0.25">
      <c r="A837" s="2" t="s">
        <v>3107</v>
      </c>
      <c r="B837" s="8" t="s">
        <v>55</v>
      </c>
      <c r="C837" s="8" t="s">
        <v>56</v>
      </c>
      <c r="D837" s="8" t="s">
        <v>67</v>
      </c>
      <c r="E837" s="8" t="s">
        <v>47</v>
      </c>
      <c r="F837" s="13"/>
      <c r="G837" s="59"/>
      <c r="H837" s="6"/>
      <c r="I837" s="6">
        <f t="shared" ref="I837:I839" si="66">IFERROR(O837/K837,)</f>
        <v>0</v>
      </c>
      <c r="J837" s="2" t="s">
        <v>45</v>
      </c>
      <c r="K837" s="2" t="s">
        <v>45</v>
      </c>
      <c r="L837" s="2" t="s">
        <v>45</v>
      </c>
      <c r="M837" s="2" t="s">
        <v>45</v>
      </c>
      <c r="N837" s="2" t="s">
        <v>45</v>
      </c>
      <c r="O837" s="56" t="s">
        <v>45</v>
      </c>
      <c r="P837" s="2" t="s">
        <v>45</v>
      </c>
      <c r="Q837" s="2" t="s">
        <v>45</v>
      </c>
      <c r="R837" s="2" t="s">
        <v>45</v>
      </c>
      <c r="S837" s="2" t="s">
        <v>45</v>
      </c>
      <c r="T837" s="2" t="s">
        <v>45</v>
      </c>
      <c r="U837" s="2" t="s">
        <v>45</v>
      </c>
      <c r="V837" s="2" t="s">
        <v>45</v>
      </c>
      <c r="W837" s="2" t="s">
        <v>45</v>
      </c>
      <c r="X837" s="2" t="s">
        <v>45</v>
      </c>
      <c r="Y837" s="2" t="s">
        <v>45</v>
      </c>
      <c r="Z837" s="2" t="s">
        <v>45</v>
      </c>
      <c r="AA837" s="2" t="s">
        <v>45</v>
      </c>
      <c r="AB837" s="2" t="s">
        <v>45</v>
      </c>
    </row>
    <row r="838" spans="1:28" x14ac:dyDescent="0.25">
      <c r="A838" s="2" t="s">
        <v>3110</v>
      </c>
      <c r="B838" s="8" t="s">
        <v>2975</v>
      </c>
      <c r="C838" s="8" t="s">
        <v>36</v>
      </c>
      <c r="D838" s="8" t="s">
        <v>67</v>
      </c>
      <c r="E838" s="8" t="s">
        <v>47</v>
      </c>
      <c r="F838" s="13"/>
      <c r="G838" s="59"/>
      <c r="H838" s="6"/>
      <c r="I838" s="6">
        <f t="shared" si="66"/>
        <v>260.33519553072625</v>
      </c>
      <c r="J838" s="2">
        <v>5.97</v>
      </c>
      <c r="K838" s="2">
        <v>5.37</v>
      </c>
      <c r="L838" s="2">
        <v>0.6</v>
      </c>
      <c r="M838" s="2">
        <v>10.050000000000001</v>
      </c>
      <c r="N838" s="2" t="s">
        <v>3113</v>
      </c>
      <c r="O838" s="85">
        <v>1398</v>
      </c>
      <c r="P838" s="2">
        <v>2.21</v>
      </c>
      <c r="Q838" s="2">
        <v>17.18</v>
      </c>
      <c r="R838" s="2">
        <v>81.39</v>
      </c>
      <c r="S838" s="2">
        <v>2.37</v>
      </c>
      <c r="T838" s="2">
        <v>3.94</v>
      </c>
      <c r="U838" s="2">
        <v>79.02</v>
      </c>
      <c r="V838" s="2">
        <v>14.72</v>
      </c>
      <c r="W838" s="2">
        <v>755.99</v>
      </c>
      <c r="X838" s="2" t="s">
        <v>3114</v>
      </c>
      <c r="Y838" s="2" t="s">
        <v>3115</v>
      </c>
      <c r="Z838" s="2" t="s">
        <v>548</v>
      </c>
      <c r="AA838" s="2" t="s">
        <v>548</v>
      </c>
      <c r="AB838" s="2">
        <v>72.3</v>
      </c>
    </row>
    <row r="839" spans="1:28" x14ac:dyDescent="0.25">
      <c r="A839" s="2" t="s">
        <v>3111</v>
      </c>
      <c r="B839" s="8" t="s">
        <v>2975</v>
      </c>
      <c r="C839" s="8" t="s">
        <v>36</v>
      </c>
      <c r="D839" s="8" t="s">
        <v>67</v>
      </c>
      <c r="E839" s="8" t="s">
        <v>47</v>
      </c>
      <c r="F839" s="13"/>
      <c r="G839" s="59"/>
      <c r="H839" s="6"/>
      <c r="I839" s="6">
        <f t="shared" si="66"/>
        <v>335.66433566433568</v>
      </c>
      <c r="J839" s="2">
        <v>11.48</v>
      </c>
      <c r="K839" s="2">
        <v>8.58</v>
      </c>
      <c r="L839" s="2">
        <v>2.9</v>
      </c>
      <c r="M839" s="2">
        <v>25.25</v>
      </c>
      <c r="N839" s="2" t="s">
        <v>3116</v>
      </c>
      <c r="O839" s="85">
        <v>2880</v>
      </c>
      <c r="P839" s="2">
        <v>1.93</v>
      </c>
      <c r="Q839" s="2">
        <v>15.65</v>
      </c>
      <c r="R839" s="2">
        <v>184.07</v>
      </c>
      <c r="S839" s="2">
        <v>8.99</v>
      </c>
      <c r="T839" s="2">
        <v>3.1</v>
      </c>
      <c r="U839" s="2">
        <v>175.08</v>
      </c>
      <c r="V839" s="2">
        <v>20.39</v>
      </c>
      <c r="W839" s="2">
        <v>750.02</v>
      </c>
      <c r="X839" s="2" t="s">
        <v>3117</v>
      </c>
      <c r="Y839" s="2" t="s">
        <v>3118</v>
      </c>
      <c r="Z839" s="2">
        <v>1.3</v>
      </c>
      <c r="AA839" s="2" t="s">
        <v>548</v>
      </c>
      <c r="AB839" s="2">
        <v>72.3</v>
      </c>
    </row>
    <row r="840" spans="1:28" x14ac:dyDescent="0.25">
      <c r="A840" s="2" t="s">
        <v>3107</v>
      </c>
      <c r="B840" s="8" t="s">
        <v>55</v>
      </c>
      <c r="C840" s="8" t="s">
        <v>56</v>
      </c>
      <c r="D840" s="8" t="s">
        <v>50</v>
      </c>
      <c r="E840" s="8" t="s">
        <v>47</v>
      </c>
      <c r="F840" s="13"/>
      <c r="G840" s="59"/>
      <c r="H840" s="6"/>
      <c r="I840" s="6">
        <f t="shared" ref="I840:I842" si="67">IFERROR(O840/K840,)</f>
        <v>0</v>
      </c>
      <c r="J840" s="2">
        <v>0.17</v>
      </c>
      <c r="K840" s="2">
        <v>7.0000000000000007E-2</v>
      </c>
      <c r="L840" s="2">
        <v>0.1</v>
      </c>
      <c r="M840" s="2">
        <v>60.31</v>
      </c>
      <c r="N840" s="2" t="s">
        <v>1380</v>
      </c>
      <c r="O840" s="85">
        <v>0</v>
      </c>
      <c r="P840" s="2" t="s">
        <v>1380</v>
      </c>
      <c r="Q840" s="2">
        <v>2.11</v>
      </c>
      <c r="R840" s="2">
        <v>1.89</v>
      </c>
      <c r="S840" s="2">
        <v>0.47</v>
      </c>
      <c r="T840" s="2">
        <v>4.7300000000000004</v>
      </c>
      <c r="U840" s="2">
        <v>1.42</v>
      </c>
      <c r="V840" s="2">
        <v>21.57</v>
      </c>
      <c r="W840" s="2">
        <v>2584.69</v>
      </c>
      <c r="X840" s="2" t="s">
        <v>3119</v>
      </c>
      <c r="Y840" s="2" t="s">
        <v>3120</v>
      </c>
      <c r="Z840" s="2" t="s">
        <v>548</v>
      </c>
      <c r="AA840" s="2" t="s">
        <v>548</v>
      </c>
      <c r="AB840" s="2">
        <v>337.4</v>
      </c>
    </row>
    <row r="841" spans="1:28" x14ac:dyDescent="0.25">
      <c r="A841" s="2" t="s">
        <v>3110</v>
      </c>
      <c r="B841" s="8" t="s">
        <v>2975</v>
      </c>
      <c r="C841" s="8" t="s">
        <v>36</v>
      </c>
      <c r="D841" s="8" t="s">
        <v>50</v>
      </c>
      <c r="E841" s="8" t="s">
        <v>47</v>
      </c>
      <c r="F841" s="13"/>
      <c r="G841" s="59"/>
      <c r="H841" s="6"/>
      <c r="I841" s="6">
        <f t="shared" si="67"/>
        <v>278.55072463768113</v>
      </c>
      <c r="J841" s="2">
        <v>7.5</v>
      </c>
      <c r="K841" s="2">
        <v>6.9</v>
      </c>
      <c r="L841" s="2">
        <v>0.6</v>
      </c>
      <c r="M841" s="2" t="s">
        <v>3121</v>
      </c>
      <c r="N841" s="2" t="s">
        <v>3122</v>
      </c>
      <c r="O841" s="85">
        <v>1922</v>
      </c>
      <c r="P841" s="2">
        <v>1.85</v>
      </c>
      <c r="Q841" s="2">
        <v>13.32</v>
      </c>
      <c r="R841" s="2">
        <v>144.32</v>
      </c>
      <c r="S841" s="2">
        <v>3.31</v>
      </c>
      <c r="T841" s="2">
        <v>5.52</v>
      </c>
      <c r="U841" s="2">
        <v>141.01</v>
      </c>
      <c r="V841" s="2">
        <v>20.43</v>
      </c>
      <c r="W841" s="2">
        <v>2584.52</v>
      </c>
      <c r="X841" s="2" t="s">
        <v>3123</v>
      </c>
      <c r="Y841" s="2" t="s">
        <v>3124</v>
      </c>
      <c r="Z841" s="2" t="s">
        <v>548</v>
      </c>
      <c r="AA841" s="2" t="s">
        <v>548</v>
      </c>
      <c r="AB841" s="2">
        <v>337.4</v>
      </c>
    </row>
    <row r="842" spans="1:28" x14ac:dyDescent="0.25">
      <c r="A842" s="2" t="s">
        <v>3111</v>
      </c>
      <c r="B842" s="8" t="s">
        <v>2975</v>
      </c>
      <c r="C842" s="8" t="s">
        <v>36</v>
      </c>
      <c r="D842" s="8" t="s">
        <v>50</v>
      </c>
      <c r="E842" s="8" t="s">
        <v>47</v>
      </c>
      <c r="F842" s="13"/>
      <c r="G842" s="59"/>
      <c r="H842" s="6"/>
      <c r="I842" s="6">
        <f t="shared" si="67"/>
        <v>35.971223021582738</v>
      </c>
      <c r="J842" s="2">
        <v>5.82</v>
      </c>
      <c r="K842" s="2">
        <v>4.17</v>
      </c>
      <c r="L842" s="2">
        <v>1.65</v>
      </c>
      <c r="M842" s="2">
        <v>28.35</v>
      </c>
      <c r="N842" s="2" t="s">
        <v>3125</v>
      </c>
      <c r="O842" s="85">
        <v>150</v>
      </c>
      <c r="P842" s="2">
        <v>1.01</v>
      </c>
      <c r="Q842" s="2">
        <v>2.0099999999999998</v>
      </c>
      <c r="R842" s="2">
        <v>74.760000000000005</v>
      </c>
      <c r="S842" s="2">
        <v>5.68</v>
      </c>
      <c r="T842" s="2">
        <v>3.44</v>
      </c>
      <c r="U842" s="2">
        <v>69.08</v>
      </c>
      <c r="V842" s="2">
        <v>16.57</v>
      </c>
      <c r="W842" s="2">
        <v>2577.02</v>
      </c>
      <c r="X842" s="2" t="s">
        <v>3126</v>
      </c>
      <c r="Y842" s="2" t="s">
        <v>3127</v>
      </c>
      <c r="Z842" s="2" t="s">
        <v>1696</v>
      </c>
      <c r="AA842" s="2">
        <v>0.01</v>
      </c>
      <c r="AB842" s="2">
        <v>337.4</v>
      </c>
    </row>
    <row r="843" spans="1:28" x14ac:dyDescent="0.25">
      <c r="A843" s="2" t="s">
        <v>3107</v>
      </c>
      <c r="B843" s="8" t="s">
        <v>55</v>
      </c>
      <c r="C843" s="8" t="s">
        <v>56</v>
      </c>
      <c r="D843" s="8" t="s">
        <v>52</v>
      </c>
      <c r="E843" s="8" t="s">
        <v>47</v>
      </c>
      <c r="F843" s="13"/>
      <c r="G843" s="59"/>
      <c r="H843" s="6"/>
      <c r="I843" s="6">
        <f t="shared" ref="I843:I845" si="68">IFERROR(O843/K843,)</f>
        <v>0</v>
      </c>
      <c r="J843" s="2" t="s">
        <v>45</v>
      </c>
      <c r="K843" s="2" t="s">
        <v>45</v>
      </c>
      <c r="L843" s="2" t="s">
        <v>45</v>
      </c>
      <c r="M843" s="2" t="s">
        <v>45</v>
      </c>
      <c r="N843" s="2" t="s">
        <v>45</v>
      </c>
      <c r="O843" s="85" t="s">
        <v>45</v>
      </c>
      <c r="P843" s="2" t="s">
        <v>45</v>
      </c>
      <c r="Q843" s="2" t="s">
        <v>45</v>
      </c>
      <c r="R843" s="2" t="s">
        <v>45</v>
      </c>
      <c r="S843" s="2" t="s">
        <v>45</v>
      </c>
      <c r="T843" s="2" t="s">
        <v>45</v>
      </c>
      <c r="U843" s="2" t="s">
        <v>45</v>
      </c>
      <c r="V843" s="2" t="s">
        <v>45</v>
      </c>
      <c r="W843" s="2" t="s">
        <v>45</v>
      </c>
      <c r="X843" s="2" t="s">
        <v>45</v>
      </c>
      <c r="Y843" s="2" t="s">
        <v>45</v>
      </c>
      <c r="Z843" s="2" t="s">
        <v>45</v>
      </c>
      <c r="AA843" s="2" t="s">
        <v>45</v>
      </c>
      <c r="AB843" s="2" t="s">
        <v>45</v>
      </c>
    </row>
    <row r="844" spans="1:28" x14ac:dyDescent="0.25">
      <c r="A844" s="2" t="s">
        <v>3110</v>
      </c>
      <c r="B844" s="8" t="s">
        <v>2975</v>
      </c>
      <c r="C844" s="8" t="s">
        <v>36</v>
      </c>
      <c r="D844" s="8" t="s">
        <v>52</v>
      </c>
      <c r="E844" s="8" t="s">
        <v>47</v>
      </c>
      <c r="F844" s="13"/>
      <c r="G844" s="59"/>
      <c r="H844" s="6"/>
      <c r="I844" s="6">
        <f t="shared" si="68"/>
        <v>205.72519083969465</v>
      </c>
      <c r="J844" s="2">
        <v>3.42</v>
      </c>
      <c r="K844" s="2">
        <v>2.62</v>
      </c>
      <c r="L844" s="2">
        <v>0.8</v>
      </c>
      <c r="M844" s="2">
        <v>23.43</v>
      </c>
      <c r="N844" s="2" t="s">
        <v>3128</v>
      </c>
      <c r="O844" s="85">
        <v>539</v>
      </c>
      <c r="P844" s="2">
        <v>1.79</v>
      </c>
      <c r="Q844" s="2">
        <v>10.36</v>
      </c>
      <c r="R844" s="2">
        <v>52.05</v>
      </c>
      <c r="S844" s="2">
        <v>3.31</v>
      </c>
      <c r="T844" s="2">
        <v>4.1399999999999997</v>
      </c>
      <c r="U844" s="2">
        <v>48.74</v>
      </c>
      <c r="V844" s="2">
        <v>18.64</v>
      </c>
      <c r="W844" s="2">
        <v>1180.03</v>
      </c>
      <c r="X844" s="2" t="s">
        <v>3129</v>
      </c>
      <c r="Y844" s="2" t="s">
        <v>3130</v>
      </c>
      <c r="Z844" s="2">
        <v>0.3</v>
      </c>
      <c r="AA844" s="2" t="s">
        <v>548</v>
      </c>
      <c r="AB844" s="2">
        <v>121.4</v>
      </c>
    </row>
    <row r="845" spans="1:28" x14ac:dyDescent="0.25">
      <c r="A845" s="2" t="s">
        <v>3111</v>
      </c>
      <c r="B845" s="8" t="s">
        <v>2975</v>
      </c>
      <c r="C845" s="8" t="s">
        <v>36</v>
      </c>
      <c r="D845" s="8" t="s">
        <v>52</v>
      </c>
      <c r="E845" s="8" t="s">
        <v>47</v>
      </c>
      <c r="F845" s="13"/>
      <c r="G845" s="59"/>
      <c r="H845" s="6"/>
      <c r="I845" s="6">
        <f t="shared" si="68"/>
        <v>243.23308270676691</v>
      </c>
      <c r="J845" s="2">
        <v>8.83</v>
      </c>
      <c r="K845" s="2">
        <v>7.98</v>
      </c>
      <c r="L845" s="2">
        <v>0.85</v>
      </c>
      <c r="M845" s="2">
        <v>9.6300000000000008</v>
      </c>
      <c r="N845" s="2" t="s">
        <v>3131</v>
      </c>
      <c r="O845" s="85">
        <v>1941</v>
      </c>
      <c r="P845" s="2">
        <v>1.87</v>
      </c>
      <c r="Q845" s="2">
        <v>11.12</v>
      </c>
      <c r="R845" s="2">
        <v>174.6</v>
      </c>
      <c r="S845" s="2">
        <v>3.31</v>
      </c>
      <c r="T845" s="2">
        <v>3.9</v>
      </c>
      <c r="U845" s="2">
        <v>171.29</v>
      </c>
      <c r="V845" s="2">
        <v>21.47</v>
      </c>
      <c r="W845" s="2">
        <v>1176.6199999999999</v>
      </c>
      <c r="X845" s="2" t="s">
        <v>3132</v>
      </c>
      <c r="Y845" s="2" t="s">
        <v>3133</v>
      </c>
      <c r="Z845" s="2" t="s">
        <v>548</v>
      </c>
      <c r="AA845" s="2" t="s">
        <v>548</v>
      </c>
      <c r="AB845" s="2">
        <v>121.1</v>
      </c>
    </row>
    <row r="846" spans="1:28" x14ac:dyDescent="0.25">
      <c r="A846" s="2" t="s">
        <v>3107</v>
      </c>
      <c r="B846" s="8" t="s">
        <v>55</v>
      </c>
      <c r="C846" s="8" t="s">
        <v>56</v>
      </c>
      <c r="D846" s="7" t="s">
        <v>46</v>
      </c>
      <c r="E846" s="8" t="s">
        <v>47</v>
      </c>
      <c r="F846" s="13"/>
      <c r="G846" s="59"/>
      <c r="H846" s="6"/>
      <c r="I846" s="6">
        <f t="shared" ref="I846:I848" si="69">IFERROR(O846/K846,)</f>
        <v>0</v>
      </c>
      <c r="J846" s="2" t="s">
        <v>548</v>
      </c>
      <c r="K846" s="2" t="s">
        <v>548</v>
      </c>
      <c r="L846" s="2" t="s">
        <v>548</v>
      </c>
      <c r="M846" s="2" t="s">
        <v>45</v>
      </c>
      <c r="N846" s="2" t="s">
        <v>548</v>
      </c>
      <c r="O846" s="85">
        <v>0</v>
      </c>
      <c r="P846" s="2" t="s">
        <v>45</v>
      </c>
      <c r="Q846" s="2" t="s">
        <v>45</v>
      </c>
      <c r="R846" s="2" t="s">
        <v>548</v>
      </c>
      <c r="S846" s="2" t="s">
        <v>548</v>
      </c>
      <c r="T846" s="2" t="s">
        <v>45</v>
      </c>
      <c r="U846" s="2" t="s">
        <v>548</v>
      </c>
      <c r="V846" s="2" t="s">
        <v>45</v>
      </c>
      <c r="W846" s="2">
        <v>8158.06</v>
      </c>
      <c r="X846" s="2" t="s">
        <v>3134</v>
      </c>
      <c r="Y846" s="2" t="s">
        <v>3135</v>
      </c>
      <c r="Z846" s="2" t="s">
        <v>548</v>
      </c>
      <c r="AA846" s="2" t="s">
        <v>45</v>
      </c>
      <c r="AB846" s="2">
        <v>256.39999999999998</v>
      </c>
    </row>
    <row r="847" spans="1:28" x14ac:dyDescent="0.25">
      <c r="A847" s="2" t="s">
        <v>3110</v>
      </c>
      <c r="B847" s="8" t="s">
        <v>2975</v>
      </c>
      <c r="C847" s="8" t="s">
        <v>36</v>
      </c>
      <c r="D847" s="7" t="s">
        <v>46</v>
      </c>
      <c r="E847" s="8" t="s">
        <v>47</v>
      </c>
      <c r="F847" s="13"/>
      <c r="G847" s="59"/>
      <c r="H847" s="6"/>
      <c r="I847" s="6">
        <f t="shared" si="69"/>
        <v>328.14992025518342</v>
      </c>
      <c r="J847" s="2">
        <v>14.54</v>
      </c>
      <c r="K847" s="2">
        <v>12.54</v>
      </c>
      <c r="L847" s="2" t="s">
        <v>1380</v>
      </c>
      <c r="M847" s="2">
        <v>13.75</v>
      </c>
      <c r="N847" s="2" t="s">
        <v>3136</v>
      </c>
      <c r="O847" s="85">
        <v>4115</v>
      </c>
      <c r="P847" s="2">
        <v>3.18</v>
      </c>
      <c r="Q847" s="2">
        <v>10.87</v>
      </c>
      <c r="R847" s="2">
        <v>378.54</v>
      </c>
      <c r="S847" s="2">
        <v>12.78</v>
      </c>
      <c r="T847" s="2">
        <v>6.39</v>
      </c>
      <c r="U847" s="2">
        <v>365.77</v>
      </c>
      <c r="V847" s="2">
        <v>29.16</v>
      </c>
      <c r="W847" s="2">
        <v>8158.06</v>
      </c>
      <c r="X847" s="2" t="s">
        <v>3134</v>
      </c>
      <c r="Y847" s="2" t="s">
        <v>3135</v>
      </c>
      <c r="Z847" s="2">
        <v>0.2</v>
      </c>
      <c r="AA847" s="2" t="s">
        <v>548</v>
      </c>
      <c r="AB847" s="2">
        <v>256.39999999999998</v>
      </c>
    </row>
    <row r="848" spans="1:28" x14ac:dyDescent="0.25">
      <c r="A848" s="2" t="s">
        <v>3111</v>
      </c>
      <c r="B848" s="8" t="s">
        <v>2975</v>
      </c>
      <c r="C848" s="8" t="s">
        <v>36</v>
      </c>
      <c r="D848" s="7" t="s">
        <v>46</v>
      </c>
      <c r="E848" s="8" t="s">
        <v>47</v>
      </c>
      <c r="F848" s="13"/>
      <c r="G848" s="59"/>
      <c r="H848" s="6"/>
      <c r="I848" s="6">
        <f t="shared" si="69"/>
        <v>309.63244613434728</v>
      </c>
      <c r="J848" s="2">
        <v>9.44</v>
      </c>
      <c r="K848" s="2">
        <v>7.89</v>
      </c>
      <c r="L848" s="2">
        <v>1.55</v>
      </c>
      <c r="M848" s="2">
        <v>16.41</v>
      </c>
      <c r="N848" s="2" t="s">
        <v>3137</v>
      </c>
      <c r="O848" s="85">
        <v>2443</v>
      </c>
      <c r="P848" s="2">
        <v>3.2</v>
      </c>
      <c r="Q848" s="2">
        <v>10.47</v>
      </c>
      <c r="R848" s="2">
        <v>233.28</v>
      </c>
      <c r="S848" s="2">
        <v>8.99</v>
      </c>
      <c r="T848" s="2">
        <v>5.8</v>
      </c>
      <c r="U848" s="2">
        <v>224.29</v>
      </c>
      <c r="V848" s="2">
        <v>28.41</v>
      </c>
      <c r="W848" s="2">
        <v>8143.52</v>
      </c>
      <c r="X848" s="2" t="s">
        <v>3138</v>
      </c>
      <c r="Y848" s="2" t="s">
        <v>3139</v>
      </c>
      <c r="Z848" s="2">
        <v>0.1</v>
      </c>
      <c r="AA848" s="2" t="s">
        <v>548</v>
      </c>
      <c r="AB848" s="2">
        <v>256.2</v>
      </c>
    </row>
    <row r="849" spans="1:28" x14ac:dyDescent="0.25">
      <c r="A849" s="2" t="s">
        <v>3107</v>
      </c>
      <c r="B849" s="8" t="s">
        <v>55</v>
      </c>
      <c r="C849" s="8" t="s">
        <v>56</v>
      </c>
      <c r="D849" s="8" t="s">
        <v>48</v>
      </c>
      <c r="E849" s="7" t="s">
        <v>38</v>
      </c>
      <c r="F849" s="13"/>
      <c r="G849" s="59"/>
      <c r="H849" s="6"/>
      <c r="I849" s="6">
        <f t="shared" ref="I849:I854" si="70">IFERROR(O849/K849,)</f>
        <v>0</v>
      </c>
      <c r="J849" s="2" t="s">
        <v>548</v>
      </c>
      <c r="K849" s="2" t="s">
        <v>548</v>
      </c>
      <c r="L849" s="2" t="s">
        <v>548</v>
      </c>
      <c r="M849" s="2" t="s">
        <v>45</v>
      </c>
      <c r="N849" s="2" t="s">
        <v>548</v>
      </c>
      <c r="O849" s="85">
        <v>0</v>
      </c>
      <c r="P849" s="2" t="s">
        <v>45</v>
      </c>
      <c r="Q849" s="2" t="s">
        <v>45</v>
      </c>
      <c r="R849" s="2" t="s">
        <v>548</v>
      </c>
      <c r="S849" s="2" t="s">
        <v>548</v>
      </c>
      <c r="T849" s="2" t="s">
        <v>45</v>
      </c>
      <c r="U849" s="2" t="s">
        <v>548</v>
      </c>
      <c r="V849" s="2" t="s">
        <v>45</v>
      </c>
      <c r="W849" s="2">
        <v>6773.46</v>
      </c>
      <c r="X849" s="2" t="s">
        <v>3140</v>
      </c>
      <c r="Y849" s="2" t="s">
        <v>3141</v>
      </c>
      <c r="Z849" s="2" t="s">
        <v>548</v>
      </c>
      <c r="AA849" s="2" t="s">
        <v>45</v>
      </c>
      <c r="AB849" s="2">
        <v>49.6</v>
      </c>
    </row>
    <row r="850" spans="1:28" x14ac:dyDescent="0.25">
      <c r="A850" s="2" t="s">
        <v>3110</v>
      </c>
      <c r="B850" s="8" t="s">
        <v>2975</v>
      </c>
      <c r="C850" s="8" t="s">
        <v>36</v>
      </c>
      <c r="D850" s="8" t="s">
        <v>48</v>
      </c>
      <c r="E850" s="7" t="s">
        <v>38</v>
      </c>
      <c r="F850" s="13">
        <v>2575</v>
      </c>
      <c r="G850" s="59"/>
      <c r="H850" s="6"/>
      <c r="I850" s="6">
        <f t="shared" si="70"/>
        <v>692.09302325581393</v>
      </c>
      <c r="J850" s="2">
        <v>5.05</v>
      </c>
      <c r="K850" s="2">
        <v>4.3</v>
      </c>
      <c r="L850" s="2">
        <v>0.75</v>
      </c>
      <c r="M850" s="2">
        <v>14.85</v>
      </c>
      <c r="N850" s="2" t="s">
        <v>3142</v>
      </c>
      <c r="O850" s="85">
        <v>2976</v>
      </c>
      <c r="P850" s="2">
        <v>4.9800000000000004</v>
      </c>
      <c r="Q850" s="2">
        <v>17.77</v>
      </c>
      <c r="R850" s="2">
        <v>167.5</v>
      </c>
      <c r="S850" s="2">
        <v>4.7300000000000004</v>
      </c>
      <c r="T850" s="2">
        <v>6.31</v>
      </c>
      <c r="U850" s="2">
        <v>162.77000000000001</v>
      </c>
      <c r="V850" s="2">
        <v>37.85</v>
      </c>
      <c r="W850" s="2">
        <v>6773.46</v>
      </c>
      <c r="X850" s="2" t="s">
        <v>3140</v>
      </c>
      <c r="Y850" s="2" t="s">
        <v>3141</v>
      </c>
      <c r="Z850" s="2" t="s">
        <v>548</v>
      </c>
      <c r="AA850" s="2" t="s">
        <v>548</v>
      </c>
      <c r="AB850" s="2">
        <v>49.6</v>
      </c>
    </row>
    <row r="851" spans="1:28" x14ac:dyDescent="0.25">
      <c r="A851" s="2" t="s">
        <v>3111</v>
      </c>
      <c r="B851" s="8" t="s">
        <v>2975</v>
      </c>
      <c r="C851" s="8" t="s">
        <v>36</v>
      </c>
      <c r="D851" s="8" t="s">
        <v>48</v>
      </c>
      <c r="E851" s="7" t="s">
        <v>38</v>
      </c>
      <c r="F851" s="13">
        <v>2904</v>
      </c>
      <c r="G851" s="59"/>
      <c r="H851" s="6"/>
      <c r="I851" s="6">
        <f t="shared" si="70"/>
        <v>497.11155378486058</v>
      </c>
      <c r="J851" s="2">
        <v>11.29</v>
      </c>
      <c r="K851" s="2">
        <v>10.039999999999999</v>
      </c>
      <c r="L851" s="2">
        <v>1.25</v>
      </c>
      <c r="M851" s="2">
        <v>11.07</v>
      </c>
      <c r="N851" s="2" t="s">
        <v>2569</v>
      </c>
      <c r="O851" s="85">
        <v>4991</v>
      </c>
      <c r="P851" s="2">
        <v>4.33</v>
      </c>
      <c r="Q851" s="2">
        <v>12.71</v>
      </c>
      <c r="R851" s="2">
        <v>392.74</v>
      </c>
      <c r="S851" s="2">
        <v>7.57</v>
      </c>
      <c r="T851" s="2">
        <v>6.06</v>
      </c>
      <c r="U851" s="2">
        <v>385.17</v>
      </c>
      <c r="V851" s="2">
        <v>38.35</v>
      </c>
      <c r="W851" s="2">
        <v>6768.41</v>
      </c>
      <c r="X851" s="2" t="s">
        <v>3143</v>
      </c>
      <c r="Y851" s="2" t="s">
        <v>3144</v>
      </c>
      <c r="Z851" s="2" t="s">
        <v>548</v>
      </c>
      <c r="AA851" s="2" t="s">
        <v>548</v>
      </c>
      <c r="AB851" s="2">
        <v>49.6</v>
      </c>
    </row>
    <row r="852" spans="1:28" x14ac:dyDescent="0.25">
      <c r="A852" s="2" t="s">
        <v>3107</v>
      </c>
      <c r="B852" s="8" t="s">
        <v>55</v>
      </c>
      <c r="C852" s="8" t="s">
        <v>56</v>
      </c>
      <c r="D852" s="8" t="s">
        <v>49</v>
      </c>
      <c r="E852" s="8" t="s">
        <v>47</v>
      </c>
      <c r="F852" s="13"/>
      <c r="G852" s="59"/>
      <c r="H852" s="6"/>
      <c r="I852" s="6">
        <f t="shared" si="70"/>
        <v>0</v>
      </c>
      <c r="J852" s="2" t="s">
        <v>45</v>
      </c>
      <c r="K852" s="2" t="s">
        <v>45</v>
      </c>
      <c r="L852" s="2" t="s">
        <v>45</v>
      </c>
      <c r="M852" s="2" t="s">
        <v>45</v>
      </c>
      <c r="N852" s="2" t="s">
        <v>45</v>
      </c>
      <c r="O852" s="85" t="s">
        <v>45</v>
      </c>
      <c r="P852" s="2" t="s">
        <v>45</v>
      </c>
      <c r="Q852" s="2" t="s">
        <v>45</v>
      </c>
      <c r="R852" s="2" t="s">
        <v>45</v>
      </c>
      <c r="S852" s="2" t="s">
        <v>45</v>
      </c>
      <c r="T852" s="2" t="s">
        <v>45</v>
      </c>
      <c r="U852" s="2" t="s">
        <v>45</v>
      </c>
      <c r="V852" s="2" t="s">
        <v>45</v>
      </c>
      <c r="W852" s="2" t="s">
        <v>45</v>
      </c>
      <c r="X852" s="2" t="s">
        <v>45</v>
      </c>
      <c r="Y852" s="2" t="s">
        <v>45</v>
      </c>
      <c r="Z852" s="2" t="s">
        <v>45</v>
      </c>
      <c r="AA852" s="2" t="s">
        <v>45</v>
      </c>
      <c r="AB852" s="2" t="s">
        <v>45</v>
      </c>
    </row>
    <row r="853" spans="1:28" x14ac:dyDescent="0.25">
      <c r="A853" s="2" t="s">
        <v>3110</v>
      </c>
      <c r="B853" s="8" t="s">
        <v>2975</v>
      </c>
      <c r="C853" s="8" t="s">
        <v>36</v>
      </c>
      <c r="D853" s="8" t="s">
        <v>49</v>
      </c>
      <c r="E853" s="8" t="s">
        <v>47</v>
      </c>
      <c r="F853" s="13"/>
      <c r="G853" s="59"/>
      <c r="H853" s="6"/>
      <c r="I853" s="6">
        <f t="shared" si="70"/>
        <v>504.6913580246914</v>
      </c>
      <c r="J853" s="2">
        <v>5.65</v>
      </c>
      <c r="K853" s="2">
        <v>4.05</v>
      </c>
      <c r="L853" s="2">
        <v>1.6</v>
      </c>
      <c r="M853" s="2">
        <v>28.31</v>
      </c>
      <c r="N853" s="2" t="s">
        <v>3145</v>
      </c>
      <c r="O853" s="85">
        <v>2044</v>
      </c>
      <c r="P853" s="2">
        <v>3.96</v>
      </c>
      <c r="Q853" s="2">
        <v>12.67</v>
      </c>
      <c r="R853" s="2">
        <v>161.35</v>
      </c>
      <c r="S853" s="2">
        <v>7.57</v>
      </c>
      <c r="T853" s="2">
        <v>4.7300000000000004</v>
      </c>
      <c r="U853" s="2">
        <v>153.78</v>
      </c>
      <c r="V853" s="2">
        <v>37.96</v>
      </c>
      <c r="W853" s="2">
        <v>2104.1</v>
      </c>
      <c r="X853" s="2" t="s">
        <v>3146</v>
      </c>
      <c r="Y853" s="2" t="s">
        <v>3147</v>
      </c>
      <c r="Z853" s="2">
        <v>0.1</v>
      </c>
      <c r="AA853" s="2" t="s">
        <v>548</v>
      </c>
      <c r="AB853" s="2">
        <v>5.7</v>
      </c>
    </row>
    <row r="854" spans="1:28" x14ac:dyDescent="0.25">
      <c r="A854" s="2" t="s">
        <v>3111</v>
      </c>
      <c r="B854" s="8" t="s">
        <v>2975</v>
      </c>
      <c r="C854" s="8" t="s">
        <v>36</v>
      </c>
      <c r="D854" s="8" t="s">
        <v>49</v>
      </c>
      <c r="E854" s="8" t="s">
        <v>47</v>
      </c>
      <c r="F854" s="13"/>
      <c r="G854" s="59"/>
      <c r="H854" s="6"/>
      <c r="I854" s="6">
        <f t="shared" si="70"/>
        <v>482.26466575716233</v>
      </c>
      <c r="J854" s="2">
        <v>10.38</v>
      </c>
      <c r="K854" s="2">
        <v>7.33</v>
      </c>
      <c r="L854" s="2">
        <v>3.05</v>
      </c>
      <c r="M854" s="2">
        <v>29.39</v>
      </c>
      <c r="N854" s="2" t="s">
        <v>2936</v>
      </c>
      <c r="O854" s="85">
        <v>3535</v>
      </c>
      <c r="P854" s="2">
        <v>3.88</v>
      </c>
      <c r="Q854" s="2">
        <v>12.15</v>
      </c>
      <c r="R854" s="2" t="s">
        <v>3148</v>
      </c>
      <c r="S854" s="2">
        <v>11.83</v>
      </c>
      <c r="T854" s="2">
        <v>3.88</v>
      </c>
      <c r="U854" s="2">
        <v>279.17</v>
      </c>
      <c r="V854" s="2">
        <v>38.11</v>
      </c>
      <c r="W854" s="2">
        <v>2098.44</v>
      </c>
      <c r="X854" s="2" t="s">
        <v>3149</v>
      </c>
      <c r="Y854" s="2" t="s">
        <v>3150</v>
      </c>
      <c r="Z854" s="2" t="s">
        <v>548</v>
      </c>
      <c r="AA854" s="2" t="s">
        <v>548</v>
      </c>
      <c r="AB854" s="2">
        <v>5.6</v>
      </c>
    </row>
    <row r="855" spans="1:28" x14ac:dyDescent="0.25">
      <c r="A855" s="4"/>
      <c r="B855" s="8"/>
      <c r="C855" s="8"/>
      <c r="D855" s="7"/>
      <c r="E855" s="7"/>
      <c r="F855" s="13"/>
      <c r="G855" s="59"/>
      <c r="H855" s="6"/>
      <c r="I855" s="6"/>
      <c r="J855" s="2"/>
      <c r="K855" s="2"/>
      <c r="L855" s="2"/>
      <c r="M855" s="2"/>
      <c r="N855" s="2"/>
      <c r="O855" s="77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spans="1:28" x14ac:dyDescent="0.25">
      <c r="A856" s="4"/>
      <c r="B856" s="8"/>
      <c r="C856" s="8"/>
      <c r="D856" s="7"/>
      <c r="E856" s="7"/>
      <c r="F856" s="13"/>
      <c r="G856" s="59"/>
      <c r="H856" s="6"/>
      <c r="I856" s="6"/>
      <c r="J856" s="2"/>
      <c r="K856" s="2"/>
      <c r="L856" s="2"/>
      <c r="M856" s="2"/>
      <c r="N856" s="2"/>
      <c r="O856" s="77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spans="1:28" x14ac:dyDescent="0.25">
      <c r="A857" s="4"/>
      <c r="B857" s="8"/>
      <c r="C857" s="8"/>
      <c r="D857" s="7"/>
      <c r="E857" s="7"/>
      <c r="F857" s="13"/>
      <c r="G857" s="59"/>
      <c r="H857" s="6"/>
      <c r="I857" s="6"/>
      <c r="J857" s="2"/>
      <c r="K857" s="2"/>
      <c r="L857" s="2"/>
      <c r="M857" s="2"/>
      <c r="N857" s="2"/>
      <c r="O857" s="77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spans="1:28" x14ac:dyDescent="0.25">
      <c r="A858" s="4"/>
      <c r="B858" s="8"/>
      <c r="C858" s="8"/>
      <c r="D858" s="7"/>
      <c r="E858" s="7"/>
      <c r="F858" s="13"/>
      <c r="G858" s="59"/>
      <c r="H858" s="6"/>
      <c r="I858" s="6"/>
      <c r="J858" s="2"/>
      <c r="K858" s="2"/>
      <c r="L858" s="2"/>
      <c r="M858" s="2"/>
      <c r="N858" s="2"/>
      <c r="O858" s="77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</sheetData>
  <autoFilter ref="A4:AB811" xr:uid="{00000000-0001-0000-0000-000000000000}">
    <sortState xmlns:xlrd2="http://schemas.microsoft.com/office/spreadsheetml/2017/richdata2" ref="A5:AB792">
      <sortCondition ref="A4:A792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R17" sqref="R17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3013</v>
      </c>
      <c r="R1" t="s">
        <v>3014</v>
      </c>
      <c r="S1" t="s">
        <v>3015</v>
      </c>
      <c r="T1" t="s">
        <v>3016</v>
      </c>
    </row>
    <row r="2" spans="1:20" x14ac:dyDescent="0.2">
      <c r="Q2" s="18" t="s">
        <v>1361</v>
      </c>
      <c r="R2" s="19">
        <v>8451</v>
      </c>
      <c r="S2" s="19">
        <v>24000</v>
      </c>
      <c r="T2" s="19">
        <v>6570</v>
      </c>
    </row>
    <row r="3" spans="1:20" x14ac:dyDescent="0.2">
      <c r="A3" s="9" t="s">
        <v>3013</v>
      </c>
      <c r="B3" s="15" t="s">
        <v>3015</v>
      </c>
      <c r="C3" s="15" t="s">
        <v>3014</v>
      </c>
      <c r="D3" t="s">
        <v>3017</v>
      </c>
      <c r="Q3" s="18" t="s">
        <v>1827</v>
      </c>
      <c r="R3" s="19">
        <v>21413</v>
      </c>
      <c r="S3" s="19">
        <v>24000</v>
      </c>
      <c r="T3" s="19">
        <v>17022</v>
      </c>
    </row>
    <row r="4" spans="1:20" x14ac:dyDescent="0.2">
      <c r="A4" s="10" t="s">
        <v>2681</v>
      </c>
      <c r="B4" s="15">
        <v>90000.000000000044</v>
      </c>
      <c r="C4" s="15">
        <v>75686</v>
      </c>
      <c r="D4">
        <v>36</v>
      </c>
      <c r="Q4" s="18" t="s">
        <v>2254</v>
      </c>
      <c r="R4" s="19">
        <v>23332</v>
      </c>
      <c r="S4" s="19">
        <v>23999.999999999996</v>
      </c>
      <c r="T4" s="19">
        <v>17642</v>
      </c>
    </row>
    <row r="5" spans="1:20" x14ac:dyDescent="0.2">
      <c r="A5" s="11" t="s">
        <v>47</v>
      </c>
      <c r="B5" s="15">
        <v>90000.000000000044</v>
      </c>
      <c r="C5" s="15">
        <v>75686</v>
      </c>
      <c r="D5">
        <v>36</v>
      </c>
      <c r="Q5" s="18" t="s">
        <v>2681</v>
      </c>
      <c r="R5" s="19">
        <v>37834</v>
      </c>
      <c r="S5" s="19">
        <v>23999.999999999996</v>
      </c>
      <c r="T5" s="19">
        <v>29549</v>
      </c>
    </row>
    <row r="6" spans="1:20" x14ac:dyDescent="0.2">
      <c r="A6" s="12">
        <v>46242</v>
      </c>
      <c r="B6" s="15">
        <v>15000</v>
      </c>
      <c r="C6" s="15">
        <v>9967</v>
      </c>
      <c r="D6">
        <v>4</v>
      </c>
      <c r="Q6" s="18" t="s">
        <v>3018</v>
      </c>
      <c r="R6" s="19">
        <v>91030</v>
      </c>
      <c r="S6" s="19">
        <v>96000</v>
      </c>
      <c r="T6" s="19">
        <v>70783</v>
      </c>
    </row>
    <row r="7" spans="1:20" x14ac:dyDescent="0.2">
      <c r="A7" s="12">
        <v>46241</v>
      </c>
      <c r="B7" s="15">
        <v>15000</v>
      </c>
      <c r="C7" s="15">
        <v>13601</v>
      </c>
      <c r="D7">
        <v>6</v>
      </c>
    </row>
    <row r="8" spans="1:20" x14ac:dyDescent="0.2">
      <c r="A8" s="12">
        <v>46240</v>
      </c>
      <c r="B8" s="15">
        <v>15000</v>
      </c>
      <c r="C8" s="15">
        <v>12983</v>
      </c>
      <c r="D8">
        <v>7</v>
      </c>
    </row>
    <row r="9" spans="1:20" x14ac:dyDescent="0.2">
      <c r="A9" s="12">
        <v>46239</v>
      </c>
      <c r="B9" s="15">
        <v>15000</v>
      </c>
      <c r="C9" s="15">
        <v>13036</v>
      </c>
      <c r="D9">
        <v>7</v>
      </c>
    </row>
    <row r="10" spans="1:20" x14ac:dyDescent="0.2">
      <c r="A10" s="12">
        <v>46238</v>
      </c>
      <c r="B10" s="15">
        <v>15000</v>
      </c>
      <c r="C10" s="15">
        <v>10698</v>
      </c>
      <c r="D10">
        <v>5</v>
      </c>
    </row>
    <row r="11" spans="1:20" x14ac:dyDescent="0.2">
      <c r="A11" s="12">
        <v>46237</v>
      </c>
      <c r="B11" s="15">
        <v>15000</v>
      </c>
      <c r="C11" s="15">
        <v>15401</v>
      </c>
      <c r="D11">
        <v>7</v>
      </c>
    </row>
    <row r="12" spans="1:20" hidden="1" x14ac:dyDescent="0.2">
      <c r="A12" s="10" t="s">
        <v>3018</v>
      </c>
      <c r="B12" s="15">
        <v>90000.000000000044</v>
      </c>
      <c r="C12" s="15">
        <v>75686</v>
      </c>
      <c r="D12">
        <v>36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3013</v>
      </c>
      <c r="B3" t="s">
        <v>3015</v>
      </c>
      <c r="C3" t="s">
        <v>3019</v>
      </c>
      <c r="O3" s="9" t="s">
        <v>3013</v>
      </c>
      <c r="P3" t="s">
        <v>3015</v>
      </c>
      <c r="Q3" t="s">
        <v>3019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3020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3018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3018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3021</v>
      </c>
      <c r="G3" s="17" t="s">
        <v>3022</v>
      </c>
      <c r="H3" s="17" t="s">
        <v>3023</v>
      </c>
      <c r="I3" s="17" t="s">
        <v>3024</v>
      </c>
      <c r="J3" s="17" t="s">
        <v>3025</v>
      </c>
      <c r="K3" s="17" t="s">
        <v>3026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3027</v>
      </c>
    </row>
    <row r="5" spans="6:11" x14ac:dyDescent="0.2">
      <c r="F5" s="17">
        <v>116</v>
      </c>
      <c r="H5" s="17">
        <v>110</v>
      </c>
      <c r="J5" s="17" t="s">
        <v>3028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3029</v>
      </c>
    </row>
    <row r="3" spans="1:17" x14ac:dyDescent="0.2">
      <c r="A3" s="25" t="s">
        <v>7</v>
      </c>
      <c r="B3" s="25" t="s">
        <v>3030</v>
      </c>
      <c r="C3" s="25" t="s">
        <v>3031</v>
      </c>
      <c r="D3" s="25" t="s">
        <v>3032</v>
      </c>
      <c r="E3" s="25" t="s">
        <v>3033</v>
      </c>
      <c r="F3" s="25" t="s">
        <v>3034</v>
      </c>
      <c r="H3" s="22" t="s">
        <v>3034</v>
      </c>
      <c r="I3" s="22" t="s">
        <v>3030</v>
      </c>
      <c r="J3" s="22" t="s">
        <v>3031</v>
      </c>
      <c r="K3" s="22" t="s">
        <v>3033</v>
      </c>
      <c r="L3" s="22" t="s">
        <v>3035</v>
      </c>
      <c r="M3" s="25" t="s">
        <v>3036</v>
      </c>
      <c r="O3" s="25" t="s">
        <v>7</v>
      </c>
      <c r="P3" s="25" t="s">
        <v>3033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3037</v>
      </c>
      <c r="H4" s="28" t="s">
        <v>3037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3037</v>
      </c>
      <c r="H5" s="28" t="s">
        <v>3038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3037</v>
      </c>
      <c r="H6" s="28" t="s">
        <v>3039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3037</v>
      </c>
      <c r="H7" s="28" t="s">
        <v>3040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3037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3037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3037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3037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3037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3037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3038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3038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3038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3038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3038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3038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3038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3039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3039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3039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3039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3039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3039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3039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3039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3039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3039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3039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3039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3039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3040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3040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3040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3040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3040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3040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3040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3040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3040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3040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3040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3040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3040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3040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3040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3040</v>
      </c>
    </row>
    <row r="50" spans="1:6" x14ac:dyDescent="0.2">
      <c r="A50" s="84" t="s">
        <v>3041</v>
      </c>
      <c r="B50" s="84"/>
      <c r="C50" s="84"/>
      <c r="E50" s="23">
        <f>SUM(E4:E49)</f>
        <v>12900</v>
      </c>
    </row>
    <row r="56" spans="1:6" ht="15.75" x14ac:dyDescent="0.25">
      <c r="A56" s="34" t="s">
        <v>3042</v>
      </c>
    </row>
    <row r="57" spans="1:6" ht="25.5" x14ac:dyDescent="0.2">
      <c r="A57" s="35" t="s">
        <v>3043</v>
      </c>
      <c r="B57" s="36" t="s">
        <v>3044</v>
      </c>
      <c r="C57" s="36" t="s">
        <v>3045</v>
      </c>
      <c r="D57" s="36" t="s">
        <v>3046</v>
      </c>
    </row>
    <row r="58" spans="1:6" x14ac:dyDescent="0.2">
      <c r="A58" s="40" t="s">
        <v>3047</v>
      </c>
      <c r="B58" s="37">
        <v>108384.01</v>
      </c>
      <c r="C58" s="37"/>
      <c r="D58" s="37">
        <v>108384.01</v>
      </c>
    </row>
    <row r="59" spans="1:6" x14ac:dyDescent="0.2">
      <c r="A59" s="40" t="s">
        <v>3048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3049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3050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3051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3052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3053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3054</v>
      </c>
      <c r="B65" s="37">
        <v>23860.793000000001</v>
      </c>
      <c r="C65" s="37"/>
      <c r="D65" s="37"/>
    </row>
    <row r="66" spans="1:4" x14ac:dyDescent="0.2">
      <c r="A66" s="40" t="s">
        <v>3055</v>
      </c>
      <c r="B66" s="37">
        <v>1344.431</v>
      </c>
      <c r="C66" s="37"/>
      <c r="D66" s="37"/>
    </row>
    <row r="67" spans="1:4" x14ac:dyDescent="0.2">
      <c r="A67" s="38" t="s">
        <v>3041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3056</v>
      </c>
      <c r="E2" s="48" t="s">
        <v>3057</v>
      </c>
      <c r="F2" s="48" t="s">
        <v>3058</v>
      </c>
      <c r="G2" s="48" t="s">
        <v>3059</v>
      </c>
      <c r="H2" s="48" t="s">
        <v>3060</v>
      </c>
      <c r="I2" s="48" t="s">
        <v>3061</v>
      </c>
      <c r="J2" s="48" t="s">
        <v>3062</v>
      </c>
      <c r="K2" s="48" t="s">
        <v>3063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2026-08-17T11:18:27Z</dcterms:modified>
  <cp:category/>
  <cp:contentStatus/>
</cp:coreProperties>
</file>