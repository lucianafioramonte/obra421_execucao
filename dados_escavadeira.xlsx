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753" documentId="8_{CE5C6F22-4BE2-41D0-BCDC-905D26C0C4E3}" xr6:coauthVersionLast="47" xr6:coauthVersionMax="47" xr10:uidLastSave="{4F9CB002-F60C-4221-A516-9E7568012621}"/>
  <bookViews>
    <workbookView xWindow="-120" yWindow="-120" windowWidth="20730" windowHeight="11040" tabRatio="678" firstSheet="2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76" i="1" l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0" i="1"/>
  <c r="I941" i="1"/>
  <c r="O939" i="1"/>
  <c r="I939" i="1"/>
  <c r="I938" i="1"/>
  <c r="I937" i="1"/>
  <c r="I936" i="1"/>
  <c r="O931" i="1"/>
  <c r="I935" i="1"/>
  <c r="I934" i="1"/>
  <c r="I933" i="1"/>
  <c r="I932" i="1"/>
  <c r="I930" i="1"/>
  <c r="I929" i="1"/>
  <c r="I928" i="1"/>
  <c r="I920" i="1"/>
  <c r="I926" i="1"/>
  <c r="I927" i="1"/>
  <c r="I925" i="1"/>
  <c r="I924" i="1"/>
  <c r="I923" i="1"/>
  <c r="I922" i="1"/>
  <c r="I921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<sst xmlns="http://schemas.openxmlformats.org/spreadsheetml/2006/main" count="12207" uniqueCount="3393">
  <si>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</si>
  <si>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</si>
  <si>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</si>
  <si>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</si>
  <si>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</si>
  <si>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</si>
  <si>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</si>
  <si>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</si>
  <si>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</si>
  <si>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</si>
  <si>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</si>
  <si>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</si>
  <si>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</si>
  <si>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</si>
  <si>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</si>
  <si>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</si>
  <si>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</si>
  <si>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</si>
  <si>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</si>
  <si>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</si>
  <si>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</si>
  <si>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</si>
  <si>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</si>
  <si>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</si>
  <si>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</si>
  <si>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</si>
  <si>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</si>
  <si>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</si>
  <si>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</si>
  <si>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</si>
  <si>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</si>
  <si>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</si>
  <si>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</si>
  <si>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</si>
  <si>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</si>
  <si>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</si>
  <si>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</si>
  <si>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</si>
  <si>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</si>
  <si>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</si>
  <si>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</si>
  <si>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</si>
  <si>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</si>
  <si>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</si>
  <si>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</si>
  <si>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</si>
  <si>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</si>
  <si>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</si>
  <si>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</si>
  <si>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</si>
  <si>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</si>
  <si>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</si>
  <si>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</si>
  <si>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</si>
  <si>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</si>
  <si>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</si>
  <si>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</si>
  <si>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</si>
  <si>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</si>
  <si>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</si>
  <si>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</si>
  <si>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</si>
  <si>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</si>
  <si>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</si>
  <si>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</si>
  <si>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</si>
  <si>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</si>
  <si>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</si>
  <si>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</si>
  <si>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</si>
  <si>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</si>
  <si>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</si>
  <si>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</si>
  <si>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</si>
  <si>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</si>
  <si>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</si>
  <si>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</si>
  <si>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</si>
  <si>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</si>
  <si>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</si>
  <si>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</si>
  <si>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</si>
  <si>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</si>
  <si>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</si>
  <si>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</si>
  <si>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</si>
  <si>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</si>
  <si>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</si>
  <si>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</si>
  <si>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</si>
  <si>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</si>
  <si>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</si>
  <si>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</si>
  <si>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</si>
  <si>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</si>
  <si>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</si>
  <si>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</si>
  <si>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</si>
  <si>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</si>
  <si>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</si>
  <si>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</si>
  <si>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</si>
  <si>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</si>
  <si>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</si>
  <si>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</si>
  <si>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</si>
  <si>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</si>
  <si>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</si>
  <si>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</si>
  <si>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</si>
  <si>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</si>
  <si>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</si>
  <si>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</si>
  <si>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</si>
  <si>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</si>
  <si>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</si>
  <si>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</si>
  <si>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</si>
  <si>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</si>
  <si>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</si>
  <si>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</si>
  <si>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</si>
  <si>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</si>
  <si>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</si>
  <si>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</si>
  <si>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</si>
  <si>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</si>
  <si>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</si>
  <si>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</si>
  <si>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</si>
  <si>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</si>
  <si>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</si>
  <si>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</si>
  <si>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</si>
  <si>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</si>
  <si>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</si>
  <si>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</si>
  <si>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</si>
  <si>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</si>
  <si>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</si>
  <si>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</si>
  <si>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</si>
  <si>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</si>
  <si>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</si>
  <si>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</si>
  <si>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</si>
  <si>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</si>
  <si>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</si>
  <si>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</si>
  <si>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</si>
  <si>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</si>
  <si>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</si>
  <si>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</si>
  <si>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</si>
  <si>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</si>
  <si>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</si>
  <si>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</si>
  <si>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</si>
  <si>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</si>
  <si>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</si>
  <si>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</si>
  <si>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</si>
  <si>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</si>
  <si>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</si>
  <si>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</si>
  <si>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</si>
  <si>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</si>
  <si>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</si>
  <si>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</si>
  <si>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</si>
  <si>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</si>
  <si>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</si>
  <si>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</si>
  <si>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</si>
  <si>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</si>
  <si>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</si>
  <si>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</si>
  <si>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</si>
  <si>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</si>
  <si>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</si>
  <si>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</si>
  <si>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</si>
  <si>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</si>
  <si>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</si>
  <si>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</si>
  <si>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</si>
  <si>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</si>
  <si>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</si>
  <si>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</si>
  <si>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</si>
  <si>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</si>
  <si>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</si>
  <si>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</si>
  <si>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</si>
  <si>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</si>
  <si>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</si>
  <si>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</si>
  <si>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</si>
  <si>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</si>
  <si>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</si>
  <si>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</si>
  <si>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</si>
  <si>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</si>
  <si>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</si>
  <si>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</si>
  <si>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</si>
  <si>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</si>
  <si>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</si>
  <si>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</si>
  <si>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</si>
  <si>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</si>
  <si>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</si>
  <si>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</si>
  <si>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</si>
  <si>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</si>
  <si>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</si>
  <si>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</si>
  <si>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</si>
  <si>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</si>
  <si>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</si>
  <si>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</si>
  <si>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</si>
  <si>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</si>
  <si>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</si>
  <si>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</si>
  <si>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</si>
  <si>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</si>
  <si>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</si>
  <si>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</si>
  <si>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</si>
  <si>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</si>
  <si>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</si>
  <si>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</si>
  <si>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</si>
  <si>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</si>
  <si>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</si>
  <si>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</si>
  <si>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</si>
  <si>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</si>
  <si>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</si>
  <si>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</si>
  <si>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</si>
  <si>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</si>
  <si>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</si>
  <si>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</si>
  <si>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</si>
  <si>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</si>
  <si>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</si>
  <si>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</si>
  <si>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</si>
  <si>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</si>
  <si>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</si>
  <si>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</si>
  <si>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</si>
  <si>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</si>
  <si>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</si>
  <si>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</si>
  <si>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</si>
  <si>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</si>
  <si>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</si>
  <si>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</si>
  <si>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</si>
  <si>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</si>
  <si>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</si>
  <si>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</si>
  <si>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</si>
  <si>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</si>
  <si>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</si>
  <si>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</si>
  <si>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</si>
  <si>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</si>
  <si>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</si>
  <si>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</si>
  <si>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</si>
  <si>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</si>
  <si>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</si>
  <si>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</si>
  <si>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</si>
  <si>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</si>
  <si>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</si>
  <si>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</si>
  <si>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</si>
  <si>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</si>
  <si>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</si>
  <si>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</si>
  <si>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</si>
  <si>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</si>
  <si>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</si>
  <si>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</si>
  <si>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</si>
  <si>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</si>
  <si>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</si>
  <si>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</si>
  <si>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</si>
  <si>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</si>
  <si>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</si>
  <si>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</si>
  <si>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</si>
  <si>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</si>
  <si>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</si>
  <si>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</si>
  <si>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</si>
  <si>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</si>
  <si>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</si>
  <si>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</si>
  <si>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</si>
  <si>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</si>
  <si>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</si>
  <si>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</si>
  <si>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</si>
  <si>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</si>
  <si>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</si>
  <si>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</si>
  <si>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</si>
  <si>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</si>
  <si>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</si>
  <si>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</si>
  <si>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</si>
  <si>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</si>
  <si>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</si>
  <si>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</si>
  <si>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</si>
  <si>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</si>
  <si>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</si>
  <si>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</si>
  <si>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</si>
  <si>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</si>
  <si>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</si>
  <si>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</si>
  <si>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</si>
  <si>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</si>
  <si>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</si>
  <si>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</si>
  <si>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</si>
  <si>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</si>
  <si>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</si>
  <si>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</si>
  <si>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</si>
  <si>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</si>
  <si>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</si>
  <si>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</si>
  <si>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</si>
  <si>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</si>
  <si>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</si>
  <si>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</si>
  <si>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</si>
  <si>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</si>
  <si>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</si>
  <si>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</si>
  <si>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</si>
  <si>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</si>
  <si>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</si>
  <si>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</si>
  <si>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</si>
  <si>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</si>
  <si>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</si>
  <si>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</si>
  <si>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</si>
  <si>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</si>
  <si>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</si>
  <si>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</si>
  <si>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</si>
  <si>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</si>
  <si>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</si>
  <si>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</si>
  <si>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</si>
  <si>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</si>
  <si>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</si>
  <si>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</si>
  <si>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</si>
  <si>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</si>
  <si>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</si>
  <si>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</si>
  <si>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</si>
  <si>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</si>
  <si>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</si>
  <si>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</si>
  <si>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</si>
  <si>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</si>
  <si>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</si>
  <si>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</si>
  <si>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</si>
  <si>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</si>
  <si>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</si>
  <si>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</si>
  <si>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</si>
  <si>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</si>
  <si>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</si>
  <si>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</si>
  <si>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</si>
  <si>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</si>
  <si>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</si>
  <si>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</si>
  <si>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</si>
  <si>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</si>
  <si>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</si>
  <si>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</si>
  <si>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</si>
  <si>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</si>
  <si>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</si>
  <si>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</si>
  <si>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</si>
  <si>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</si>
  <si>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</si>
  <si>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</si>
  <si>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</si>
  <si>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</si>
  <si>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</si>
  <si>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</si>
  <si>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</si>
  <si>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</si>
  <si>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</si>
  <si>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</si>
  <si>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</si>
  <si>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</si>
  <si>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</si>
  <si>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</si>
  <si>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</si>
  <si>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</si>
  <si>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</si>
  <si>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</si>
  <si>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</si>
  <si>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</si>
  <si>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</si>
  <si>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</si>
  <si>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</si>
  <si>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</si>
  <si>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</si>
  <si>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</si>
  <si>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</si>
  <si>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</si>
  <si>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</si>
  <si>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</si>
  <si>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</si>
  <si>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</si>
  <si>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</si>
  <si>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</si>
  <si>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</si>
  <si>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</si>
  <si>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</si>
  <si>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</si>
  <si>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</si>
  <si>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</si>
  <si>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</si>
  <si>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</si>
  <si>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</si>
  <si>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</si>
  <si>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</si>
  <si>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</si>
  <si>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</si>
  <si>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</si>
  <si>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</si>
  <si>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</si>
  <si>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</si>
  <si>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</si>
  <si>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</si>
  <si>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</si>
  <si>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</si>
  <si>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</si>
  <si>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</si>
  <si>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</si>
  <si>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</si>
  <si>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</si>
  <si>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</si>
  <si>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</si>
  <si>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</si>
  <si>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</si>
  <si>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</si>
  <si>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</si>
  <si>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</si>
  <si>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</si>
  <si>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</si>
  <si>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</si>
  <si>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</si>
  <si>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</si>
  <si>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</si>
  <si>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</si>
  <si>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</si>
  <si>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</si>
  <si>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</si>
  <si>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</si>
  <si>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</si>
  <si>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</si>
  <si>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</si>
  <si>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</si>
  <si>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</si>
  <si>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</si>
  <si>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</si>
  <si>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</si>
  <si>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</si>
  <si>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</si>
  <si>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</si>
  <si>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</si>
  <si>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</si>
  <si>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</si>
  <si>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</si>
  <si>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</si>
  <si>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</si>
  <si>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</si>
  <si>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</si>
  <si>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</si>
  <si>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</si>
  <si>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</si>
  <si>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</si>
  <si>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</si>
  <si>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</si>
  <si>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</si>
  <si>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</si>
  <si>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</si>
  <si>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</si>
  <si>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</si>
  <si>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</si>
  <si>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</si>
  <si>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</si>
  <si>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</si>
  <si>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</si>
  <si>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</si>
  <si>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</si>
  <si>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</si>
  <si>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</si>
  <si>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</si>
  <si>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</si>
  <si>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</si>
  <si>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</si>
  <si>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</si>
  <si>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</si>
  <si>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</si>
  <si>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</si>
  <si>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</si>
  <si>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</si>
  <si>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</si>
  <si>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</si>
  <si>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</si>
  <si>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</si>
  <si>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</si>
  <si>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</si>
  <si>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</si>
  <si>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</si>
  <si>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</si>
  <si>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</si>
  <si>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</si>
  <si>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</si>
  <si>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</si>
  <si>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</si>
  <si>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</si>
  <si>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</si>
  <si>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</si>
  <si>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</si>
  <si>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</si>
  <si>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</si>
  <si>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</si>
  <si>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</si>
  <si>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</si>
  <si>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</si>
  <si>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</si>
  <si>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</si>
  <si>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</si>
  <si>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</si>
  <si>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</si>
  <si>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</si>
  <si>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</si>
  <si>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</si>
  <si>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</si>
  <si>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</si>
  <si>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</si>
  <si>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</si>
  <si>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</si>
  <si>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</si>
  <si>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</si>
  <si>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</si>
  <si>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</si>
  <si>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</si>
  <si>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</si>
  <si>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</si>
  <si>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</si>
  <si>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</si>
  <si>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</si>
  <si>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</si>
  <si>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</si>
  <si>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</si>
  <si>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</si>
  <si>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</si>
  <si>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</si>
  <si>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</si>
  <si>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</si>
  <si>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</si>
  <si>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</si>
  <si>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</si>
  <si>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</si>
  <si>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</si>
  <si>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</si>
  <si>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</si>
  <si>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</si>
  <si>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</si>
  <si>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</si>
  <si>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</si>
  <si>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</si>
  <si>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</si>
  <si>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</si>
  <si>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</si>
  <si>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</si>
  <si>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</si>
  <si>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</si>
  <si>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</si>
  <si>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</si>
  <si>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</si>
  <si>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</si>
  <si>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</si>
  <si>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</si>
  <si>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</si>
  <si>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</si>
  <si>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</si>
  <si>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</si>
  <si>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</si>
  <si>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</si>
  <si>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</si>
  <si>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</si>
  <si>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</si>
  <si>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</si>
  <si>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</si>
  <si>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</si>
  <si>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</si>
  <si>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</si>
  <si>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</si>
  <si>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</si>
  <si>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</si>
  <si>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</si>
  <si>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</si>
  <si>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</si>
  <si>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</si>
  <si>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</si>
  <si>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</si>
  <si>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</si>
  <si>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</si>
  <si>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</si>
  <si>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</si>
  <si>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</si>
  <si>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</si>
  <si>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</si>
  <si>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</si>
  <si>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</si>
  <si>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</si>
  <si>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</si>
  <si>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</si>
  <si>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</si>
  <si>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</si>
  <si>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</si>
  <si>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</si>
  <si>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</si>
  <si>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</si>
  <si>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</si>
  <si>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</si>
  <si>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</si>
  <si>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</si>
  <si>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</si>
  <si>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</si>
  <si>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</si>
  <si>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</si>
  <si>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</si>
  <si>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</si>
  <si>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</si>
  <si>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</si>
  <si>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</si>
  <si>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</si>
  <si>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</si>
  <si>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</si>
  <si>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</si>
  <si>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</si>
  <si>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</si>
  <si>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</si>
  <si>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</si>
  <si>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</si>
  <si>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</si>
  <si>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</si>
  <si>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</si>
  <si>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</si>
  <si>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</si>
  <si>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</si>
  <si>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</si>
  <si>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</si>
  <si>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</si>
  <si>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</si>
  <si>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</si>
  <si>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</si>
  <si>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</si>
  <si>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</si>
  <si>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</si>
  <si>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</si>
  <si>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</si>
  <si>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</si>
  <si>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</si>
  <si>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</si>
  <si>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</si>
  <si>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</si>
  <si>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</si>
  <si>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</si>
  <si>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</si>
  <si>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</si>
  <si>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</si>
  <si>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</si>
  <si>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</si>
  <si>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</si>
  <si>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</si>
  <si>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</si>
  <si>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</si>
  <si>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</si>
  <si>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</si>
  <si>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</si>
  <si>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</si>
  <si>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</si>
  <si>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</si>
  <si>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</si>
  <si>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</si>
  <si>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</si>
  <si>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</si>
  <si>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</si>
  <si>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</si>
  <si>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</si>
  <si>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</si>
  <si>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</si>
  <si>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</si>
  <si>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</si>
  <si>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</si>
  <si>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</si>
  <si>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</si>
  <si>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</si>
  <si>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</si>
  <si>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</si>
  <si>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</si>
  <si>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</si>
  <si>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</si>
  <si>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</si>
  <si>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</si>
  <si>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</si>
  <si>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</si>
  <si>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</si>
  <si>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</si>
  <si>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</si>
  <si>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</si>
  <si>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</si>
  <si>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</si>
  <si>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</si>
  <si>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</si>
  <si>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</si>
  <si>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</si>
  <si>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</si>
  <si>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</si>
  <si>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</si>
  <si>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</si>
  <si>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</si>
  <si>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</si>
  <si>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</si>
  <si>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</si>
  <si>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</si>
  <si>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</si>
  <si>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</si>
  <si>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</si>
  <si>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</si>
  <si>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</si>
  <si>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</si>
  <si>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</si>
  <si>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</si>
  <si>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</si>
  <si>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</si>
  <si>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</si>
  <si>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</si>
  <si>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</si>
  <si>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</si>
  <si>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</si>
  <si>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</si>
  <si>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</si>
  <si>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</si>
  <si>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</si>
  <si>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</si>
  <si>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</si>
  <si>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</si>
  <si>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</si>
  <si>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</si>
  <si>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</si>
  <si>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</si>
  <si>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</si>
  <si>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</si>
  <si>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</si>
  <si>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</si>
  <si>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</si>
  <si>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</si>
  <si>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</si>
  <si>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</si>
  <si>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</si>
  <si>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</si>
  <si>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</si>
  <si>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</si>
  <si>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</si>
  <si>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</si>
  <si>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</si>
  <si>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</si>
  <si>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</si>
  <si>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</si>
  <si>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</si>
  <si>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</si>
  <si>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</si>
  <si>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</si>
  <si>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</si>
  <si>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</si>
  <si>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</si>
  <si>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</si>
  <si>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</si>
  <si>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</si>
  <si>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</si>
  <si>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</si>
  <si>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</si>
  <si>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</si>
  <si>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</si>
  <si>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</si>
  <si>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</si>
  <si>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</si>
  <si>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</si>
  <si>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</si>
  <si>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</si>
  <si>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</si>
  <si>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</si>
  <si>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</si>
  <si>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</si>
  <si>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</si>
  <si>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</si>
  <si>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</si>
  <si>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</si>
  <si>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</si>
  <si>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</si>
  <si>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</si>
  <si>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</si>
  <si>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</si>
  <si>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</si>
  <si>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</si>
  <si>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</si>
  <si>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</si>
  <si>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</si>
  <si>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</si>
  <si>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</si>
  <si>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</si>
  <si>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</si>
  <si>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</si>
  <si>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</si>
  <si>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</si>
  <si>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</si>
  <si>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</si>
  <si>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</si>
  <si>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</si>
  <si>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</si>
  <si>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</si>
  <si>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</si>
  <si>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</si>
  <si>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</si>
  <si>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</si>
  <si>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</si>
  <si>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</si>
  <si>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</si>
  <si>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</si>
  <si>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</si>
  <si>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</si>
  <si>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</si>
  <si>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</si>
  <si>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</si>
  <si>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</si>
  <si>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</si>
  <si>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</si>
  <si>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</si>
  <si>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</si>
  <si>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</si>
  <si>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</si>
  <si>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</si>
  <si>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</si>
  <si>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</si>
  <si>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</si>
  <si>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</si>
  <si>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</si>
  <si>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</si>
  <si>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</si>
  <si>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</si>
  <si>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</si>
  <si>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</si>
  <si>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</si>
  <si>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</si>
  <si>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</si>
  <si>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</si>
  <si>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</si>
  <si>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</si>
  <si>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</si>
  <si>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</si>
  <si>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</si>
  <si>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</si>
  <si>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</si>
  <si>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</si>
  <si>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</si>
  <si>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</si>
  <si>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</si>
  <si>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</si>
  <si>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</si>
  <si>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</si>
  <si>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</si>
  <si>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</si>
  <si>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</si>
  <si>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</si>
  <si>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</si>
  <si>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</si>
  <si>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</si>
  <si>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</si>
  <si>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</si>
  <si>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</si>
  <si>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</si>
  <si>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</si>
  <si>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</si>
  <si>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</si>
  <si>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</si>
  <si>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</si>
  <si>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</si>
  <si>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</si>
  <si>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</si>
  <si>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</si>
  <si>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</si>
  <si>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</si>
  <si>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</si>
  <si>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</si>
  <si>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</si>
  <si>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</si>
  <si>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</si>
  <si>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</si>
  <si>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</si>
  <si>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</si>
  <si>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</si>
  <si>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</si>
  <si>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</si>
  <si>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</si>
  <si>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</si>
  <si>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</si>
  <si>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</si>
  <si>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</si>
  <si>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</si>
  <si>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</si>
  <si>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</si>
  <si>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</si>
  <si>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</si>
  <si>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</si>
  <si>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</si>
  <si>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</si>
  <si>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</si>
  <si>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</si>
  <si>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</si>
  <si>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</si>
  <si>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</si>
  <si>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</si>
  <si>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</si>
  <si>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</si>
  <si>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</si>
  <si>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</si>
  <si>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</si>
  <si>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</si>
  <si>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</si>
  <si>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</si>
  <si>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</si>
  <si>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</si>
  <si>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</si>
  <si>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</si>
  <si>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</si>
  <si>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</si>
  <si>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</si>
  <si>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</si>
  <si>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</si>
  <si>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</si>
  <si>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</si>
  <si>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</si>
  <si>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</si>
  <si>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</si>
  <si>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</si>
  <si>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</si>
  <si>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</si>
  <si>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</si>
  <si>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</si>
  <si>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</si>
  <si>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</si>
  <si>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</si>
  <si>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</si>
  <si>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</si>
  <si>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</si>
  <si>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</si>
  <si>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</si>
  <si>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</si>
  <si>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</si>
  <si>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</si>
  <si>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</si>
  <si>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</si>
  <si>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</si>
  <si>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</si>
  <si>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</si>
  <si>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</si>
  <si>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</si>
  <si>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</si>
  <si>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</si>
  <si>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</si>
  <si>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</si>
  <si>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</si>
  <si>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</si>
  <si>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</si>
  <si>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</si>
  <si>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</si>
  <si>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</si>
  <si>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</si>
  <si>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</si>
  <si>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</si>
  <si>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</si>
  <si>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</si>
  <si>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</si>
  <si>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</si>
  <si>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</si>
  <si>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</si>
  <si>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</si>
  <si>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</si>
  <si>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</si>
  <si>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</si>
  <si>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</si>
  <si>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</si>
  <si>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</si>
  <si>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</si>
  <si>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</si>
  <si>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</si>
  <si>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</si>
  <si>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</si>
  <si>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</si>
  <si>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</si>
  <si>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</si>
  <si>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</si>
  <si>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</si>
  <si>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</si>
  <si>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</si>
  <si>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</si>
  <si>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</si>
  <si>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</si>
  <si>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</si>
  <si>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</si>
  <si>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</si>
  <si>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</si>
  <si>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</si>
  <si>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</si>
  <si>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</si>
  <si>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</si>
  <si>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</si>
  <si>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</si>
  <si>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</si>
  <si>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</si>
  <si>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</si>
  <si>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</si>
  <si>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</si>
  <si>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</si>
  <si>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</si>
  <si>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</si>
  <si>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</si>
  <si>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</si>
  <si>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</si>
  <si>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</si>
  <si>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</si>
  <si>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</si>
  <si>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</si>
  <si>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</si>
  <si>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</si>
  <si>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</si>
  <si>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</si>
  <si>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</si>
  <si>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</si>
  <si>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</si>
  <si>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</si>
  <si>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</si>
  <si>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</si>
  <si>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</si>
  <si>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</si>
  <si>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</si>
  <si>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</si>
  <si>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</si>
  <si>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</si>
  <si>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</si>
  <si>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</si>
  <si>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</si>
  <si>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</si>
  <si>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</si>
  <si>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</si>
  <si>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</si>
  <si>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</si>
  <si>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</si>
  <si>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</si>
  <si>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</si>
  <si>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</si>
  <si>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</si>
  <si>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</si>
  <si>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</si>
  <si>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</si>
  <si>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</si>
  <si>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</si>
  <si>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</si>
  <si>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</si>
  <si>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</si>
  <si>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</si>
  <si>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</si>
  <si>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</si>
  <si>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</si>
  <si>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</si>
  <si>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</si>
  <si>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</si>
  <si>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</si>
  <si>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</si>
  <si>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</si>
  <si>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</si>
  <si>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</si>
  <si>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</si>
  <si>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</si>
  <si>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</si>
  <si>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</si>
  <si>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</si>
  <si>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</si>
  <si>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</si>
  <si>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</si>
  <si>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</si>
  <si>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</si>
  <si>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</si>
  <si>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</si>
  <si>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</si>
  <si>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</si>
  <si>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</si>
  <si>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</si>
  <si>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</si>
  <si>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</si>
  <si>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</si>
  <si>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</si>
  <si>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</si>
  <si>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</si>
  <si>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</si>
  <si>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</si>
  <si>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</si>
  <si>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</si>
  <si>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</si>
  <si>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</si>
  <si>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</si>
  <si>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</si>
  <si>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</si>
  <si>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</si>
  <si>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</si>
  <si>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</si>
  <si>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</si>
  <si>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</si>
  <si>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</si>
  <si>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</si>
  <si>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</si>
  <si>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</si>
  <si>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</si>
  <si>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</si>
  <si>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</si>
  <si>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</si>
  <si>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</si>
  <si>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</si>
  <si>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</si>
  <si>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</si>
  <si>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</si>
  <si>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</si>
  <si>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</si>
  <si>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</si>
  <si>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</si>
  <si>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</si>
  <si>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</si>
  <si>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</si>
  <si>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</si>
  <si>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</si>
  <si>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</si>
  <si>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</si>
  <si>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</si>
  <si>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</si>
  <si>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</si>
  <si>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</si>
  <si>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</si>
  <si>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</si>
  <si>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</si>
  <si>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</si>
  <si>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</si>
  <si>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</si>
  <si>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</si>
  <si>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</si>
  <si>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</si>
  <si>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</si>
  <si>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</si>
  <si>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</si>
  <si>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</si>
  <si>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</si>
  <si>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</si>
  <si>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</si>
  <si>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</si>
  <si>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</si>
  <si>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</si>
  <si>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</si>
  <si>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</si>
  <si>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</si>
  <si>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</si>
  <si>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</si>
  <si>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</si>
  <si>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</si>
  <si>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</si>
  <si>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</si>
  <si>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</si>
  <si>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</si>
  <si>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</si>
  <si>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</si>
  <si>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</si>
  <si>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</si>
  <si>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</si>
  <si>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</si>
  <si>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</si>
  <si>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</si>
  <si>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</si>
  <si>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</si>
  <si>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</si>
  <si>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</si>
  <si>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</si>
  <si>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</si>
  <si>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</si>
  <si>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</si>
  <si>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</si>
  <si>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</si>
  <si>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</si>
  <si>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</si>
  <si>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</si>
  <si>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</si>
  <si>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</si>
  <si>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</si>
  <si>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</si>
  <si>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</si>
  <si>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</si>
  <si>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</si>
  <si>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</si>
  <si>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</si>
  <si>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</si>
  <si>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</si>
  <si>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</si>
  <si>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</si>
  <si>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</si>
  <si>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</si>
  <si>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</si>
  <si>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</si>
  <si>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</si>
  <si>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</si>
  <si>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</si>
  <si>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</si>
  <si>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</si>
  <si>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</si>
  <si>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</si>
  <si>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</si>
  <si>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</si>
  <si>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</si>
  <si>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</si>
  <si>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</si>
  <si>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</si>
  <si>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</si>
  <si>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</si>
  <si>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</si>
  <si>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</si>
  <si>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</si>
  <si>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</si>
  <si>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</si>
  <si>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</si>
  <si>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</si>
  <si>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</si>
  <si>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</si>
  <si>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</si>
  <si>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</si>
  <si>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</si>
  <si>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</si>
  <si>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</si>
  <si>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</si>
  <si>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</si>
  <si>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</si>
  <si>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</si>
  <si>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</si>
  <si>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</si>
  <si>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</si>
  <si>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</si>
  <si>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</si>
  <si>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</si>
  <si>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</si>
  <si>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</si>
  <si>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</si>
  <si>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</si>
  <si>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</si>
  <si>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</si>
  <si>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</si>
  <si>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</si>
  <si>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</si>
  <si>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</si>
  <si>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</si>
  <si>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</si>
  <si>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</si>
  <si>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</si>
  <si>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</si>
  <si>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</si>
  <si>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</si>
  <si>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</si>
  <si>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</si>
  <si>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</si>
  <si>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</si>
  <si>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</si>
  <si>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</si>
  <si>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</si>
  <si>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</si>
  <si>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</si>
  <si>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</si>
  <si>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</si>
  <si>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</si>
  <si>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</si>
  <si>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</si>
  <si>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</si>
  <si>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</si>
  <si>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</si>
  <si>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</si>
  <si>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</si>
  <si>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</si>
  <si>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</si>
  <si>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</si>
  <si>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</si>
  <si>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</si>
  <si>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</si>
  <si>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</si>
  <si>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</si>
  <si>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</si>
  <si>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</si>
  <si>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</si>
  <si>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</si>
  <si>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</si>
  <si>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</si>
  <si>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</si>
  <si>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</si>
  <si>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</si>
  <si>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</si>
  <si>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</si>
  <si>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</si>
  <si>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</si>
  <si>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</si>
  <si>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</si>
  <si>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</si>
  <si>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</si>
  <si>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</si>
  <si>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</si>
  <si>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</si>
  <si>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</si>
  <si>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</si>
  <si>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</si>
  <si>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</si>
  <si>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</si>
  <si>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</si>
  <si>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</si>
  <si>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</si>
  <si>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</si>
  <si>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</si>
  <si>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</si>
  <si>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</si>
  <si>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</si>
  <si>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</si>
  <si>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</si>
  <si>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</si>
  <si>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</si>
  <si>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</si>
  <si>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</si>
  <si>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</si>
  <si>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</si>
  <si>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</si>
  <si>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</si>
  <si>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</si>
  <si>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</si>
  <si>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</si>
  <si>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</si>
  <si>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</si>
  <si>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</si>
  <si>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</si>
  <si>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</si>
  <si>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</si>
  <si>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</si>
  <si>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</si>
  <si>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</si>
  <si>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</si>
  <si>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</si>
  <si>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</si>
  <si>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</si>
  <si>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</si>
  <si>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</si>
  <si>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</si>
  <si>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</si>
  <si>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</si>
  <si>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</si>
  <si>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</si>
  <si>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</si>
  <si>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</si>
  <si>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</si>
  <si>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</si>
  <si>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</si>
  <si>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</si>
  <si>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</si>
  <si>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</si>
  <si>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</si>
  <si>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</si>
  <si>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</si>
  <si>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</si>
  <si>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</si>
  <si>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</si>
  <si>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</si>
  <si>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</si>
  <si>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</si>
  <si>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</si>
  <si>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</si>
  <si>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</si>
  <si>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</si>
  <si>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</si>
  <si>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</si>
  <si>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</si>
  <si>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</si>
  <si>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</si>
  <si>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</si>
  <si>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</si>
  <si>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</si>
  <si>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</si>
  <si>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</si>
  <si>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</si>
  <si>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</si>
  <si>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</si>
  <si>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</si>
  <si>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</si>
  <si>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</si>
  <si>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</si>
  <si>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</si>
  <si>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</si>
  <si>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</si>
  <si>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</si>
  <si>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</si>
  <si>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</si>
  <si>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</si>
  <si>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</si>
  <si>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</si>
  <si>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</si>
  <si>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</si>
  <si>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</si>
  <si>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</si>
  <si>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</si>
  <si>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</si>
  <si>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</si>
  <si>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</si>
  <si>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</si>
  <si>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</si>
  <si>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</si>
  <si>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</si>
  <si>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</si>
  <si>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</si>
  <si>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</si>
  <si>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</si>
  <si>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</si>
  <si>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</si>
  <si>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</si>
  <si>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</si>
  <si>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</si>
  <si>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</si>
  <si>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</si>
  <si>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</si>
  <si>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</si>
  <si>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</si>
  <si>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</si>
  <si>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</si>
  <si>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</si>
  <si>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</si>
  <si>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</si>
  <si>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</si>
  <si>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</si>
  <si>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</si>
  <si>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</si>
  <si>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</si>
  <si>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</si>
  <si>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</si>
  <si>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</si>
  <si>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</si>
  <si>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</si>
  <si>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</si>
  <si>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</si>
  <si>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</si>
  <si>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</si>
  <si>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</si>
  <si>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</si>
  <si>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</si>
  <si>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</si>
  <si>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</si>
  <si>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</si>
  <si>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</si>
  <si>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</si>
  <si>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</si>
  <si>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</si>
  <si>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</si>
  <si>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</si>
  <si>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</si>
  <si>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</si>
  <si>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</si>
  <si>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</si>
  <si>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</si>
  <si>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</si>
  <si>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</si>
  <si>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</si>
  <si>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</si>
  <si>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</si>
  <si>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</si>
  <si>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</si>
  <si>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</si>
  <si>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</si>
  <si>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</si>
  <si>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</si>
  <si>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</si>
  <si>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</si>
  <si>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</si>
  <si>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</si>
  <si>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</si>
  <si>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</si>
  <si>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</si>
  <si>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</si>
  <si>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</si>
  <si>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</si>
  <si>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</si>
  <si>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</si>
  <si>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</si>
  <si>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</si>
  <si>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</si>
  <si>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</si>
  <si>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</si>
  <si>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</si>
  <si>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</si>
  <si>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</si>
  <si>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</si>
  <si>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</si>
  <si>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</si>
  <si>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</si>
  <si>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</si>
  <si>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</si>
  <si>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</si>
  <si>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</si>
  <si>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</si>
  <si>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</si>
  <si>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</si>
  <si>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</si>
  <si>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</si>
  <si>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</si>
  <si>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</si>
  <si>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</si>
  <si>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</si>
  <si>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</si>
  <si>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</si>
  <si>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</si>
  <si>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</si>
  <si>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</si>
  <si>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</si>
  <si>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</si>
  <si>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</si>
  <si>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</si>
  <si>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</si>
  <si>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</si>
  <si>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</si>
  <si>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</si>
  <si>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</si>
  <si>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</si>
  <si>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</si>
  <si>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</si>
  <si>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</si>
  <si>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</si>
  <si>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</si>
  <si>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</si>
  <si>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</si>
  <si>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</si>
  <si>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</si>
  <si>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</si>
  <si>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</si>
  <si>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</si>
  <si>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</si>
  <si>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</si>
  <si>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</si>
  <si>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</si>
  <si>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</si>
  <si>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</si>
  <si>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</si>
  <si>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</si>
  <si>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</si>
  <si>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</si>
  <si>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</si>
  <si>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</si>
  <si>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</si>
  <si>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</si>
  <si>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</si>
  <si>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</si>
  <si>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</si>
  <si>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</si>
  <si>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</si>
  <si>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</si>
  <si>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</si>
  <si>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</si>
  <si>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</si>
  <si>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</si>
  <si>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</si>
  <si>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</si>
  <si>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</si>
  <si>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</si>
  <si>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</si>
  <si>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</si>
  <si>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</si>
  <si>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</si>
  <si>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</si>
  <si>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</si>
  <si>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</si>
  <si>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</si>
  <si>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</si>
  <si>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</si>
  <si>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</si>
  <si>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</si>
  <si>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</si>
  <si>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</si>
  <si>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</si>
  <si>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</si>
  <si>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</si>
  <si>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</si>
  <si>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</si>
  <si>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</si>
  <si>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</si>
  <si>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</si>
  <si>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</si>
  <si>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</si>
  <si>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</si>
  <si>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</si>
  <si>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</si>
  <si>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</si>
  <si>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</si>
  <si>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</si>
  <si>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</si>
  <si>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</si>
  <si>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</si>
  <si>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</si>
  <si>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</si>
  <si>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</si>
  <si>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</si>
  <si>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</si>
  <si>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</si>
  <si>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</si>
  <si>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</si>
  <si>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</si>
  <si>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</si>
  <si>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</si>
  <si>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</si>
  <si>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</si>
  <si>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</si>
  <si>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</si>
  <si>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</si>
  <si>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</si>
  <si>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</si>
  <si>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</si>
  <si>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</si>
  <si>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</si>
  <si>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</si>
  <si>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</si>
  <si>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</si>
  <si>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</si>
  <si>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</si>
  <si>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</si>
  <si>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</si>
  <si>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</si>
  <si>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</si>
  <si>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</si>
  <si>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</si>
  <si>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</si>
  <si>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</si>
  <si>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</si>
  <si>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</si>
  <si>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</si>
  <si>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</si>
  <si>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</si>
  <si>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</si>
  <si>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</si>
  <si>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</si>
  <si>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</si>
  <si>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</si>
  <si>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</si>
  <si>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</si>
  <si>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</si>
  <si>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</si>
  <si>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</si>
  <si>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</si>
  <si>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</si>
  <si>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</si>
  <si>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</si>
  <si>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</si>
  <si>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</si>
  <si>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</si>
  <si>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</si>
  <si>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</si>
  <si>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</si>
  <si>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</si>
  <si>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</si>
  <si>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</si>
  <si>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</si>
  <si>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</si>
  <si>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</si>
  <si>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</si>
  <si>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</si>
  <si>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</si>
  <si>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</si>
  <si>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</si>
  <si>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</si>
  <si>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</si>
  <si>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</si>
  <si>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</si>
  <si>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</si>
  <si>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</si>
  <si>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</si>
  <si>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</si>
  <si>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</si>
  <si>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</si>
  <si>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</si>
  <si>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</si>
  <si>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</si>
  <si>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</si>
  <si>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</si>
  <si>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</si>
  <si>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</si>
  <si>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</si>
  <si>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</si>
  <si>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</si>
  <si>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</si>
  <si>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</si>
  <si>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</si>
  <si>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</si>
  <si>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</si>
  <si>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</si>
  <si>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</si>
  <si>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</si>
  <si>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</si>
  <si>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</si>
  <si>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</si>
  <si>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</si>
  <si>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</si>
  <si>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</si>
  <si>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</si>
  <si>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</si>
  <si>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</si>
  <si>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</si>
  <si>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</si>
  <si>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</si>
  <si>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</si>
  <si>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</si>
  <si>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</si>
  <si>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</si>
  <si>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</si>
  <si>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</si>
  <si>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</si>
  <si>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</si>
  <si>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</si>
  <si>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</si>
  <si>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</si>
  <si>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</si>
  <si>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</si>
  <si>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</si>
  <si>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</si>
  <si>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</si>
  <si>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</si>
  <si>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</si>
  <si>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</si>
  <si>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</si>
  <si>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</si>
  <si>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</si>
  <si>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</si>
  <si>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</si>
  <si>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</si>
  <si>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</si>
  <si>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</si>
  <si>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</si>
  <si>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</si>
  <si>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</si>
  <si>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</si>
  <si>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</si>
  <si>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</si>
  <si>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</si>
  <si>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</si>
  <si>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</si>
  <si>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</si>
  <si>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</si>
  <si>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</si>
  <si>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</si>
  <si>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</si>
  <si>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</si>
  <si>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</si>
  <si>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</si>
  <si>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</si>
  <si>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</si>
  <si>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</si>
  <si>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</si>
  <si>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</si>
  <si>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</si>
  <si>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</si>
  <si>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</si>
  <si>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</si>
  <si>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</si>
  <si>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</si>
  <si>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</si>
  <si>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</si>
  <si>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</si>
  <si>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</si>
  <si>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</si>
  <si>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</si>
  <si>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</si>
  <si>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</si>
  <si>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</si>
  <si>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</si>
  <si>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</si>
  <si>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</si>
  <si>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</si>
  <si>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</si>
  <si>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</si>
  <si>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</si>
  <si>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</si>
  <si>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</si>
  <si>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</si>
  <si>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</si>
  <si>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</si>
  <si>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</si>
  <si>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</si>
  <si>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</si>
  <si>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</si>
  <si>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</si>
  <si>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</si>
  <si>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</si>
  <si>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</si>
  <si>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</si>
  <si>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</si>
  <si>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</si>
  <si>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</si>
  <si>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</si>
  <si>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</si>
  <si>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</si>
  <si>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</si>
  <si>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</si>
  <si>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</si>
  <si>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</si>
  <si>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</si>
  <si>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</si>
  <si>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</si>
  <si>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</si>
  <si>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</si>
  <si>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</si>
  <si>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</si>
  <si>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</si>
  <si>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</si>
  <si>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</si>
  <si>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</si>
  <si>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</si>
  <si>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</si>
  <si>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</si>
  <si>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</si>
  <si>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</si>
  <si>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</si>
  <si>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</si>
  <si>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</si>
  <si>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</si>
  <si>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</si>
  <si>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</si>
  <si>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</si>
  <si>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</si>
  <si>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</si>
  <si>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</si>
  <si>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</si>
  <si>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</si>
  <si>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</si>
  <si>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</si>
  <si>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</si>
  <si>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</si>
  <si>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</si>
  <si>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</si>
  <si>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</si>
  <si>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</si>
  <si>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</si>
  <si>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</si>
  <si>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</si>
  <si>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</si>
  <si>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</si>
  <si>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</si>
  <si>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</si>
  <si>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</si>
  <si>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</si>
  <si>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</si>
  <si>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</si>
  <si>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</si>
  <si>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</si>
  <si>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</si>
  <si>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</si>
  <si>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</si>
  <si>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</si>
  <si>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</si>
  <si>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</si>
  <si>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</si>
  <si>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</si>
  <si>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</si>
  <si>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</si>
  <si>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</si>
  <si>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</si>
  <si>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</si>
  <si>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</si>
  <si>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</si>
  <si>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</si>
  <si>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</si>
  <si>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</si>
  <si>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</si>
  <si>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</si>
  <si>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</si>
  <si>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</si>
  <si>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</si>
  <si>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</si>
  <si>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</si>
  <si>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</si>
  <si>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</si>
  <si>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</si>
  <si>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</si>
  <si>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</si>
  <si>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</si>
  <si>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</si>
  <si>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</si>
  <si>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</si>
  <si>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</si>
  <si>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</si>
  <si>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</si>
  <si>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</si>
  <si>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</si>
  <si>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</si>
  <si>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</si>
  <si>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</si>
  <si>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</si>
  <si>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</si>
  <si>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</si>
  <si>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</si>
  <si>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</si>
  <si>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</si>
  <si>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</si>
  <si>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</si>
  <si>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</si>
  <si>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</si>
  <si>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</si>
  <si>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</si>
  <si>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</si>
  <si>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</si>
  <si>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</si>
  <si>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</si>
  <si>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</si>
  <si>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</si>
  <si>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</si>
  <si>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</si>
  <si>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</si>
  <si>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</si>
  <si>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</si>
  <si>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</si>
  <si>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</si>
  <si>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</si>
  <si>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</si>
  <si>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</si>
  <si>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</si>
  <si>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</si>
  <si>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</si>
  <si>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</si>
  <si>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</si>
  <si>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</si>
  <si>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</si>
  <si>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</si>
  <si>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</si>
  <si>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</si>
  <si>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</si>
  <si>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</si>
  <si>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</si>
  <si>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</si>
  <si>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</si>
  <si>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</si>
  <si>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</si>
  <si>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</si>
  <si>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</si>
  <si>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</si>
  <si>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</si>
  <si>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</si>
  <si>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</si>
  <si>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</si>
  <si>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</si>
  <si>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</si>
  <si>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</si>
  <si>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</si>
  <si>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</si>
  <si>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</si>
  <si>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</si>
  <si>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</si>
  <si>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</si>
  <si>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</si>
  <si>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</si>
  <si>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</si>
  <si>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</si>
  <si>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</si>
  <si>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</si>
  <si>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</si>
  <si>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</si>
  <si>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</si>
  <si>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</si>
  <si>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</si>
  <si>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</si>
  <si>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</si>
  <si>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</si>
  <si>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</si>
  <si>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</si>
  <si>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</si>
  <si>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</si>
  <si>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</si>
  <si>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</si>
  <si>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</si>
  <si>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</si>
  <si>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</si>
  <si>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</si>
  <si>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</si>
  <si>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</si>
  <si>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</si>
  <si>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</si>
  <si>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</si>
  <si>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</si>
  <si>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</si>
  <si>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</si>
  <si>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</si>
  <si>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</si>
  <si>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</si>
  <si>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</si>
  <si>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</si>
  <si>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</si>
  <si>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</si>
  <si>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</si>
  <si>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</si>
  <si>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</si>
  <si>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</si>
  <si>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</si>
  <si>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</si>
  <si>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</si>
  <si>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</si>
  <si>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</si>
  <si>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</si>
  <si>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</si>
  <si>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</si>
  <si>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</si>
  <si>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</si>
  <si>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</si>
  <si>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</si>
  <si>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</si>
  <si>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</si>
  <si>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</si>
  <si>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</si>
  <si>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</si>
  <si>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</si>
  <si>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</si>
  <si>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</si>
  <si>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</si>
  <si>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</si>
  <si>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</si>
  <si>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</si>
  <si>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</si>
  <si>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</si>
  <si>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</si>
  <si>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</si>
  <si>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</si>
  <si>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</si>
  <si>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</si>
  <si>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</si>
  <si>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</si>
  <si>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</si>
  <si>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</si>
  <si>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</si>
  <si>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</si>
  <si>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</si>
  <si>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</si>
  <si>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</si>
  <si>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</si>
  <si>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</si>
  <si>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</si>
  <si>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</si>
  <si>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</si>
  <si>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</si>
  <si>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</si>
  <si>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</si>
  <si>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</si>
  <si>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</si>
  <si>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</si>
  <si>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</si>
  <si>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</si>
  <si>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</si>
  <si>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</si>
  <si>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</si>
  <si>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</si>
  <si>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</si>
  <si>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</si>
  <si>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</si>
  <si>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</si>
  <si>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</si>
  <si>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</si>
  <si>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</si>
  <si>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</si>
  <si>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</si>
  <si>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</si>
  <si>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</si>
  <si>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</si>
  <si>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</si>
  <si>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</si>
  <si>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</si>
  <si>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</si>
  <si>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</si>
  <si>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</si>
  <si>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</si>
  <si>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</si>
  <si>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</si>
  <si>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</si>
  <si>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</si>
  <si>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</si>
  <si>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</si>
  <si>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</si>
  <si>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</si>
  <si>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</si>
  <si>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</si>
  <si>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</si>
  <si>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</si>
  <si>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</si>
  <si>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</si>
  <si>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</si>
  <si>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</si>
  <si>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</si>
  <si>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</si>
  <si>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</si>
  <si>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</si>
  <si>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</si>
  <si>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</si>
  <si>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</si>
  <si>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</si>
  <si>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</si>
  <si>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</si>
  <si>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</si>
  <si>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</si>
  <si>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</si>
  <si>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</si>
  <si>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</si>
  <si>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</si>
  <si>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</si>
  <si>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</si>
  <si>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</si>
  <si>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</si>
  <si>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</si>
  <si>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</si>
  <si>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</si>
  <si>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</si>
  <si>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</si>
  <si>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</si>
  <si>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</si>
  <si>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</si>
  <si>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</si>
  <si>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</si>
  <si>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</si>
  <si>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</si>
  <si>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</si>
  <si>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</si>
  <si>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</si>
  <si>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</si>
  <si>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</si>
  <si>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</si>
  <si>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</si>
  <si>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</si>
  <si>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</si>
  <si>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</si>
  <si>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</si>
  <si>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</si>
  <si>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</si>
  <si>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</si>
  <si>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</si>
  <si>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</si>
  <si>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</si>
  <si>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</si>
  <si>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</si>
  <si>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</si>
  <si>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</si>
  <si>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</si>
  <si>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</si>
  <si>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</si>
  <si>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</si>
  <si>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</si>
  <si>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</si>
  <si>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</si>
  <si>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</si>
  <si>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</si>
  <si>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</si>
  <si>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</si>
  <si>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</si>
  <si>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</si>
  <si>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</si>
  <si>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</si>
  <si>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</si>
  <si>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</si>
  <si>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</si>
  <si>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</si>
  <si>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</si>
  <si>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</si>
  <si>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</si>
  <si>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</si>
  <si>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</si>
  <si>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</si>
  <si>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</si>
  <si>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</si>
  <si>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</si>
  <si>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</si>
  <si>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</si>
  <si>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</si>
  <si>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</si>
  <si>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</si>
  <si>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</si>
  <si>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</si>
  <si>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</si>
  <si>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</si>
  <si>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</si>
  <si>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</si>
  <si>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</si>
  <si>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</si>
  <si>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</si>
  <si>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</si>
  <si>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</si>
  <si>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</si>
  <si>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</si>
  <si>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</si>
  <si>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</si>
  <si>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</si>
  <si>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</si>
  <si>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</si>
  <si>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</si>
  <si>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</si>
  <si>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</si>
  <si>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</si>
  <si>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</si>
  <si>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</si>
  <si>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</si>
  <si>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</si>
  <si>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</si>
  <si>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</si>
  <si>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</si>
  <si>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</si>
  <si>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</si>
  <si>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</si>
  <si>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</si>
  <si>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</si>
  <si>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</si>
  <si>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</si>
  <si>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</si>
  <si>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</si>
  <si>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</si>
  <si>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</si>
  <si>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</si>
  <si>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</si>
  <si>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</si>
  <si>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</si>
  <si>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</si>
  <si>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</si>
  <si>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</si>
  <si>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</si>
  <si>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</si>
  <si>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</si>
  <si>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</si>
  <si>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</si>
  <si>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</si>
  <si>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</si>
  <si>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</si>
  <si>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</si>
  <si>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</si>
  <si>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</si>
  <si>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</si>
  <si>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</si>
  <si>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</si>
  <si>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</si>
  <si>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</si>
  <si>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</si>
  <si>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</si>
  <si>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</si>
  <si>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</si>
  <si>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</si>
  <si>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</si>
  <si>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</si>
  <si>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</si>
  <si>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</si>
  <si>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</si>
  <si>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</si>
  <si>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</si>
  <si>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</si>
  <si>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</si>
  <si>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</si>
  <si>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</si>
  <si>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</si>
  <si>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</si>
  <si>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</si>
  <si>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</si>
  <si>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</si>
  <si>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</si>
  <si>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</si>
  <si>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</si>
  <si>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</si>
  <si>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</si>
  <si>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</si>
  <si>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</si>
  <si>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</si>
  <si>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</si>
  <si>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</si>
  <si>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</si>
  <si>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</si>
  <si>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</si>
  <si>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</si>
  <si>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</si>
  <si>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</si>
  <si>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</si>
  <si>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</si>
  <si>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</si>
  <si>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</si>
  <si>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</si>
  <si>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</si>
  <si>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</si>
  <si>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</si>
  <si>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</si>
  <si>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</si>
  <si>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</si>
  <si>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</si>
  <si>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</si>
  <si>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</si>
  <si>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</si>
  <si>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</si>
  <si>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</si>
  <si>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</si>
  <si>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</si>
  <si>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</si>
  <si>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</si>
  <si>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</si>
  <si>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</si>
  <si>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</si>
  <si>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</si>
  <si>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</si>
  <si>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</si>
  <si>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</si>
  <si>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</si>
  <si>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</si>
  <si>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</si>
  <si>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</si>
  <si>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</si>
  <si>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</si>
  <si>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</si>
  <si>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</si>
  <si>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</si>
  <si>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</si>
  <si>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</si>
  <si>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</si>
  <si>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</si>
  <si>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</si>
  <si>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</si>
  <si>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</si>
  <si>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</si>
  <si>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</si>
  <si>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</si>
  <si>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</si>
  <si>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</si>
  <si>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</si>
  <si>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</si>
  <si>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</si>
  <si>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</si>
  <si>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</si>
  <si>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</si>
  <si>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</si>
  <si>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</si>
  <si>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</si>
  <si>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</si>
  <si>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</si>
  <si>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</si>
  <si>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</si>
  <si>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</si>
  <si>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</si>
  <si>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</si>
  <si>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</si>
  <si>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</si>
  <si>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</si>
  <si>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</si>
  <si>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</si>
  <si>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</si>
  <si>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</si>
  <si>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</si>
  <si>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</si>
  <si>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</si>
  <si>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</si>
  <si>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</si>
  <si>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</si>
  <si>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</si>
  <si>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</si>
  <si>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</si>
  <si>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</si>
  <si>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</si>
  <si>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</si>
  <si>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</si>
  <si>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</si>
  <si>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</si>
  <si>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</si>
  <si>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</si>
  <si>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</si>
  <si>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</si>
  <si>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</si>
  <si>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</si>
  <si>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</si>
  <si>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</si>
  <si>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</si>
  <si>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</si>
  <si>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</si>
  <si>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</si>
  <si>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</si>
  <si>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</si>
  <si>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</si>
  <si>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</si>
  <si>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</si>
  <si>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</si>
  <si>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</si>
  <si>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</si>
  <si>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</si>
  <si>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</si>
  <si>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</si>
  <si>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</si>
  <si>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</si>
  <si>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</si>
  <si>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</si>
  <si>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</si>
  <si>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</si>
  <si>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</si>
  <si>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</si>
  <si>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</si>
  <si>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</si>
  <si>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</si>
  <si>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</si>
  <si>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</si>
  <si>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</si>
  <si>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</si>
  <si>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</si>
  <si>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</si>
  <si>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</si>
  <si>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</si>
  <si>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</si>
  <si>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</si>
  <si>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</si>
  <si>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</si>
  <si>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</si>
  <si>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</si>
  <si>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</si>
  <si>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</si>
  <si>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</si>
  <si>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</si>
  <si>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</si>
  <si>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</si>
  <si>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</si>
  <si>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</si>
  <si>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</si>
  <si>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</si>
  <si>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</si>
  <si>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</si>
  <si>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</si>
  <si>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</si>
  <si>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</si>
  <si>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</si>
  <si>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</si>
  <si>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</si>
  <si>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</si>
  <si>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</si>
  <si>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</si>
  <si>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</si>
  <si>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</si>
  <si>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</si>
  <si>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</si>
  <si>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</si>
  <si>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</si>
  <si>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</si>
  <si>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</si>
  <si>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</si>
  <si>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</si>
  <si>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</si>
  <si>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</si>
  <si>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</si>
  <si>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</si>
  <si>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</si>
  <si>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</si>
  <si>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</si>
  <si>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</si>
  <si>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</si>
  <si>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</si>
  <si>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</si>
  <si>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</si>
  <si>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</si>
  <si>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</si>
  <si>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</si>
  <si>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</si>
  <si>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</si>
  <si>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</si>
  <si>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</si>
  <si>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</si>
  <si>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</si>
  <si>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</si>
  <si>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</si>
  <si>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</si>
  <si>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</si>
  <si>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</si>
  <si>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</si>
  <si>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</si>
  <si>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</si>
  <si>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</si>
  <si>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</si>
  <si>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</si>
  <si>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</si>
  <si>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</si>
  <si>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</si>
  <si>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</si>
  <si>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</si>
  <si>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</si>
  <si>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</si>
  <si>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</si>
  <si>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</si>
  <si>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</si>
  <si>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</si>
  <si>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</si>
  <si>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</si>
  <si>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</si>
  <si>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</si>
  <si>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</si>
  <si>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</si>
  <si>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</si>
  <si>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</si>
  <si>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</si>
  <si>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</si>
  <si>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</si>
  <si>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</si>
  <si>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</si>
  <si>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</si>
  <si>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</si>
  <si>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</si>
  <si>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</si>
  <si>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</si>
  <si>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</si>
  <si>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</si>
  <si>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</si>
  <si>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</si>
  <si>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</si>
  <si>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</si>
  <si>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</si>
  <si>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</si>
  <si>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</si>
  <si>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</si>
  <si>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</si>
  <si>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</si>
  <si>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</si>
  <si>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</si>
  <si>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</si>
  <si>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</si>
  <si>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</si>
  <si>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</si>
  <si>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</si>
  <si>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</si>
  <si>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</si>
  <si>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</si>
  <si>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</si>
  <si>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</si>
  <si>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</si>
  <si>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</si>
  <si>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</si>
  <si>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</si>
  <si>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</si>
  <si>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</si>
  <si>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</si>
  <si>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</si>
  <si>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</si>
  <si>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</si>
  <si>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</si>
  <si>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</si>
  <si>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</si>
  <si>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</si>
  <si>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</si>
  <si>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</si>
  <si>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</si>
  <si>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</si>
  <si>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</si>
  <si>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</si>
  <si>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</si>
  <si>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</si>
  <si>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</si>
  <si>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</si>
  <si>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</si>
  <si>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</si>
  <si>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</si>
  <si>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</si>
  <si>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</si>
  <si>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</si>
  <si>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</si>
  <si>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</si>
  <si>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</si>
  <si>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</si>
  <si>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</si>
  <si>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</si>
  <si>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</si>
  <si>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</si>
  <si>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</si>
  <si>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</si>
  <si>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</si>
  <si>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</si>
  <si>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</si>
  <si>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</si>
  <si>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</si>
  <si>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</si>
  <si>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</si>
  <si>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</si>
  <si>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</si>
  <si>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</si>
  <si>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</si>
  <si>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</si>
  <si>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</si>
  <si>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</si>
  <si>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</si>
  <si>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</si>
  <si>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</si>
  <si>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</si>
  <si>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</si>
  <si>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</si>
  <si>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</si>
  <si>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</si>
  <si>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</si>
  <si>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</si>
  <si>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</si>
  <si>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</si>
  <si>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</si>
  <si>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</si>
  <si>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</si>
  <si>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</si>
  <si>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</si>
  <si>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</si>
  <si>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</si>
  <si>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</si>
  <si>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</si>
  <si>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</si>
  <si>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</si>
  <si>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</si>
  <si>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</si>
  <si>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</si>
  <si>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</si>
  <si>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</si>
  <si>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</si>
  <si>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</si>
  <si>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</si>
  <si>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</si>
  <si>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</si>
  <si>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</si>
  <si>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</si>
  <si>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</si>
  <si>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</si>
  <si>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</si>
  <si>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</si>
  <si>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</si>
  <si>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</si>
  <si>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</si>
  <si>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</si>
  <si>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</si>
  <si>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</si>
  <si>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</si>
  <si>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</si>
  <si>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</si>
  <si>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</si>
  <si>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</si>
  <si>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</si>
  <si>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</si>
  <si>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</si>
  <si>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</si>
  <si>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</si>
  <si>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</si>
  <si>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</si>
  <si>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</si>
  <si>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</si>
  <si>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</si>
  <si>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</si>
  <si>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</si>
  <si>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</si>
  <si>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</si>
  <si>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</si>
  <si>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</si>
  <si>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</si>
  <si>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</si>
  <si>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</si>
  <si>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</si>
  <si>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</si>
  <si>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</si>
  <si>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</si>
  <si>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</si>
  <si>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</si>
  <si>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</si>
  <si>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</si>
  <si>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</si>
  <si>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</si>
  <si>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</si>
  <si>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</si>
  <si>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</si>
  <si>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</si>
  <si>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</si>
  <si>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</si>
  <si>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</si>
  <si>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</si>
  <si>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</si>
  <si>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</si>
  <si>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</si>
  <si>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</si>
  <si>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</si>
  <si>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</si>
  <si>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</si>
  <si>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</si>
  <si>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</si>
  <si>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</si>
  <si>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</si>
  <si>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</si>
  <si>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</si>
  <si>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</si>
  <si>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</si>
  <si>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</si>
  <si>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</si>
  <si>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</si>
  <si>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</si>
  <si>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</si>
  <si>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</si>
  <si>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</si>
  <si>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</si>
  <si>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</si>
  <si>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</si>
  <si>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</si>
  <si>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</si>
  <si>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</si>
  <si>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</si>
  <si>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</si>
  <si>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</si>
  <si>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</si>
  <si>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</si>
  <si>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</si>
  <si>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</si>
  <si>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</si>
  <si>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</si>
  <si>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</si>
  <si>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</si>
  <si>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</si>
  <si>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</si>
  <si>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</si>
  <si>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</si>
  <si>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</si>
  <si>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</si>
  <si>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</si>
  <si>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</si>
  <si>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</si>
  <si>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</si>
  <si>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</si>
  <si>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</si>
  <si>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</si>
  <si>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</si>
  <si>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</si>
  <si>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</si>
  <si>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</si>
  <si>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</si>
  <si>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</si>
  <si>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</si>
  <si>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</si>
  <si>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</si>
  <si>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</si>
  <si>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</si>
  <si>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</si>
  <si>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</si>
  <si>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</si>
  <si>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</si>
  <si>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</si>
  <si>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</si>
  <si>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</si>
  <si>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</si>
  <si>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</si>
  <si>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</si>
  <si>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</si>
  <si>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</si>
  <si>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</si>
  <si>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</si>
  <si>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</si>
  <si>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</si>
  <si>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</si>
  <si>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</si>
  <si>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</si>
  <si>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</si>
  <si>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</si>
  <si>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</si>
  <si>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</si>
  <si>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</si>
  <si>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</si>
  <si>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</si>
  <si>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</si>
  <si>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</si>
  <si>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</si>
  <si>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</si>
  <si>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</si>
  <si>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</si>
  <si>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</si>
  <si>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</si>
  <si>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</si>
  <si>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</si>
  <si>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</si>
  <si>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</si>
  <si>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</si>
  <si>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</si>
  <si>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</si>
  <si>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</si>
  <si>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</si>
  <si>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</si>
  <si>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</si>
  <si>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</si>
  <si>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</si>
  <si>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</si>
  <si>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</si>
  <si>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</si>
  <si>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</si>
  <si>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</si>
  <si>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</si>
  <si>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</si>
  <si>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</si>
  <si>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</si>
  <si>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</si>
  <si>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</si>
  <si>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</si>
  <si>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</si>
  <si>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</si>
  <si>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</si>
  <si>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</si>
  <si>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</si>
  <si>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</si>
  <si>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</si>
  <si>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</si>
  <si>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</si>
  <si>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</si>
  <si>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</si>
  <si>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</si>
  <si>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</si>
  <si>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</si>
  <si>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</si>
  <si>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</si>
  <si>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</si>
  <si>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</si>
  <si>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</si>
  <si>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</si>
  <si>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</si>
  <si>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</si>
  <si>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</si>
  <si>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</si>
  <si>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</si>
  <si>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</si>
  <si>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</si>
  <si>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</si>
  <si>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</si>
  <si>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</si>
  <si>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</si>
  <si>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</si>
  <si>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</si>
  <si>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</si>
  <si>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</si>
  <si>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</si>
  <si>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</si>
  <si>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</si>
  <si>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</si>
  <si>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</si>
  <si>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</si>
  <si>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</si>
  <si>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</si>
  <si>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</si>
  <si>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</si>
  <si>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</si>
  <si>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</si>
  <si>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</si>
  <si>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</si>
  <si>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</si>
  <si>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</si>
  <si>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</si>
  <si>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</si>
  <si>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</si>
  <si>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</si>
  <si>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</si>
  <si>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</si>
  <si>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</si>
  <si>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</si>
  <si>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</si>
  <si>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</si>
  <si>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</si>
  <si>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</si>
  <si>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</si>
  <si>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</si>
  <si>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</si>
  <si>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</si>
  <si>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</si>
  <si>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</si>
  <si>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</si>
  <si>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</si>
  <si>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</si>
  <si>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</si>
  <si>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</si>
  <si>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</si>
  <si>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</si>
  <si>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</si>
  <si>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</si>
  <si>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</si>
  <si>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</si>
  <si>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</si>
  <si>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</si>
  <si>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</si>
  <si>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</si>
  <si>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</si>
  <si>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</si>
  <si>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</si>
  <si>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</si>
  <si>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</si>
  <si>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</si>
  <si>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</si>
  <si>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</si>
  <si>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</si>
  <si>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</si>
  <si>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</si>
  <si>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</si>
  <si>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</si>
  <si>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</si>
  <si>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</si>
  <si>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</si>
  <si>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</si>
  <si>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</si>
  <si>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</si>
  <si>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</si>
  <si>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</si>
  <si>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</si>
  <si>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</si>
  <si>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</si>
  <si>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</si>
  <si>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</si>
  <si>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</si>
  <si>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</si>
  <si>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</si>
  <si>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</si>
  <si>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</si>
  <si>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</si>
  <si>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</si>
  <si>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</si>
  <si>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</si>
  <si>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</si>
  <si>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</si>
  <si>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</si>
  <si>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</si>
  <si>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</si>
  <si>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</si>
  <si>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</si>
  <si>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</si>
  <si>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</si>
  <si>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</si>
  <si>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</si>
  <si>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</si>
  <si>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</si>
  <si>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</si>
  <si>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</si>
  <si>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</si>
  <si>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</si>
  <si>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</si>
  <si>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</si>
  <si>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</si>
  <si>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</si>
  <si>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</si>
  <si>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</si>
  <si>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</si>
  <si>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</si>
  <si>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</si>
  <si>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</si>
  <si>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</si>
  <si>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</si>
  <si>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</si>
  <si>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</si>
  <si>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</si>
  <si>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</si>
  <si>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</si>
  <si>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</si>
  <si>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</si>
  <si>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</si>
  <si>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</si>
  <si>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</si>
  <si>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</si>
  <si>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</si>
  <si>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</si>
  <si>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</si>
  <si>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</si>
  <si>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</si>
  <si>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</si>
  <si>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</si>
  <si>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</si>
  <si>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</si>
  <si>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</si>
  <si>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</si>
  <si>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</si>
  <si>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</si>
  <si>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</si>
  <si>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</si>
  <si>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</si>
  <si>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</si>
  <si>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</si>
  <si>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</si>
  <si>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</si>
  <si>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</si>
  <si>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</si>
  <si>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</si>
  <si>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</si>
  <si>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</si>
  <si>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</si>
  <si>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</si>
  <si>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</si>
  <si>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</si>
  <si>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</si>
  <si>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</si>
  <si>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</si>
  <si>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</si>
  <si>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</si>
  <si>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</si>
  <si>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</si>
  <si>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</si>
  <si>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</si>
  <si>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</si>
  <si>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</si>
  <si>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</si>
  <si>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</si>
  <si>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</si>
  <si>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</si>
  <si>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</si>
  <si>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</si>
  <si>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</si>
  <si>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</si>
  <si>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</si>
  <si>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</si>
  <si>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</si>
  <si>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</si>
  <si>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</si>
  <si>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</si>
  <si>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</si>
  <si>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</si>
  <si>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</si>
  <si>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</si>
  <si>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</si>
  <si>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</si>
  <si>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</si>
  <si>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</si>
  <si>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</si>
  <si>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</si>
  <si>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</si>
  <si>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</si>
  <si>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</si>
  <si>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</si>
  <si>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</si>
  <si>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</si>
  <si>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</si>
  <si>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</si>
  <si>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</si>
  <si>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</si>
  <si>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</si>
  <si>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</si>
  <si>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</si>
  <si>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</si>
  <si>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</si>
  <si>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</si>
  <si>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</si>
  <si>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</si>
  <si>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</si>
  <si>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</si>
  <si>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</si>
  <si>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</si>
  <si>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</si>
  <si>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</si>
  <si>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</si>
  <si>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</si>
  <si>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</si>
  <si>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</si>
  <si>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</si>
  <si>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</si>
  <si>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</si>
  <si>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</si>
  <si>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</si>
  <si>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</si>
  <si>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</si>
  <si>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</si>
  <si>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</si>
  <si>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</si>
  <si>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</si>
  <si>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</si>
  <si>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</si>
  <si>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</si>
  <si>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</si>
  <si>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</si>
  <si>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</si>
  <si>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</si>
  <si>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</si>
  <si>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</si>
  <si>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</si>
  <si>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</si>
  <si>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</si>
  <si>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</si>
  <si>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</si>
  <si>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</si>
  <si>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</si>
  <si>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</si>
  <si>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</si>
  <si>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</si>
  <si>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</si>
  <si>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</si>
  <si>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</si>
  <si>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</si>
  <si>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</si>
  <si>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</si>
  <si>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</si>
  <si>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</si>
  <si>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</si>
  <si>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</si>
  <si>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</si>
  <si>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</si>
  <si>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</si>
  <si>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</si>
  <si>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</si>
  <si>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</si>
  <si>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</si>
  <si>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</si>
  <si>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</si>
  <si>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</si>
  <si>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</si>
  <si>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</si>
  <si>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</si>
  <si>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</si>
  <si>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</si>
  <si>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</si>
  <si>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</si>
  <si>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</si>
  <si>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</si>
  <si>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</si>
  <si>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</si>
  <si>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</si>
  <si>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</si>
  <si>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</si>
  <si>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</si>
  <si>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</si>
  <si>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</si>
  <si>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</si>
  <si>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</si>
  <si>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</si>
  <si>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</si>
  <si>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</si>
  <si>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</si>
  <si>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</si>
  <si>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</si>
  <si>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</si>
  <si>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</si>
  <si>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</si>
  <si>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</si>
  <si>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</si>
  <si>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</si>
  <si>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</si>
  <si>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</si>
  <si>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</si>
  <si>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</si>
  <si>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</si>
  <si>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</si>
  <si>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</si>
  <si>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</si>
  <si>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</si>
  <si>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</si>
  <si>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</si>
  <si>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</si>
  <si>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</si>
  <si>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</si>
  <si>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</si>
  <si>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</si>
  <si>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</si>
  <si>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</si>
  <si>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</si>
  <si>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</si>
  <si>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</si>
  <si>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</si>
  <si>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</si>
  <si>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</si>
  <si>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</si>
  <si>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</si>
  <si>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</si>
  <si>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</si>
  <si>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</si>
  <si>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</si>
  <si>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</si>
  <si>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</si>
  <si>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</si>
  <si>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</si>
  <si>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</si>
  <si>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</si>
  <si>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</si>
  <si>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</si>
  <si>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</si>
  <si>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</si>
  <si>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</si>
  <si>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</si>
  <si>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</si>
  <si>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</si>
  <si>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</si>
  <si>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</si>
  <si>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</si>
  <si>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</si>
  <si>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</si>
  <si>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</si>
  <si>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</si>
  <si>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</si>
  <si>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S35</t>
  </si>
  <si>
    <t>217</t>
  </si>
  <si>
    <t>107040</t>
  </si>
  <si>
    <t>162029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</si>
  <si>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</si>
  <si>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</si>
  <si>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</si>
  <si>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</si>
  <si>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</si>
  <si>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</si>
  <si>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</si>
  <si>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</si>
  <si>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</si>
  <si>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</si>
  <si>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</si>
  <si>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</si>
  <si>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</si>
  <si>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</si>
  <si>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</si>
  <si>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</si>
  <si>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</si>
  <si>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</si>
  <si>
    <t>925</t>
  </si>
  <si>
    <t>80825</t>
  </si>
  <si>
    <t>160104</t>
  </si>
  <si>
    <t>1018</t>
  </si>
  <si>
    <t>185801</t>
  </si>
  <si>
    <t>358698</t>
  </si>
  <si>
    <t>428</t>
  </si>
  <si>
    <t>130896</t>
  </si>
  <si>
    <t>287853</t>
  </si>
  <si>
    <t>1452</t>
  </si>
  <si>
    <t>147086</t>
  </si>
  <si>
    <t>440936</t>
  </si>
  <si>
    <t>873</t>
  </si>
  <si>
    <t>441327</t>
  </si>
  <si>
    <t>1606153</t>
  </si>
  <si>
    <t>523</t>
  </si>
  <si>
    <t>212203</t>
  </si>
  <si>
    <t>714662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</si>
  <si>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</si>
  <si>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</si>
  <si>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</si>
  <si>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</si>
  <si>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</si>
  <si>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</si>
  <si>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</si>
  <si>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</si>
  <si>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</si>
  <si>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</si>
  <si>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</si>
  <si>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</si>
  <si>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</si>
  <si>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</si>
  <si>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</si>
  <si>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</si>
  <si>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</si>
  <si>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</si>
  <si>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</si>
  <si>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</si>
  <si>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</si>
  <si>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</si>
  <si>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</si>
  <si>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</si>
  <si>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</si>
  <si>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</si>
  <si>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</si>
  <si>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</si>
  <si>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</si>
  <si>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</si>
  <si>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</si>
  <si>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</si>
  <si>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</si>
  <si>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</si>
  <si>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</si>
  <si>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</si>
  <si>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</si>
  <si>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</si>
  <si>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</si>
  <si>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</si>
  <si>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</si>
  <si>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</si>
  <si>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</si>
  <si>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</si>
  <si>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</si>
  <si>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</si>
  <si>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</si>
  <si>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</si>
  <si>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</si>
  <si>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</si>
  <si>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</si>
  <si>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26 Aug 2026</t>
  </si>
  <si>
    <t>453</t>
  </si>
  <si>
    <t>107493</t>
  </si>
  <si>
    <t>162592</t>
  </si>
  <si>
    <t>1194</t>
  </si>
  <si>
    <t>82293</t>
  </si>
  <si>
    <t>162738</t>
  </si>
  <si>
    <t>1224</t>
  </si>
  <si>
    <t>187025</t>
  </si>
  <si>
    <t>361537</t>
  </si>
  <si>
    <t>357</t>
  </si>
  <si>
    <t>131293</t>
  </si>
  <si>
    <t>288652</t>
  </si>
  <si>
    <t>1468</t>
  </si>
  <si>
    <t>148554</t>
  </si>
  <si>
    <t>446228</t>
  </si>
  <si>
    <t>1253</t>
  </si>
  <si>
    <t>442580</t>
  </si>
  <si>
    <t>1611557</t>
  </si>
  <si>
    <t>561</t>
  </si>
  <si>
    <t>212764</t>
  </si>
  <si>
    <t>716374</t>
  </si>
  <si>
    <t xml:space="preserve"> 27 Aug 2026</t>
  </si>
  <si>
    <t>1069</t>
  </si>
  <si>
    <t>108562</t>
  </si>
  <si>
    <t>164010</t>
  </si>
  <si>
    <t>732</t>
  </si>
  <si>
    <t>83025</t>
  </si>
  <si>
    <t>164321</t>
  </si>
  <si>
    <t>83</t>
  </si>
  <si>
    <t>1184</t>
  </si>
  <si>
    <t>188209</t>
  </si>
  <si>
    <t>364050</t>
  </si>
  <si>
    <t>548</t>
  </si>
  <si>
    <t>131894</t>
  </si>
  <si>
    <t>289953</t>
  </si>
  <si>
    <t>1519</t>
  </si>
  <si>
    <t>150073</t>
  </si>
  <si>
    <t>450948</t>
  </si>
  <si>
    <t>907</t>
  </si>
  <si>
    <t>443487</t>
  </si>
  <si>
    <t>1615397</t>
  </si>
  <si>
    <t>373</t>
  </si>
  <si>
    <t>213137</t>
  </si>
  <si>
    <t>717623</t>
  </si>
  <si>
    <t xml:space="preserve"> 28 Aug 2026</t>
  </si>
  <si>
    <t>1245</t>
  </si>
  <si>
    <t>109807</t>
  </si>
  <si>
    <t>165823</t>
  </si>
  <si>
    <t>83920</t>
  </si>
  <si>
    <t>166048</t>
  </si>
  <si>
    <t>340</t>
  </si>
  <si>
    <t>188549</t>
  </si>
  <si>
    <t>364684</t>
  </si>
  <si>
    <t>1521</t>
  </si>
  <si>
    <t>133575</t>
  </si>
  <si>
    <t>293581</t>
  </si>
  <si>
    <t>631</t>
  </si>
  <si>
    <t>150704</t>
  </si>
  <si>
    <t>453110</t>
  </si>
  <si>
    <t>444786</t>
  </si>
  <si>
    <t>1621348</t>
  </si>
  <si>
    <t>535</t>
  </si>
  <si>
    <t>213677</t>
  </si>
  <si>
    <t>719340</t>
  </si>
  <si>
    <t xml:space="preserve"> 29 Aug 2026</t>
  </si>
  <si>
    <t>774</t>
  </si>
  <si>
    <t>110581</t>
  </si>
  <si>
    <t>167147</t>
  </si>
  <si>
    <t>713</t>
  </si>
  <si>
    <t>84633</t>
  </si>
  <si>
    <t>167559</t>
  </si>
  <si>
    <t>1004</t>
  </si>
  <si>
    <t>189553</t>
  </si>
  <si>
    <t>366912</t>
  </si>
  <si>
    <t>1540</t>
  </si>
  <si>
    <t>135115</t>
  </si>
  <si>
    <t>297074</t>
  </si>
  <si>
    <t>150955</t>
  </si>
  <si>
    <t>454008</t>
  </si>
  <si>
    <t>829</t>
  </si>
  <si>
    <t>445615</t>
  </si>
  <si>
    <t>1625439</t>
  </si>
  <si>
    <t>386</t>
  </si>
  <si>
    <t>214064</t>
  </si>
  <si>
    <t>720405</t>
  </si>
  <si>
    <t xml:space="preserve"> 30 Aug 2026</t>
  </si>
  <si>
    <t>446017</t>
  </si>
  <si>
    <t>1627215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</si>
</sst>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8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6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E97-4EF7-B161-BD3AFA75EFC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TabDin!$C$4:$C$181</c:f>
              <c:numCache>
                <c:formatCode>_(* #,##0.00_);_(* \(#,##0.00\);_(* "-"??_);_(@_)</c:formatCode>
                <c:ptCount val="1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1296</c:v>
                </c:pt>
                <c:pt idx="29">
                  <c:v>0</c:v>
                </c:pt>
                <c:pt idx="30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2100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3853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3730</c:v>
                </c:pt>
                <c:pt idx="50">
                  <c:v>5774</c:v>
                </c:pt>
                <c:pt idx="51">
                  <c:v>4670</c:v>
                </c:pt>
                <c:pt idx="52">
                  <c:v>3942</c:v>
                </c:pt>
                <c:pt idx="53">
                  <c:v>5905</c:v>
                </c:pt>
                <c:pt idx="54">
                  <c:v>6571</c:v>
                </c:pt>
                <c:pt idx="55">
                  <c:v>2378</c:v>
                </c:pt>
                <c:pt idx="56">
                  <c:v>5481</c:v>
                </c:pt>
                <c:pt idx="57">
                  <c:v>6222</c:v>
                </c:pt>
                <c:pt idx="58">
                  <c:v>5949</c:v>
                </c:pt>
                <c:pt idx="59">
                  <c:v>3615</c:v>
                </c:pt>
                <c:pt idx="60">
                  <c:v>7593</c:v>
                </c:pt>
                <c:pt idx="61">
                  <c:v>6487</c:v>
                </c:pt>
                <c:pt idx="62">
                  <c:v>0</c:v>
                </c:pt>
                <c:pt idx="63">
                  <c:v>3587</c:v>
                </c:pt>
                <c:pt idx="64">
                  <c:v>4601</c:v>
                </c:pt>
                <c:pt idx="65">
                  <c:v>4602</c:v>
                </c:pt>
                <c:pt idx="66">
                  <c:v>7390</c:v>
                </c:pt>
                <c:pt idx="67">
                  <c:v>8886</c:v>
                </c:pt>
                <c:pt idx="68">
                  <c:v>8857</c:v>
                </c:pt>
                <c:pt idx="69">
                  <c:v>7325</c:v>
                </c:pt>
                <c:pt idx="70">
                  <c:v>9500</c:v>
                </c:pt>
                <c:pt idx="71">
                  <c:v>11690</c:v>
                </c:pt>
                <c:pt idx="72">
                  <c:v>8900</c:v>
                </c:pt>
                <c:pt idx="73">
                  <c:v>9823</c:v>
                </c:pt>
                <c:pt idx="74">
                  <c:v>8886</c:v>
                </c:pt>
                <c:pt idx="75">
                  <c:v>6811</c:v>
                </c:pt>
                <c:pt idx="76">
                  <c:v>9739</c:v>
                </c:pt>
                <c:pt idx="77">
                  <c:v>8964</c:v>
                </c:pt>
                <c:pt idx="78">
                  <c:v>7958</c:v>
                </c:pt>
                <c:pt idx="79">
                  <c:v>9583</c:v>
                </c:pt>
                <c:pt idx="80">
                  <c:v>15571</c:v>
                </c:pt>
                <c:pt idx="81">
                  <c:v>9611</c:v>
                </c:pt>
                <c:pt idx="82">
                  <c:v>7279</c:v>
                </c:pt>
                <c:pt idx="83">
                  <c:v>7132</c:v>
                </c:pt>
                <c:pt idx="84">
                  <c:v>2051</c:v>
                </c:pt>
                <c:pt idx="85">
                  <c:v>13426</c:v>
                </c:pt>
                <c:pt idx="86">
                  <c:v>10750</c:v>
                </c:pt>
                <c:pt idx="87">
                  <c:v>12225</c:v>
                </c:pt>
                <c:pt idx="88">
                  <c:v>12487</c:v>
                </c:pt>
                <c:pt idx="89">
                  <c:v>7356</c:v>
                </c:pt>
                <c:pt idx="90">
                  <c:v>10231</c:v>
                </c:pt>
                <c:pt idx="91">
                  <c:v>14997</c:v>
                </c:pt>
                <c:pt idx="92">
                  <c:v>12178</c:v>
                </c:pt>
                <c:pt idx="93">
                  <c:v>10528</c:v>
                </c:pt>
                <c:pt idx="94">
                  <c:v>6738</c:v>
                </c:pt>
                <c:pt idx="95">
                  <c:v>10670</c:v>
                </c:pt>
                <c:pt idx="96">
                  <c:v>6902</c:v>
                </c:pt>
                <c:pt idx="97">
                  <c:v>8255</c:v>
                </c:pt>
                <c:pt idx="98">
                  <c:v>11103</c:v>
                </c:pt>
                <c:pt idx="99">
                  <c:v>8159</c:v>
                </c:pt>
                <c:pt idx="100">
                  <c:v>9222</c:v>
                </c:pt>
                <c:pt idx="101">
                  <c:v>8255</c:v>
                </c:pt>
                <c:pt idx="102">
                  <c:v>15211</c:v>
                </c:pt>
                <c:pt idx="103">
                  <c:v>14019</c:v>
                </c:pt>
                <c:pt idx="104">
                  <c:v>16463</c:v>
                </c:pt>
                <c:pt idx="105">
                  <c:v>15949</c:v>
                </c:pt>
                <c:pt idx="106">
                  <c:v>17980</c:v>
                </c:pt>
                <c:pt idx="107">
                  <c:v>10654</c:v>
                </c:pt>
                <c:pt idx="108">
                  <c:v>21400</c:v>
                </c:pt>
                <c:pt idx="109">
                  <c:v>20676</c:v>
                </c:pt>
                <c:pt idx="110">
                  <c:v>16424</c:v>
                </c:pt>
                <c:pt idx="111">
                  <c:v>11845</c:v>
                </c:pt>
                <c:pt idx="112">
                  <c:v>10510</c:v>
                </c:pt>
                <c:pt idx="113">
                  <c:v>11074</c:v>
                </c:pt>
                <c:pt idx="114">
                  <c:v>16640</c:v>
                </c:pt>
                <c:pt idx="115">
                  <c:v>14376</c:v>
                </c:pt>
                <c:pt idx="116">
                  <c:v>17851</c:v>
                </c:pt>
                <c:pt idx="117">
                  <c:v>14762</c:v>
                </c:pt>
                <c:pt idx="118">
                  <c:v>13656</c:v>
                </c:pt>
                <c:pt idx="119">
                  <c:v>10880</c:v>
                </c:pt>
                <c:pt idx="120">
                  <c:v>13206</c:v>
                </c:pt>
                <c:pt idx="121">
                  <c:v>13528</c:v>
                </c:pt>
                <c:pt idx="122">
                  <c:v>13669</c:v>
                </c:pt>
                <c:pt idx="123">
                  <c:v>8290</c:v>
                </c:pt>
                <c:pt idx="124">
                  <c:v>13823</c:v>
                </c:pt>
                <c:pt idx="125">
                  <c:v>9967</c:v>
                </c:pt>
                <c:pt idx="126">
                  <c:v>13601</c:v>
                </c:pt>
                <c:pt idx="127">
                  <c:v>12983</c:v>
                </c:pt>
                <c:pt idx="128">
                  <c:v>13036</c:v>
                </c:pt>
                <c:pt idx="129">
                  <c:v>10698</c:v>
                </c:pt>
                <c:pt idx="130">
                  <c:v>15401</c:v>
                </c:pt>
                <c:pt idx="131">
                  <c:v>10018</c:v>
                </c:pt>
                <c:pt idx="132">
                  <c:v>12349</c:v>
                </c:pt>
                <c:pt idx="133">
                  <c:v>12708</c:v>
                </c:pt>
                <c:pt idx="134">
                  <c:v>12153</c:v>
                </c:pt>
                <c:pt idx="135">
                  <c:v>5587</c:v>
                </c:pt>
                <c:pt idx="136">
                  <c:v>8861</c:v>
                </c:pt>
                <c:pt idx="137">
                  <c:v>11997</c:v>
                </c:pt>
                <c:pt idx="138">
                  <c:v>13011</c:v>
                </c:pt>
                <c:pt idx="139">
                  <c:v>9223</c:v>
                </c:pt>
                <c:pt idx="140">
                  <c:v>13317</c:v>
                </c:pt>
                <c:pt idx="141">
                  <c:v>14465</c:v>
                </c:pt>
                <c:pt idx="142">
                  <c:v>16130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TabDin!$D$4:$D$181</c:f>
              <c:numCache>
                <c:formatCode>General</c:formatCode>
                <c:ptCount val="143"/>
                <c:pt idx="0">
                  <c:v>7</c:v>
                </c:pt>
                <c:pt idx="1">
                  <c:v>7</c:v>
                </c:pt>
                <c:pt idx="2">
                  <c:v>1</c:v>
                </c:pt>
                <c:pt idx="3">
                  <c:v>7</c:v>
                </c:pt>
                <c:pt idx="4">
                  <c:v>1</c:v>
                </c:pt>
                <c:pt idx="5">
                  <c:v>7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7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7</c:v>
                </c:pt>
                <c:pt idx="16">
                  <c:v>1</c:v>
                </c:pt>
                <c:pt idx="17">
                  <c:v>1</c:v>
                </c:pt>
                <c:pt idx="18">
                  <c:v>7</c:v>
                </c:pt>
                <c:pt idx="19">
                  <c:v>1</c:v>
                </c:pt>
                <c:pt idx="20">
                  <c:v>1</c:v>
                </c:pt>
                <c:pt idx="21">
                  <c:v>5</c:v>
                </c:pt>
                <c:pt idx="22">
                  <c:v>1</c:v>
                </c:pt>
                <c:pt idx="23">
                  <c:v>1</c:v>
                </c:pt>
                <c:pt idx="24">
                  <c:v>5</c:v>
                </c:pt>
                <c:pt idx="25">
                  <c:v>6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3</c:v>
                </c:pt>
                <c:pt idx="31">
                  <c:v>1</c:v>
                </c:pt>
                <c:pt idx="32">
                  <c:v>5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6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5</c:v>
                </c:pt>
                <c:pt idx="42">
                  <c:v>1</c:v>
                </c:pt>
                <c:pt idx="43">
                  <c:v>9</c:v>
                </c:pt>
                <c:pt idx="44">
                  <c:v>5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3</c:v>
                </c:pt>
                <c:pt idx="55">
                  <c:v>2</c:v>
                </c:pt>
                <c:pt idx="56">
                  <c:v>2</c:v>
                </c:pt>
                <c:pt idx="57">
                  <c:v>3</c:v>
                </c:pt>
                <c:pt idx="58">
                  <c:v>3</c:v>
                </c:pt>
                <c:pt idx="59">
                  <c:v>2</c:v>
                </c:pt>
                <c:pt idx="60">
                  <c:v>5</c:v>
                </c:pt>
                <c:pt idx="61">
                  <c:v>5</c:v>
                </c:pt>
                <c:pt idx="62">
                  <c:v>1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5</c:v>
                </c:pt>
                <c:pt idx="67">
                  <c:v>5</c:v>
                </c:pt>
                <c:pt idx="68">
                  <c:v>4</c:v>
                </c:pt>
                <c:pt idx="69">
                  <c:v>4</c:v>
                </c:pt>
                <c:pt idx="70">
                  <c:v>5</c:v>
                </c:pt>
                <c:pt idx="71">
                  <c:v>5</c:v>
                </c:pt>
                <c:pt idx="72">
                  <c:v>4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5</c:v>
                </c:pt>
                <c:pt idx="79">
                  <c:v>4</c:v>
                </c:pt>
                <c:pt idx="80">
                  <c:v>5</c:v>
                </c:pt>
                <c:pt idx="81">
                  <c:v>4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5</c:v>
                </c:pt>
                <c:pt idx="86">
                  <c:v>4</c:v>
                </c:pt>
                <c:pt idx="87">
                  <c:v>4</c:v>
                </c:pt>
                <c:pt idx="88">
                  <c:v>5</c:v>
                </c:pt>
                <c:pt idx="89">
                  <c:v>4</c:v>
                </c:pt>
                <c:pt idx="90">
                  <c:v>5</c:v>
                </c:pt>
                <c:pt idx="91">
                  <c:v>6</c:v>
                </c:pt>
                <c:pt idx="92">
                  <c:v>6</c:v>
                </c:pt>
                <c:pt idx="93">
                  <c:v>5</c:v>
                </c:pt>
                <c:pt idx="94">
                  <c:v>4</c:v>
                </c:pt>
                <c:pt idx="95">
                  <c:v>6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</c:v>
                </c:pt>
                <c:pt idx="100">
                  <c:v>4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7</c:v>
                </c:pt>
                <c:pt idx="109">
                  <c:v>7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7</c:v>
                </c:pt>
                <c:pt idx="114">
                  <c:v>7</c:v>
                </c:pt>
                <c:pt idx="115">
                  <c:v>6</c:v>
                </c:pt>
                <c:pt idx="116">
                  <c:v>6</c:v>
                </c:pt>
                <c:pt idx="117">
                  <c:v>5</c:v>
                </c:pt>
                <c:pt idx="118">
                  <c:v>6</c:v>
                </c:pt>
                <c:pt idx="119">
                  <c:v>7</c:v>
                </c:pt>
                <c:pt idx="120">
                  <c:v>6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7</c:v>
                </c:pt>
                <c:pt idx="128">
                  <c:v>7</c:v>
                </c:pt>
                <c:pt idx="129">
                  <c:v>5</c:v>
                </c:pt>
                <c:pt idx="130">
                  <c:v>7</c:v>
                </c:pt>
                <c:pt idx="131">
                  <c:v>5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5</c:v>
                </c:pt>
                <c:pt idx="136">
                  <c:v>7</c:v>
                </c:pt>
                <c:pt idx="137">
                  <c:v>5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1.4522821576763482E-2"/>
                  <c:y val="-6.6666666666666693E-2"/>
                </c:manualLayout>
              </c:layout>
              <c:numFmt formatCode="_(* #,##0_);_(* \(#,##0\);_(* &quot;-&quot;_);_(@_)" sourceLinked="0"/>
              <c:spPr>
                <a:solidFill>
                  <a:srgbClr val="1F4E78"/>
                </a:solidFill>
                <a:ln>
                  <a:solidFill>
                    <a:srgbClr val="1F4E78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6721991701244807E-2"/>
                      <c:h val="3.917657351654572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TabDin!$B$4:$B$181</c:f>
              <c:numCache>
                <c:formatCode>_(* #,##0.00_);_(* \(#,##0.00\);_(* "-"??_);_(@_)</c:formatCode>
                <c:ptCount val="143"/>
                <c:pt idx="18">
                  <c:v>0</c:v>
                </c:pt>
                <c:pt idx="33">
                  <c:v>3000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9000</c:v>
                </c:pt>
                <c:pt idx="47">
                  <c:v>9000</c:v>
                </c:pt>
                <c:pt idx="49">
                  <c:v>18000</c:v>
                </c:pt>
                <c:pt idx="50">
                  <c:v>18000</c:v>
                </c:pt>
                <c:pt idx="51">
                  <c:v>18000</c:v>
                </c:pt>
                <c:pt idx="52">
                  <c:v>18000</c:v>
                </c:pt>
                <c:pt idx="53">
                  <c:v>18000</c:v>
                </c:pt>
                <c:pt idx="54">
                  <c:v>18000</c:v>
                </c:pt>
                <c:pt idx="55">
                  <c:v>15000</c:v>
                </c:pt>
                <c:pt idx="56">
                  <c:v>15000</c:v>
                </c:pt>
                <c:pt idx="57">
                  <c:v>15000</c:v>
                </c:pt>
                <c:pt idx="58">
                  <c:v>15000</c:v>
                </c:pt>
                <c:pt idx="59">
                  <c:v>15000</c:v>
                </c:pt>
                <c:pt idx="60">
                  <c:v>15000</c:v>
                </c:pt>
                <c:pt idx="61">
                  <c:v>15000</c:v>
                </c:pt>
                <c:pt idx="62">
                  <c:v>15000</c:v>
                </c:pt>
                <c:pt idx="63">
                  <c:v>15000</c:v>
                </c:pt>
                <c:pt idx="64">
                  <c:v>15000</c:v>
                </c:pt>
                <c:pt idx="65">
                  <c:v>15000</c:v>
                </c:pt>
                <c:pt idx="66">
                  <c:v>15000</c:v>
                </c:pt>
                <c:pt idx="67">
                  <c:v>15000</c:v>
                </c:pt>
                <c:pt idx="68">
                  <c:v>15000</c:v>
                </c:pt>
                <c:pt idx="69">
                  <c:v>15000</c:v>
                </c:pt>
                <c:pt idx="70">
                  <c:v>15000</c:v>
                </c:pt>
                <c:pt idx="71">
                  <c:v>15000</c:v>
                </c:pt>
                <c:pt idx="72">
                  <c:v>15000</c:v>
                </c:pt>
                <c:pt idx="73">
                  <c:v>15000</c:v>
                </c:pt>
                <c:pt idx="74">
                  <c:v>15000</c:v>
                </c:pt>
                <c:pt idx="75">
                  <c:v>15000</c:v>
                </c:pt>
                <c:pt idx="76">
                  <c:v>15000</c:v>
                </c:pt>
                <c:pt idx="77">
                  <c:v>15000</c:v>
                </c:pt>
                <c:pt idx="78">
                  <c:v>15000</c:v>
                </c:pt>
                <c:pt idx="79">
                  <c:v>18000</c:v>
                </c:pt>
                <c:pt idx="80">
                  <c:v>15000</c:v>
                </c:pt>
                <c:pt idx="81">
                  <c:v>15000</c:v>
                </c:pt>
                <c:pt idx="82">
                  <c:v>15000</c:v>
                </c:pt>
                <c:pt idx="83">
                  <c:v>12000</c:v>
                </c:pt>
                <c:pt idx="84">
                  <c:v>15000</c:v>
                </c:pt>
                <c:pt idx="85">
                  <c:v>15000</c:v>
                </c:pt>
                <c:pt idx="86">
                  <c:v>15000</c:v>
                </c:pt>
                <c:pt idx="87">
                  <c:v>15000</c:v>
                </c:pt>
                <c:pt idx="88">
                  <c:v>15000</c:v>
                </c:pt>
                <c:pt idx="89">
                  <c:v>15000</c:v>
                </c:pt>
                <c:pt idx="90">
                  <c:v>15000</c:v>
                </c:pt>
                <c:pt idx="91">
                  <c:v>15000</c:v>
                </c:pt>
                <c:pt idx="92">
                  <c:v>15000</c:v>
                </c:pt>
                <c:pt idx="93">
                  <c:v>15000</c:v>
                </c:pt>
                <c:pt idx="94">
                  <c:v>15000</c:v>
                </c:pt>
                <c:pt idx="95">
                  <c:v>15000</c:v>
                </c:pt>
                <c:pt idx="96">
                  <c:v>15000</c:v>
                </c:pt>
                <c:pt idx="97">
                  <c:v>15000</c:v>
                </c:pt>
                <c:pt idx="98">
                  <c:v>15000</c:v>
                </c:pt>
                <c:pt idx="99">
                  <c:v>15000</c:v>
                </c:pt>
                <c:pt idx="100">
                  <c:v>15000</c:v>
                </c:pt>
                <c:pt idx="101">
                  <c:v>15000</c:v>
                </c:pt>
                <c:pt idx="102">
                  <c:v>15000</c:v>
                </c:pt>
                <c:pt idx="103">
                  <c:v>15000</c:v>
                </c:pt>
                <c:pt idx="104">
                  <c:v>15000</c:v>
                </c:pt>
                <c:pt idx="105">
                  <c:v>15000</c:v>
                </c:pt>
                <c:pt idx="106">
                  <c:v>15000</c:v>
                </c:pt>
                <c:pt idx="107">
                  <c:v>15000</c:v>
                </c:pt>
                <c:pt idx="108">
                  <c:v>15000</c:v>
                </c:pt>
                <c:pt idx="109">
                  <c:v>15000</c:v>
                </c:pt>
                <c:pt idx="110">
                  <c:v>15000</c:v>
                </c:pt>
                <c:pt idx="111">
                  <c:v>15000</c:v>
                </c:pt>
                <c:pt idx="112">
                  <c:v>15000</c:v>
                </c:pt>
                <c:pt idx="113">
                  <c:v>15000</c:v>
                </c:pt>
                <c:pt idx="114">
                  <c:v>15000</c:v>
                </c:pt>
                <c:pt idx="115">
                  <c:v>15000</c:v>
                </c:pt>
                <c:pt idx="116">
                  <c:v>15000</c:v>
                </c:pt>
                <c:pt idx="117">
                  <c:v>15000</c:v>
                </c:pt>
                <c:pt idx="118">
                  <c:v>15000</c:v>
                </c:pt>
                <c:pt idx="119">
                  <c:v>15000</c:v>
                </c:pt>
                <c:pt idx="120">
                  <c:v>15000</c:v>
                </c:pt>
                <c:pt idx="121">
                  <c:v>15000</c:v>
                </c:pt>
                <c:pt idx="122">
                  <c:v>15000</c:v>
                </c:pt>
                <c:pt idx="123">
                  <c:v>15000</c:v>
                </c:pt>
                <c:pt idx="124">
                  <c:v>15000</c:v>
                </c:pt>
                <c:pt idx="125">
                  <c:v>15000</c:v>
                </c:pt>
                <c:pt idx="126">
                  <c:v>15000</c:v>
                </c:pt>
                <c:pt idx="127">
                  <c:v>15000</c:v>
                </c:pt>
                <c:pt idx="128">
                  <c:v>15000</c:v>
                </c:pt>
                <c:pt idx="129">
                  <c:v>15000</c:v>
                </c:pt>
                <c:pt idx="130">
                  <c:v>15000</c:v>
                </c:pt>
                <c:pt idx="131">
                  <c:v>15000</c:v>
                </c:pt>
                <c:pt idx="132">
                  <c:v>15000</c:v>
                </c:pt>
                <c:pt idx="133">
                  <c:v>15000</c:v>
                </c:pt>
                <c:pt idx="134">
                  <c:v>15000</c:v>
                </c:pt>
                <c:pt idx="135">
                  <c:v>15000</c:v>
                </c:pt>
                <c:pt idx="136">
                  <c:v>15000</c:v>
                </c:pt>
                <c:pt idx="137">
                  <c:v>15000</c:v>
                </c:pt>
                <c:pt idx="138">
                  <c:v>15000</c:v>
                </c:pt>
                <c:pt idx="139">
                  <c:v>15000</c:v>
                </c:pt>
                <c:pt idx="140">
                  <c:v>15000</c:v>
                </c:pt>
                <c:pt idx="141">
                  <c:v>15000</c:v>
                </c:pt>
                <c:pt idx="142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TabDin!$R$2:$R$42</c:f>
              <c:numCache>
                <c:formatCode>_-* #,##0_-;\-* #,##0_-;_-* "-"??_-;_-@_-</c:formatCode>
                <c:ptCount val="36"/>
                <c:pt idx="0">
                  <c:v>21501</c:v>
                </c:pt>
                <c:pt idx="1">
                  <c:v>24929</c:v>
                </c:pt>
                <c:pt idx="2">
                  <c:v>21506</c:v>
                </c:pt>
                <c:pt idx="3">
                  <c:v>29193</c:v>
                </c:pt>
                <c:pt idx="4">
                  <c:v>22686</c:v>
                </c:pt>
                <c:pt idx="5">
                  <c:v>18765</c:v>
                </c:pt>
                <c:pt idx="6">
                  <c:v>12604</c:v>
                </c:pt>
                <c:pt idx="7">
                  <c:v>17296</c:v>
                </c:pt>
                <c:pt idx="8">
                  <c:v>12502</c:v>
                </c:pt>
                <c:pt idx="9">
                  <c:v>12634</c:v>
                </c:pt>
                <c:pt idx="10">
                  <c:v>8451</c:v>
                </c:pt>
                <c:pt idx="11">
                  <c:v>21413</c:v>
                </c:pt>
                <c:pt idx="12">
                  <c:v>2502</c:v>
                </c:pt>
                <c:pt idx="13">
                  <c:v>2060</c:v>
                </c:pt>
                <c:pt idx="14">
                  <c:v>1911</c:v>
                </c:pt>
                <c:pt idx="15">
                  <c:v>3807</c:v>
                </c:pt>
                <c:pt idx="16">
                  <c:v>3589</c:v>
                </c:pt>
                <c:pt idx="17">
                  <c:v>5475</c:v>
                </c:pt>
                <c:pt idx="18">
                  <c:v>3988</c:v>
                </c:pt>
                <c:pt idx="19">
                  <c:v>5855</c:v>
                </c:pt>
                <c:pt idx="20">
                  <c:v>8634</c:v>
                </c:pt>
                <c:pt idx="21">
                  <c:v>4987</c:v>
                </c:pt>
                <c:pt idx="22">
                  <c:v>3942</c:v>
                </c:pt>
                <c:pt idx="23">
                  <c:v>4017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4526</c:v>
                </c:pt>
                <c:pt idx="29">
                  <c:v>5038</c:v>
                </c:pt>
                <c:pt idx="30">
                  <c:v>4991</c:v>
                </c:pt>
                <c:pt idx="31">
                  <c:v>2976</c:v>
                </c:pt>
                <c:pt idx="32">
                  <c:v>4629</c:v>
                </c:pt>
                <c:pt idx="33">
                  <c:v>0</c:v>
                </c:pt>
                <c:pt idx="34">
                  <c:v>3336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TabDin!$T$2:$T$42</c:f>
              <c:numCache>
                <c:formatCode>_-* #,##0_-;\-* #,##0_-;_-* "-"??_-;_-@_-</c:formatCode>
                <c:ptCount val="36"/>
                <c:pt idx="0">
                  <c:v>20064.010000000002</c:v>
                </c:pt>
                <c:pt idx="1">
                  <c:v>20107.3</c:v>
                </c:pt>
                <c:pt idx="2">
                  <c:v>16060.82</c:v>
                </c:pt>
                <c:pt idx="3">
                  <c:v>24914</c:v>
                </c:pt>
                <c:pt idx="4">
                  <c:v>16976</c:v>
                </c:pt>
                <c:pt idx="5">
                  <c:v>12141</c:v>
                </c:pt>
                <c:pt idx="6">
                  <c:v>8992</c:v>
                </c:pt>
                <c:pt idx="7">
                  <c:v>14207</c:v>
                </c:pt>
                <c:pt idx="8">
                  <c:v>8482.7999999999993</c:v>
                </c:pt>
                <c:pt idx="9">
                  <c:v>8479</c:v>
                </c:pt>
                <c:pt idx="10">
                  <c:v>6570</c:v>
                </c:pt>
                <c:pt idx="11">
                  <c:v>17022</c:v>
                </c:pt>
                <c:pt idx="12">
                  <c:v>2126</c:v>
                </c:pt>
                <c:pt idx="13">
                  <c:v>1876</c:v>
                </c:pt>
                <c:pt idx="14">
                  <c:v>1454</c:v>
                </c:pt>
                <c:pt idx="15">
                  <c:v>3801</c:v>
                </c:pt>
                <c:pt idx="16">
                  <c:v>2305</c:v>
                </c:pt>
                <c:pt idx="17">
                  <c:v>3375</c:v>
                </c:pt>
                <c:pt idx="18">
                  <c:v>2705</c:v>
                </c:pt>
                <c:pt idx="19">
                  <c:v>3090</c:v>
                </c:pt>
                <c:pt idx="20">
                  <c:v>5197</c:v>
                </c:pt>
                <c:pt idx="21">
                  <c:v>4987</c:v>
                </c:pt>
                <c:pt idx="22">
                  <c:v>2838</c:v>
                </c:pt>
                <c:pt idx="23">
                  <c:v>3038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3706</c:v>
                </c:pt>
                <c:pt idx="29">
                  <c:v>4252</c:v>
                </c:pt>
                <c:pt idx="30">
                  <c:v>2904</c:v>
                </c:pt>
                <c:pt idx="31">
                  <c:v>2575</c:v>
                </c:pt>
                <c:pt idx="32">
                  <c:v>3194</c:v>
                </c:pt>
                <c:pt idx="33">
                  <c:v>1408</c:v>
                </c:pt>
                <c:pt idx="34">
                  <c:v>2485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E7D7-44D3-9672-839832657EC7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A-E7D7-44D3-9672-839832657EC7}"/>
              </c:ext>
            </c:extLst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C-E7D7-44D3-9672-839832657EC7}"/>
              </c:ext>
            </c:extLst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E-E7D7-44D3-9672-839832657EC7}"/>
              </c:ext>
            </c:extLst>
          </c:dPt>
          <c:dPt>
            <c:idx val="9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E7D7-44D3-9672-839832657EC7}"/>
              </c:ext>
            </c:extLst>
          </c:dPt>
          <c:dPt>
            <c:idx val="1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2-E7D7-44D3-9672-839832657EC7}"/>
              </c:ext>
            </c:extLst>
          </c:dPt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4-E7D7-44D3-9672-839832657EC7}"/>
              </c:ext>
            </c:extLst>
          </c:dPt>
          <c:dLbls>
            <c:dLbl>
              <c:idx val="5"/>
              <c:layout>
                <c:manualLayout>
                  <c:x val="1.1192724728926096E-2"/>
                  <c:y val="-8.5653104925053528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7E2-41C0-A5AE-E39A77C1C707}"/>
                </c:ext>
              </c:extLst>
            </c:dLbl>
            <c:dLbl>
              <c:idx val="8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E7D7-44D3-9672-839832657EC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E7D7-44D3-9672-839832657EC7}"/>
                </c:ext>
              </c:extLst>
            </c:dLbl>
            <c:dLbl>
              <c:idx val="10"/>
              <c:layout>
                <c:manualLayout>
                  <c:x val="8.3945435466946487E-3"/>
                  <c:y val="-7.7087794432548179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E7D7-44D3-9672-839832657EC7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E7D7-44D3-9672-839832657EC7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TabDin!$S$2:$S$42</c:f>
              <c:numCache>
                <c:formatCode>_-* #,##0_-;\-* #,##0_-;_-* "-"??_-;_-@_-</c:formatCode>
                <c:ptCount val="36"/>
                <c:pt idx="0">
                  <c:v>24000</c:v>
                </c:pt>
                <c:pt idx="1">
                  <c:v>23999.999999999996</c:v>
                </c:pt>
                <c:pt idx="2">
                  <c:v>24000</c:v>
                </c:pt>
                <c:pt idx="3">
                  <c:v>23999.999999999996</c:v>
                </c:pt>
                <c:pt idx="4">
                  <c:v>23999.999999999996</c:v>
                </c:pt>
                <c:pt idx="5">
                  <c:v>24000</c:v>
                </c:pt>
                <c:pt idx="6">
                  <c:v>24000</c:v>
                </c:pt>
                <c:pt idx="7">
                  <c:v>24000</c:v>
                </c:pt>
                <c:pt idx="8">
                  <c:v>24000</c:v>
                </c:pt>
                <c:pt idx="9">
                  <c:v>24000</c:v>
                </c:pt>
                <c:pt idx="10">
                  <c:v>24000</c:v>
                </c:pt>
                <c:pt idx="11">
                  <c:v>24000</c:v>
                </c:pt>
                <c:pt idx="12">
                  <c:v>3428.5714285714284</c:v>
                </c:pt>
                <c:pt idx="13">
                  <c:v>3428.5714285714284</c:v>
                </c:pt>
                <c:pt idx="14">
                  <c:v>3428.5714285714284</c:v>
                </c:pt>
                <c:pt idx="15">
                  <c:v>3428.5714285714284</c:v>
                </c:pt>
                <c:pt idx="16">
                  <c:v>3428.5714285714284</c:v>
                </c:pt>
                <c:pt idx="17">
                  <c:v>3428.5714285714284</c:v>
                </c:pt>
                <c:pt idx="18">
                  <c:v>3428.5714285714284</c:v>
                </c:pt>
                <c:pt idx="19">
                  <c:v>3428.5714285714284</c:v>
                </c:pt>
                <c:pt idx="20">
                  <c:v>3428.5714285714284</c:v>
                </c:pt>
                <c:pt idx="21">
                  <c:v>3428.5714285714284</c:v>
                </c:pt>
                <c:pt idx="22">
                  <c:v>3428.5714285714284</c:v>
                </c:pt>
                <c:pt idx="23">
                  <c:v>3428.5714285714284</c:v>
                </c:pt>
                <c:pt idx="24">
                  <c:v>3428.5714285714284</c:v>
                </c:pt>
                <c:pt idx="25">
                  <c:v>3428.5714285714284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8000</c:v>
                </c:pt>
                <c:pt idx="33">
                  <c:v>8000</c:v>
                </c:pt>
                <c:pt idx="34">
                  <c:v>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182881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1388889" createdVersion="8" refreshedVersion="8" minRefreshableVersion="3" recordCount="1829" xr:uid="{8D9D6DB7-C64F-4C80-9A78-61C3071D7139}">
  <cacheSource type="worksheet">
    <worksheetSource ref="A4:AB2550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083335" createdVersion="8" refreshedVersion="8" minRefreshableVersion="3" recordCount="1829" xr:uid="{9D45AC4C-13ED-4258-A051-E1A0E0BEF410}">
  <cacheSource type="worksheet">
    <worksheetSource ref="A4:AB7116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19907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314813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81" firstHeaderRow="0" firstDataRow="1" firstDataCol="1"/>
  <pivotFields count="28">
    <pivotField axis="axisRow" showAll="0" sortType="descending">
      <items count="114"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0">
        <item x="1"/>
        <item m="1" x="18"/>
        <item x="0"/>
        <item x="17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178">
    <i>
      <x/>
    </i>
    <i r="1">
      <x v="3"/>
    </i>
    <i r="2">
      <x v="1"/>
    </i>
    <i r="2">
      <x v="8"/>
    </i>
    <i r="2">
      <x v="9"/>
    </i>
    <i r="2">
      <x v="15"/>
    </i>
    <i r="2">
      <x v="20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2"/>
    </i>
    <i r="2">
      <x v="33"/>
    </i>
    <i r="2">
      <x v="34"/>
    </i>
    <i r="2">
      <x v="36"/>
    </i>
    <i r="2">
      <x v="40"/>
    </i>
    <i r="2">
      <x v="42"/>
    </i>
    <i r="2">
      <x v="43"/>
    </i>
    <i r="2">
      <x v="48"/>
    </i>
    <i r="2">
      <x v="49"/>
    </i>
    <i r="2">
      <x v="50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7"/>
    </i>
    <i r="2">
      <x v="68"/>
    </i>
    <i r="2">
      <x v="70"/>
    </i>
    <i r="2">
      <x v="71"/>
    </i>
    <i r="2">
      <x v="73"/>
    </i>
    <i r="2">
      <x v="75"/>
    </i>
    <i r="2">
      <x v="77"/>
    </i>
    <i r="2">
      <x v="78"/>
    </i>
    <i r="2">
      <x v="79"/>
    </i>
    <i r="2">
      <x v="85"/>
    </i>
    <i r="2">
      <x v="92"/>
    </i>
    <i r="2">
      <x v="95"/>
    </i>
    <i r="2">
      <x v="99"/>
    </i>
    <i r="2">
      <x v="103"/>
    </i>
    <i r="2">
      <x v="106"/>
    </i>
    <i>
      <x v="2"/>
    </i>
    <i r="1">
      <x v="3"/>
    </i>
    <i r="2">
      <x v="107"/>
    </i>
    <i r="2">
      <x v="108"/>
    </i>
    <i r="2">
      <x v="109"/>
    </i>
    <i r="2">
      <x v="110"/>
    </i>
    <i r="2">
      <x v="111"/>
    </i>
    <i r="2">
      <x v="112"/>
    </i>
    <i>
      <x v="4"/>
    </i>
    <i r="1">
      <x v="3"/>
    </i>
    <i r="2">
      <x v="100"/>
    </i>
    <i r="2">
      <x v="101"/>
    </i>
    <i r="2">
      <x v="102"/>
    </i>
    <i r="2">
      <x v="104"/>
    </i>
    <i r="2">
      <x v="105"/>
    </i>
    <i>
      <x v="5"/>
    </i>
    <i r="1">
      <x v="3"/>
    </i>
    <i r="2">
      <x v="93"/>
    </i>
    <i r="2">
      <x v="94"/>
    </i>
    <i r="2">
      <x v="95"/>
    </i>
    <i r="2">
      <x v="96"/>
    </i>
    <i r="2">
      <x v="97"/>
    </i>
    <i r="2">
      <x v="98"/>
    </i>
    <i>
      <x v="6"/>
    </i>
    <i r="1">
      <x v="3"/>
    </i>
    <i r="2">
      <x v="86"/>
    </i>
    <i r="2">
      <x v="87"/>
    </i>
    <i r="2">
      <x v="88"/>
    </i>
    <i r="2">
      <x v="89"/>
    </i>
    <i r="2">
      <x v="90"/>
    </i>
    <i r="2">
      <x v="91"/>
    </i>
    <i>
      <x v="7"/>
    </i>
    <i r="1">
      <x v="3"/>
    </i>
    <i r="2">
      <x v="79"/>
    </i>
    <i r="2">
      <x v="80"/>
    </i>
    <i r="2">
      <x v="81"/>
    </i>
    <i r="2">
      <x v="82"/>
    </i>
    <i r="2">
      <x v="83"/>
    </i>
    <i r="2">
      <x v="84"/>
    </i>
    <i>
      <x v="8"/>
    </i>
    <i r="1">
      <x v="3"/>
    </i>
    <i r="2">
      <x v="72"/>
    </i>
    <i r="2">
      <x v="73"/>
    </i>
    <i r="2">
      <x v="74"/>
    </i>
    <i r="2">
      <x v="75"/>
    </i>
    <i r="2">
      <x v="76"/>
    </i>
    <i r="2">
      <x v="77"/>
    </i>
    <i>
      <x v="9"/>
    </i>
    <i r="1">
      <x v="3"/>
    </i>
    <i r="2">
      <x v="65"/>
    </i>
    <i r="2">
      <x v="66"/>
    </i>
    <i r="2">
      <x v="67"/>
    </i>
    <i r="2">
      <x v="68"/>
    </i>
    <i r="2">
      <x v="69"/>
    </i>
    <i r="2">
      <x v="70"/>
    </i>
    <i>
      <x v="10"/>
    </i>
    <i r="1">
      <x v="3"/>
    </i>
    <i r="2">
      <x v="58"/>
    </i>
    <i r="2">
      <x v="59"/>
    </i>
    <i r="2">
      <x v="60"/>
    </i>
    <i r="2">
      <x v="61"/>
    </i>
    <i r="2">
      <x v="62"/>
    </i>
    <i r="2">
      <x v="63"/>
    </i>
    <i>
      <x v="11"/>
    </i>
    <i r="1">
      <x v="3"/>
    </i>
    <i r="2">
      <x v="51"/>
    </i>
    <i r="2">
      <x v="52"/>
    </i>
    <i r="2">
      <x v="53"/>
    </i>
    <i r="2">
      <x v="54"/>
    </i>
    <i r="2">
      <x v="55"/>
    </i>
    <i>
      <x v="12"/>
    </i>
    <i r="1">
      <x v="3"/>
    </i>
    <i r="2">
      <x v="44"/>
    </i>
    <i r="2">
      <x v="45"/>
    </i>
    <i r="2">
      <x v="46"/>
    </i>
    <i r="2">
      <x v="47"/>
    </i>
    <i r="2">
      <x v="48"/>
    </i>
    <i r="2">
      <x v="49"/>
    </i>
    <i>
      <x v="13"/>
    </i>
    <i r="1">
      <x v="3"/>
    </i>
    <i r="2">
      <x v="37"/>
    </i>
    <i r="2">
      <x v="38"/>
    </i>
    <i r="2">
      <x v="39"/>
    </i>
    <i r="2">
      <x v="40"/>
    </i>
    <i r="2">
      <x v="41"/>
    </i>
    <i r="2">
      <x v="42"/>
    </i>
    <i>
      <x v="14"/>
    </i>
    <i r="1">
      <x v="3"/>
    </i>
    <i r="2">
      <x v="30"/>
    </i>
    <i r="2">
      <x v="31"/>
    </i>
    <i r="2">
      <x v="32"/>
    </i>
    <i r="2">
      <x v="33"/>
    </i>
    <i r="2">
      <x v="34"/>
    </i>
    <i r="2">
      <x v="35"/>
    </i>
    <i>
      <x v="15"/>
    </i>
    <i r="1">
      <x v="3"/>
    </i>
    <i r="2">
      <x v="23"/>
    </i>
    <i r="2">
      <x v="24"/>
    </i>
    <i r="2">
      <x v="25"/>
    </i>
    <i r="2">
      <x v="26"/>
    </i>
    <i r="2">
      <x v="27"/>
    </i>
    <i r="2">
      <x v="28"/>
    </i>
    <i>
      <x v="16"/>
    </i>
    <i r="1">
      <x v="3"/>
    </i>
    <i r="2">
      <x v="16"/>
    </i>
    <i r="2">
      <x v="17"/>
    </i>
    <i r="2">
      <x v="18"/>
    </i>
    <i r="2">
      <x v="19"/>
    </i>
    <i r="2">
      <x v="20"/>
    </i>
    <i r="2">
      <x v="21"/>
    </i>
    <i>
      <x v="17"/>
    </i>
    <i r="1">
      <x v="3"/>
    </i>
    <i r="2">
      <x v="9"/>
    </i>
    <i r="2">
      <x v="10"/>
    </i>
    <i r="2">
      <x v="11"/>
    </i>
    <i r="2">
      <x v="12"/>
    </i>
    <i r="2">
      <x v="13"/>
    </i>
    <i r="2">
      <x v="14"/>
    </i>
    <i>
      <x v="18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8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2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42" firstHeaderRow="0" firstDataRow="1" firstDataCol="1"/>
  <pivotFields count="28">
    <pivotField axis="axisRow" showAll="0" sortType="ascending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axis="axisRow" showAll="0" sortType="ascending">
      <items count="19">
        <item h="1" x="1"/>
        <item sd="0" x="0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x="13"/>
        <item x="14"/>
        <item x="15"/>
        <item x="16"/>
        <item x="17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4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>
      <x v="14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>
      <x v="15"/>
    </i>
    <i r="1">
      <x v="98"/>
    </i>
    <i r="1">
      <x v="99"/>
    </i>
    <i r="1">
      <x v="100"/>
    </i>
    <i r="1">
      <x v="101"/>
    </i>
    <i r="1">
      <x v="102"/>
    </i>
    <i r="1">
      <x v="103"/>
    </i>
    <i>
      <x v="16"/>
    </i>
    <i r="1">
      <x v="105"/>
    </i>
    <i r="1">
      <x v="106"/>
    </i>
    <i r="1">
      <x v="107"/>
    </i>
    <i r="1">
      <x v="10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73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  <chartFormat chart="25" format="35">
      <pivotArea type="data" outline="0" fieldPosition="0">
        <references count="2">
          <reference field="4294967294" count="1" selected="0">
            <x v="1"/>
          </reference>
          <reference field="1" count="1" selected="0">
            <x v="1"/>
          </reference>
        </references>
      </pivotArea>
    </chartFormat>
    <chartFormat chart="25" format="36">
      <pivotArea type="data" outline="0" fieldPosition="0">
        <references count="2">
          <reference field="4294967294" count="1" selected="0">
            <x v="1"/>
          </reference>
          <reference field="1" count="1" selected="0">
            <x v="2"/>
          </reference>
        </references>
      </pivotArea>
    </chartFormat>
    <chartFormat chart="25" format="37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5" format="38">
      <pivotArea type="data" outline="0" fieldPosition="0">
        <references count="3">
          <reference field="4294967294" count="1" selected="0">
            <x v="1"/>
          </reference>
          <reference field="0" count="1" selected="0">
            <x v="84"/>
          </reference>
          <reference field="1" count="1" selected="0">
            <x v="13"/>
          </reference>
        </references>
      </pivotArea>
    </chartFormat>
    <chartFormat chart="25" format="39">
      <pivotArea type="data" outline="0" fieldPosition="0">
        <references count="3">
          <reference field="4294967294" count="1" selected="0">
            <x v="1"/>
          </reference>
          <reference field="0" count="1" selected="0">
            <x v="85"/>
          </reference>
          <reference field="1" count="1" selected="0">
            <x v="13"/>
          </reference>
        </references>
      </pivotArea>
    </chartFormat>
    <chartFormat chart="25" format="40">
      <pivotArea type="data" outline="0" fieldPosition="0">
        <references count="3">
          <reference field="4294967294" count="1" selected="0">
            <x v="1"/>
          </reference>
          <reference field="0" count="1" selected="0">
            <x v="86"/>
          </reference>
          <reference field="1" count="1" selected="0">
            <x v="13"/>
          </reference>
        </references>
      </pivotArea>
    </chartFormat>
    <chartFormat chart="25" format="41">
      <pivotArea type="data" outline="0" fieldPosition="0">
        <references count="3">
          <reference field="4294967294" count="1" selected="0">
            <x v="1"/>
          </reference>
          <reference field="0" count="1" selected="0">
            <x v="87"/>
          </reference>
          <reference field="1" count="1" selected="0">
            <x v="13"/>
          </reference>
        </references>
      </pivotArea>
    </chartFormat>
    <chartFormat chart="25" format="42">
      <pivotArea type="data" outline="0" fieldPosition="0">
        <references count="3">
          <reference field="4294967294" count="1" selected="0">
            <x v="1"/>
          </reference>
          <reference field="0" count="1" selected="0">
            <x v="88"/>
          </reference>
          <reference field="1" count="1" selected="0">
            <x v="13"/>
          </reference>
        </references>
      </pivotArea>
    </chartFormat>
    <chartFormat chart="25" format="43">
      <pivotArea type="data" outline="0" fieldPosition="0">
        <references count="3">
          <reference field="4294967294" count="1" selected="0">
            <x v="1"/>
          </reference>
          <reference field="0" count="1" selected="0">
            <x v="89"/>
          </reference>
          <reference field="1" count="1" selected="0">
            <x v="13"/>
          </reference>
        </references>
      </pivotArea>
    </chartFormat>
    <chartFormat chart="25" format="44">
      <pivotArea type="data" outline="0" fieldPosition="0">
        <references count="3">
          <reference field="4294967294" count="1" selected="0">
            <x v="1"/>
          </reference>
          <reference field="0" count="1" selected="0">
            <x v="90"/>
          </reference>
          <reference field="1" count="1" selected="0">
            <x v="13"/>
          </reference>
        </references>
      </pivotArea>
    </chartFormat>
    <chartFormat chart="25" format="45">
      <pivotArea type="data" outline="0" fieldPosition="0">
        <references count="3">
          <reference field="4294967294" count="1" selected="0">
            <x v="1"/>
          </reference>
          <reference field="0" count="1" selected="0">
            <x v="91"/>
          </reference>
          <reference field="1" count="1" selected="0">
            <x v="14"/>
          </reference>
        </references>
      </pivotArea>
    </chartFormat>
    <chartFormat chart="25" format="46">
      <pivotArea type="data" outline="0" fieldPosition="0">
        <references count="3">
          <reference field="4294967294" count="1" selected="0">
            <x v="1"/>
          </reference>
          <reference field="0" count="1" selected="0">
            <x v="92"/>
          </reference>
          <reference field="1" count="1" selected="0">
            <x v="14"/>
          </reference>
        </references>
      </pivotArea>
    </chartFormat>
    <chartFormat chart="25" format="47">
      <pivotArea type="data" outline="0" fieldPosition="0">
        <references count="3">
          <reference field="4294967294" count="1" selected="0">
            <x v="1"/>
          </reference>
          <reference field="0" count="1" selected="0">
            <x v="93"/>
          </reference>
          <reference field="1" count="1" selected="0">
            <x v="14"/>
          </reference>
        </references>
      </pivotArea>
    </chartFormat>
    <chartFormat chart="25" format="48">
      <pivotArea type="data" outline="0" fieldPosition="0">
        <references count="3">
          <reference field="4294967294" count="1" selected="0">
            <x v="1"/>
          </reference>
          <reference field="0" count="1" selected="0">
            <x v="94"/>
          </reference>
          <reference field="1" count="1" selected="0">
            <x v="14"/>
          </reference>
        </references>
      </pivotArea>
    </chartFormat>
    <chartFormat chart="25" format="49">
      <pivotArea type="data" outline="0" fieldPosition="0">
        <references count="3">
          <reference field="4294967294" count="1" selected="0">
            <x v="1"/>
          </reference>
          <reference field="0" count="1" selected="0">
            <x v="95"/>
          </reference>
          <reference field="1" count="1" selected="0">
            <x v="14"/>
          </reference>
        </references>
      </pivotArea>
    </chartFormat>
    <chartFormat chart="25" format="50">
      <pivotArea type="data" outline="0" fieldPosition="0">
        <references count="3">
          <reference field="4294967294" count="1" selected="0">
            <x v="1"/>
          </reference>
          <reference field="0" count="1" selected="0">
            <x v="96"/>
          </reference>
          <reference field="1" count="1" selected="0">
            <x v="14"/>
          </reference>
        </references>
      </pivotArea>
    </chartFormat>
    <chartFormat chart="25" format="51">
      <pivotArea type="data" outline="0" fieldPosition="0">
        <references count="3">
          <reference field="4294967294" count="1" selected="0">
            <x v="1"/>
          </reference>
          <reference field="0" count="1" selected="0">
            <x v="97"/>
          </reference>
          <reference field="1" count="1" selected="0">
            <x v="14"/>
          </reference>
        </references>
      </pivotArea>
    </chartFormat>
    <chartFormat chart="25" format="52">
      <pivotArea type="data" outline="0" fieldPosition="0">
        <references count="3">
          <reference field="4294967294" count="1" selected="0">
            <x v="1"/>
          </reference>
          <reference field="0" count="1" selected="0">
            <x v="98"/>
          </reference>
          <reference field="1" count="1" selected="0">
            <x v="15"/>
          </reference>
        </references>
      </pivotArea>
    </chartFormat>
    <chartFormat chart="25" format="53">
      <pivotArea type="data" outline="0" fieldPosition="0">
        <references count="3">
          <reference field="4294967294" count="1" selected="0">
            <x v="1"/>
          </reference>
          <reference field="0" count="1" selected="0">
            <x v="99"/>
          </reference>
          <reference field="1" count="1" selected="0">
            <x v="15"/>
          </reference>
        </references>
      </pivotArea>
    </chartFormat>
    <chartFormat chart="25" format="54">
      <pivotArea type="data" outline="0" fieldPosition="0">
        <references count="3">
          <reference field="4294967294" count="1" selected="0">
            <x v="1"/>
          </reference>
          <reference field="0" count="1" selected="0">
            <x v="100"/>
          </reference>
          <reference field="1" count="1" selected="0">
            <x v="15"/>
          </reference>
        </references>
      </pivotArea>
    </chartFormat>
    <chartFormat chart="25" format="55">
      <pivotArea type="data" outline="0" fieldPosition="0">
        <references count="3">
          <reference field="4294967294" count="1" selected="0">
            <x v="1"/>
          </reference>
          <reference field="0" count="1" selected="0">
            <x v="101"/>
          </reference>
          <reference field="1" count="1" selected="0">
            <x v="15"/>
          </reference>
        </references>
      </pivotArea>
    </chartFormat>
    <chartFormat chart="25" format="56">
      <pivotArea type="data" outline="0" fieldPosition="0">
        <references count="3">
          <reference field="4294967294" count="1" selected="0">
            <x v="1"/>
          </reference>
          <reference field="0" count="1" selected="0">
            <x v="102"/>
          </reference>
          <reference field="1" count="1" selected="0">
            <x v="15"/>
          </reference>
        </references>
      </pivotArea>
    </chartFormat>
    <chartFormat chart="25" format="57">
      <pivotArea type="data" outline="0" fieldPosition="0">
        <references count="3">
          <reference field="4294967294" count="1" selected="0">
            <x v="1"/>
          </reference>
          <reference field="0" count="1" selected="0">
            <x v="103"/>
          </reference>
          <reference field="1" count="1" selected="0">
            <x v="15"/>
          </reference>
        </references>
      </pivotArea>
    </chartFormat>
    <chartFormat chart="25" format="58">
      <pivotArea type="data" outline="0" fieldPosition="0">
        <references count="3">
          <reference field="4294967294" count="1" selected="0">
            <x v="1"/>
          </reference>
          <reference field="0" count="1" selected="0">
            <x v="105"/>
          </reference>
          <reference field="1" count="1" selected="0">
            <x v="16"/>
          </reference>
        </references>
      </pivotArea>
    </chartFormat>
    <chartFormat chart="25" format="59">
      <pivotArea type="data" outline="0" fieldPosition="0">
        <references count="3">
          <reference field="4294967294" count="1" selected="0">
            <x v="1"/>
          </reference>
          <reference field="0" count="1" selected="0">
            <x v="106"/>
          </reference>
          <reference field="1" count="1" selected="0">
            <x v="16"/>
          </reference>
        </references>
      </pivotArea>
    </chartFormat>
    <chartFormat chart="25" format="60">
      <pivotArea type="data" outline="0" fieldPosition="0">
        <references count="3">
          <reference field="4294967294" count="1" selected="0">
            <x v="1"/>
          </reference>
          <reference field="0" count="1" selected="0">
            <x v="107"/>
          </reference>
          <reference field="1" count="1" selected="0">
            <x v="16"/>
          </reference>
        </references>
      </pivotArea>
    </chartFormat>
    <chartFormat chart="25" format="61">
      <pivotArea type="data" outline="0" fieldPosition="0">
        <references count="3">
          <reference field="4294967294" count="1" selected="0">
            <x v="1"/>
          </reference>
          <reference field="0" count="1" selected="0">
            <x v="108"/>
          </reference>
          <reference field="1" count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9">
        <i x="1" s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8" s="1" nd="1"/>
        <i x="17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4"/>
        <i x="1"/>
        <i x="7"/>
        <i x="0"/>
        <i x="6"/>
        <i x="2" s="1"/>
        <i x="3"/>
        <i x="5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8">
        <i x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4"/>
        <i x="1"/>
        <i x="7"/>
        <i x="0" s="1"/>
        <i x="6"/>
        <i x="2"/>
        <i x="3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1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0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T5" sqref="T5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46251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34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46230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31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4"/>
  <sheetViews>
    <sheetView tabSelected="1" zoomScaleNormal="100" workbookViewId="0">
      <pane ySplit="4" topLeftCell="A961" activePane="bottomLeft" state="frozen"/>
      <selection pane="bottomLeft" activeCell="N977" sqref="N977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4">
        <v>46258</v>
      </c>
      <c r="B917" s="8" t="s">
        <v>3213</v>
      </c>
      <c r="C917" s="8" t="s">
        <v>36</v>
      </c>
      <c r="D917" s="8" t="s">
        <v>39</v>
      </c>
      <c r="E917" s="8" t="s">
        <v>47</v>
      </c>
      <c r="F917" s="13"/>
      <c r="G917" s="59"/>
      <c r="H917" s="6"/>
      <c r="I917" s="6">
        <f t="shared" ref="I917:I920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3214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3215</v>
      </c>
      <c r="Y917" s="2" t="s">
        <v>3216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4">
        <v>46258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4">
        <v>46258</v>
      </c>
      <c r="B919" s="8" t="s">
        <v>3213</v>
      </c>
      <c r="C919" s="8" t="s">
        <v>36</v>
      </c>
      <c r="D919" s="8" t="s">
        <v>67</v>
      </c>
      <c r="E919" s="8" t="s">
        <v>47</v>
      </c>
      <c r="F919" s="13"/>
      <c r="G919" s="59"/>
      <c r="H919" s="6"/>
      <c r="I919" s="6">
        <f t="shared" si="63"/>
        <v>109.44881889763781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3217</v>
      </c>
      <c r="O919" s="56">
        <v>695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3218</v>
      </c>
      <c r="Y919" s="2" t="s">
        <v>3219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4">
        <v>46258</v>
      </c>
      <c r="B920" s="8" t="s">
        <v>3213</v>
      </c>
      <c r="C920" s="8" t="s">
        <v>36</v>
      </c>
      <c r="D920" s="8" t="s">
        <v>67</v>
      </c>
      <c r="E920" s="8" t="s">
        <v>61</v>
      </c>
      <c r="F920" s="13"/>
      <c r="G920" s="59"/>
      <c r="H920" s="6"/>
      <c r="I920" s="6">
        <f t="shared" si="63"/>
        <v>0</v>
      </c>
      <c r="J920" s="2"/>
      <c r="K920" s="2"/>
      <c r="L920" s="2"/>
      <c r="M920" s="2"/>
      <c r="N920" s="2"/>
      <c r="O920" s="56">
        <v>225</v>
      </c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spans="1:28" x14ac:dyDescent="0.25">
      <c r="A921" s="4">
        <v>46258</v>
      </c>
      <c r="B921" s="8" t="s">
        <v>3213</v>
      </c>
      <c r="C921" s="8" t="s">
        <v>36</v>
      </c>
      <c r="D921" s="8" t="s">
        <v>50</v>
      </c>
      <c r="E921" s="8" t="s">
        <v>47</v>
      </c>
      <c r="F921" s="13"/>
      <c r="G921" s="59"/>
      <c r="H921" s="6"/>
      <c r="I921" s="6">
        <f t="shared" ref="I921" si="64">IFERROR(O921/K921,)</f>
        <v>210.57401812688821</v>
      </c>
      <c r="J921" s="2">
        <v>8.07</v>
      </c>
      <c r="K921" s="2">
        <v>6.62</v>
      </c>
      <c r="L921" s="2">
        <v>1.45</v>
      </c>
      <c r="M921" s="2">
        <v>17.97</v>
      </c>
      <c r="N921" s="2" t="s">
        <v>3220</v>
      </c>
      <c r="O921" s="56">
        <v>1394</v>
      </c>
      <c r="P921" s="2">
        <v>1.85</v>
      </c>
      <c r="Q921" s="2">
        <v>10.09</v>
      </c>
      <c r="R921" s="2">
        <v>138.16999999999999</v>
      </c>
      <c r="S921" s="2">
        <v>6.15</v>
      </c>
      <c r="T921" s="2">
        <v>4.24</v>
      </c>
      <c r="U921" s="2">
        <v>132.02000000000001</v>
      </c>
      <c r="V921" s="2">
        <v>19.95</v>
      </c>
      <c r="W921" s="2">
        <v>2640.11</v>
      </c>
      <c r="X921" s="2" t="s">
        <v>3221</v>
      </c>
      <c r="Y921" s="2" t="s">
        <v>3222</v>
      </c>
      <c r="Z921" s="2">
        <v>1.4</v>
      </c>
      <c r="AA921" s="2" t="s">
        <v>548</v>
      </c>
      <c r="AB921" s="2" t="s">
        <v>3223</v>
      </c>
    </row>
    <row r="922" spans="1:28" x14ac:dyDescent="0.25">
      <c r="A922" s="4">
        <v>46258</v>
      </c>
      <c r="B922" s="8" t="s">
        <v>3213</v>
      </c>
      <c r="C922" s="8" t="s">
        <v>36</v>
      </c>
      <c r="D922" s="8" t="s">
        <v>52</v>
      </c>
      <c r="E922" s="8" t="s">
        <v>47</v>
      </c>
      <c r="F922" s="13"/>
      <c r="G922" s="59"/>
      <c r="H922" s="6"/>
      <c r="I922" s="6">
        <f t="shared" ref="I922" si="65">IFERROR(O922/K922,)</f>
        <v>297.70992366412213</v>
      </c>
      <c r="J922" s="2">
        <v>13.33</v>
      </c>
      <c r="K922" s="2">
        <v>10.48</v>
      </c>
      <c r="L922" s="2">
        <v>2.85</v>
      </c>
      <c r="M922" s="2">
        <v>21.39</v>
      </c>
      <c r="N922" s="2" t="s">
        <v>3224</v>
      </c>
      <c r="O922" s="56">
        <v>3120</v>
      </c>
      <c r="P922" s="2">
        <v>2.2200000000000002</v>
      </c>
      <c r="Q922" s="2">
        <v>13.54</v>
      </c>
      <c r="R922" s="2">
        <v>230.44</v>
      </c>
      <c r="S922" s="2">
        <v>10.41</v>
      </c>
      <c r="T922" s="2">
        <v>3.65</v>
      </c>
      <c r="U922" s="2">
        <v>220.03</v>
      </c>
      <c r="V922" s="2" t="s">
        <v>2334</v>
      </c>
      <c r="W922" s="2">
        <v>1256.17</v>
      </c>
      <c r="X922" s="2" t="s">
        <v>3225</v>
      </c>
      <c r="Y922" s="2" t="s">
        <v>3226</v>
      </c>
      <c r="Z922" s="2" t="s">
        <v>548</v>
      </c>
      <c r="AA922" s="2" t="s">
        <v>548</v>
      </c>
      <c r="AB922" s="2">
        <v>125.6</v>
      </c>
    </row>
    <row r="923" spans="1:28" x14ac:dyDescent="0.25">
      <c r="A923" s="4">
        <v>46258</v>
      </c>
      <c r="B923" s="8" t="s">
        <v>3213</v>
      </c>
      <c r="C923" s="8" t="s">
        <v>36</v>
      </c>
      <c r="D923" s="7" t="s">
        <v>46</v>
      </c>
      <c r="E923" s="8" t="s">
        <v>47</v>
      </c>
      <c r="F923" s="13"/>
      <c r="G923" s="59"/>
      <c r="H923" s="6"/>
      <c r="I923" s="6">
        <f t="shared" ref="I923" si="66">IFERROR(O923/K923,)</f>
        <v>420.24336283185846</v>
      </c>
      <c r="J923" s="2">
        <v>11.59</v>
      </c>
      <c r="K923" s="2">
        <v>9.0399999999999991</v>
      </c>
      <c r="L923" s="2">
        <v>2.5499999999999998</v>
      </c>
      <c r="M923" s="2" t="s">
        <v>3227</v>
      </c>
      <c r="N923" s="2" t="s">
        <v>723</v>
      </c>
      <c r="O923" s="56">
        <v>3799</v>
      </c>
      <c r="P923" s="2">
        <v>3.55</v>
      </c>
      <c r="Q923" s="2">
        <v>12.85</v>
      </c>
      <c r="R923" s="2">
        <v>295.74</v>
      </c>
      <c r="S923" s="2">
        <v>15.61</v>
      </c>
      <c r="T923" s="2">
        <v>6.12</v>
      </c>
      <c r="U923" s="2">
        <v>280.12</v>
      </c>
      <c r="V923" s="2">
        <v>30.99</v>
      </c>
      <c r="W923" s="2">
        <v>8249.1299999999992</v>
      </c>
      <c r="X923" s="2" t="s">
        <v>3228</v>
      </c>
      <c r="Y923" s="2" t="s">
        <v>3229</v>
      </c>
      <c r="Z923" s="2">
        <v>0.1</v>
      </c>
      <c r="AA923" s="2" t="s">
        <v>548</v>
      </c>
      <c r="AB923" s="2">
        <v>259.2</v>
      </c>
    </row>
    <row r="924" spans="1:28" x14ac:dyDescent="0.25">
      <c r="A924" s="4">
        <v>46258</v>
      </c>
      <c r="B924" s="8" t="s">
        <v>3213</v>
      </c>
      <c r="C924" s="8" t="s">
        <v>36</v>
      </c>
      <c r="D924" s="8" t="s">
        <v>48</v>
      </c>
      <c r="E924" s="8" t="s">
        <v>47</v>
      </c>
      <c r="F924" s="13"/>
      <c r="G924" s="59"/>
      <c r="H924" s="6"/>
      <c r="I924" s="6">
        <f t="shared" ref="I924" si="67">IFERROR(O924/K924,)</f>
        <v>499.24012158054711</v>
      </c>
      <c r="J924" s="2">
        <v>7.23</v>
      </c>
      <c r="K924" s="2">
        <v>6.58</v>
      </c>
      <c r="L924" s="2">
        <v>0.65</v>
      </c>
      <c r="M924" s="2">
        <v>8.99</v>
      </c>
      <c r="N924" s="2" t="s">
        <v>3025</v>
      </c>
      <c r="O924" s="56">
        <v>3285</v>
      </c>
      <c r="P924" s="2">
        <v>4.43</v>
      </c>
      <c r="Q924" s="2">
        <v>13.12</v>
      </c>
      <c r="R924" s="2">
        <v>250.31</v>
      </c>
      <c r="S924" s="2">
        <v>4.26</v>
      </c>
      <c r="T924" s="2">
        <v>6.55</v>
      </c>
      <c r="U924" s="2">
        <v>246.05</v>
      </c>
      <c r="V924" s="2">
        <v>37.4</v>
      </c>
      <c r="W924" s="2">
        <v>6817.02</v>
      </c>
      <c r="X924" s="2" t="s">
        <v>3230</v>
      </c>
      <c r="Y924" s="2" t="s">
        <v>3231</v>
      </c>
      <c r="Z924" s="2" t="s">
        <v>548</v>
      </c>
      <c r="AA924" s="2" t="s">
        <v>548</v>
      </c>
      <c r="AB924" s="2">
        <v>49.8</v>
      </c>
    </row>
    <row r="925" spans="1:28" x14ac:dyDescent="0.25">
      <c r="A925" s="4">
        <v>46258</v>
      </c>
      <c r="B925" s="8" t="s">
        <v>3213</v>
      </c>
      <c r="C925" s="8" t="s">
        <v>36</v>
      </c>
      <c r="D925" s="8" t="s">
        <v>49</v>
      </c>
      <c r="E925" s="8" t="s">
        <v>47</v>
      </c>
      <c r="F925" s="13"/>
      <c r="G925" s="59"/>
      <c r="H925" s="6"/>
      <c r="I925" s="6">
        <f t="shared" ref="I925:I930" si="68">IFERROR(O925/K925,)</f>
        <v>550.64599483204131</v>
      </c>
      <c r="J925" s="2">
        <v>5.77</v>
      </c>
      <c r="K925" s="2">
        <v>3.87</v>
      </c>
      <c r="L925" s="2">
        <v>1.9</v>
      </c>
      <c r="M925" s="2">
        <v>32.92</v>
      </c>
      <c r="N925" s="2" t="s">
        <v>3232</v>
      </c>
      <c r="O925" s="56">
        <v>2131</v>
      </c>
      <c r="P925" s="2">
        <v>3.76</v>
      </c>
      <c r="Q925" s="2">
        <v>12.95</v>
      </c>
      <c r="R925" s="2">
        <v>168.45</v>
      </c>
      <c r="S925" s="2">
        <v>8.52</v>
      </c>
      <c r="T925" s="2">
        <v>4.4800000000000004</v>
      </c>
      <c r="U925" s="2">
        <v>159.93</v>
      </c>
      <c r="V925" s="2">
        <v>41.31</v>
      </c>
      <c r="W925" s="2">
        <v>2151.06</v>
      </c>
      <c r="X925" s="2" t="s">
        <v>3233</v>
      </c>
      <c r="Y925" s="2" t="s">
        <v>3234</v>
      </c>
      <c r="Z925" s="2" t="s">
        <v>548</v>
      </c>
      <c r="AA925" s="2" t="s">
        <v>548</v>
      </c>
      <c r="AB925" s="2">
        <v>5.7</v>
      </c>
    </row>
    <row r="926" spans="1:28" x14ac:dyDescent="0.25">
      <c r="A926" s="4">
        <v>46258</v>
      </c>
      <c r="B926" s="8" t="s">
        <v>3213</v>
      </c>
      <c r="C926" s="8" t="s">
        <v>36</v>
      </c>
      <c r="D926" s="8" t="s">
        <v>49</v>
      </c>
      <c r="E926" s="8" t="s">
        <v>61</v>
      </c>
      <c r="F926" s="13"/>
      <c r="G926" s="59"/>
      <c r="H926" s="6"/>
      <c r="I926" s="6">
        <f t="shared" si="68"/>
        <v>0</v>
      </c>
      <c r="J926" s="2"/>
      <c r="K926" s="2"/>
      <c r="L926" s="2"/>
      <c r="M926" s="2"/>
      <c r="N926" s="2"/>
      <c r="O926" s="56">
        <v>50</v>
      </c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4">
        <v>46259</v>
      </c>
      <c r="B927" s="8" t="s">
        <v>55</v>
      </c>
      <c r="C927" s="8" t="s">
        <v>56</v>
      </c>
      <c r="D927" s="8" t="s">
        <v>39</v>
      </c>
      <c r="E927" s="8" t="s">
        <v>47</v>
      </c>
      <c r="F927" s="13"/>
      <c r="G927" s="59" t="s">
        <v>146</v>
      </c>
      <c r="H927" s="6"/>
      <c r="I927" s="6">
        <f t="shared" si="68"/>
        <v>0</v>
      </c>
      <c r="J927" s="2">
        <v>0.08</v>
      </c>
      <c r="K927" s="2">
        <v>0.03</v>
      </c>
      <c r="L927" s="2">
        <v>0.05</v>
      </c>
      <c r="M927" s="2">
        <v>64.27</v>
      </c>
      <c r="N927" s="2" t="s">
        <v>548</v>
      </c>
      <c r="O927" s="56">
        <v>0</v>
      </c>
      <c r="P927" s="2" t="s">
        <v>45</v>
      </c>
      <c r="Q927" s="2" t="s">
        <v>548</v>
      </c>
      <c r="R927" s="2">
        <v>0.47</v>
      </c>
      <c r="S927" s="2">
        <v>0.47</v>
      </c>
      <c r="T927" s="2">
        <v>9.4600000000000009</v>
      </c>
      <c r="U927" s="2" t="s">
        <v>548</v>
      </c>
      <c r="V927" s="2" t="s">
        <v>548</v>
      </c>
      <c r="W927" s="2">
        <v>9385.7999999999993</v>
      </c>
      <c r="X927" s="2" t="s">
        <v>3215</v>
      </c>
      <c r="Y927" s="2" t="s">
        <v>3216</v>
      </c>
      <c r="Z927" s="2" t="s">
        <v>548</v>
      </c>
      <c r="AA927" s="2" t="s">
        <v>45</v>
      </c>
      <c r="AB927" s="2">
        <v>293.10000000000002</v>
      </c>
    </row>
    <row r="928" spans="1:28" x14ac:dyDescent="0.25">
      <c r="A928" s="4">
        <v>46259</v>
      </c>
      <c r="B928" s="8" t="s">
        <v>55</v>
      </c>
      <c r="C928" s="8" t="s">
        <v>56</v>
      </c>
      <c r="D928" s="8" t="s">
        <v>43</v>
      </c>
      <c r="E928" s="8" t="s">
        <v>2994</v>
      </c>
      <c r="F928" s="13"/>
      <c r="G928" s="59" t="s">
        <v>146</v>
      </c>
      <c r="H928" s="6"/>
      <c r="I928" s="6">
        <f t="shared" si="68"/>
        <v>0</v>
      </c>
      <c r="J928" s="2">
        <v>1.08</v>
      </c>
      <c r="K928" s="2">
        <v>0.57999999999999996</v>
      </c>
      <c r="L928" s="2">
        <v>0.5</v>
      </c>
      <c r="M928" s="2">
        <v>46.3</v>
      </c>
      <c r="N928" s="2" t="s">
        <v>45</v>
      </c>
      <c r="O928" s="56" t="s">
        <v>45</v>
      </c>
      <c r="P928" s="2" t="s">
        <v>45</v>
      </c>
      <c r="Q928" s="2" t="s">
        <v>45</v>
      </c>
      <c r="R928" s="2">
        <v>12.3</v>
      </c>
      <c r="S928" s="2">
        <v>1.89</v>
      </c>
      <c r="T928" s="2">
        <v>3.79</v>
      </c>
      <c r="U928" s="2">
        <v>10.41</v>
      </c>
      <c r="V928" s="2">
        <v>17.95</v>
      </c>
      <c r="W928" s="2">
        <v>8942.2000000000007</v>
      </c>
      <c r="X928" s="2" t="s">
        <v>45</v>
      </c>
      <c r="Y928" s="2" t="s">
        <v>45</v>
      </c>
      <c r="Z928" s="2" t="s">
        <v>548</v>
      </c>
      <c r="AA928" s="2" t="s">
        <v>45</v>
      </c>
      <c r="AB928" s="2">
        <v>266.3</v>
      </c>
    </row>
    <row r="929" spans="1:28" x14ac:dyDescent="0.25">
      <c r="A929" s="4">
        <v>46259</v>
      </c>
      <c r="B929" s="8" t="s">
        <v>3213</v>
      </c>
      <c r="C929" s="8" t="s">
        <v>36</v>
      </c>
      <c r="D929" s="8" t="s">
        <v>67</v>
      </c>
      <c r="E929" s="8" t="s">
        <v>47</v>
      </c>
      <c r="F929" s="13"/>
      <c r="G929" s="59"/>
      <c r="H929" s="6"/>
      <c r="I929" s="6">
        <f t="shared" si="68"/>
        <v>241.92592592592592</v>
      </c>
      <c r="J929" s="2">
        <v>7.85</v>
      </c>
      <c r="K929" s="2">
        <v>6.75</v>
      </c>
      <c r="L929" s="2">
        <v>1.1000000000000001</v>
      </c>
      <c r="M929" s="2">
        <v>14.02</v>
      </c>
      <c r="N929" s="2" t="s">
        <v>3235</v>
      </c>
      <c r="O929" s="56">
        <v>1633</v>
      </c>
      <c r="P929" s="2">
        <v>1.77</v>
      </c>
      <c r="Q929" s="2">
        <v>13.48</v>
      </c>
      <c r="R929" s="2">
        <v>121.13</v>
      </c>
      <c r="S929" s="2">
        <v>3.79</v>
      </c>
      <c r="T929" s="2">
        <v>3.44</v>
      </c>
      <c r="U929" s="2">
        <v>117.35</v>
      </c>
      <c r="V929" s="2">
        <v>17.39</v>
      </c>
      <c r="W929" s="2">
        <v>822.26</v>
      </c>
      <c r="X929" s="2" t="s">
        <v>3236</v>
      </c>
      <c r="Y929" s="2" t="s">
        <v>3237</v>
      </c>
      <c r="Z929" s="2">
        <v>1.6</v>
      </c>
      <c r="AA929" s="2" t="s">
        <v>548</v>
      </c>
      <c r="AB929" s="2">
        <v>82.3</v>
      </c>
    </row>
    <row r="930" spans="1:28" x14ac:dyDescent="0.25">
      <c r="A930" s="4">
        <v>46259</v>
      </c>
      <c r="B930" s="8" t="s">
        <v>3213</v>
      </c>
      <c r="C930" s="8" t="s">
        <v>36</v>
      </c>
      <c r="D930" s="8" t="s">
        <v>50</v>
      </c>
      <c r="E930" s="8" t="s">
        <v>47</v>
      </c>
      <c r="F930" s="13"/>
      <c r="G930" s="59"/>
      <c r="H930" s="6"/>
      <c r="I930" s="6">
        <f t="shared" si="68"/>
        <v>303.19888734353265</v>
      </c>
      <c r="J930" s="2">
        <v>8.44</v>
      </c>
      <c r="K930" s="2">
        <v>7.19</v>
      </c>
      <c r="L930" s="2">
        <v>1.25</v>
      </c>
      <c r="M930" s="2">
        <v>14.81</v>
      </c>
      <c r="N930" s="2" t="s">
        <v>3238</v>
      </c>
      <c r="O930" s="56">
        <v>2180</v>
      </c>
      <c r="P930" s="2">
        <v>2.44</v>
      </c>
      <c r="Q930" s="2">
        <v>16.329999999999998</v>
      </c>
      <c r="R930" s="2">
        <v>151.88999999999999</v>
      </c>
      <c r="S930" s="2">
        <v>4.7300000000000004</v>
      </c>
      <c r="T930" s="2">
        <v>3.79</v>
      </c>
      <c r="U930" s="2">
        <v>147.16</v>
      </c>
      <c r="V930" s="2">
        <v>20.46</v>
      </c>
      <c r="W930" s="2">
        <v>2648.55</v>
      </c>
      <c r="X930" s="2" t="s">
        <v>3239</v>
      </c>
      <c r="Y930" s="2" t="s">
        <v>3240</v>
      </c>
      <c r="Z930" s="2">
        <v>0.3</v>
      </c>
      <c r="AA930" s="2" t="s">
        <v>548</v>
      </c>
      <c r="AB930" s="2">
        <v>341.3</v>
      </c>
    </row>
    <row r="931" spans="1:28" x14ac:dyDescent="0.25">
      <c r="A931" s="4">
        <v>46259</v>
      </c>
      <c r="B931" s="8" t="s">
        <v>3213</v>
      </c>
      <c r="C931" s="8" t="s">
        <v>36</v>
      </c>
      <c r="D931" s="8" t="s">
        <v>50</v>
      </c>
      <c r="E931" s="8" t="s">
        <v>61</v>
      </c>
      <c r="F931" s="13"/>
      <c r="G931" s="59"/>
      <c r="H931" s="6"/>
      <c r="I931" s="6"/>
      <c r="J931" s="2"/>
      <c r="K931" s="2"/>
      <c r="L931" s="2"/>
      <c r="M931" s="2"/>
      <c r="N931" s="2"/>
      <c r="O931" s="56">
        <f>12*25</f>
        <v>300</v>
      </c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4">
        <v>46259</v>
      </c>
      <c r="B932" s="8" t="s">
        <v>3213</v>
      </c>
      <c r="C932" s="8" t="s">
        <v>36</v>
      </c>
      <c r="D932" s="8" t="s">
        <v>52</v>
      </c>
      <c r="E932" s="8" t="s">
        <v>47</v>
      </c>
      <c r="F932" s="13"/>
      <c r="G932" s="59"/>
      <c r="H932" s="6"/>
      <c r="I932" s="6">
        <f t="shared" ref="I932:I935" si="69">IFERROR(O932/K932,)</f>
        <v>158.07926829268294</v>
      </c>
      <c r="J932" s="2">
        <v>8.9600000000000009</v>
      </c>
      <c r="K932" s="2">
        <v>6.56</v>
      </c>
      <c r="L932" s="2">
        <v>2.4</v>
      </c>
      <c r="M932" s="2">
        <v>26.78</v>
      </c>
      <c r="N932" s="2" t="s">
        <v>3241</v>
      </c>
      <c r="O932" s="56">
        <v>1037</v>
      </c>
      <c r="P932" s="2">
        <v>2.42</v>
      </c>
      <c r="Q932" s="2">
        <v>9.65</v>
      </c>
      <c r="R932" s="2">
        <v>107.41</v>
      </c>
      <c r="S932" s="2">
        <v>8.99</v>
      </c>
      <c r="T932" s="2">
        <v>3.75</v>
      </c>
      <c r="U932" s="2">
        <v>98.42</v>
      </c>
      <c r="V932" s="2" t="s">
        <v>2545</v>
      </c>
      <c r="W932" s="2">
        <v>1265.1400000000001</v>
      </c>
      <c r="X932" s="2" t="s">
        <v>3242</v>
      </c>
      <c r="Y932" s="2" t="s">
        <v>3243</v>
      </c>
      <c r="Z932" s="2">
        <v>0.8</v>
      </c>
      <c r="AA932" s="2" t="s">
        <v>548</v>
      </c>
      <c r="AB932" s="2">
        <v>126.4</v>
      </c>
    </row>
    <row r="933" spans="1:28" x14ac:dyDescent="0.25">
      <c r="A933" s="4">
        <v>46259</v>
      </c>
      <c r="B933" s="8" t="s">
        <v>3213</v>
      </c>
      <c r="C933" s="8" t="s">
        <v>36</v>
      </c>
      <c r="D933" s="7" t="s">
        <v>46</v>
      </c>
      <c r="E933" s="8" t="s">
        <v>47</v>
      </c>
      <c r="F933" s="13"/>
      <c r="G933" s="59"/>
      <c r="H933" s="6"/>
      <c r="I933" s="6">
        <f t="shared" si="69"/>
        <v>415.74212893553226</v>
      </c>
      <c r="J933" s="2">
        <v>16.739999999999998</v>
      </c>
      <c r="K933" s="2">
        <v>13.34</v>
      </c>
      <c r="L933" s="2">
        <v>3.4</v>
      </c>
      <c r="M933" s="2">
        <v>20.309999999999999</v>
      </c>
      <c r="N933" s="2" t="s">
        <v>3244</v>
      </c>
      <c r="O933" s="56">
        <v>5546</v>
      </c>
      <c r="P933" s="2">
        <v>3.82</v>
      </c>
      <c r="Q933" s="2">
        <v>13.29</v>
      </c>
      <c r="R933" s="2">
        <v>417.34</v>
      </c>
      <c r="S933" s="2">
        <v>19.399999999999999</v>
      </c>
      <c r="T933" s="2">
        <v>5.71</v>
      </c>
      <c r="U933" s="2">
        <v>397.94</v>
      </c>
      <c r="V933" s="2">
        <v>29.83</v>
      </c>
      <c r="W933" s="2">
        <v>8265.86</v>
      </c>
      <c r="X933" s="2" t="s">
        <v>3245</v>
      </c>
      <c r="Y933" s="2" t="s">
        <v>3246</v>
      </c>
      <c r="Z933" s="2">
        <v>0.1</v>
      </c>
      <c r="AA933" s="2" t="s">
        <v>548</v>
      </c>
      <c r="AB933" s="2">
        <v>259.3</v>
      </c>
    </row>
    <row r="934" spans="1:28" x14ac:dyDescent="0.25">
      <c r="A934" s="4">
        <v>46259</v>
      </c>
      <c r="B934" s="8" t="s">
        <v>3213</v>
      </c>
      <c r="C934" s="8" t="s">
        <v>36</v>
      </c>
      <c r="D934" s="8" t="s">
        <v>48</v>
      </c>
      <c r="E934" s="7" t="s">
        <v>38</v>
      </c>
      <c r="F934" s="13">
        <v>1899</v>
      </c>
      <c r="G934" s="59"/>
      <c r="H934" s="6"/>
      <c r="I934" s="6">
        <f t="shared" si="69"/>
        <v>396.38554216867465</v>
      </c>
      <c r="J934" s="2">
        <v>9.1999999999999993</v>
      </c>
      <c r="K934" s="2">
        <v>8.3000000000000007</v>
      </c>
      <c r="L934" s="2">
        <v>0.9</v>
      </c>
      <c r="M934" s="2">
        <v>9.7799999999999994</v>
      </c>
      <c r="N934" s="2" t="s">
        <v>3247</v>
      </c>
      <c r="O934" s="56">
        <v>3290</v>
      </c>
      <c r="P934" s="2">
        <v>3.77</v>
      </c>
      <c r="Q934" s="2">
        <v>10.199999999999999</v>
      </c>
      <c r="R934" s="2">
        <v>322.70999999999998</v>
      </c>
      <c r="S934" s="2">
        <v>5.2</v>
      </c>
      <c r="T934" s="2">
        <v>5.78</v>
      </c>
      <c r="U934" s="2">
        <v>317.5</v>
      </c>
      <c r="V934" s="2">
        <v>38.25</v>
      </c>
      <c r="W934" s="2">
        <v>6826.22</v>
      </c>
      <c r="X934" s="2" t="s">
        <v>3248</v>
      </c>
      <c r="Y934" s="2" t="s">
        <v>3249</v>
      </c>
      <c r="Z934" s="2" t="s">
        <v>548</v>
      </c>
      <c r="AA934" s="2" t="s">
        <v>548</v>
      </c>
      <c r="AB934" s="2">
        <v>49.8</v>
      </c>
    </row>
    <row r="935" spans="1:28" x14ac:dyDescent="0.25">
      <c r="A935" s="4">
        <v>46259</v>
      </c>
      <c r="B935" s="8" t="s">
        <v>3213</v>
      </c>
      <c r="C935" s="8" t="s">
        <v>36</v>
      </c>
      <c r="D935" s="8" t="s">
        <v>49</v>
      </c>
      <c r="E935" s="8" t="s">
        <v>47</v>
      </c>
      <c r="F935" s="13"/>
      <c r="G935" s="59"/>
      <c r="H935" s="6"/>
      <c r="I935" s="6">
        <f t="shared" si="69"/>
        <v>553.14285714285711</v>
      </c>
      <c r="J935" s="2">
        <v>4.3499999999999996</v>
      </c>
      <c r="K935" s="2">
        <v>3.5</v>
      </c>
      <c r="L935" s="2">
        <v>0.85</v>
      </c>
      <c r="M935" s="2">
        <v>19.559999999999999</v>
      </c>
      <c r="N935" s="2" t="s">
        <v>3250</v>
      </c>
      <c r="O935" s="56">
        <v>1936</v>
      </c>
      <c r="P935" s="2">
        <v>3.7</v>
      </c>
      <c r="Q935" s="2">
        <v>13.87</v>
      </c>
      <c r="R935" s="2">
        <v>139.59</v>
      </c>
      <c r="S935" s="2">
        <v>5.2</v>
      </c>
      <c r="T935" s="2">
        <v>6.12</v>
      </c>
      <c r="U935" s="2">
        <v>134.38</v>
      </c>
      <c r="V935" s="2">
        <v>38.43</v>
      </c>
      <c r="W935" s="2">
        <v>2155.41</v>
      </c>
      <c r="X935" s="2" t="s">
        <v>3251</v>
      </c>
      <c r="Y935" s="2" t="s">
        <v>3252</v>
      </c>
      <c r="Z935" s="2" t="s">
        <v>548</v>
      </c>
      <c r="AA935" s="2" t="s">
        <v>548</v>
      </c>
      <c r="AB935" s="2">
        <v>5.7</v>
      </c>
    </row>
    <row r="936" spans="1:28" x14ac:dyDescent="0.25">
      <c r="A936" s="2" t="s">
        <v>3304</v>
      </c>
      <c r="B936" s="8" t="s">
        <v>3213</v>
      </c>
      <c r="C936" s="8" t="s">
        <v>36</v>
      </c>
      <c r="D936" s="8" t="s">
        <v>39</v>
      </c>
      <c r="E936" s="8" t="s">
        <v>47</v>
      </c>
      <c r="F936" s="13"/>
      <c r="G936" s="59"/>
      <c r="H936" s="6"/>
      <c r="I936" s="6">
        <f t="shared" ref="I936" si="70">IFERROR(O936/K936,)</f>
        <v>119.78723404255318</v>
      </c>
      <c r="J936" s="2">
        <v>5.5</v>
      </c>
      <c r="K936" s="2">
        <v>4.7</v>
      </c>
      <c r="L936" s="2">
        <v>0.8</v>
      </c>
      <c r="M936" s="2">
        <v>14.54</v>
      </c>
      <c r="N936" s="2" t="s">
        <v>3305</v>
      </c>
      <c r="O936" s="56">
        <v>563</v>
      </c>
      <c r="P936" s="2">
        <v>1.24</v>
      </c>
      <c r="Q936" s="2">
        <v>6.13</v>
      </c>
      <c r="R936" s="2">
        <v>91.8</v>
      </c>
      <c r="S936" s="2">
        <v>3.31</v>
      </c>
      <c r="T936" s="2">
        <v>4.1399999999999997</v>
      </c>
      <c r="U936" s="2">
        <v>88.48</v>
      </c>
      <c r="V936" s="2">
        <v>18.82</v>
      </c>
      <c r="W936" s="2">
        <v>9391.31</v>
      </c>
      <c r="X936" s="2" t="s">
        <v>3306</v>
      </c>
      <c r="Y936" s="2" t="s">
        <v>3307</v>
      </c>
      <c r="Z936" s="2" t="s">
        <v>548</v>
      </c>
      <c r="AA936" s="2" t="s">
        <v>548</v>
      </c>
      <c r="AB936" s="2">
        <v>293.10000000000002</v>
      </c>
    </row>
    <row r="937" spans="1:28" x14ac:dyDescent="0.25">
      <c r="A937" s="2" t="s">
        <v>3304</v>
      </c>
      <c r="B937" s="8" t="s">
        <v>3213</v>
      </c>
      <c r="C937" s="8" t="s">
        <v>36</v>
      </c>
      <c r="D937" s="8" t="s">
        <v>43</v>
      </c>
      <c r="E937" s="8" t="s">
        <v>47</v>
      </c>
      <c r="F937" s="13"/>
      <c r="G937" s="59"/>
      <c r="H937" s="6"/>
      <c r="I937" s="6">
        <f t="shared" ref="I937:I942" si="71">IFERROR(O937/K937,)</f>
        <v>135.13513513513513</v>
      </c>
      <c r="J937" s="2">
        <v>7.97</v>
      </c>
      <c r="K937" s="2">
        <v>5.92</v>
      </c>
      <c r="L937" s="2">
        <v>2.0499999999999998</v>
      </c>
      <c r="M937" s="2">
        <v>25.74</v>
      </c>
      <c r="N937" s="2" t="s">
        <v>45</v>
      </c>
      <c r="O937" s="56">
        <v>800</v>
      </c>
      <c r="P937" s="2" t="s">
        <v>45</v>
      </c>
      <c r="Q937" s="2" t="s">
        <v>45</v>
      </c>
      <c r="R937" s="2">
        <v>130.6</v>
      </c>
      <c r="S937" s="2">
        <v>8.52</v>
      </c>
      <c r="T937" s="2">
        <v>4.1500000000000004</v>
      </c>
      <c r="U937" s="2">
        <v>122.08</v>
      </c>
      <c r="V937" s="2">
        <v>20.64</v>
      </c>
      <c r="W937" s="2">
        <v>8950.25</v>
      </c>
      <c r="X937" s="2" t="s">
        <v>45</v>
      </c>
      <c r="Y937" s="2" t="s">
        <v>45</v>
      </c>
      <c r="Z937" s="2">
        <v>0.2</v>
      </c>
      <c r="AA937" s="2" t="s">
        <v>45</v>
      </c>
      <c r="AB937" s="2">
        <v>266.5</v>
      </c>
    </row>
    <row r="938" spans="1:28" x14ac:dyDescent="0.25">
      <c r="A938" s="2" t="s">
        <v>3304</v>
      </c>
      <c r="B938" s="8" t="s">
        <v>3213</v>
      </c>
      <c r="C938" s="8" t="s">
        <v>36</v>
      </c>
      <c r="D938" s="8" t="s">
        <v>67</v>
      </c>
      <c r="E938" s="8" t="s">
        <v>47</v>
      </c>
      <c r="F938" s="13"/>
      <c r="G938" s="59"/>
      <c r="H938" s="6"/>
      <c r="I938" s="6">
        <f t="shared" si="71"/>
        <v>319.50146627565982</v>
      </c>
      <c r="J938" s="2">
        <v>9.02</v>
      </c>
      <c r="K938" s="2">
        <v>6.82</v>
      </c>
      <c r="L938" s="2">
        <v>2.2000000000000002</v>
      </c>
      <c r="M938" s="2">
        <v>24.38</v>
      </c>
      <c r="N938" s="2" t="s">
        <v>3308</v>
      </c>
      <c r="O938" s="56">
        <v>2179</v>
      </c>
      <c r="P938" s="2">
        <v>1.82</v>
      </c>
      <c r="Q938" s="2">
        <v>14.3</v>
      </c>
      <c r="R938" s="2">
        <v>152.36000000000001</v>
      </c>
      <c r="S938" s="2">
        <v>7.1</v>
      </c>
      <c r="T938" s="2">
        <v>3.23</v>
      </c>
      <c r="U938" s="2">
        <v>145.27000000000001</v>
      </c>
      <c r="V938" s="2">
        <v>21.29</v>
      </c>
      <c r="W938" s="2">
        <v>831.28</v>
      </c>
      <c r="X938" s="2" t="s">
        <v>3309</v>
      </c>
      <c r="Y938" s="2" t="s">
        <v>3310</v>
      </c>
      <c r="Z938" s="2">
        <v>0.4</v>
      </c>
      <c r="AA938" s="2" t="s">
        <v>548</v>
      </c>
      <c r="AB938" s="2">
        <v>82.7</v>
      </c>
    </row>
    <row r="939" spans="1:28" x14ac:dyDescent="0.25">
      <c r="A939" s="2" t="s">
        <v>3304</v>
      </c>
      <c r="B939" s="8" t="s">
        <v>3213</v>
      </c>
      <c r="C939" s="8" t="s">
        <v>36</v>
      </c>
      <c r="D939" s="8" t="s">
        <v>50</v>
      </c>
      <c r="E939" s="8" t="s">
        <v>47</v>
      </c>
      <c r="F939" s="13"/>
      <c r="G939" s="59"/>
      <c r="H939" s="6"/>
      <c r="I939" s="6">
        <f t="shared" si="71"/>
        <v>337.7204884667571</v>
      </c>
      <c r="J939" s="2">
        <v>8.32</v>
      </c>
      <c r="K939" s="2">
        <v>7.37</v>
      </c>
      <c r="L939" s="2">
        <v>0.95</v>
      </c>
      <c r="M939" s="2">
        <v>11.42</v>
      </c>
      <c r="N939" s="2" t="s">
        <v>3311</v>
      </c>
      <c r="O939" s="56">
        <f>2839-350</f>
        <v>2489</v>
      </c>
      <c r="P939" s="2">
        <v>2.3199999999999998</v>
      </c>
      <c r="Q939" s="2">
        <v>17.86</v>
      </c>
      <c r="R939" s="2">
        <v>158.99</v>
      </c>
      <c r="S939" s="2">
        <v>3.79</v>
      </c>
      <c r="T939" s="2">
        <v>3.98</v>
      </c>
      <c r="U939" s="2">
        <v>155.19999999999999</v>
      </c>
      <c r="V939" s="2">
        <v>21.06</v>
      </c>
      <c r="W939" s="2">
        <v>2656.87</v>
      </c>
      <c r="X939" s="2" t="s">
        <v>3312</v>
      </c>
      <c r="Y939" s="2" t="s">
        <v>3313</v>
      </c>
      <c r="Z939" s="2">
        <v>0.1</v>
      </c>
      <c r="AA939" s="2" t="s">
        <v>548</v>
      </c>
      <c r="AB939" s="2">
        <v>341.4</v>
      </c>
    </row>
    <row r="940" spans="1:28" x14ac:dyDescent="0.25">
      <c r="A940" s="2" t="s">
        <v>3304</v>
      </c>
      <c r="B940" s="8" t="s">
        <v>3213</v>
      </c>
      <c r="C940" s="8" t="s">
        <v>36</v>
      </c>
      <c r="D940" s="8" t="s">
        <v>50</v>
      </c>
      <c r="E940" s="8" t="s">
        <v>61</v>
      </c>
      <c r="F940" s="13"/>
      <c r="G940" s="59"/>
      <c r="H940" s="6"/>
      <c r="I940" s="6">
        <f t="shared" si="71"/>
        <v>0</v>
      </c>
      <c r="J940" s="2"/>
      <c r="K940" s="2"/>
      <c r="L940" s="2"/>
      <c r="M940" s="2"/>
      <c r="N940" s="2"/>
      <c r="O940" s="56">
        <v>350</v>
      </c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2" t="s">
        <v>3304</v>
      </c>
      <c r="B941" s="8" t="s">
        <v>3213</v>
      </c>
      <c r="C941" s="8" t="s">
        <v>36</v>
      </c>
      <c r="D941" s="8" t="s">
        <v>52</v>
      </c>
      <c r="E941" s="8" t="s">
        <v>47</v>
      </c>
      <c r="F941" s="13"/>
      <c r="G941" s="59"/>
      <c r="H941" s="6"/>
      <c r="I941" s="6">
        <f t="shared" si="71"/>
        <v>96.989528795811523</v>
      </c>
      <c r="J941" s="2">
        <v>9.64</v>
      </c>
      <c r="K941" s="2">
        <v>7.64</v>
      </c>
      <c r="L941" s="2" t="s">
        <v>1380</v>
      </c>
      <c r="M941" s="2">
        <v>20.74</v>
      </c>
      <c r="N941" s="2" t="s">
        <v>3314</v>
      </c>
      <c r="O941" s="56">
        <v>741</v>
      </c>
      <c r="P941" s="2">
        <v>2.08</v>
      </c>
      <c r="Q941" s="2">
        <v>5.67</v>
      </c>
      <c r="R941" s="2">
        <v>130.6</v>
      </c>
      <c r="S941" s="2">
        <v>7.57</v>
      </c>
      <c r="T941" s="2">
        <v>3.79</v>
      </c>
      <c r="U941" s="2">
        <v>123.03</v>
      </c>
      <c r="V941" s="2">
        <v>16.100000000000001</v>
      </c>
      <c r="W941" s="2">
        <v>1274.78</v>
      </c>
      <c r="X941" s="2" t="s">
        <v>3315</v>
      </c>
      <c r="Y941" s="2" t="s">
        <v>3316</v>
      </c>
      <c r="Z941" s="2" t="s">
        <v>548</v>
      </c>
      <c r="AA941" s="2" t="s">
        <v>548</v>
      </c>
      <c r="AB941" s="2">
        <v>126.5</v>
      </c>
    </row>
    <row r="942" spans="1:28" x14ac:dyDescent="0.25">
      <c r="A942" s="2" t="s">
        <v>3304</v>
      </c>
      <c r="B942" s="8" t="s">
        <v>3213</v>
      </c>
      <c r="C942" s="8" t="s">
        <v>36</v>
      </c>
      <c r="D942" s="7" t="s">
        <v>46</v>
      </c>
      <c r="E942" s="8" t="s">
        <v>47</v>
      </c>
      <c r="F942" s="13"/>
      <c r="G942" s="59"/>
      <c r="H942" s="6"/>
      <c r="I942" s="6">
        <f t="shared" si="71"/>
        <v>385.15283842794759</v>
      </c>
      <c r="J942" s="2">
        <v>16.739999999999998</v>
      </c>
      <c r="K942" s="2">
        <v>13.74</v>
      </c>
      <c r="L942" s="2" t="s">
        <v>1489</v>
      </c>
      <c r="M942" s="2">
        <v>17.920000000000002</v>
      </c>
      <c r="N942" s="2" t="s">
        <v>3317</v>
      </c>
      <c r="O942" s="56">
        <v>5292</v>
      </c>
      <c r="P942" s="2">
        <v>3.6</v>
      </c>
      <c r="Q942" s="2">
        <v>12.06</v>
      </c>
      <c r="R942" s="2">
        <v>438.63</v>
      </c>
      <c r="S942" s="2">
        <v>18.45</v>
      </c>
      <c r="T942" s="2">
        <v>6.15</v>
      </c>
      <c r="U942" s="2">
        <v>420.18</v>
      </c>
      <c r="V942" s="2">
        <v>30.57</v>
      </c>
      <c r="W942" s="2">
        <v>8282.61</v>
      </c>
      <c r="X942" s="2" t="s">
        <v>3318</v>
      </c>
      <c r="Y942" s="2" t="s">
        <v>3319</v>
      </c>
      <c r="Z942" s="2">
        <v>0.1</v>
      </c>
      <c r="AA942" s="2" t="s">
        <v>548</v>
      </c>
      <c r="AB942" s="2">
        <v>259.39999999999998</v>
      </c>
    </row>
    <row r="943" spans="1:28" x14ac:dyDescent="0.25">
      <c r="A943" s="2" t="s">
        <v>3304</v>
      </c>
      <c r="B943" s="8" t="s">
        <v>3213</v>
      </c>
      <c r="C943" s="8" t="s">
        <v>36</v>
      </c>
      <c r="D943" s="8" t="s">
        <v>48</v>
      </c>
      <c r="E943" s="7" t="s">
        <v>38</v>
      </c>
      <c r="F943" s="13">
        <v>4058</v>
      </c>
      <c r="G943" s="59"/>
      <c r="H943" s="6"/>
      <c r="I943" s="6">
        <f t="shared" ref="I943:I966" si="72">IFERROR(O943/K943,)</f>
        <v>524.15130940834138</v>
      </c>
      <c r="J943" s="2">
        <v>11.06</v>
      </c>
      <c r="K943" s="2">
        <v>10.31</v>
      </c>
      <c r="L943" s="2">
        <v>0.75</v>
      </c>
      <c r="M943" s="2">
        <v>6.78</v>
      </c>
      <c r="N943" s="2" t="s">
        <v>3320</v>
      </c>
      <c r="O943" s="56">
        <v>5404</v>
      </c>
      <c r="P943" s="2">
        <v>4.3099999999999996</v>
      </c>
      <c r="Q943" s="2">
        <v>13.08</v>
      </c>
      <c r="R943" s="2">
        <v>413.08</v>
      </c>
      <c r="S943" s="2">
        <v>4.26</v>
      </c>
      <c r="T943" s="2">
        <v>5.68</v>
      </c>
      <c r="U943" s="2">
        <v>408.82</v>
      </c>
      <c r="V943" s="2">
        <v>39.659999999999997</v>
      </c>
      <c r="W943" s="2">
        <v>6837.28</v>
      </c>
      <c r="X943" s="2" t="s">
        <v>3321</v>
      </c>
      <c r="Y943" s="2" t="s">
        <v>3322</v>
      </c>
      <c r="Z943" s="2">
        <v>0.1</v>
      </c>
      <c r="AA943" s="2" t="s">
        <v>548</v>
      </c>
      <c r="AB943" s="2">
        <v>49.9</v>
      </c>
    </row>
    <row r="944" spans="1:28" x14ac:dyDescent="0.25">
      <c r="A944" s="2" t="s">
        <v>3304</v>
      </c>
      <c r="B944" s="8" t="s">
        <v>3213</v>
      </c>
      <c r="C944" s="8" t="s">
        <v>36</v>
      </c>
      <c r="D944" s="8" t="s">
        <v>49</v>
      </c>
      <c r="E944" s="8" t="s">
        <v>47</v>
      </c>
      <c r="F944" s="13"/>
      <c r="G944" s="59"/>
      <c r="H944" s="6"/>
      <c r="I944" s="6">
        <f t="shared" si="72"/>
        <v>416.54501216545009</v>
      </c>
      <c r="J944" s="2">
        <v>4.8099999999999996</v>
      </c>
      <c r="K944" s="2">
        <v>4.1100000000000003</v>
      </c>
      <c r="L944" s="2">
        <v>0.7</v>
      </c>
      <c r="M944" s="2">
        <v>14.55</v>
      </c>
      <c r="N944" s="2" t="s">
        <v>3323</v>
      </c>
      <c r="O944" s="56">
        <v>1712</v>
      </c>
      <c r="P944" s="2">
        <v>3.05</v>
      </c>
      <c r="Q944" s="2">
        <v>10.19</v>
      </c>
      <c r="R944" s="2">
        <v>167.98</v>
      </c>
      <c r="S944" s="2">
        <v>3.31</v>
      </c>
      <c r="T944" s="2">
        <v>4.7300000000000004</v>
      </c>
      <c r="U944" s="2">
        <v>164.67</v>
      </c>
      <c r="V944" s="2">
        <v>40.04</v>
      </c>
      <c r="W944" s="2">
        <v>2160.2199999999998</v>
      </c>
      <c r="X944" s="2" t="s">
        <v>3324</v>
      </c>
      <c r="Y944" s="2" t="s">
        <v>3325</v>
      </c>
      <c r="Z944" s="2" t="s">
        <v>548</v>
      </c>
      <c r="AA944" s="2" t="s">
        <v>548</v>
      </c>
      <c r="AB944" s="2">
        <v>5.7</v>
      </c>
    </row>
    <row r="945" spans="1:28" x14ac:dyDescent="0.25">
      <c r="A945" s="2" t="s">
        <v>3326</v>
      </c>
      <c r="B945" s="8" t="s">
        <v>3213</v>
      </c>
      <c r="C945" s="8" t="s">
        <v>36</v>
      </c>
      <c r="D945" s="8" t="s">
        <v>39</v>
      </c>
      <c r="E945" s="8" t="s">
        <v>47</v>
      </c>
      <c r="F945" s="13"/>
      <c r="G945" s="59"/>
      <c r="H945" s="6"/>
      <c r="I945" s="6">
        <f t="shared" si="72"/>
        <v>312.8621089223638</v>
      </c>
      <c r="J945" s="2">
        <v>9.83</v>
      </c>
      <c r="K945" s="2">
        <v>8.6300000000000008</v>
      </c>
      <c r="L945" s="2">
        <v>1.2</v>
      </c>
      <c r="M945" s="2">
        <v>12.21</v>
      </c>
      <c r="N945" s="2" t="s">
        <v>3327</v>
      </c>
      <c r="O945" s="56">
        <v>2700</v>
      </c>
      <c r="P945" s="2">
        <v>1.33</v>
      </c>
      <c r="Q945" s="2">
        <v>8.4700000000000006</v>
      </c>
      <c r="R945" s="2">
        <v>167.5</v>
      </c>
      <c r="S945" s="2">
        <v>5.2</v>
      </c>
      <c r="T945" s="2">
        <v>4.34</v>
      </c>
      <c r="U945" s="2">
        <v>162.30000000000001</v>
      </c>
      <c r="V945" s="2">
        <v>18.809999999999999</v>
      </c>
      <c r="W945" s="2">
        <v>9401.14</v>
      </c>
      <c r="X945" s="2" t="s">
        <v>3328</v>
      </c>
      <c r="Y945" s="2" t="s">
        <v>3329</v>
      </c>
      <c r="Z945" s="2">
        <v>0.3</v>
      </c>
      <c r="AA945" s="2" t="s">
        <v>548</v>
      </c>
      <c r="AB945" s="2">
        <v>293.39999999999998</v>
      </c>
    </row>
    <row r="946" spans="1:28" x14ac:dyDescent="0.25">
      <c r="A946" s="2" t="s">
        <v>3326</v>
      </c>
      <c r="B946" s="8" t="s">
        <v>3213</v>
      </c>
      <c r="C946" s="8" t="s">
        <v>36</v>
      </c>
      <c r="D946" s="8" t="s">
        <v>43</v>
      </c>
      <c r="E946" s="8" t="s">
        <v>61</v>
      </c>
      <c r="F946" s="13"/>
      <c r="G946" s="59"/>
      <c r="H946" s="6"/>
      <c r="I946" s="6">
        <f t="shared" si="72"/>
        <v>137.14733542319749</v>
      </c>
      <c r="J946" s="2">
        <v>8.6300000000000008</v>
      </c>
      <c r="K946" s="2">
        <v>6.38</v>
      </c>
      <c r="L946" s="2">
        <v>2.25</v>
      </c>
      <c r="M946" s="2">
        <v>26.08</v>
      </c>
      <c r="N946" s="2" t="s">
        <v>45</v>
      </c>
      <c r="O946" s="56">
        <v>875</v>
      </c>
      <c r="P946" s="2" t="s">
        <v>45</v>
      </c>
      <c r="Q946" s="2" t="s">
        <v>45</v>
      </c>
      <c r="R946" s="2">
        <v>136.75</v>
      </c>
      <c r="S946" s="2">
        <v>9.4600000000000009</v>
      </c>
      <c r="T946" s="2">
        <v>4.21</v>
      </c>
      <c r="U946" s="2">
        <v>127.28</v>
      </c>
      <c r="V946" s="2">
        <v>19.96</v>
      </c>
      <c r="W946" s="2">
        <v>8958.89</v>
      </c>
      <c r="X946" s="2" t="s">
        <v>45</v>
      </c>
      <c r="Y946" s="2" t="s">
        <v>45</v>
      </c>
      <c r="Z946" s="2">
        <v>0.2</v>
      </c>
      <c r="AA946" s="2" t="s">
        <v>45</v>
      </c>
      <c r="AB946" s="2">
        <v>266.7</v>
      </c>
    </row>
    <row r="947" spans="1:28" x14ac:dyDescent="0.25">
      <c r="A947" s="2" t="s">
        <v>3326</v>
      </c>
      <c r="B947" s="8" t="s">
        <v>3213</v>
      </c>
      <c r="C947" s="8" t="s">
        <v>36</v>
      </c>
      <c r="D947" s="8" t="s">
        <v>67</v>
      </c>
      <c r="E947" s="8" t="s">
        <v>47</v>
      </c>
      <c r="F947" s="13"/>
      <c r="G947" s="59"/>
      <c r="H947" s="6"/>
      <c r="I947" s="6">
        <f t="shared" si="72"/>
        <v>272.93103448275861</v>
      </c>
      <c r="J947" s="2">
        <v>8.4</v>
      </c>
      <c r="K947" s="2">
        <v>5.8</v>
      </c>
      <c r="L947" s="2">
        <v>2.6</v>
      </c>
      <c r="M947" s="2">
        <v>30.95</v>
      </c>
      <c r="N947" s="2" t="s">
        <v>3330</v>
      </c>
      <c r="O947" s="56">
        <v>1583</v>
      </c>
      <c r="P947" s="2">
        <v>2.16</v>
      </c>
      <c r="Q947" s="2">
        <v>16.079999999999998</v>
      </c>
      <c r="R947" s="2">
        <v>98.42</v>
      </c>
      <c r="S947" s="2">
        <v>8.52</v>
      </c>
      <c r="T947" s="2">
        <v>3.28</v>
      </c>
      <c r="U947" s="2">
        <v>89.9</v>
      </c>
      <c r="V947" s="2">
        <v>15.5</v>
      </c>
      <c r="W947" s="2">
        <v>839.68</v>
      </c>
      <c r="X947" s="2" t="s">
        <v>3331</v>
      </c>
      <c r="Y947" s="2" t="s">
        <v>3332</v>
      </c>
      <c r="Z947" s="2">
        <v>0.3</v>
      </c>
      <c r="AA947" s="2" t="s">
        <v>548</v>
      </c>
      <c r="AB947" s="2" t="s">
        <v>3333</v>
      </c>
    </row>
    <row r="948" spans="1:28" x14ac:dyDescent="0.25">
      <c r="A948" s="2" t="s">
        <v>3326</v>
      </c>
      <c r="B948" s="8" t="s">
        <v>3213</v>
      </c>
      <c r="C948" s="8" t="s">
        <v>36</v>
      </c>
      <c r="D948" s="8" t="s">
        <v>50</v>
      </c>
      <c r="E948" s="8" t="s">
        <v>47</v>
      </c>
      <c r="F948" s="13"/>
      <c r="G948" s="59"/>
      <c r="H948" s="6"/>
      <c r="I948" s="6">
        <f t="shared" si="72"/>
        <v>370.64896755162238</v>
      </c>
      <c r="J948" s="2">
        <v>7.78</v>
      </c>
      <c r="K948" s="2">
        <v>6.78</v>
      </c>
      <c r="L948" s="2" t="s">
        <v>1696</v>
      </c>
      <c r="M948" s="2">
        <v>12.86</v>
      </c>
      <c r="N948" s="2" t="s">
        <v>3334</v>
      </c>
      <c r="O948" s="56">
        <v>2513</v>
      </c>
      <c r="P948" s="2">
        <v>2.12</v>
      </c>
      <c r="Q948" s="2">
        <v>16.91</v>
      </c>
      <c r="R948" s="2">
        <v>148.58000000000001</v>
      </c>
      <c r="S948" s="2">
        <v>3.79</v>
      </c>
      <c r="T948" s="2">
        <v>3.79</v>
      </c>
      <c r="U948" s="2">
        <v>144.79</v>
      </c>
      <c r="V948" s="2">
        <v>21.36</v>
      </c>
      <c r="W948" s="2">
        <v>2664.65</v>
      </c>
      <c r="X948" s="2" t="s">
        <v>3335</v>
      </c>
      <c r="Y948" s="2" t="s">
        <v>3336</v>
      </c>
      <c r="Z948" s="2">
        <v>0.4</v>
      </c>
      <c r="AA948" s="2" t="s">
        <v>548</v>
      </c>
      <c r="AB948" s="2">
        <v>341.8</v>
      </c>
    </row>
    <row r="949" spans="1:28" x14ac:dyDescent="0.25">
      <c r="A949" s="2" t="s">
        <v>3326</v>
      </c>
      <c r="B949" s="8" t="s">
        <v>3213</v>
      </c>
      <c r="C949" s="8" t="s">
        <v>36</v>
      </c>
      <c r="D949" s="8" t="s">
        <v>52</v>
      </c>
      <c r="E949" s="8" t="s">
        <v>47</v>
      </c>
      <c r="F949" s="13"/>
      <c r="G949" s="59"/>
      <c r="H949" s="6"/>
      <c r="I949" s="6">
        <f t="shared" si="72"/>
        <v>179.22636103151862</v>
      </c>
      <c r="J949" s="2">
        <v>8.23</v>
      </c>
      <c r="K949" s="2">
        <v>6.98</v>
      </c>
      <c r="L949" s="2">
        <v>1.25</v>
      </c>
      <c r="M949" s="2">
        <v>15.19</v>
      </c>
      <c r="N949" s="2" t="s">
        <v>3337</v>
      </c>
      <c r="O949" s="56">
        <v>1251</v>
      </c>
      <c r="P949" s="2">
        <v>2.2799999999999998</v>
      </c>
      <c r="Q949" s="2">
        <v>11.16</v>
      </c>
      <c r="R949" s="2">
        <v>112.14</v>
      </c>
      <c r="S949" s="2">
        <v>4.7300000000000004</v>
      </c>
      <c r="T949" s="2">
        <v>3.79</v>
      </c>
      <c r="U949" s="2">
        <v>107.41</v>
      </c>
      <c r="V949" s="2">
        <v>15.39</v>
      </c>
      <c r="W949" s="2">
        <v>1283.01</v>
      </c>
      <c r="X949" s="2" t="s">
        <v>3338</v>
      </c>
      <c r="Y949" s="2" t="s">
        <v>3339</v>
      </c>
      <c r="Z949" s="2" t="s">
        <v>548</v>
      </c>
      <c r="AA949" s="2" t="s">
        <v>548</v>
      </c>
      <c r="AB949" s="2">
        <v>126.6</v>
      </c>
    </row>
    <row r="950" spans="1:28" x14ac:dyDescent="0.25">
      <c r="A950" s="2" t="s">
        <v>3326</v>
      </c>
      <c r="B950" s="8" t="s">
        <v>3213</v>
      </c>
      <c r="C950" s="8" t="s">
        <v>36</v>
      </c>
      <c r="D950" s="7" t="s">
        <v>46</v>
      </c>
      <c r="E950" s="8" t="s">
        <v>47</v>
      </c>
      <c r="F950" s="13"/>
      <c r="G950" s="59"/>
      <c r="H950" s="6"/>
      <c r="I950" s="6">
        <f t="shared" si="72"/>
        <v>338.35125448028674</v>
      </c>
      <c r="J950" s="2">
        <v>17.100000000000001</v>
      </c>
      <c r="K950" s="2">
        <v>13.95</v>
      </c>
      <c r="L950" s="2">
        <v>3.15</v>
      </c>
      <c r="M950" s="2">
        <v>18.420000000000002</v>
      </c>
      <c r="N950" s="2" t="s">
        <v>3340</v>
      </c>
      <c r="O950" s="56">
        <v>4720</v>
      </c>
      <c r="P950" s="2">
        <v>3.11</v>
      </c>
      <c r="Q950" s="2">
        <v>10.58</v>
      </c>
      <c r="R950" s="2">
        <v>446.21</v>
      </c>
      <c r="S950" s="2">
        <v>18.45</v>
      </c>
      <c r="T950" s="2">
        <v>5.86</v>
      </c>
      <c r="U950" s="2">
        <v>427.75</v>
      </c>
      <c r="V950" s="2">
        <v>30.66</v>
      </c>
      <c r="W950" s="2">
        <v>8299.7099999999991</v>
      </c>
      <c r="X950" s="2" t="s">
        <v>3341</v>
      </c>
      <c r="Y950" s="2" t="s">
        <v>3342</v>
      </c>
      <c r="Z950" s="2">
        <v>0.1</v>
      </c>
      <c r="AA950" s="2" t="s">
        <v>548</v>
      </c>
      <c r="AB950" s="2">
        <v>259.5</v>
      </c>
    </row>
    <row r="951" spans="1:28" x14ac:dyDescent="0.25">
      <c r="A951" s="2" t="s">
        <v>3326</v>
      </c>
      <c r="B951" s="8" t="s">
        <v>3213</v>
      </c>
      <c r="C951" s="8" t="s">
        <v>36</v>
      </c>
      <c r="D951" s="8" t="s">
        <v>48</v>
      </c>
      <c r="E951" s="7" t="s">
        <v>38</v>
      </c>
      <c r="F951" s="13">
        <v>3342</v>
      </c>
      <c r="G951" s="59"/>
      <c r="H951" s="6"/>
      <c r="I951" s="6">
        <f t="shared" si="72"/>
        <v>446.51162790697674</v>
      </c>
      <c r="J951" s="2">
        <v>9.65</v>
      </c>
      <c r="K951" s="2">
        <v>8.6</v>
      </c>
      <c r="L951" s="2">
        <v>1.05</v>
      </c>
      <c r="M951" s="2">
        <v>10.88</v>
      </c>
      <c r="N951" s="2" t="s">
        <v>3343</v>
      </c>
      <c r="O951" s="56">
        <v>3840</v>
      </c>
      <c r="P951" s="2">
        <v>4.2300000000000004</v>
      </c>
      <c r="Q951" s="2">
        <v>11.56</v>
      </c>
      <c r="R951" s="2">
        <v>332.17</v>
      </c>
      <c r="S951" s="2">
        <v>6.62</v>
      </c>
      <c r="T951" s="2">
        <v>6.31</v>
      </c>
      <c r="U951" s="2">
        <v>325.55</v>
      </c>
      <c r="V951" s="2">
        <v>37.86</v>
      </c>
      <c r="W951" s="2">
        <v>6846.93</v>
      </c>
      <c r="X951" s="2" t="s">
        <v>3344</v>
      </c>
      <c r="Y951" s="2" t="s">
        <v>3345</v>
      </c>
      <c r="Z951" s="2" t="s">
        <v>548</v>
      </c>
      <c r="AA951" s="2" t="s">
        <v>548</v>
      </c>
      <c r="AB951" s="2">
        <v>49.9</v>
      </c>
    </row>
    <row r="952" spans="1:28" x14ac:dyDescent="0.25">
      <c r="A952" s="2" t="s">
        <v>3326</v>
      </c>
      <c r="B952" s="8" t="s">
        <v>3213</v>
      </c>
      <c r="C952" s="8" t="s">
        <v>36</v>
      </c>
      <c r="D952" s="8" t="s">
        <v>49</v>
      </c>
      <c r="E952" s="8" t="s">
        <v>47</v>
      </c>
      <c r="F952" s="13"/>
      <c r="G952" s="59"/>
      <c r="H952" s="6"/>
      <c r="I952" s="6">
        <f t="shared" si="72"/>
        <v>363.08139534883719</v>
      </c>
      <c r="J952" s="2">
        <v>5.89</v>
      </c>
      <c r="K952" s="2">
        <v>3.44</v>
      </c>
      <c r="L952" s="2">
        <v>2.4500000000000002</v>
      </c>
      <c r="M952" s="2">
        <v>41.56</v>
      </c>
      <c r="N952" s="2" t="s">
        <v>3346</v>
      </c>
      <c r="O952" s="56">
        <v>1249</v>
      </c>
      <c r="P952" s="2">
        <v>3.35</v>
      </c>
      <c r="Q952" s="2">
        <v>8.9499999999999993</v>
      </c>
      <c r="R952" s="2">
        <v>139.59</v>
      </c>
      <c r="S952" s="2">
        <v>9.94</v>
      </c>
      <c r="T952" s="2">
        <v>4.0599999999999996</v>
      </c>
      <c r="U952" s="2">
        <v>129.65</v>
      </c>
      <c r="V952" s="2">
        <v>37.64</v>
      </c>
      <c r="W952" s="2">
        <v>2166.11</v>
      </c>
      <c r="X952" s="2" t="s">
        <v>3347</v>
      </c>
      <c r="Y952" s="2" t="s">
        <v>3348</v>
      </c>
      <c r="Z952" s="2">
        <v>0.1</v>
      </c>
      <c r="AA952" s="2" t="s">
        <v>548</v>
      </c>
      <c r="AB952" s="2">
        <v>5.8</v>
      </c>
    </row>
    <row r="953" spans="1:28" x14ac:dyDescent="0.25">
      <c r="A953" s="2" t="s">
        <v>3349</v>
      </c>
      <c r="B953" s="8" t="s">
        <v>3213</v>
      </c>
      <c r="C953" s="8" t="s">
        <v>36</v>
      </c>
      <c r="D953" s="8" t="s">
        <v>39</v>
      </c>
      <c r="E953" s="8" t="s">
        <v>47</v>
      </c>
      <c r="F953" s="13"/>
      <c r="G953" s="59"/>
      <c r="H953" s="6"/>
      <c r="I953" s="6">
        <f t="shared" si="72"/>
        <v>386.3346104725415</v>
      </c>
      <c r="J953" s="2">
        <v>8.98</v>
      </c>
      <c r="K953" s="2">
        <v>7.83</v>
      </c>
      <c r="L953" s="2">
        <v>1.1499999999999999</v>
      </c>
      <c r="M953" s="2">
        <v>12.8</v>
      </c>
      <c r="N953" s="2" t="s">
        <v>3350</v>
      </c>
      <c r="O953" s="56">
        <v>3025</v>
      </c>
      <c r="P953" s="2">
        <v>1.46</v>
      </c>
      <c r="Q953" s="2">
        <v>12.01</v>
      </c>
      <c r="R953" s="2">
        <v>150.94</v>
      </c>
      <c r="S953" s="2">
        <v>4.26</v>
      </c>
      <c r="T953" s="2">
        <v>3.7</v>
      </c>
      <c r="U953" s="2">
        <v>146.68</v>
      </c>
      <c r="V953" s="2">
        <v>18.73</v>
      </c>
      <c r="W953" s="2">
        <v>9410.1200000000008</v>
      </c>
      <c r="X953" s="2" t="s">
        <v>3351</v>
      </c>
      <c r="Y953" s="2" t="s">
        <v>3352</v>
      </c>
      <c r="Z953" s="2">
        <v>0.2</v>
      </c>
      <c r="AA953" s="2" t="s">
        <v>548</v>
      </c>
      <c r="AB953" s="2">
        <v>293.60000000000002</v>
      </c>
    </row>
    <row r="954" spans="1:28" x14ac:dyDescent="0.25">
      <c r="A954" s="2" t="s">
        <v>3349</v>
      </c>
      <c r="B954" s="8" t="s">
        <v>3213</v>
      </c>
      <c r="C954" s="8" t="s">
        <v>36</v>
      </c>
      <c r="D954" s="8" t="s">
        <v>43</v>
      </c>
      <c r="E954" s="8" t="s">
        <v>61</v>
      </c>
      <c r="F954" s="13"/>
      <c r="G954" s="59"/>
      <c r="H954" s="6"/>
      <c r="I954" s="6">
        <f t="shared" si="72"/>
        <v>121.29380053908356</v>
      </c>
      <c r="J954" s="2">
        <v>7.51</v>
      </c>
      <c r="K954" s="2">
        <v>3.71</v>
      </c>
      <c r="L954" s="2">
        <v>3.8</v>
      </c>
      <c r="M954" s="2">
        <v>50.57</v>
      </c>
      <c r="N954" s="2" t="s">
        <v>45</v>
      </c>
      <c r="O954" s="56">
        <v>450</v>
      </c>
      <c r="P954" s="2" t="s">
        <v>45</v>
      </c>
      <c r="Q954" s="2" t="s">
        <v>45</v>
      </c>
      <c r="R954" s="2">
        <v>90.85</v>
      </c>
      <c r="S954" s="2">
        <v>16.559999999999999</v>
      </c>
      <c r="T954" s="2">
        <v>4.3600000000000003</v>
      </c>
      <c r="U954" s="2">
        <v>74.290000000000006</v>
      </c>
      <c r="V954" s="2" t="s">
        <v>2117</v>
      </c>
      <c r="W954" s="2">
        <v>8966.43</v>
      </c>
      <c r="X954" s="2" t="s">
        <v>45</v>
      </c>
      <c r="Y954" s="2" t="s">
        <v>45</v>
      </c>
      <c r="Z954" s="2">
        <v>0.1</v>
      </c>
      <c r="AA954" s="2" t="s">
        <v>45</v>
      </c>
      <c r="AB954" s="2">
        <v>266.8</v>
      </c>
    </row>
    <row r="955" spans="1:28" x14ac:dyDescent="0.25">
      <c r="A955" s="2" t="s">
        <v>3349</v>
      </c>
      <c r="B955" s="8" t="s">
        <v>3213</v>
      </c>
      <c r="C955" s="8" t="s">
        <v>36</v>
      </c>
      <c r="D955" s="8" t="s">
        <v>67</v>
      </c>
      <c r="E955" s="8" t="s">
        <v>47</v>
      </c>
      <c r="F955" s="13"/>
      <c r="G955" s="59"/>
      <c r="H955" s="6"/>
      <c r="I955" s="6">
        <f t="shared" si="72"/>
        <v>218.53146853146853</v>
      </c>
      <c r="J955" s="2">
        <v>8.02</v>
      </c>
      <c r="K955" s="2">
        <v>5.72</v>
      </c>
      <c r="L955" s="2">
        <v>2.2999999999999998</v>
      </c>
      <c r="M955" s="2">
        <v>28.67</v>
      </c>
      <c r="N955" s="2" t="s">
        <v>1817</v>
      </c>
      <c r="O955" s="56">
        <v>1250</v>
      </c>
      <c r="P955" s="2">
        <v>1.8</v>
      </c>
      <c r="Q955" s="2">
        <v>9.93</v>
      </c>
      <c r="R955" s="2">
        <v>125.86</v>
      </c>
      <c r="S955" s="2">
        <v>7.57</v>
      </c>
      <c r="T955" s="2">
        <v>3.29</v>
      </c>
      <c r="U955" s="2">
        <v>118.29</v>
      </c>
      <c r="V955" s="2">
        <v>20.68</v>
      </c>
      <c r="W955" s="2">
        <v>847.7</v>
      </c>
      <c r="X955" s="2" t="s">
        <v>3353</v>
      </c>
      <c r="Y955" s="2" t="s">
        <v>3354</v>
      </c>
      <c r="Z955" s="2">
        <v>0.5</v>
      </c>
      <c r="AA955" s="2" t="s">
        <v>548</v>
      </c>
      <c r="AB955" s="2">
        <v>83.5</v>
      </c>
    </row>
    <row r="956" spans="1:28" x14ac:dyDescent="0.25">
      <c r="A956" s="2" t="s">
        <v>3349</v>
      </c>
      <c r="B956" s="8" t="s">
        <v>3213</v>
      </c>
      <c r="C956" s="8" t="s">
        <v>36</v>
      </c>
      <c r="D956" s="8" t="s">
        <v>50</v>
      </c>
      <c r="E956" s="8" t="s">
        <v>47</v>
      </c>
      <c r="F956" s="13"/>
      <c r="G956" s="59"/>
      <c r="H956" s="6"/>
      <c r="I956" s="6">
        <f t="shared" si="72"/>
        <v>143.11512415349887</v>
      </c>
      <c r="J956" s="2">
        <v>5.03</v>
      </c>
      <c r="K956" s="2">
        <v>4.43</v>
      </c>
      <c r="L956" s="2">
        <v>0.6</v>
      </c>
      <c r="M956" s="2">
        <v>11.92</v>
      </c>
      <c r="N956" s="2" t="s">
        <v>3355</v>
      </c>
      <c r="O956" s="56">
        <v>634</v>
      </c>
      <c r="P956" s="2">
        <v>1.86</v>
      </c>
      <c r="Q956" s="2">
        <v>7.7</v>
      </c>
      <c r="R956" s="2">
        <v>82.33</v>
      </c>
      <c r="S956" s="2">
        <v>2.84</v>
      </c>
      <c r="T956" s="2">
        <v>4.7300000000000004</v>
      </c>
      <c r="U956" s="2">
        <v>79.489999999999995</v>
      </c>
      <c r="V956" s="2">
        <v>17.93</v>
      </c>
      <c r="W956" s="2">
        <v>2669.69</v>
      </c>
      <c r="X956" s="2" t="s">
        <v>3356</v>
      </c>
      <c r="Y956" s="2" t="s">
        <v>3357</v>
      </c>
      <c r="Z956" s="2">
        <v>0.3</v>
      </c>
      <c r="AA956" s="2" t="s">
        <v>548</v>
      </c>
      <c r="AB956" s="2">
        <v>342.1</v>
      </c>
    </row>
    <row r="957" spans="1:28" x14ac:dyDescent="0.25">
      <c r="A957" s="2" t="s">
        <v>3349</v>
      </c>
      <c r="B957" s="8" t="s">
        <v>3213</v>
      </c>
      <c r="C957" s="8" t="s">
        <v>36</v>
      </c>
      <c r="D957" s="8" t="s">
        <v>52</v>
      </c>
      <c r="E957" s="8" t="s">
        <v>47</v>
      </c>
      <c r="F957" s="13"/>
      <c r="G957" s="59"/>
      <c r="H957" s="6"/>
      <c r="I957" s="6">
        <f t="shared" si="72"/>
        <v>298.71086556169433</v>
      </c>
      <c r="J957" s="2">
        <v>13.26</v>
      </c>
      <c r="K957" s="2">
        <v>10.86</v>
      </c>
      <c r="L957" s="2">
        <v>2.4</v>
      </c>
      <c r="M957" s="2">
        <v>18.100000000000001</v>
      </c>
      <c r="N957" s="2" t="s">
        <v>3358</v>
      </c>
      <c r="O957" s="56">
        <v>3244</v>
      </c>
      <c r="P957" s="2">
        <v>2.13</v>
      </c>
      <c r="Q957" s="2">
        <v>13.85</v>
      </c>
      <c r="R957" s="2">
        <v>234.22</v>
      </c>
      <c r="S957" s="2">
        <v>9.4600000000000009</v>
      </c>
      <c r="T957" s="2">
        <v>3.94</v>
      </c>
      <c r="U957" s="2">
        <v>224.76</v>
      </c>
      <c r="V957" s="2">
        <v>20.7</v>
      </c>
      <c r="W957" s="2">
        <v>1296.27</v>
      </c>
      <c r="X957" s="2" t="s">
        <v>3359</v>
      </c>
      <c r="Y957" s="2" t="s">
        <v>3360</v>
      </c>
      <c r="Z957" s="2" t="s">
        <v>548</v>
      </c>
      <c r="AA957" s="2" t="s">
        <v>548</v>
      </c>
      <c r="AB957" s="2">
        <v>126.6</v>
      </c>
    </row>
    <row r="958" spans="1:28" x14ac:dyDescent="0.25">
      <c r="A958" s="2" t="s">
        <v>3349</v>
      </c>
      <c r="B958" s="8" t="s">
        <v>3213</v>
      </c>
      <c r="C958" s="8" t="s">
        <v>36</v>
      </c>
      <c r="D958" s="7" t="s">
        <v>46</v>
      </c>
      <c r="E958" s="8" t="s">
        <v>47</v>
      </c>
      <c r="F958" s="13"/>
      <c r="G958" s="59"/>
      <c r="H958" s="6"/>
      <c r="I958" s="6">
        <f t="shared" si="72"/>
        <v>263.98046398046398</v>
      </c>
      <c r="J958" s="2">
        <v>10.24</v>
      </c>
      <c r="K958" s="2">
        <v>8.19</v>
      </c>
      <c r="L958" s="2">
        <v>2.0499999999999998</v>
      </c>
      <c r="M958" s="2">
        <v>20.03</v>
      </c>
      <c r="N958" s="2" t="s">
        <v>3361</v>
      </c>
      <c r="O958" s="56">
        <v>2162</v>
      </c>
      <c r="P958" s="2">
        <v>3.43</v>
      </c>
      <c r="Q958" s="2">
        <v>8.43</v>
      </c>
      <c r="R958" s="2">
        <v>256.45999999999998</v>
      </c>
      <c r="S958" s="2">
        <v>12.78</v>
      </c>
      <c r="T958" s="2">
        <v>6.23</v>
      </c>
      <c r="U958" s="2">
        <v>243.69</v>
      </c>
      <c r="V958" s="2">
        <v>29.77</v>
      </c>
      <c r="W958" s="2">
        <v>8309.94</v>
      </c>
      <c r="X958" s="2" t="s">
        <v>3362</v>
      </c>
      <c r="Y958" s="2" t="s">
        <v>3363</v>
      </c>
      <c r="Z958" s="2">
        <v>0.2</v>
      </c>
      <c r="AA958" s="2" t="s">
        <v>548</v>
      </c>
      <c r="AB958" s="2">
        <v>259.7</v>
      </c>
    </row>
    <row r="959" spans="1:28" x14ac:dyDescent="0.25">
      <c r="A959" s="2" t="s">
        <v>3349</v>
      </c>
      <c r="B959" s="8" t="s">
        <v>3213</v>
      </c>
      <c r="C959" s="8" t="s">
        <v>36</v>
      </c>
      <c r="D959" s="8" t="s">
        <v>48</v>
      </c>
      <c r="E959" s="7" t="s">
        <v>38</v>
      </c>
      <c r="F959" s="13">
        <v>3879</v>
      </c>
      <c r="G959" s="59"/>
      <c r="H959" s="6"/>
      <c r="I959" s="6">
        <f t="shared" si="72"/>
        <v>590.3769841269841</v>
      </c>
      <c r="J959" s="2">
        <v>11.23</v>
      </c>
      <c r="K959" s="2">
        <v>10.08</v>
      </c>
      <c r="L959" s="2">
        <v>1.1499999999999999</v>
      </c>
      <c r="M959" s="2">
        <v>10.24</v>
      </c>
      <c r="N959" s="2" t="s">
        <v>3178</v>
      </c>
      <c r="O959" s="56">
        <v>5951</v>
      </c>
      <c r="P959" s="2">
        <v>4.58</v>
      </c>
      <c r="Q959" s="2">
        <v>15.32</v>
      </c>
      <c r="R959" s="2">
        <v>388.48</v>
      </c>
      <c r="S959" s="2">
        <v>7.1</v>
      </c>
      <c r="T959" s="2">
        <v>6.17</v>
      </c>
      <c r="U959" s="2">
        <v>381.38</v>
      </c>
      <c r="V959" s="2">
        <v>37.83</v>
      </c>
      <c r="W959" s="2">
        <v>6858.16</v>
      </c>
      <c r="X959" s="2" t="s">
        <v>3364</v>
      </c>
      <c r="Y959" s="2" t="s">
        <v>3365</v>
      </c>
      <c r="Z959" s="2" t="s">
        <v>548</v>
      </c>
      <c r="AA959" s="2" t="s">
        <v>548</v>
      </c>
      <c r="AB959" s="2">
        <v>49.9</v>
      </c>
    </row>
    <row r="960" spans="1:28" x14ac:dyDescent="0.25">
      <c r="A960" s="2" t="s">
        <v>3349</v>
      </c>
      <c r="B960" s="8" t="s">
        <v>3213</v>
      </c>
      <c r="C960" s="8" t="s">
        <v>36</v>
      </c>
      <c r="D960" s="8" t="s">
        <v>49</v>
      </c>
      <c r="E960" s="8" t="s">
        <v>47</v>
      </c>
      <c r="F960" s="13"/>
      <c r="G960" s="59"/>
      <c r="H960" s="6"/>
      <c r="I960" s="6">
        <f t="shared" si="72"/>
        <v>445.26315789473688</v>
      </c>
      <c r="J960" s="2">
        <v>4.8</v>
      </c>
      <c r="K960" s="2">
        <v>3.8</v>
      </c>
      <c r="L960" s="2" t="s">
        <v>1696</v>
      </c>
      <c r="M960" s="2">
        <v>20.83</v>
      </c>
      <c r="N960" s="2" t="s">
        <v>3366</v>
      </c>
      <c r="O960" s="56">
        <v>1692</v>
      </c>
      <c r="P960" s="2">
        <v>3.16</v>
      </c>
      <c r="Q960" s="2">
        <v>11.35</v>
      </c>
      <c r="R960" s="2">
        <v>149.05000000000001</v>
      </c>
      <c r="S960" s="2">
        <v>5.2</v>
      </c>
      <c r="T960" s="2">
        <v>5.2</v>
      </c>
      <c r="U960" s="2">
        <v>143.85</v>
      </c>
      <c r="V960" s="2">
        <v>37.85</v>
      </c>
      <c r="W960" s="2">
        <v>2170.91</v>
      </c>
      <c r="X960" s="2" t="s">
        <v>3367</v>
      </c>
      <c r="Y960" s="2" t="s">
        <v>3368</v>
      </c>
      <c r="Z960" s="2" t="s">
        <v>548</v>
      </c>
      <c r="AA960" s="2" t="s">
        <v>548</v>
      </c>
      <c r="AB960" s="2">
        <v>5.8</v>
      </c>
    </row>
    <row r="961" spans="1:28" x14ac:dyDescent="0.25">
      <c r="A961" s="2" t="s">
        <v>3369</v>
      </c>
      <c r="B961" s="8" t="s">
        <v>3213</v>
      </c>
      <c r="C961" s="8" t="s">
        <v>36</v>
      </c>
      <c r="D961" s="8" t="s">
        <v>39</v>
      </c>
      <c r="E961" s="8" t="s">
        <v>47</v>
      </c>
      <c r="F961" s="13"/>
      <c r="G961" s="59"/>
      <c r="H961" s="6"/>
      <c r="I961" s="6">
        <f t="shared" si="72"/>
        <v>274.12008281573497</v>
      </c>
      <c r="J961" s="2">
        <v>6.38</v>
      </c>
      <c r="K961" s="2">
        <v>4.83</v>
      </c>
      <c r="L961" s="2">
        <v>1.55</v>
      </c>
      <c r="M961" s="2">
        <v>24.3</v>
      </c>
      <c r="N961" s="2" t="s">
        <v>3370</v>
      </c>
      <c r="O961" s="56">
        <v>1324</v>
      </c>
      <c r="P961" s="2">
        <v>1.71</v>
      </c>
      <c r="Q961" s="2">
        <v>13.39</v>
      </c>
      <c r="R961" s="2">
        <v>98.89</v>
      </c>
      <c r="S961" s="2">
        <v>6.62</v>
      </c>
      <c r="T961" s="2">
        <v>4.2699999999999996</v>
      </c>
      <c r="U961" s="2">
        <v>92.27</v>
      </c>
      <c r="V961" s="2">
        <v>19.11</v>
      </c>
      <c r="W961" s="2">
        <v>9416.5</v>
      </c>
      <c r="X961" s="2" t="s">
        <v>3371</v>
      </c>
      <c r="Y961" s="2" t="s">
        <v>3372</v>
      </c>
      <c r="Z961" s="2" t="s">
        <v>548</v>
      </c>
      <c r="AA961" s="2" t="s">
        <v>548</v>
      </c>
      <c r="AB961" s="2">
        <v>293.60000000000002</v>
      </c>
    </row>
    <row r="962" spans="1:28" x14ac:dyDescent="0.25">
      <c r="A962" s="2" t="s">
        <v>3369</v>
      </c>
      <c r="B962" s="8" t="s">
        <v>3213</v>
      </c>
      <c r="C962" s="8" t="s">
        <v>36</v>
      </c>
      <c r="D962" s="8" t="s">
        <v>43</v>
      </c>
      <c r="E962" s="8" t="s">
        <v>2994</v>
      </c>
      <c r="F962" s="13"/>
      <c r="G962" s="59"/>
      <c r="H962" s="6"/>
      <c r="I962" s="6">
        <f t="shared" si="72"/>
        <v>0</v>
      </c>
      <c r="J962" s="2">
        <v>3.87</v>
      </c>
      <c r="K962" s="2">
        <v>1.82</v>
      </c>
      <c r="L962" s="2">
        <v>2.0499999999999998</v>
      </c>
      <c r="M962" s="2">
        <v>52.98</v>
      </c>
      <c r="N962" s="2" t="s">
        <v>45</v>
      </c>
      <c r="O962" s="56" t="s">
        <v>45</v>
      </c>
      <c r="P962" s="2" t="s">
        <v>45</v>
      </c>
      <c r="Q962" s="2" t="s">
        <v>45</v>
      </c>
      <c r="R962" s="2">
        <v>45.9</v>
      </c>
      <c r="S962" s="2">
        <v>8.0399999999999991</v>
      </c>
      <c r="T962" s="2">
        <v>3.92</v>
      </c>
      <c r="U962" s="2">
        <v>37.85</v>
      </c>
      <c r="V962" s="2">
        <v>20.8</v>
      </c>
      <c r="W962" s="2">
        <v>8970.3700000000008</v>
      </c>
      <c r="X962" s="2" t="s">
        <v>45</v>
      </c>
      <c r="Y962" s="2" t="s">
        <v>45</v>
      </c>
      <c r="Z962" s="2">
        <v>0.9</v>
      </c>
      <c r="AA962" s="2" t="s">
        <v>45</v>
      </c>
      <c r="AB962" s="2">
        <v>267.7</v>
      </c>
    </row>
    <row r="963" spans="1:28" x14ac:dyDescent="0.25">
      <c r="A963" s="2" t="s">
        <v>3369</v>
      </c>
      <c r="B963" s="8" t="s">
        <v>3213</v>
      </c>
      <c r="C963" s="8" t="s">
        <v>36</v>
      </c>
      <c r="D963" s="8" t="s">
        <v>67</v>
      </c>
      <c r="E963" s="8" t="s">
        <v>47</v>
      </c>
      <c r="F963" s="13"/>
      <c r="G963" s="59"/>
      <c r="H963" s="6"/>
      <c r="I963" s="6">
        <f t="shared" si="72"/>
        <v>278.78228782287823</v>
      </c>
      <c r="J963" s="2">
        <v>6.87</v>
      </c>
      <c r="K963" s="2">
        <v>5.42</v>
      </c>
      <c r="L963" s="2">
        <v>1.45</v>
      </c>
      <c r="M963" s="2">
        <v>21.12</v>
      </c>
      <c r="N963" s="2" t="s">
        <v>3373</v>
      </c>
      <c r="O963" s="56">
        <v>1511</v>
      </c>
      <c r="P963" s="2">
        <v>2.12</v>
      </c>
      <c r="Q963" s="2">
        <v>12.19</v>
      </c>
      <c r="R963" s="2">
        <v>123.97</v>
      </c>
      <c r="S963" s="2">
        <v>4.7300000000000004</v>
      </c>
      <c r="T963" s="2">
        <v>3.26</v>
      </c>
      <c r="U963" s="2">
        <v>119.24</v>
      </c>
      <c r="V963" s="2">
        <v>22.02</v>
      </c>
      <c r="W963" s="2">
        <v>854.57</v>
      </c>
      <c r="X963" s="2" t="s">
        <v>3374</v>
      </c>
      <c r="Y963" s="2" t="s">
        <v>3375</v>
      </c>
      <c r="Z963" s="2">
        <v>1.4</v>
      </c>
      <c r="AA963" s="2" t="s">
        <v>548</v>
      </c>
      <c r="AB963" s="2">
        <v>84.9</v>
      </c>
    </row>
    <row r="964" spans="1:28" x14ac:dyDescent="0.25">
      <c r="A964" s="2" t="s">
        <v>3369</v>
      </c>
      <c r="B964" s="8" t="s">
        <v>3213</v>
      </c>
      <c r="C964" s="8" t="s">
        <v>36</v>
      </c>
      <c r="D964" s="8" t="s">
        <v>50</v>
      </c>
      <c r="E964" s="8" t="s">
        <v>47</v>
      </c>
      <c r="F964" s="13"/>
      <c r="G964" s="59"/>
      <c r="H964" s="6"/>
      <c r="I964" s="6">
        <f t="shared" si="72"/>
        <v>478.11158798283259</v>
      </c>
      <c r="J964" s="2">
        <v>5.56</v>
      </c>
      <c r="K964" s="2">
        <v>4.66</v>
      </c>
      <c r="L964" s="2">
        <v>0.9</v>
      </c>
      <c r="M964" s="2">
        <v>16.2</v>
      </c>
      <c r="N964" s="2" t="s">
        <v>3376</v>
      </c>
      <c r="O964" s="56">
        <v>2228</v>
      </c>
      <c r="P964" s="2">
        <v>2.2200000000000002</v>
      </c>
      <c r="Q964" s="2">
        <v>21.02</v>
      </c>
      <c r="R964" s="2">
        <v>105.99</v>
      </c>
      <c r="S964" s="2">
        <v>3.31</v>
      </c>
      <c r="T964" s="2">
        <v>3.68</v>
      </c>
      <c r="U964" s="2">
        <v>102.68</v>
      </c>
      <c r="V964" s="2">
        <v>22.06</v>
      </c>
      <c r="W964" s="2">
        <v>2675.24</v>
      </c>
      <c r="X964" s="2" t="s">
        <v>3377</v>
      </c>
      <c r="Y964" s="2" t="s">
        <v>3378</v>
      </c>
      <c r="Z964" s="2" t="s">
        <v>548</v>
      </c>
      <c r="AA964" s="2" t="s">
        <v>548</v>
      </c>
      <c r="AB964" s="2">
        <v>342.1</v>
      </c>
    </row>
    <row r="965" spans="1:28" x14ac:dyDescent="0.25">
      <c r="A965" s="2" t="s">
        <v>3369</v>
      </c>
      <c r="B965" s="8" t="s">
        <v>3213</v>
      </c>
      <c r="C965" s="8" t="s">
        <v>36</v>
      </c>
      <c r="D965" s="8" t="s">
        <v>52</v>
      </c>
      <c r="E965" s="8" t="s">
        <v>47</v>
      </c>
      <c r="F965" s="13"/>
      <c r="G965" s="59"/>
      <c r="H965" s="6"/>
      <c r="I965" s="6">
        <f t="shared" si="72"/>
        <v>281.46655922643032</v>
      </c>
      <c r="J965" s="2">
        <v>13.96</v>
      </c>
      <c r="K965" s="2">
        <v>12.41</v>
      </c>
      <c r="L965" s="2">
        <v>1.55</v>
      </c>
      <c r="M965" s="2">
        <v>11.1</v>
      </c>
      <c r="N965" s="2" t="s">
        <v>3379</v>
      </c>
      <c r="O965" s="56">
        <v>3493</v>
      </c>
      <c r="P965" s="2">
        <v>2.27</v>
      </c>
      <c r="Q965" s="2">
        <v>16.55</v>
      </c>
      <c r="R965" s="2">
        <v>211.04</v>
      </c>
      <c r="S965" s="2">
        <v>6.15</v>
      </c>
      <c r="T965" s="2">
        <v>3.97</v>
      </c>
      <c r="U965" s="2">
        <v>204.89</v>
      </c>
      <c r="V965" s="2">
        <v>16.510000000000002</v>
      </c>
      <c r="W965" s="2">
        <v>1310.23</v>
      </c>
      <c r="X965" s="2" t="s">
        <v>3380</v>
      </c>
      <c r="Y965" s="2" t="s">
        <v>3381</v>
      </c>
      <c r="Z965" s="2" t="s">
        <v>548</v>
      </c>
      <c r="AA965" s="2" t="s">
        <v>548</v>
      </c>
      <c r="AB965" s="2">
        <v>126.6</v>
      </c>
    </row>
    <row r="966" spans="1:28" x14ac:dyDescent="0.25">
      <c r="A966" s="2" t="s">
        <v>3369</v>
      </c>
      <c r="B966" s="8" t="s">
        <v>3213</v>
      </c>
      <c r="C966" s="8" t="s">
        <v>36</v>
      </c>
      <c r="D966" s="7" t="s">
        <v>46</v>
      </c>
      <c r="E966" s="8" t="s">
        <v>47</v>
      </c>
      <c r="F966" s="13"/>
      <c r="G966" s="59"/>
      <c r="H966" s="6"/>
      <c r="I966" s="6">
        <f t="shared" si="72"/>
        <v>250.83798882681563</v>
      </c>
      <c r="J966" s="2">
        <v>6.23</v>
      </c>
      <c r="K966" s="2">
        <v>3.58</v>
      </c>
      <c r="L966" s="2">
        <v>2.65</v>
      </c>
      <c r="M966" s="2">
        <v>42.55</v>
      </c>
      <c r="N966" s="2" t="s">
        <v>2812</v>
      </c>
      <c r="O966" s="56">
        <v>898</v>
      </c>
      <c r="P966" s="2">
        <v>3.58</v>
      </c>
      <c r="Q966" s="2">
        <v>7.62</v>
      </c>
      <c r="R966" s="2">
        <v>117.82</v>
      </c>
      <c r="S966" s="2">
        <v>14.67</v>
      </c>
      <c r="T966" s="2">
        <v>5.54</v>
      </c>
      <c r="U966" s="2">
        <v>103.15</v>
      </c>
      <c r="V966" s="2">
        <v>28.83</v>
      </c>
      <c r="W966" s="2">
        <v>8316.17</v>
      </c>
      <c r="X966" s="2" t="s">
        <v>3382</v>
      </c>
      <c r="Y966" s="2" t="s">
        <v>3383</v>
      </c>
      <c r="Z966" s="2" t="s">
        <v>548</v>
      </c>
      <c r="AA966" s="2" t="s">
        <v>548</v>
      </c>
      <c r="AB966" s="2">
        <v>259.7</v>
      </c>
    </row>
    <row r="967" spans="1:28" x14ac:dyDescent="0.25">
      <c r="A967" s="2" t="s">
        <v>3369</v>
      </c>
      <c r="B967" s="8" t="s">
        <v>3213</v>
      </c>
      <c r="C967" s="8" t="s">
        <v>36</v>
      </c>
      <c r="D967" s="8" t="s">
        <v>48</v>
      </c>
      <c r="E967" s="7" t="s">
        <v>38</v>
      </c>
      <c r="F967" s="13">
        <v>3190</v>
      </c>
      <c r="G967" s="59"/>
      <c r="H967" s="6"/>
      <c r="I967" s="6">
        <f t="shared" ref="I967:I968" si="73">IFERROR(O967/K967,)</f>
        <v>570.57182705718276</v>
      </c>
      <c r="J967" s="2">
        <v>8.02</v>
      </c>
      <c r="K967" s="2">
        <v>7.17</v>
      </c>
      <c r="L967" s="2">
        <v>0.85</v>
      </c>
      <c r="M967" s="2">
        <v>10.6</v>
      </c>
      <c r="N967" s="2" t="s">
        <v>3384</v>
      </c>
      <c r="O967" s="56">
        <v>4091</v>
      </c>
      <c r="P967" s="2">
        <v>4.93</v>
      </c>
      <c r="Q967" s="2">
        <v>14.86</v>
      </c>
      <c r="R967" s="2">
        <v>275.39</v>
      </c>
      <c r="S967" s="2">
        <v>5.2</v>
      </c>
      <c r="T967" s="2">
        <v>6.12</v>
      </c>
      <c r="U967" s="2">
        <v>270.18</v>
      </c>
      <c r="V967" s="2">
        <v>37.68</v>
      </c>
      <c r="W967" s="2">
        <v>6866.18</v>
      </c>
      <c r="X967" s="2" t="s">
        <v>3385</v>
      </c>
      <c r="Y967" s="2" t="s">
        <v>3386</v>
      </c>
      <c r="Z967" s="2" t="s">
        <v>548</v>
      </c>
      <c r="AA967" s="2" t="s">
        <v>548</v>
      </c>
      <c r="AB967" s="2">
        <v>49.9</v>
      </c>
    </row>
    <row r="968" spans="1:28" x14ac:dyDescent="0.25">
      <c r="A968" s="2" t="s">
        <v>3369</v>
      </c>
      <c r="B968" s="8" t="s">
        <v>3213</v>
      </c>
      <c r="C968" s="8" t="s">
        <v>36</v>
      </c>
      <c r="D968" s="8" t="s">
        <v>49</v>
      </c>
      <c r="E968" s="8" t="s">
        <v>47</v>
      </c>
      <c r="F968" s="13"/>
      <c r="G968" s="59"/>
      <c r="H968" s="6"/>
      <c r="I968" s="6">
        <f t="shared" si="73"/>
        <v>186.84210526315789</v>
      </c>
      <c r="J968" s="2">
        <v>6.85</v>
      </c>
      <c r="K968" s="2">
        <v>5.7</v>
      </c>
      <c r="L968" s="2">
        <v>1.1499999999999999</v>
      </c>
      <c r="M968" s="2">
        <v>16.79</v>
      </c>
      <c r="N968" s="2" t="s">
        <v>3387</v>
      </c>
      <c r="O968" s="56">
        <v>1065</v>
      </c>
      <c r="P968" s="2">
        <v>2.76</v>
      </c>
      <c r="Q968" s="2">
        <v>5.13</v>
      </c>
      <c r="R968" s="2">
        <v>207.72</v>
      </c>
      <c r="S968" s="2">
        <v>5.68</v>
      </c>
      <c r="T968" s="2">
        <v>4.9400000000000004</v>
      </c>
      <c r="U968" s="2">
        <v>202.05</v>
      </c>
      <c r="V968" s="2">
        <v>35.46</v>
      </c>
      <c r="W968" s="2">
        <v>2177.7600000000002</v>
      </c>
      <c r="X968" s="2" t="s">
        <v>3388</v>
      </c>
      <c r="Y968" s="2" t="s">
        <v>3389</v>
      </c>
      <c r="Z968" s="2">
        <v>0.1</v>
      </c>
      <c r="AA968" s="2" t="s">
        <v>548</v>
      </c>
      <c r="AB968" s="2">
        <v>5.9</v>
      </c>
    </row>
    <row r="969" spans="1:28" x14ac:dyDescent="0.25">
      <c r="A969" s="2" t="s">
        <v>3390</v>
      </c>
      <c r="B969" s="8" t="s">
        <v>55</v>
      </c>
      <c r="C969" s="8" t="s">
        <v>56</v>
      </c>
      <c r="D969" s="8" t="s">
        <v>39</v>
      </c>
      <c r="E969" s="8" t="s">
        <v>47</v>
      </c>
      <c r="F969" s="13"/>
      <c r="G969" s="59"/>
      <c r="H969" s="6"/>
      <c r="I969" s="6">
        <f t="shared" ref="I969" si="74">IFERROR(O969/K969,)</f>
        <v>0</v>
      </c>
      <c r="J969" s="2" t="s">
        <v>548</v>
      </c>
      <c r="K969" s="2" t="s">
        <v>548</v>
      </c>
      <c r="L969" s="2" t="s">
        <v>548</v>
      </c>
      <c r="M969" s="2" t="s">
        <v>45</v>
      </c>
      <c r="N969" s="2" t="s">
        <v>548</v>
      </c>
      <c r="O969" s="85">
        <v>0</v>
      </c>
      <c r="P969" s="2" t="s">
        <v>45</v>
      </c>
      <c r="Q969" s="2" t="s">
        <v>45</v>
      </c>
      <c r="R969" s="2" t="s">
        <v>548</v>
      </c>
      <c r="S969" s="2" t="s">
        <v>548</v>
      </c>
      <c r="T969" s="2" t="s">
        <v>45</v>
      </c>
      <c r="U969" s="2" t="s">
        <v>548</v>
      </c>
      <c r="V969" s="2" t="s">
        <v>45</v>
      </c>
      <c r="W969" s="2">
        <v>9416.5</v>
      </c>
      <c r="X969" s="2" t="s">
        <v>3371</v>
      </c>
      <c r="Y969" s="2" t="s">
        <v>3372</v>
      </c>
      <c r="Z969" s="2" t="s">
        <v>548</v>
      </c>
      <c r="AA969" s="2" t="s">
        <v>45</v>
      </c>
      <c r="AB969" s="2">
        <v>293.60000000000002</v>
      </c>
    </row>
    <row r="970" spans="1:28" x14ac:dyDescent="0.25">
      <c r="A970" s="2" t="s">
        <v>3390</v>
      </c>
      <c r="B970" s="8" t="s">
        <v>55</v>
      </c>
      <c r="C970" s="8" t="s">
        <v>56</v>
      </c>
      <c r="D970" s="8" t="s">
        <v>43</v>
      </c>
      <c r="E970" s="8" t="s">
        <v>47</v>
      </c>
      <c r="F970" s="13"/>
      <c r="G970" s="59"/>
      <c r="H970" s="6"/>
      <c r="I970" s="6">
        <f t="shared" ref="I970:I976" si="75">IFERROR(O970/K970,)</f>
        <v>0</v>
      </c>
      <c r="J970" s="2" t="s">
        <v>548</v>
      </c>
      <c r="K970" s="2" t="s">
        <v>548</v>
      </c>
      <c r="L970" s="2" t="s">
        <v>548</v>
      </c>
      <c r="M970" s="2" t="s">
        <v>45</v>
      </c>
      <c r="N970" s="2" t="s">
        <v>45</v>
      </c>
      <c r="O970" s="56" t="s">
        <v>45</v>
      </c>
      <c r="P970" s="2" t="s">
        <v>45</v>
      </c>
      <c r="Q970" s="2" t="s">
        <v>45</v>
      </c>
      <c r="R970" s="2" t="s">
        <v>548</v>
      </c>
      <c r="S970" s="2" t="s">
        <v>548</v>
      </c>
      <c r="T970" s="2" t="s">
        <v>45</v>
      </c>
      <c r="U970" s="2" t="s">
        <v>548</v>
      </c>
      <c r="V970" s="2" t="s">
        <v>45</v>
      </c>
      <c r="W970" s="2">
        <v>8970.3700000000008</v>
      </c>
      <c r="X970" s="2" t="s">
        <v>45</v>
      </c>
      <c r="Y970" s="2" t="s">
        <v>45</v>
      </c>
      <c r="Z970" s="2" t="s">
        <v>548</v>
      </c>
      <c r="AA970" s="2" t="s">
        <v>45</v>
      </c>
      <c r="AB970" s="2">
        <v>267.7</v>
      </c>
    </row>
    <row r="971" spans="1:28" x14ac:dyDescent="0.25">
      <c r="A971" s="2" t="s">
        <v>3390</v>
      </c>
      <c r="B971" s="8" t="s">
        <v>55</v>
      </c>
      <c r="C971" s="8" t="s">
        <v>56</v>
      </c>
      <c r="D971" s="8" t="s">
        <v>67</v>
      </c>
      <c r="E971" s="8" t="s">
        <v>47</v>
      </c>
      <c r="F971" s="13"/>
      <c r="G971" s="59"/>
      <c r="H971" s="6"/>
      <c r="I971" s="6">
        <f t="shared" si="75"/>
        <v>0</v>
      </c>
      <c r="J971" s="2" t="s">
        <v>548</v>
      </c>
      <c r="K971" s="2" t="s">
        <v>548</v>
      </c>
      <c r="L971" s="2" t="s">
        <v>548</v>
      </c>
      <c r="M971" s="2" t="s">
        <v>45</v>
      </c>
      <c r="N971" s="2" t="s">
        <v>548</v>
      </c>
      <c r="O971" s="85">
        <v>0</v>
      </c>
      <c r="P971" s="2" t="s">
        <v>45</v>
      </c>
      <c r="Q971" s="2" t="s">
        <v>45</v>
      </c>
      <c r="R971" s="2" t="s">
        <v>548</v>
      </c>
      <c r="S971" s="2" t="s">
        <v>548</v>
      </c>
      <c r="T971" s="2" t="s">
        <v>45</v>
      </c>
      <c r="U971" s="2" t="s">
        <v>548</v>
      </c>
      <c r="V971" s="2" t="s">
        <v>45</v>
      </c>
      <c r="W971" s="2">
        <v>854.57</v>
      </c>
      <c r="X971" s="2" t="s">
        <v>3374</v>
      </c>
      <c r="Y971" s="2" t="s">
        <v>3375</v>
      </c>
      <c r="Z971" s="2" t="s">
        <v>548</v>
      </c>
      <c r="AA971" s="2" t="s">
        <v>45</v>
      </c>
      <c r="AB971" s="2">
        <v>84.9</v>
      </c>
    </row>
    <row r="972" spans="1:28" x14ac:dyDescent="0.25">
      <c r="A972" s="2" t="s">
        <v>3390</v>
      </c>
      <c r="B972" s="8" t="s">
        <v>55</v>
      </c>
      <c r="C972" s="8" t="s">
        <v>56</v>
      </c>
      <c r="D972" s="8" t="s">
        <v>50</v>
      </c>
      <c r="E972" s="8" t="s">
        <v>47</v>
      </c>
      <c r="F972" s="13"/>
      <c r="G972" s="59"/>
      <c r="H972" s="6"/>
      <c r="I972" s="6">
        <f t="shared" si="75"/>
        <v>0</v>
      </c>
      <c r="J972" s="2" t="s">
        <v>548</v>
      </c>
      <c r="K972" s="2" t="s">
        <v>548</v>
      </c>
      <c r="L972" s="2" t="s">
        <v>548</v>
      </c>
      <c r="M972" s="2" t="s">
        <v>45</v>
      </c>
      <c r="N972" s="2" t="s">
        <v>548</v>
      </c>
      <c r="O972" s="85">
        <v>0</v>
      </c>
      <c r="P972" s="2" t="s">
        <v>45</v>
      </c>
      <c r="Q972" s="2" t="s">
        <v>45</v>
      </c>
      <c r="R972" s="2" t="s">
        <v>548</v>
      </c>
      <c r="S972" s="2" t="s">
        <v>548</v>
      </c>
      <c r="T972" s="2" t="s">
        <v>45</v>
      </c>
      <c r="U972" s="2" t="s">
        <v>548</v>
      </c>
      <c r="V972" s="2" t="s">
        <v>45</v>
      </c>
      <c r="W972" s="2">
        <v>2675.24</v>
      </c>
      <c r="X972" s="2" t="s">
        <v>3377</v>
      </c>
      <c r="Y972" s="2" t="s">
        <v>3378</v>
      </c>
      <c r="Z972" s="2" t="s">
        <v>548</v>
      </c>
      <c r="AA972" s="2" t="s">
        <v>45</v>
      </c>
      <c r="AB972" s="2">
        <v>342.1</v>
      </c>
    </row>
    <row r="973" spans="1:28" x14ac:dyDescent="0.25">
      <c r="A973" s="2" t="s">
        <v>3390</v>
      </c>
      <c r="B973" s="8" t="s">
        <v>55</v>
      </c>
      <c r="C973" s="8" t="s">
        <v>56</v>
      </c>
      <c r="D973" s="8" t="s">
        <v>52</v>
      </c>
      <c r="E973" s="8" t="s">
        <v>47</v>
      </c>
      <c r="F973" s="13"/>
      <c r="G973" s="59"/>
      <c r="H973" s="6"/>
      <c r="I973" s="6">
        <f t="shared" si="75"/>
        <v>0</v>
      </c>
      <c r="J973" s="2" t="s">
        <v>45</v>
      </c>
      <c r="K973" s="2" t="s">
        <v>45</v>
      </c>
      <c r="L973" s="2" t="s">
        <v>45</v>
      </c>
      <c r="M973" s="2" t="s">
        <v>45</v>
      </c>
      <c r="N973" s="2" t="s">
        <v>45</v>
      </c>
      <c r="O973" s="56" t="s">
        <v>45</v>
      </c>
      <c r="P973" s="2" t="s">
        <v>45</v>
      </c>
      <c r="Q973" s="2" t="s">
        <v>45</v>
      </c>
      <c r="R973" s="2" t="s">
        <v>45</v>
      </c>
      <c r="S973" s="2" t="s">
        <v>45</v>
      </c>
      <c r="T973" s="2" t="s">
        <v>45</v>
      </c>
      <c r="U973" s="2" t="s">
        <v>45</v>
      </c>
      <c r="V973" s="2" t="s">
        <v>45</v>
      </c>
      <c r="W973" s="2" t="s">
        <v>45</v>
      </c>
      <c r="X973" s="2" t="s">
        <v>45</v>
      </c>
      <c r="Y973" s="2" t="s">
        <v>45</v>
      </c>
      <c r="Z973" s="2" t="s">
        <v>45</v>
      </c>
      <c r="AA973" s="2" t="s">
        <v>45</v>
      </c>
      <c r="AB973" s="2" t="s">
        <v>45</v>
      </c>
    </row>
    <row r="974" spans="1:28" x14ac:dyDescent="0.25">
      <c r="A974" s="2" t="s">
        <v>3390</v>
      </c>
      <c r="B974" s="8" t="s">
        <v>55</v>
      </c>
      <c r="C974" s="8" t="s">
        <v>56</v>
      </c>
      <c r="D974" s="7" t="s">
        <v>46</v>
      </c>
      <c r="E974" s="8" t="s">
        <v>47</v>
      </c>
      <c r="F974" s="13"/>
      <c r="G974" s="59"/>
      <c r="H974" s="6"/>
      <c r="I974" s="6">
        <f t="shared" si="75"/>
        <v>0</v>
      </c>
      <c r="J974" s="2" t="s">
        <v>548</v>
      </c>
      <c r="K974" s="2" t="s">
        <v>548</v>
      </c>
      <c r="L974" s="2" t="s">
        <v>548</v>
      </c>
      <c r="M974" s="2" t="s">
        <v>45</v>
      </c>
      <c r="N974" s="2" t="s">
        <v>548</v>
      </c>
      <c r="O974" s="85">
        <v>0</v>
      </c>
      <c r="P974" s="2" t="s">
        <v>45</v>
      </c>
      <c r="Q974" s="2" t="s">
        <v>45</v>
      </c>
      <c r="R974" s="2" t="s">
        <v>548</v>
      </c>
      <c r="S974" s="2" t="s">
        <v>548</v>
      </c>
      <c r="T974" s="2" t="s">
        <v>45</v>
      </c>
      <c r="U974" s="2" t="s">
        <v>548</v>
      </c>
      <c r="V974" s="2" t="s">
        <v>45</v>
      </c>
      <c r="W974" s="2">
        <v>8316.17</v>
      </c>
      <c r="X974" s="2" t="s">
        <v>3382</v>
      </c>
      <c r="Y974" s="2" t="s">
        <v>3383</v>
      </c>
      <c r="Z974" s="2" t="s">
        <v>548</v>
      </c>
      <c r="AA974" s="2" t="s">
        <v>45</v>
      </c>
      <c r="AB974" s="2">
        <v>259.7</v>
      </c>
    </row>
    <row r="975" spans="1:28" x14ac:dyDescent="0.25">
      <c r="A975" s="2" t="s">
        <v>3390</v>
      </c>
      <c r="B975" s="8" t="s">
        <v>3213</v>
      </c>
      <c r="C975" s="8" t="s">
        <v>36</v>
      </c>
      <c r="D975" s="8" t="s">
        <v>48</v>
      </c>
      <c r="E975" s="7" t="s">
        <v>38</v>
      </c>
      <c r="F975" s="13">
        <v>1693</v>
      </c>
      <c r="G975" s="59"/>
      <c r="H975" s="6"/>
      <c r="I975" s="6">
        <f t="shared" si="75"/>
        <v>595.97315436241615</v>
      </c>
      <c r="J975" s="2">
        <v>3.28</v>
      </c>
      <c r="K975" s="2">
        <v>2.98</v>
      </c>
      <c r="L975" s="2">
        <v>0.3</v>
      </c>
      <c r="M975" s="2">
        <v>9.16</v>
      </c>
      <c r="N975" s="2" t="s">
        <v>1491</v>
      </c>
      <c r="O975" s="85">
        <v>1776</v>
      </c>
      <c r="P975" s="2">
        <v>4.42</v>
      </c>
      <c r="Q975" s="2">
        <v>15.97</v>
      </c>
      <c r="R975" s="2">
        <v>111.2</v>
      </c>
      <c r="S975" s="2">
        <v>2.37</v>
      </c>
      <c r="T975" s="2">
        <v>7.89</v>
      </c>
      <c r="U975" s="2">
        <v>108.83</v>
      </c>
      <c r="V975" s="2">
        <v>36.56</v>
      </c>
      <c r="W975" s="2">
        <v>6869.46</v>
      </c>
      <c r="X975" s="2" t="s">
        <v>3391</v>
      </c>
      <c r="Y975" s="2" t="s">
        <v>3392</v>
      </c>
      <c r="Z975" s="2" t="s">
        <v>548</v>
      </c>
      <c r="AA975" s="2" t="s">
        <v>548</v>
      </c>
      <c r="AB975" s="2">
        <v>49.9</v>
      </c>
    </row>
    <row r="976" spans="1:28" x14ac:dyDescent="0.25">
      <c r="A976" s="2" t="s">
        <v>3390</v>
      </c>
      <c r="B976" s="8" t="s">
        <v>55</v>
      </c>
      <c r="C976" s="8" t="s">
        <v>56</v>
      </c>
      <c r="D976" s="8" t="s">
        <v>49</v>
      </c>
      <c r="E976" s="8" t="s">
        <v>47</v>
      </c>
      <c r="F976" s="13"/>
      <c r="G976" s="59"/>
      <c r="H976" s="6"/>
      <c r="I976" s="6">
        <f t="shared" si="75"/>
        <v>0</v>
      </c>
      <c r="J976" s="2" t="s">
        <v>45</v>
      </c>
      <c r="K976" s="2" t="s">
        <v>45</v>
      </c>
      <c r="L976" s="2" t="s">
        <v>45</v>
      </c>
      <c r="M976" s="2" t="s">
        <v>45</v>
      </c>
      <c r="N976" s="2" t="s">
        <v>45</v>
      </c>
      <c r="O976" s="56" t="s">
        <v>45</v>
      </c>
      <c r="P976" s="2" t="s">
        <v>45</v>
      </c>
      <c r="Q976" s="2" t="s">
        <v>45</v>
      </c>
      <c r="R976" s="2" t="s">
        <v>45</v>
      </c>
      <c r="S976" s="2" t="s">
        <v>45</v>
      </c>
      <c r="T976" s="2" t="s">
        <v>45</v>
      </c>
      <c r="U976" s="2" t="s">
        <v>45</v>
      </c>
      <c r="V976" s="2" t="s">
        <v>45</v>
      </c>
      <c r="W976" s="2" t="s">
        <v>45</v>
      </c>
      <c r="X976" s="2" t="s">
        <v>45</v>
      </c>
      <c r="Y976" s="2" t="s">
        <v>45</v>
      </c>
      <c r="Z976" s="2" t="s">
        <v>45</v>
      </c>
      <c r="AA976" s="2" t="s">
        <v>45</v>
      </c>
      <c r="AB976" s="2" t="s">
        <v>45</v>
      </c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  <row r="1833" spans="1:28" x14ac:dyDescent="0.25">
      <c r="A1833" s="2"/>
      <c r="B1833" s="8"/>
      <c r="C1833" s="8"/>
      <c r="D1833" s="8"/>
      <c r="E1833" s="8"/>
      <c r="F1833" s="13"/>
      <c r="G1833" s="59"/>
      <c r="H1833" s="6"/>
      <c r="I1833" s="6"/>
      <c r="J1833" s="2"/>
      <c r="K1833" s="2"/>
      <c r="L1833" s="2"/>
      <c r="M1833" s="2"/>
      <c r="N1833" s="2"/>
      <c r="O1833" s="56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</row>
    <row r="1834" spans="1:28" x14ac:dyDescent="0.25">
      <c r="A1834" s="2"/>
      <c r="B1834" s="8"/>
      <c r="C1834" s="8"/>
      <c r="D1834" s="8"/>
      <c r="E1834" s="8"/>
      <c r="F1834" s="13"/>
      <c r="G1834" s="59"/>
      <c r="H1834" s="6"/>
      <c r="I1834" s="6"/>
      <c r="J1834" s="2"/>
      <c r="K1834" s="2"/>
      <c r="L1834" s="2"/>
      <c r="M1834" s="2"/>
      <c r="N1834" s="2"/>
      <c r="O1834" s="56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81"/>
  <sheetViews>
    <sheetView topLeftCell="H14" zoomScale="90" zoomScaleNormal="90" workbookViewId="0">
      <selection activeCell="L30" sqref="L30"/>
    </sheetView>
  </sheetViews>
  <sheetFormatPr defaultRowHeight="12.75" x14ac:dyDescent="0.2"/>
  <cols>
    <col min="1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3253</v>
      </c>
      <c r="R1" t="s">
        <v>3254</v>
      </c>
      <c r="S1" t="s">
        <v>3255</v>
      </c>
      <c r="T1" t="s">
        <v>3256</v>
      </c>
    </row>
    <row r="2" spans="1:20" x14ac:dyDescent="0.2">
      <c r="Q2" s="18" t="s">
        <v>35</v>
      </c>
      <c r="R2" s="19">
        <v>21501</v>
      </c>
      <c r="S2" s="19">
        <v>24000</v>
      </c>
      <c r="T2" s="19">
        <v>20064.010000000002</v>
      </c>
    </row>
    <row r="3" spans="1:20" x14ac:dyDescent="0.2">
      <c r="A3" s="9" t="s">
        <v>3253</v>
      </c>
      <c r="B3" s="15" t="s">
        <v>3255</v>
      </c>
      <c r="C3" s="15" t="s">
        <v>3254</v>
      </c>
      <c r="D3" t="s">
        <v>3257</v>
      </c>
      <c r="Q3" s="18" t="s">
        <v>57</v>
      </c>
      <c r="R3" s="19">
        <v>24929</v>
      </c>
      <c r="S3" s="19">
        <v>23999.999999999996</v>
      </c>
      <c r="T3" s="19">
        <v>20107.3</v>
      </c>
    </row>
    <row r="4" spans="1:20" x14ac:dyDescent="0.2">
      <c r="A4" s="10" t="s">
        <v>55</v>
      </c>
      <c r="B4" s="15">
        <v>21000</v>
      </c>
      <c r="C4" s="15">
        <v>7249</v>
      </c>
      <c r="D4">
        <v>139</v>
      </c>
      <c r="Q4" s="18" t="s">
        <v>58</v>
      </c>
      <c r="R4" s="19">
        <v>21506</v>
      </c>
      <c r="S4" s="19">
        <v>24000</v>
      </c>
      <c r="T4" s="19">
        <v>16060.82</v>
      </c>
    </row>
    <row r="5" spans="1:20" x14ac:dyDescent="0.2">
      <c r="A5" s="11" t="s">
        <v>47</v>
      </c>
      <c r="B5" s="15">
        <v>21000</v>
      </c>
      <c r="C5" s="15">
        <v>7249</v>
      </c>
      <c r="D5">
        <v>139</v>
      </c>
      <c r="Q5" s="18" t="s">
        <v>62</v>
      </c>
      <c r="R5" s="19">
        <v>29193</v>
      </c>
      <c r="S5" s="19">
        <v>23999.999999999996</v>
      </c>
      <c r="T5" s="19">
        <v>24914</v>
      </c>
    </row>
    <row r="6" spans="1:20" x14ac:dyDescent="0.2">
      <c r="A6" s="12">
        <v>46257</v>
      </c>
      <c r="B6" s="15"/>
      <c r="C6" s="15">
        <v>0</v>
      </c>
      <c r="D6">
        <v>7</v>
      </c>
      <c r="Q6" s="18" t="s">
        <v>64</v>
      </c>
      <c r="R6" s="19">
        <v>22686</v>
      </c>
      <c r="S6" s="19">
        <v>23999.999999999996</v>
      </c>
      <c r="T6" s="19">
        <v>16976</v>
      </c>
    </row>
    <row r="7" spans="1:20" x14ac:dyDescent="0.2">
      <c r="A7" s="12">
        <v>46250</v>
      </c>
      <c r="B7" s="15"/>
      <c r="C7" s="15">
        <v>0</v>
      </c>
      <c r="D7">
        <v>7</v>
      </c>
      <c r="Q7" s="18" t="s">
        <v>66</v>
      </c>
      <c r="R7" s="19">
        <v>18765</v>
      </c>
      <c r="S7" s="19">
        <v>24000</v>
      </c>
      <c r="T7" s="19">
        <v>12141</v>
      </c>
    </row>
    <row r="8" spans="1:20" x14ac:dyDescent="0.2">
      <c r="A8" s="12">
        <v>46249</v>
      </c>
      <c r="B8" s="15"/>
      <c r="C8" s="15">
        <v>0</v>
      </c>
      <c r="D8">
        <v>1</v>
      </c>
      <c r="Q8" s="18" t="s">
        <v>68</v>
      </c>
      <c r="R8" s="19">
        <v>12604</v>
      </c>
      <c r="S8" s="19">
        <v>24000</v>
      </c>
      <c r="T8" s="19">
        <v>8992</v>
      </c>
    </row>
    <row r="9" spans="1:20" x14ac:dyDescent="0.2">
      <c r="A9" s="12">
        <v>46243</v>
      </c>
      <c r="B9" s="15"/>
      <c r="C9" s="15">
        <v>0</v>
      </c>
      <c r="D9">
        <v>7</v>
      </c>
      <c r="Q9" s="18" t="s">
        <v>71</v>
      </c>
      <c r="R9" s="19">
        <v>17296</v>
      </c>
      <c r="S9" s="19">
        <v>24000</v>
      </c>
      <c r="T9" s="19">
        <v>14207</v>
      </c>
    </row>
    <row r="10" spans="1:20" x14ac:dyDescent="0.2">
      <c r="A10" s="12">
        <v>46238</v>
      </c>
      <c r="B10" s="15"/>
      <c r="C10" s="15">
        <v>0</v>
      </c>
      <c r="D10">
        <v>1</v>
      </c>
      <c r="Q10" s="18" t="s">
        <v>559</v>
      </c>
      <c r="R10" s="19">
        <v>12502</v>
      </c>
      <c r="S10" s="19">
        <v>24000</v>
      </c>
      <c r="T10" s="19">
        <v>8482.7999999999993</v>
      </c>
    </row>
    <row r="11" spans="1:20" x14ac:dyDescent="0.2">
      <c r="A11" s="12">
        <v>46236</v>
      </c>
      <c r="B11" s="15"/>
      <c r="C11" s="15">
        <v>0</v>
      </c>
      <c r="D11">
        <v>7</v>
      </c>
      <c r="Q11" s="18" t="s">
        <v>982</v>
      </c>
      <c r="R11" s="19">
        <v>12634</v>
      </c>
      <c r="S11" s="19">
        <v>24000</v>
      </c>
      <c r="T11" s="19">
        <v>8479</v>
      </c>
    </row>
    <row r="12" spans="1:20" hidden="1" x14ac:dyDescent="0.2">
      <c r="A12" s="12">
        <v>46234</v>
      </c>
      <c r="B12" s="15"/>
      <c r="C12" s="15">
        <v>0</v>
      </c>
      <c r="D12">
        <v>1</v>
      </c>
      <c r="Q12" s="18" t="s">
        <v>1361</v>
      </c>
      <c r="R12" s="19">
        <v>8451</v>
      </c>
      <c r="S12" s="19">
        <v>24000</v>
      </c>
      <c r="T12" s="19">
        <v>6570</v>
      </c>
    </row>
    <row r="13" spans="1:20" x14ac:dyDescent="0.2">
      <c r="A13" s="12">
        <v>46233</v>
      </c>
      <c r="B13" s="15"/>
      <c r="C13" s="15">
        <v>0</v>
      </c>
      <c r="D13">
        <v>1</v>
      </c>
      <c r="Q13" s="18" t="s">
        <v>1827</v>
      </c>
      <c r="R13" s="19">
        <v>21413</v>
      </c>
      <c r="S13" s="19">
        <v>24000</v>
      </c>
      <c r="T13" s="19">
        <v>17022</v>
      </c>
    </row>
    <row r="14" spans="1:20" x14ac:dyDescent="0.2">
      <c r="A14" s="12">
        <v>46232</v>
      </c>
      <c r="B14" s="15"/>
      <c r="C14" s="15">
        <v>0</v>
      </c>
      <c r="D14">
        <v>1</v>
      </c>
      <c r="Q14" s="18" t="s">
        <v>2254</v>
      </c>
      <c r="R14" s="19">
        <v>23332</v>
      </c>
      <c r="S14" s="19">
        <v>23999.999999999996</v>
      </c>
      <c r="T14" s="19">
        <v>17642</v>
      </c>
    </row>
    <row r="15" spans="1:20" x14ac:dyDescent="0.2">
      <c r="A15" s="12">
        <v>46231</v>
      </c>
      <c r="B15" s="15"/>
      <c r="C15" s="15">
        <v>0</v>
      </c>
      <c r="D15">
        <v>1</v>
      </c>
      <c r="Q15" s="55">
        <v>46230</v>
      </c>
      <c r="R15" s="19">
        <v>2502</v>
      </c>
      <c r="S15" s="19">
        <v>3428.5714285714284</v>
      </c>
      <c r="T15" s="19">
        <v>2126</v>
      </c>
    </row>
    <row r="16" spans="1:20" x14ac:dyDescent="0.2">
      <c r="A16" s="12">
        <v>46230</v>
      </c>
      <c r="B16" s="15"/>
      <c r="C16" s="15">
        <v>0</v>
      </c>
      <c r="D16">
        <v>1</v>
      </c>
      <c r="Q16" s="55">
        <v>46231</v>
      </c>
      <c r="R16" s="19">
        <v>2060</v>
      </c>
      <c r="S16" s="19">
        <v>3428.5714285714284</v>
      </c>
      <c r="T16" s="19">
        <v>1876</v>
      </c>
    </row>
    <row r="17" spans="1:20" x14ac:dyDescent="0.2">
      <c r="A17" s="12">
        <v>46229</v>
      </c>
      <c r="B17" s="15"/>
      <c r="C17" s="15">
        <v>0</v>
      </c>
      <c r="D17">
        <v>7</v>
      </c>
      <c r="Q17" s="55">
        <v>46232</v>
      </c>
      <c r="R17" s="19">
        <v>1911</v>
      </c>
      <c r="S17" s="19">
        <v>3428.5714285714284</v>
      </c>
      <c r="T17" s="19">
        <v>1454</v>
      </c>
    </row>
    <row r="18" spans="1:20" x14ac:dyDescent="0.2">
      <c r="A18" s="12">
        <v>46226</v>
      </c>
      <c r="B18" s="15"/>
      <c r="C18" s="15">
        <v>0</v>
      </c>
      <c r="D18">
        <v>1</v>
      </c>
      <c r="Q18" s="55">
        <v>46233</v>
      </c>
      <c r="R18" s="19">
        <v>3807</v>
      </c>
      <c r="S18" s="19">
        <v>3428.5714285714284</v>
      </c>
      <c r="T18" s="19">
        <v>3801</v>
      </c>
    </row>
    <row r="19" spans="1:20" x14ac:dyDescent="0.2">
      <c r="A19" s="12">
        <v>46225</v>
      </c>
      <c r="B19" s="15"/>
      <c r="C19" s="15">
        <v>0</v>
      </c>
      <c r="D19">
        <v>1</v>
      </c>
      <c r="Q19" s="55">
        <v>46234</v>
      </c>
      <c r="R19" s="19">
        <v>3589</v>
      </c>
      <c r="S19" s="19">
        <v>3428.5714285714284</v>
      </c>
      <c r="T19" s="19">
        <v>2305</v>
      </c>
    </row>
    <row r="20" spans="1:20" x14ac:dyDescent="0.2">
      <c r="A20" s="12">
        <v>46224</v>
      </c>
      <c r="B20" s="15"/>
      <c r="C20" s="15">
        <v>0</v>
      </c>
      <c r="D20">
        <v>1</v>
      </c>
      <c r="Q20" s="55">
        <v>46235</v>
      </c>
      <c r="R20" s="19">
        <v>5475</v>
      </c>
      <c r="S20" s="19">
        <v>3428.5714285714284</v>
      </c>
      <c r="T20" s="19">
        <v>3375</v>
      </c>
    </row>
    <row r="21" spans="1:20" x14ac:dyDescent="0.2">
      <c r="A21" s="12">
        <v>46222</v>
      </c>
      <c r="B21" s="15"/>
      <c r="C21" s="15">
        <v>0</v>
      </c>
      <c r="D21">
        <v>7</v>
      </c>
      <c r="Q21" s="55">
        <v>46236</v>
      </c>
      <c r="R21" s="19">
        <v>3988</v>
      </c>
      <c r="S21" s="19">
        <v>3428.5714285714284</v>
      </c>
      <c r="T21" s="19">
        <v>2705</v>
      </c>
    </row>
    <row r="22" spans="1:20" x14ac:dyDescent="0.2">
      <c r="A22" s="12">
        <v>46218</v>
      </c>
      <c r="B22" s="15"/>
      <c r="C22" s="15">
        <v>0</v>
      </c>
      <c r="D22">
        <v>1</v>
      </c>
      <c r="Q22" s="18" t="s">
        <v>2681</v>
      </c>
      <c r="R22" s="19">
        <v>37834</v>
      </c>
      <c r="S22" s="19">
        <v>23999.999999999996</v>
      </c>
      <c r="T22" s="19">
        <v>29549</v>
      </c>
    </row>
    <row r="23" spans="1:20" x14ac:dyDescent="0.2">
      <c r="A23" s="12">
        <v>46216</v>
      </c>
      <c r="B23" s="15"/>
      <c r="C23" s="15">
        <v>0</v>
      </c>
      <c r="D23">
        <v>1</v>
      </c>
      <c r="Q23" s="55">
        <v>46237</v>
      </c>
      <c r="R23" s="19">
        <v>5855</v>
      </c>
      <c r="S23" s="19">
        <v>3428.5714285714284</v>
      </c>
      <c r="T23" s="19">
        <v>3090</v>
      </c>
    </row>
    <row r="24" spans="1:20" x14ac:dyDescent="0.2">
      <c r="A24" s="12">
        <v>46215</v>
      </c>
      <c r="B24" s="15">
        <v>0</v>
      </c>
      <c r="C24" s="15">
        <v>0</v>
      </c>
      <c r="D24">
        <v>7</v>
      </c>
      <c r="Q24" s="55">
        <v>46238</v>
      </c>
      <c r="R24" s="19">
        <v>8634</v>
      </c>
      <c r="S24" s="19">
        <v>3428.5714285714284</v>
      </c>
      <c r="T24" s="19">
        <v>5197</v>
      </c>
    </row>
    <row r="25" spans="1:20" x14ac:dyDescent="0.2">
      <c r="A25" s="12">
        <v>46210</v>
      </c>
      <c r="B25" s="15"/>
      <c r="C25" s="15"/>
      <c r="D25">
        <v>1</v>
      </c>
      <c r="Q25" s="55">
        <v>46239</v>
      </c>
      <c r="R25" s="19">
        <v>4987</v>
      </c>
      <c r="S25" s="19">
        <v>3428.5714285714284</v>
      </c>
      <c r="T25" s="19">
        <v>4987</v>
      </c>
    </row>
    <row r="26" spans="1:20" x14ac:dyDescent="0.2">
      <c r="A26" s="12">
        <v>46209</v>
      </c>
      <c r="B26" s="15"/>
      <c r="C26" s="15"/>
      <c r="D26">
        <v>1</v>
      </c>
      <c r="Q26" s="55">
        <v>46240</v>
      </c>
      <c r="R26" s="19">
        <v>3942</v>
      </c>
      <c r="S26" s="19">
        <v>3428.5714285714284</v>
      </c>
      <c r="T26" s="19">
        <v>2838</v>
      </c>
    </row>
    <row r="27" spans="1:20" x14ac:dyDescent="0.2">
      <c r="A27" s="12">
        <v>46208</v>
      </c>
      <c r="B27" s="15"/>
      <c r="C27" s="15">
        <v>0</v>
      </c>
      <c r="D27">
        <v>5</v>
      </c>
      <c r="Q27" s="55">
        <v>46241</v>
      </c>
      <c r="R27" s="19">
        <v>4017</v>
      </c>
      <c r="S27" s="19">
        <v>3428.5714285714284</v>
      </c>
      <c r="T27" s="19">
        <v>3038</v>
      </c>
    </row>
    <row r="28" spans="1:20" x14ac:dyDescent="0.2">
      <c r="A28" s="12">
        <v>46204</v>
      </c>
      <c r="B28" s="15"/>
      <c r="C28" s="15">
        <v>0</v>
      </c>
      <c r="D28">
        <v>1</v>
      </c>
      <c r="Q28" s="55">
        <v>46242</v>
      </c>
      <c r="R28" s="19">
        <v>5749</v>
      </c>
      <c r="S28" s="19">
        <v>3428.5714285714284</v>
      </c>
      <c r="T28" s="19">
        <v>5749</v>
      </c>
    </row>
    <row r="29" spans="1:20" x14ac:dyDescent="0.2">
      <c r="A29" s="12">
        <v>46203</v>
      </c>
      <c r="B29" s="15"/>
      <c r="C29" s="15">
        <v>0</v>
      </c>
      <c r="D29">
        <v>1</v>
      </c>
      <c r="Q29" s="55">
        <v>46243</v>
      </c>
      <c r="R29" s="19">
        <v>4650</v>
      </c>
      <c r="S29" s="19">
        <v>3428.5714285714284</v>
      </c>
      <c r="T29" s="19">
        <v>4650</v>
      </c>
    </row>
    <row r="30" spans="1:20" x14ac:dyDescent="0.2">
      <c r="A30" s="12">
        <v>46202</v>
      </c>
      <c r="B30" s="15"/>
      <c r="C30" s="15">
        <v>0</v>
      </c>
      <c r="D30">
        <v>5</v>
      </c>
      <c r="Q30" s="18" t="s">
        <v>2974</v>
      </c>
      <c r="R30" s="19">
        <v>28356</v>
      </c>
      <c r="S30" s="19">
        <v>24000</v>
      </c>
      <c r="T30" s="19">
        <v>24262</v>
      </c>
    </row>
    <row r="31" spans="1:20" x14ac:dyDescent="0.2">
      <c r="A31" s="12">
        <v>46201</v>
      </c>
      <c r="B31" s="15"/>
      <c r="C31" s="15">
        <v>1296</v>
      </c>
      <c r="D31">
        <v>6</v>
      </c>
      <c r="Q31" s="55">
        <v>46244</v>
      </c>
      <c r="R31" s="19">
        <v>6365</v>
      </c>
      <c r="S31" s="19">
        <v>4000</v>
      </c>
      <c r="T31" s="19">
        <v>6365</v>
      </c>
    </row>
    <row r="32" spans="1:20" x14ac:dyDescent="0.2">
      <c r="A32" s="12">
        <v>46200</v>
      </c>
      <c r="B32" s="15"/>
      <c r="C32" s="15"/>
      <c r="D32">
        <v>1</v>
      </c>
      <c r="Q32" s="55">
        <v>46245</v>
      </c>
      <c r="R32" s="19">
        <v>4460</v>
      </c>
      <c r="S32" s="19">
        <v>4000</v>
      </c>
      <c r="T32" s="19">
        <v>4460</v>
      </c>
    </row>
    <row r="33" spans="1:20" x14ac:dyDescent="0.2">
      <c r="A33" s="12">
        <v>46199</v>
      </c>
      <c r="B33" s="15"/>
      <c r="C33" s="15"/>
      <c r="D33">
        <v>1</v>
      </c>
      <c r="Q33" s="55">
        <v>46246</v>
      </c>
      <c r="R33" s="19">
        <v>4526</v>
      </c>
      <c r="S33" s="19">
        <v>4000</v>
      </c>
      <c r="T33" s="19">
        <v>3706</v>
      </c>
    </row>
    <row r="34" spans="1:20" x14ac:dyDescent="0.2">
      <c r="A34" s="12">
        <v>46198</v>
      </c>
      <c r="B34" s="15"/>
      <c r="C34" s="15"/>
      <c r="D34">
        <v>1</v>
      </c>
      <c r="Q34" s="55">
        <v>46247</v>
      </c>
      <c r="R34" s="19">
        <v>5038</v>
      </c>
      <c r="S34" s="19">
        <v>4000</v>
      </c>
      <c r="T34" s="19">
        <v>4252</v>
      </c>
    </row>
    <row r="35" spans="1:20" x14ac:dyDescent="0.2">
      <c r="A35" s="12">
        <v>46197</v>
      </c>
      <c r="B35" s="15"/>
      <c r="C35" s="15">
        <v>0</v>
      </c>
      <c r="D35">
        <v>2</v>
      </c>
      <c r="Q35" s="55">
        <v>46248</v>
      </c>
      <c r="R35" s="19">
        <v>4991</v>
      </c>
      <c r="S35" s="19">
        <v>4000</v>
      </c>
      <c r="T35" s="19">
        <v>2904</v>
      </c>
    </row>
    <row r="36" spans="1:20" x14ac:dyDescent="0.2">
      <c r="A36" s="12">
        <v>46196</v>
      </c>
      <c r="B36" s="15"/>
      <c r="C36" s="15">
        <v>0</v>
      </c>
      <c r="D36">
        <v>3</v>
      </c>
      <c r="Q36" s="55">
        <v>46249</v>
      </c>
      <c r="R36" s="19">
        <v>2976</v>
      </c>
      <c r="S36" s="19">
        <v>4000</v>
      </c>
      <c r="T36" s="19">
        <v>2575</v>
      </c>
    </row>
    <row r="37" spans="1:20" x14ac:dyDescent="0.2">
      <c r="A37" s="12">
        <v>46195</v>
      </c>
      <c r="B37" s="15"/>
      <c r="C37" s="15"/>
      <c r="D37">
        <v>1</v>
      </c>
      <c r="Q37" s="18" t="s">
        <v>3094</v>
      </c>
      <c r="R37" s="19">
        <v>7965</v>
      </c>
      <c r="S37" s="19">
        <v>24000</v>
      </c>
      <c r="T37" s="19">
        <v>7087</v>
      </c>
    </row>
    <row r="38" spans="1:20" x14ac:dyDescent="0.2">
      <c r="A38" s="12">
        <v>46194</v>
      </c>
      <c r="B38" s="15"/>
      <c r="C38" s="15">
        <v>0</v>
      </c>
      <c r="D38">
        <v>5</v>
      </c>
      <c r="Q38" s="55">
        <v>46251</v>
      </c>
      <c r="R38" s="19">
        <v>4629</v>
      </c>
      <c r="S38" s="19">
        <v>8000</v>
      </c>
      <c r="T38" s="19">
        <v>3194</v>
      </c>
    </row>
    <row r="39" spans="1:20" x14ac:dyDescent="0.2">
      <c r="A39" s="12">
        <v>46193</v>
      </c>
      <c r="B39" s="15">
        <v>3000</v>
      </c>
      <c r="C39" s="15">
        <v>0</v>
      </c>
      <c r="D39">
        <v>2</v>
      </c>
      <c r="Q39" s="55">
        <v>46252</v>
      </c>
      <c r="R39" s="19">
        <v>0</v>
      </c>
      <c r="S39" s="19">
        <v>8000</v>
      </c>
      <c r="T39" s="19">
        <v>1408</v>
      </c>
    </row>
    <row r="40" spans="1:20" x14ac:dyDescent="0.2">
      <c r="A40" s="12">
        <v>46191</v>
      </c>
      <c r="B40" s="15"/>
      <c r="C40" s="15">
        <v>0</v>
      </c>
      <c r="D40">
        <v>1</v>
      </c>
      <c r="Q40" s="55">
        <v>46253</v>
      </c>
      <c r="R40" s="19">
        <v>3336</v>
      </c>
      <c r="S40" s="19">
        <v>8000</v>
      </c>
      <c r="T40" s="19">
        <v>2485</v>
      </c>
    </row>
    <row r="41" spans="1:20" x14ac:dyDescent="0.2">
      <c r="A41" s="12">
        <v>46190</v>
      </c>
      <c r="B41" s="15"/>
      <c r="C41" s="15">
        <v>0</v>
      </c>
      <c r="D41">
        <v>1</v>
      </c>
      <c r="Q41" s="55">
        <v>46254</v>
      </c>
      <c r="R41" s="19">
        <v>0</v>
      </c>
      <c r="S41" s="19"/>
      <c r="T41" s="19"/>
    </row>
    <row r="42" spans="1:20" x14ac:dyDescent="0.2">
      <c r="A42" s="12">
        <v>46188</v>
      </c>
      <c r="B42" s="15"/>
      <c r="C42" s="15">
        <v>2100</v>
      </c>
      <c r="D42">
        <v>1</v>
      </c>
      <c r="Q42" s="18" t="s">
        <v>3258</v>
      </c>
      <c r="R42" s="19">
        <v>320967</v>
      </c>
      <c r="S42" s="19">
        <v>383999.99999999988</v>
      </c>
      <c r="T42" s="19">
        <v>252555.93</v>
      </c>
    </row>
    <row r="43" spans="1:20" x14ac:dyDescent="0.2">
      <c r="A43" s="12">
        <v>46187</v>
      </c>
      <c r="B43" s="15"/>
      <c r="C43" s="15">
        <v>0</v>
      </c>
      <c r="D43">
        <v>6</v>
      </c>
    </row>
    <row r="44" spans="1:20" x14ac:dyDescent="0.2">
      <c r="A44" s="12">
        <v>46185</v>
      </c>
      <c r="B44" s="15"/>
      <c r="C44" s="15">
        <v>0</v>
      </c>
      <c r="D44">
        <v>1</v>
      </c>
    </row>
    <row r="45" spans="1:20" x14ac:dyDescent="0.2">
      <c r="A45" s="12">
        <v>46183</v>
      </c>
      <c r="B45" s="15"/>
      <c r="C45" s="15">
        <v>0</v>
      </c>
      <c r="D45">
        <v>1</v>
      </c>
    </row>
    <row r="46" spans="1:20" x14ac:dyDescent="0.2">
      <c r="A46" s="12">
        <v>46181</v>
      </c>
      <c r="B46" s="15"/>
      <c r="C46" s="15">
        <v>0</v>
      </c>
      <c r="D46">
        <v>1</v>
      </c>
    </row>
    <row r="47" spans="1:20" x14ac:dyDescent="0.2">
      <c r="A47" s="12">
        <v>46180</v>
      </c>
      <c r="B47" s="15"/>
      <c r="C47" s="15">
        <v>0</v>
      </c>
      <c r="D47">
        <v>5</v>
      </c>
    </row>
    <row r="48" spans="1:20" x14ac:dyDescent="0.2">
      <c r="A48" s="12">
        <v>46179</v>
      </c>
      <c r="B48" s="15"/>
      <c r="C48" s="15">
        <v>0</v>
      </c>
      <c r="D48">
        <v>1</v>
      </c>
    </row>
    <row r="49" spans="1:4" x14ac:dyDescent="0.2">
      <c r="A49" s="12">
        <v>46173</v>
      </c>
      <c r="B49" s="15">
        <v>0</v>
      </c>
      <c r="C49" s="15">
        <v>0</v>
      </c>
      <c r="D49">
        <v>9</v>
      </c>
    </row>
    <row r="50" spans="1:4" x14ac:dyDescent="0.2">
      <c r="A50" s="12">
        <v>46166</v>
      </c>
      <c r="B50" s="15">
        <v>0</v>
      </c>
      <c r="C50" s="15">
        <v>0</v>
      </c>
      <c r="D50">
        <v>5</v>
      </c>
    </row>
    <row r="51" spans="1:4" x14ac:dyDescent="0.2">
      <c r="A51" s="12">
        <v>46163</v>
      </c>
      <c r="B51" s="15">
        <v>0</v>
      </c>
      <c r="C51" s="15">
        <v>3853</v>
      </c>
      <c r="D51">
        <v>3</v>
      </c>
    </row>
    <row r="52" spans="1:4" x14ac:dyDescent="0.2">
      <c r="A52" s="12">
        <v>46159</v>
      </c>
      <c r="B52" s="15">
        <v>9000</v>
      </c>
      <c r="C52" s="15">
        <v>0</v>
      </c>
      <c r="D52">
        <v>3</v>
      </c>
    </row>
    <row r="53" spans="1:4" x14ac:dyDescent="0.2">
      <c r="A53" s="12">
        <v>46155</v>
      </c>
      <c r="B53" s="15">
        <v>9000</v>
      </c>
      <c r="C53" s="15">
        <v>0</v>
      </c>
      <c r="D53">
        <v>3</v>
      </c>
    </row>
    <row r="54" spans="1:4" x14ac:dyDescent="0.2">
      <c r="A54" s="12">
        <v>46152</v>
      </c>
      <c r="B54" s="15"/>
      <c r="C54" s="15">
        <v>0</v>
      </c>
      <c r="D54">
        <v>1</v>
      </c>
    </row>
    <row r="55" spans="1:4" x14ac:dyDescent="0.2">
      <c r="A55" s="10" t="s">
        <v>35</v>
      </c>
      <c r="B55" s="15">
        <v>108000</v>
      </c>
      <c r="C55" s="15">
        <v>30592</v>
      </c>
      <c r="D55">
        <v>13</v>
      </c>
    </row>
    <row r="56" spans="1:4" x14ac:dyDescent="0.2">
      <c r="A56" s="11" t="s">
        <v>47</v>
      </c>
      <c r="B56" s="15">
        <v>108000</v>
      </c>
      <c r="C56" s="15">
        <v>30592</v>
      </c>
      <c r="D56">
        <v>13</v>
      </c>
    </row>
    <row r="57" spans="1:4" x14ac:dyDescent="0.2">
      <c r="A57" s="12">
        <v>46151</v>
      </c>
      <c r="B57" s="15">
        <v>18000</v>
      </c>
      <c r="C57" s="15">
        <v>3730</v>
      </c>
      <c r="D57">
        <v>2</v>
      </c>
    </row>
    <row r="58" spans="1:4" x14ac:dyDescent="0.2">
      <c r="A58" s="12">
        <v>46150</v>
      </c>
      <c r="B58" s="15">
        <v>18000</v>
      </c>
      <c r="C58" s="15">
        <v>5774</v>
      </c>
      <c r="D58">
        <v>2</v>
      </c>
    </row>
    <row r="59" spans="1:4" x14ac:dyDescent="0.2">
      <c r="A59" s="12">
        <v>46149</v>
      </c>
      <c r="B59" s="15">
        <v>18000</v>
      </c>
      <c r="C59" s="15">
        <v>4670</v>
      </c>
      <c r="D59">
        <v>2</v>
      </c>
    </row>
    <row r="60" spans="1:4" x14ac:dyDescent="0.2">
      <c r="A60" s="12">
        <v>46148</v>
      </c>
      <c r="B60" s="15">
        <v>18000</v>
      </c>
      <c r="C60" s="15">
        <v>3942</v>
      </c>
      <c r="D60">
        <v>2</v>
      </c>
    </row>
    <row r="61" spans="1:4" x14ac:dyDescent="0.2">
      <c r="A61" s="12">
        <v>46147</v>
      </c>
      <c r="B61" s="15">
        <v>18000</v>
      </c>
      <c r="C61" s="15">
        <v>5905</v>
      </c>
      <c r="D61">
        <v>2</v>
      </c>
    </row>
    <row r="62" spans="1:4" x14ac:dyDescent="0.2">
      <c r="A62" s="12">
        <v>46146</v>
      </c>
      <c r="B62" s="15">
        <v>18000</v>
      </c>
      <c r="C62" s="15">
        <v>6571</v>
      </c>
      <c r="D62">
        <v>3</v>
      </c>
    </row>
    <row r="63" spans="1:4" x14ac:dyDescent="0.2">
      <c r="A63" s="10" t="s">
        <v>57</v>
      </c>
      <c r="B63" s="15">
        <v>75000</v>
      </c>
      <c r="C63" s="15">
        <v>23645</v>
      </c>
      <c r="D63">
        <v>12</v>
      </c>
    </row>
    <row r="64" spans="1:4" x14ac:dyDescent="0.2">
      <c r="A64" s="11" t="s">
        <v>47</v>
      </c>
      <c r="B64" s="15">
        <v>75000</v>
      </c>
      <c r="C64" s="15">
        <v>23645</v>
      </c>
      <c r="D64">
        <v>12</v>
      </c>
    </row>
    <row r="65" spans="1:4" x14ac:dyDescent="0.2">
      <c r="A65" s="12">
        <v>46158</v>
      </c>
      <c r="B65" s="15">
        <v>15000</v>
      </c>
      <c r="C65" s="15">
        <v>2378</v>
      </c>
      <c r="D65">
        <v>2</v>
      </c>
    </row>
    <row r="66" spans="1:4" x14ac:dyDescent="0.2">
      <c r="A66" s="12">
        <v>46157</v>
      </c>
      <c r="B66" s="15">
        <v>15000</v>
      </c>
      <c r="C66" s="15">
        <v>5481</v>
      </c>
      <c r="D66">
        <v>2</v>
      </c>
    </row>
    <row r="67" spans="1:4" x14ac:dyDescent="0.2">
      <c r="A67" s="12">
        <v>46156</v>
      </c>
      <c r="B67" s="15">
        <v>15000</v>
      </c>
      <c r="C67" s="15">
        <v>6222</v>
      </c>
      <c r="D67">
        <v>3</v>
      </c>
    </row>
    <row r="68" spans="1:4" x14ac:dyDescent="0.2">
      <c r="A68" s="12">
        <v>46154</v>
      </c>
      <c r="B68" s="15">
        <v>15000</v>
      </c>
      <c r="C68" s="15">
        <v>5949</v>
      </c>
      <c r="D68">
        <v>3</v>
      </c>
    </row>
    <row r="69" spans="1:4" x14ac:dyDescent="0.2">
      <c r="A69" s="12">
        <v>46153</v>
      </c>
      <c r="B69" s="15">
        <v>15000</v>
      </c>
      <c r="C69" s="15">
        <v>3615</v>
      </c>
      <c r="D69">
        <v>2</v>
      </c>
    </row>
    <row r="70" spans="1:4" x14ac:dyDescent="0.2">
      <c r="A70" s="10" t="s">
        <v>58</v>
      </c>
      <c r="B70" s="15">
        <v>90000</v>
      </c>
      <c r="C70" s="15">
        <v>26870</v>
      </c>
      <c r="D70">
        <v>20</v>
      </c>
    </row>
    <row r="71" spans="1:4" x14ac:dyDescent="0.2">
      <c r="A71" s="11" t="s">
        <v>47</v>
      </c>
      <c r="B71" s="15">
        <v>90000</v>
      </c>
      <c r="C71" s="15">
        <v>26870</v>
      </c>
      <c r="D71">
        <v>20</v>
      </c>
    </row>
    <row r="72" spans="1:4" x14ac:dyDescent="0.2">
      <c r="A72" s="12">
        <v>46165</v>
      </c>
      <c r="B72" s="15">
        <v>15000</v>
      </c>
      <c r="C72" s="15">
        <v>7593</v>
      </c>
      <c r="D72">
        <v>5</v>
      </c>
    </row>
    <row r="73" spans="1:4" x14ac:dyDescent="0.2">
      <c r="A73" s="12">
        <v>46164</v>
      </c>
      <c r="B73" s="15">
        <v>15000</v>
      </c>
      <c r="C73" s="15">
        <v>6487</v>
      </c>
      <c r="D73">
        <v>5</v>
      </c>
    </row>
    <row r="74" spans="1:4" x14ac:dyDescent="0.2">
      <c r="A74" s="12">
        <v>46163</v>
      </c>
      <c r="B74" s="15">
        <v>15000</v>
      </c>
      <c r="C74" s="15">
        <v>0</v>
      </c>
      <c r="D74">
        <v>1</v>
      </c>
    </row>
    <row r="75" spans="1:4" x14ac:dyDescent="0.2">
      <c r="A75" s="12">
        <v>46162</v>
      </c>
      <c r="B75" s="15">
        <v>15000</v>
      </c>
      <c r="C75" s="15">
        <v>3587</v>
      </c>
      <c r="D75">
        <v>3</v>
      </c>
    </row>
    <row r="76" spans="1:4" x14ac:dyDescent="0.2">
      <c r="A76" s="12">
        <v>46161</v>
      </c>
      <c r="B76" s="15">
        <v>15000</v>
      </c>
      <c r="C76" s="15">
        <v>4601</v>
      </c>
      <c r="D76">
        <v>3</v>
      </c>
    </row>
    <row r="77" spans="1:4" x14ac:dyDescent="0.2">
      <c r="A77" s="12">
        <v>46160</v>
      </c>
      <c r="B77" s="15">
        <v>15000</v>
      </c>
      <c r="C77" s="15">
        <v>4602</v>
      </c>
      <c r="D77">
        <v>3</v>
      </c>
    </row>
    <row r="78" spans="1:4" x14ac:dyDescent="0.2">
      <c r="A78" s="10" t="s">
        <v>62</v>
      </c>
      <c r="B78" s="15">
        <v>90000</v>
      </c>
      <c r="C78" s="15">
        <v>53648</v>
      </c>
      <c r="D78">
        <v>28</v>
      </c>
    </row>
    <row r="79" spans="1:4" x14ac:dyDescent="0.2">
      <c r="A79" s="11" t="s">
        <v>47</v>
      </c>
      <c r="B79" s="15">
        <v>90000</v>
      </c>
      <c r="C79" s="15">
        <v>53648</v>
      </c>
      <c r="D79">
        <v>28</v>
      </c>
    </row>
    <row r="80" spans="1:4" x14ac:dyDescent="0.2">
      <c r="A80" s="12">
        <v>46172</v>
      </c>
      <c r="B80" s="15">
        <v>15000</v>
      </c>
      <c r="C80" s="15">
        <v>7390</v>
      </c>
      <c r="D80">
        <v>5</v>
      </c>
    </row>
    <row r="81" spans="1:4" x14ac:dyDescent="0.2">
      <c r="A81" s="12">
        <v>46171</v>
      </c>
      <c r="B81" s="15">
        <v>15000</v>
      </c>
      <c r="C81" s="15">
        <v>8886</v>
      </c>
      <c r="D81">
        <v>5</v>
      </c>
    </row>
    <row r="82" spans="1:4" x14ac:dyDescent="0.2">
      <c r="A82" s="12">
        <v>46170</v>
      </c>
      <c r="B82" s="15">
        <v>15000</v>
      </c>
      <c r="C82" s="15">
        <v>8857</v>
      </c>
      <c r="D82">
        <v>4</v>
      </c>
    </row>
    <row r="83" spans="1:4" x14ac:dyDescent="0.2">
      <c r="A83" s="12">
        <v>46169</v>
      </c>
      <c r="B83" s="15">
        <v>15000</v>
      </c>
      <c r="C83" s="15">
        <v>7325</v>
      </c>
      <c r="D83">
        <v>4</v>
      </c>
    </row>
    <row r="84" spans="1:4" x14ac:dyDescent="0.2">
      <c r="A84" s="12">
        <v>46168</v>
      </c>
      <c r="B84" s="15">
        <v>15000</v>
      </c>
      <c r="C84" s="15">
        <v>9500</v>
      </c>
      <c r="D84">
        <v>5</v>
      </c>
    </row>
    <row r="85" spans="1:4" x14ac:dyDescent="0.2">
      <c r="A85" s="12">
        <v>46167</v>
      </c>
      <c r="B85" s="15">
        <v>15000</v>
      </c>
      <c r="C85" s="15">
        <v>11690</v>
      </c>
      <c r="D85">
        <v>5</v>
      </c>
    </row>
    <row r="86" spans="1:4" x14ac:dyDescent="0.2">
      <c r="A86" s="10" t="s">
        <v>64</v>
      </c>
      <c r="B86" s="15">
        <v>90000</v>
      </c>
      <c r="C86" s="15">
        <v>53123</v>
      </c>
      <c r="D86">
        <v>22</v>
      </c>
    </row>
    <row r="87" spans="1:4" x14ac:dyDescent="0.2">
      <c r="A87" s="11" t="s">
        <v>47</v>
      </c>
      <c r="B87" s="15">
        <v>90000</v>
      </c>
      <c r="C87" s="15">
        <v>53123</v>
      </c>
      <c r="D87">
        <v>22</v>
      </c>
    </row>
    <row r="88" spans="1:4" x14ac:dyDescent="0.2">
      <c r="A88" s="12">
        <v>46179</v>
      </c>
      <c r="B88" s="15">
        <v>15000</v>
      </c>
      <c r="C88" s="15">
        <v>8900</v>
      </c>
      <c r="D88">
        <v>4</v>
      </c>
    </row>
    <row r="89" spans="1:4" x14ac:dyDescent="0.2">
      <c r="A89" s="12">
        <v>46178</v>
      </c>
      <c r="B89" s="15">
        <v>15000</v>
      </c>
      <c r="C89" s="15">
        <v>9823</v>
      </c>
      <c r="D89">
        <v>3</v>
      </c>
    </row>
    <row r="90" spans="1:4" x14ac:dyDescent="0.2">
      <c r="A90" s="12">
        <v>46177</v>
      </c>
      <c r="B90" s="15">
        <v>15000</v>
      </c>
      <c r="C90" s="15">
        <v>8886</v>
      </c>
      <c r="D90">
        <v>3</v>
      </c>
    </row>
    <row r="91" spans="1:4" x14ac:dyDescent="0.2">
      <c r="A91" s="12">
        <v>46176</v>
      </c>
      <c r="B91" s="15">
        <v>15000</v>
      </c>
      <c r="C91" s="15">
        <v>6811</v>
      </c>
      <c r="D91">
        <v>4</v>
      </c>
    </row>
    <row r="92" spans="1:4" x14ac:dyDescent="0.2">
      <c r="A92" s="12">
        <v>46175</v>
      </c>
      <c r="B92" s="15">
        <v>15000</v>
      </c>
      <c r="C92" s="15">
        <v>9739</v>
      </c>
      <c r="D92">
        <v>4</v>
      </c>
    </row>
    <row r="93" spans="1:4" x14ac:dyDescent="0.2">
      <c r="A93" s="12">
        <v>46174</v>
      </c>
      <c r="B93" s="15">
        <v>15000</v>
      </c>
      <c r="C93" s="15">
        <v>8964</v>
      </c>
      <c r="D93">
        <v>4</v>
      </c>
    </row>
    <row r="94" spans="1:4" x14ac:dyDescent="0.2">
      <c r="A94" s="10" t="s">
        <v>66</v>
      </c>
      <c r="B94" s="15">
        <v>90000</v>
      </c>
      <c r="C94" s="15">
        <v>57134</v>
      </c>
      <c r="D94">
        <v>27</v>
      </c>
    </row>
    <row r="95" spans="1:4" x14ac:dyDescent="0.2">
      <c r="A95" s="11" t="s">
        <v>47</v>
      </c>
      <c r="B95" s="15">
        <v>90000</v>
      </c>
      <c r="C95" s="15">
        <v>57134</v>
      </c>
      <c r="D95">
        <v>27</v>
      </c>
    </row>
    <row r="96" spans="1:4" x14ac:dyDescent="0.2">
      <c r="A96" s="12">
        <v>46186</v>
      </c>
      <c r="B96" s="15">
        <v>15000</v>
      </c>
      <c r="C96" s="15">
        <v>7958</v>
      </c>
      <c r="D96">
        <v>5</v>
      </c>
    </row>
    <row r="97" spans="1:4" x14ac:dyDescent="0.2">
      <c r="A97" s="12">
        <v>46185</v>
      </c>
      <c r="B97" s="15">
        <v>18000</v>
      </c>
      <c r="C97" s="15">
        <v>9583</v>
      </c>
      <c r="D97">
        <v>4</v>
      </c>
    </row>
    <row r="98" spans="1:4" x14ac:dyDescent="0.2">
      <c r="A98" s="12">
        <v>46184</v>
      </c>
      <c r="B98" s="15">
        <v>15000</v>
      </c>
      <c r="C98" s="15">
        <v>15571</v>
      </c>
      <c r="D98">
        <v>5</v>
      </c>
    </row>
    <row r="99" spans="1:4" x14ac:dyDescent="0.2">
      <c r="A99" s="12">
        <v>46183</v>
      </c>
      <c r="B99" s="15">
        <v>15000</v>
      </c>
      <c r="C99" s="15">
        <v>9611</v>
      </c>
      <c r="D99">
        <v>4</v>
      </c>
    </row>
    <row r="100" spans="1:4" x14ac:dyDescent="0.2">
      <c r="A100" s="12">
        <v>46182</v>
      </c>
      <c r="B100" s="15">
        <v>15000</v>
      </c>
      <c r="C100" s="15">
        <v>7279</v>
      </c>
      <c r="D100">
        <v>5</v>
      </c>
    </row>
    <row r="101" spans="1:4" x14ac:dyDescent="0.2">
      <c r="A101" s="12">
        <v>46181</v>
      </c>
      <c r="B101" s="15">
        <v>12000</v>
      </c>
      <c r="C101" s="15">
        <v>7132</v>
      </c>
      <c r="D101">
        <v>4</v>
      </c>
    </row>
    <row r="102" spans="1:4" x14ac:dyDescent="0.2">
      <c r="A102" s="10" t="s">
        <v>68</v>
      </c>
      <c r="B102" s="15">
        <v>90000</v>
      </c>
      <c r="C102" s="15">
        <v>58295</v>
      </c>
      <c r="D102">
        <v>25</v>
      </c>
    </row>
    <row r="103" spans="1:4" x14ac:dyDescent="0.2">
      <c r="A103" s="11" t="s">
        <v>47</v>
      </c>
      <c r="B103" s="15">
        <v>90000</v>
      </c>
      <c r="C103" s="15">
        <v>58295</v>
      </c>
      <c r="D103">
        <v>25</v>
      </c>
    </row>
    <row r="104" spans="1:4" x14ac:dyDescent="0.2">
      <c r="A104" s="12">
        <v>46193</v>
      </c>
      <c r="B104" s="15">
        <v>15000</v>
      </c>
      <c r="C104" s="15">
        <v>2051</v>
      </c>
      <c r="D104">
        <v>3</v>
      </c>
    </row>
    <row r="105" spans="1:4" x14ac:dyDescent="0.2">
      <c r="A105" s="12">
        <v>46192</v>
      </c>
      <c r="B105" s="15">
        <v>15000</v>
      </c>
      <c r="C105" s="15">
        <v>13426</v>
      </c>
      <c r="D105">
        <v>5</v>
      </c>
    </row>
    <row r="106" spans="1:4" x14ac:dyDescent="0.2">
      <c r="A106" s="12">
        <v>46191</v>
      </c>
      <c r="B106" s="15">
        <v>15000</v>
      </c>
      <c r="C106" s="15">
        <v>10750</v>
      </c>
      <c r="D106">
        <v>4</v>
      </c>
    </row>
    <row r="107" spans="1:4" x14ac:dyDescent="0.2">
      <c r="A107" s="12">
        <v>46190</v>
      </c>
      <c r="B107" s="15">
        <v>15000</v>
      </c>
      <c r="C107" s="15">
        <v>12225</v>
      </c>
      <c r="D107">
        <v>4</v>
      </c>
    </row>
    <row r="108" spans="1:4" x14ac:dyDescent="0.2">
      <c r="A108" s="12">
        <v>46189</v>
      </c>
      <c r="B108" s="15">
        <v>15000</v>
      </c>
      <c r="C108" s="15">
        <v>12487</v>
      </c>
      <c r="D108">
        <v>5</v>
      </c>
    </row>
    <row r="109" spans="1:4" x14ac:dyDescent="0.2">
      <c r="A109" s="12">
        <v>46188</v>
      </c>
      <c r="B109" s="15">
        <v>15000</v>
      </c>
      <c r="C109" s="15">
        <v>7356</v>
      </c>
      <c r="D109">
        <v>4</v>
      </c>
    </row>
    <row r="110" spans="1:4" x14ac:dyDescent="0.2">
      <c r="A110" s="10" t="s">
        <v>71</v>
      </c>
      <c r="B110" s="15">
        <v>90000</v>
      </c>
      <c r="C110" s="15">
        <v>65342</v>
      </c>
      <c r="D110">
        <v>32</v>
      </c>
    </row>
    <row r="111" spans="1:4" x14ac:dyDescent="0.2">
      <c r="A111" s="11" t="s">
        <v>47</v>
      </c>
      <c r="B111" s="15">
        <v>90000</v>
      </c>
      <c r="C111" s="15">
        <v>65342</v>
      </c>
      <c r="D111">
        <v>32</v>
      </c>
    </row>
    <row r="112" spans="1:4" x14ac:dyDescent="0.2">
      <c r="A112" s="12">
        <v>46200</v>
      </c>
      <c r="B112" s="15">
        <v>15000</v>
      </c>
      <c r="C112" s="15">
        <v>10231</v>
      </c>
      <c r="D112">
        <v>5</v>
      </c>
    </row>
    <row r="113" spans="1:4" x14ac:dyDescent="0.2">
      <c r="A113" s="12">
        <v>46199</v>
      </c>
      <c r="B113" s="15">
        <v>15000</v>
      </c>
      <c r="C113" s="15">
        <v>14997</v>
      </c>
      <c r="D113">
        <v>6</v>
      </c>
    </row>
    <row r="114" spans="1:4" x14ac:dyDescent="0.2">
      <c r="A114" s="12">
        <v>46198</v>
      </c>
      <c r="B114" s="15">
        <v>15000</v>
      </c>
      <c r="C114" s="15">
        <v>12178</v>
      </c>
      <c r="D114">
        <v>6</v>
      </c>
    </row>
    <row r="115" spans="1:4" x14ac:dyDescent="0.2">
      <c r="A115" s="12">
        <v>46197</v>
      </c>
      <c r="B115" s="15">
        <v>15000</v>
      </c>
      <c r="C115" s="15">
        <v>10528</v>
      </c>
      <c r="D115">
        <v>5</v>
      </c>
    </row>
    <row r="116" spans="1:4" x14ac:dyDescent="0.2">
      <c r="A116" s="12">
        <v>46196</v>
      </c>
      <c r="B116" s="15">
        <v>15000</v>
      </c>
      <c r="C116" s="15">
        <v>6738</v>
      </c>
      <c r="D116">
        <v>4</v>
      </c>
    </row>
    <row r="117" spans="1:4" x14ac:dyDescent="0.2">
      <c r="A117" s="12">
        <v>46195</v>
      </c>
      <c r="B117" s="15">
        <v>15000</v>
      </c>
      <c r="C117" s="15">
        <v>10670</v>
      </c>
      <c r="D117">
        <v>6</v>
      </c>
    </row>
    <row r="118" spans="1:4" x14ac:dyDescent="0.2">
      <c r="A118" s="10" t="s">
        <v>559</v>
      </c>
      <c r="B118" s="15">
        <v>75000</v>
      </c>
      <c r="C118" s="15">
        <v>43641</v>
      </c>
      <c r="D118">
        <v>23</v>
      </c>
    </row>
    <row r="119" spans="1:4" x14ac:dyDescent="0.2">
      <c r="A119" s="11" t="s">
        <v>47</v>
      </c>
      <c r="B119" s="15">
        <v>75000</v>
      </c>
      <c r="C119" s="15">
        <v>43641</v>
      </c>
      <c r="D119">
        <v>23</v>
      </c>
    </row>
    <row r="120" spans="1:4" x14ac:dyDescent="0.2">
      <c r="A120" s="12">
        <v>46207</v>
      </c>
      <c r="B120" s="15">
        <v>15000</v>
      </c>
      <c r="C120" s="15">
        <v>6902</v>
      </c>
      <c r="D120">
        <v>5</v>
      </c>
    </row>
    <row r="121" spans="1:4" x14ac:dyDescent="0.2">
      <c r="A121" s="12">
        <v>46206</v>
      </c>
      <c r="B121" s="15">
        <v>15000</v>
      </c>
      <c r="C121" s="15">
        <v>8255</v>
      </c>
      <c r="D121">
        <v>5</v>
      </c>
    </row>
    <row r="122" spans="1:4" x14ac:dyDescent="0.2">
      <c r="A122" s="12">
        <v>46205</v>
      </c>
      <c r="B122" s="15">
        <v>15000</v>
      </c>
      <c r="C122" s="15">
        <v>11103</v>
      </c>
      <c r="D122">
        <v>5</v>
      </c>
    </row>
    <row r="123" spans="1:4" x14ac:dyDescent="0.2">
      <c r="A123" s="12">
        <v>46204</v>
      </c>
      <c r="B123" s="15">
        <v>15000</v>
      </c>
      <c r="C123" s="15">
        <v>8159</v>
      </c>
      <c r="D123">
        <v>4</v>
      </c>
    </row>
    <row r="124" spans="1:4" x14ac:dyDescent="0.2">
      <c r="A124" s="12">
        <v>46203</v>
      </c>
      <c r="B124" s="15">
        <v>15000</v>
      </c>
      <c r="C124" s="15">
        <v>9222</v>
      </c>
      <c r="D124">
        <v>4</v>
      </c>
    </row>
    <row r="125" spans="1:4" x14ac:dyDescent="0.2">
      <c r="A125" s="10" t="s">
        <v>982</v>
      </c>
      <c r="B125" s="15">
        <v>90000.000000000015</v>
      </c>
      <c r="C125" s="15">
        <v>87877</v>
      </c>
      <c r="D125">
        <v>40</v>
      </c>
    </row>
    <row r="126" spans="1:4" x14ac:dyDescent="0.2">
      <c r="A126" s="11" t="s">
        <v>47</v>
      </c>
      <c r="B126" s="15">
        <v>90000.000000000015</v>
      </c>
      <c r="C126" s="15">
        <v>87877</v>
      </c>
      <c r="D126">
        <v>40</v>
      </c>
    </row>
    <row r="127" spans="1:4" x14ac:dyDescent="0.2">
      <c r="A127" s="12">
        <v>46214</v>
      </c>
      <c r="B127" s="15">
        <v>15000</v>
      </c>
      <c r="C127" s="15">
        <v>8255</v>
      </c>
      <c r="D127">
        <v>7</v>
      </c>
    </row>
    <row r="128" spans="1:4" x14ac:dyDescent="0.2">
      <c r="A128" s="12">
        <v>46213</v>
      </c>
      <c r="B128" s="15">
        <v>15000</v>
      </c>
      <c r="C128" s="15">
        <v>15211</v>
      </c>
      <c r="D128">
        <v>7</v>
      </c>
    </row>
    <row r="129" spans="1:4" x14ac:dyDescent="0.2">
      <c r="A129" s="12">
        <v>46212</v>
      </c>
      <c r="B129" s="15">
        <v>15000</v>
      </c>
      <c r="C129" s="15">
        <v>14019</v>
      </c>
      <c r="D129">
        <v>7</v>
      </c>
    </row>
    <row r="130" spans="1:4" x14ac:dyDescent="0.2">
      <c r="A130" s="12">
        <v>46211</v>
      </c>
      <c r="B130" s="15">
        <v>15000</v>
      </c>
      <c r="C130" s="15">
        <v>16463</v>
      </c>
      <c r="D130">
        <v>7</v>
      </c>
    </row>
    <row r="131" spans="1:4" x14ac:dyDescent="0.2">
      <c r="A131" s="12">
        <v>46210</v>
      </c>
      <c r="B131" s="15">
        <v>15000</v>
      </c>
      <c r="C131" s="15">
        <v>15949</v>
      </c>
      <c r="D131">
        <v>6</v>
      </c>
    </row>
    <row r="132" spans="1:4" x14ac:dyDescent="0.2">
      <c r="A132" s="12">
        <v>46209</v>
      </c>
      <c r="B132" s="15">
        <v>15000</v>
      </c>
      <c r="C132" s="15">
        <v>17980</v>
      </c>
      <c r="D132">
        <v>6</v>
      </c>
    </row>
    <row r="133" spans="1:4" x14ac:dyDescent="0.2">
      <c r="A133" s="10" t="s">
        <v>1361</v>
      </c>
      <c r="B133" s="15">
        <v>90000</v>
      </c>
      <c r="C133" s="15">
        <v>91509</v>
      </c>
      <c r="D133">
        <v>38</v>
      </c>
    </row>
    <row r="134" spans="1:4" x14ac:dyDescent="0.2">
      <c r="A134" s="11" t="s">
        <v>47</v>
      </c>
      <c r="B134" s="15">
        <v>90000</v>
      </c>
      <c r="C134" s="15">
        <v>91509</v>
      </c>
      <c r="D134">
        <v>38</v>
      </c>
    </row>
    <row r="135" spans="1:4" x14ac:dyDescent="0.2">
      <c r="A135" s="12">
        <v>46221</v>
      </c>
      <c r="B135" s="15">
        <v>15000</v>
      </c>
      <c r="C135" s="15">
        <v>10654</v>
      </c>
      <c r="D135">
        <v>6</v>
      </c>
    </row>
    <row r="136" spans="1:4" x14ac:dyDescent="0.2">
      <c r="A136" s="12">
        <v>46220</v>
      </c>
      <c r="B136" s="15">
        <v>15000</v>
      </c>
      <c r="C136" s="15">
        <v>21400</v>
      </c>
      <c r="D136">
        <v>7</v>
      </c>
    </row>
    <row r="137" spans="1:4" x14ac:dyDescent="0.2">
      <c r="A137" s="12">
        <v>46219</v>
      </c>
      <c r="B137" s="15">
        <v>15000</v>
      </c>
      <c r="C137" s="15">
        <v>20676</v>
      </c>
      <c r="D137">
        <v>7</v>
      </c>
    </row>
    <row r="138" spans="1:4" x14ac:dyDescent="0.2">
      <c r="A138" s="12">
        <v>46218</v>
      </c>
      <c r="B138" s="15">
        <v>15000</v>
      </c>
      <c r="C138" s="15">
        <v>16424</v>
      </c>
      <c r="D138">
        <v>6</v>
      </c>
    </row>
    <row r="139" spans="1:4" x14ac:dyDescent="0.2">
      <c r="A139" s="12">
        <v>46217</v>
      </c>
      <c r="B139" s="15">
        <v>15000</v>
      </c>
      <c r="C139" s="15">
        <v>11845</v>
      </c>
      <c r="D139">
        <v>6</v>
      </c>
    </row>
    <row r="140" spans="1:4" x14ac:dyDescent="0.2">
      <c r="A140" s="12">
        <v>46216</v>
      </c>
      <c r="B140" s="15">
        <v>15000</v>
      </c>
      <c r="C140" s="15">
        <v>10510</v>
      </c>
      <c r="D140">
        <v>6</v>
      </c>
    </row>
    <row r="141" spans="1:4" x14ac:dyDescent="0.2">
      <c r="A141" s="10" t="s">
        <v>1827</v>
      </c>
      <c r="B141" s="15">
        <v>89999.999999999985</v>
      </c>
      <c r="C141" s="15">
        <v>88359</v>
      </c>
      <c r="D141">
        <v>37</v>
      </c>
    </row>
    <row r="142" spans="1:4" x14ac:dyDescent="0.2">
      <c r="A142" s="11" t="s">
        <v>47</v>
      </c>
      <c r="B142" s="15">
        <v>89999.999999999985</v>
      </c>
      <c r="C142" s="15">
        <v>88359</v>
      </c>
      <c r="D142">
        <v>37</v>
      </c>
    </row>
    <row r="143" spans="1:4" x14ac:dyDescent="0.2">
      <c r="A143" s="12">
        <v>46228</v>
      </c>
      <c r="B143" s="15">
        <v>15000</v>
      </c>
      <c r="C143" s="15">
        <v>11074</v>
      </c>
      <c r="D143">
        <v>7</v>
      </c>
    </row>
    <row r="144" spans="1:4" x14ac:dyDescent="0.2">
      <c r="A144" s="12">
        <v>46227</v>
      </c>
      <c r="B144" s="15">
        <v>15000</v>
      </c>
      <c r="C144" s="15">
        <v>16640</v>
      </c>
      <c r="D144">
        <v>7</v>
      </c>
    </row>
    <row r="145" spans="1:4" x14ac:dyDescent="0.2">
      <c r="A145" s="12">
        <v>46226</v>
      </c>
      <c r="B145" s="15">
        <v>15000</v>
      </c>
      <c r="C145" s="15">
        <v>14376</v>
      </c>
      <c r="D145">
        <v>6</v>
      </c>
    </row>
    <row r="146" spans="1:4" x14ac:dyDescent="0.2">
      <c r="A146" s="12">
        <v>46225</v>
      </c>
      <c r="B146" s="15">
        <v>15000</v>
      </c>
      <c r="C146" s="15">
        <v>17851</v>
      </c>
      <c r="D146">
        <v>6</v>
      </c>
    </row>
    <row r="147" spans="1:4" x14ac:dyDescent="0.2">
      <c r="A147" s="12">
        <v>46224</v>
      </c>
      <c r="B147" s="15">
        <v>15000</v>
      </c>
      <c r="C147" s="15">
        <v>14762</v>
      </c>
      <c r="D147">
        <v>5</v>
      </c>
    </row>
    <row r="148" spans="1:4" x14ac:dyDescent="0.2">
      <c r="A148" s="12">
        <v>46223</v>
      </c>
      <c r="B148" s="15">
        <v>15000</v>
      </c>
      <c r="C148" s="15">
        <v>13656</v>
      </c>
      <c r="D148">
        <v>6</v>
      </c>
    </row>
    <row r="149" spans="1:4" x14ac:dyDescent="0.2">
      <c r="A149" s="10" t="s">
        <v>2254</v>
      </c>
      <c r="B149" s="15">
        <v>90000</v>
      </c>
      <c r="C149" s="15">
        <v>73396</v>
      </c>
      <c r="D149">
        <v>34</v>
      </c>
    </row>
    <row r="150" spans="1:4" x14ac:dyDescent="0.2">
      <c r="A150" s="11" t="s">
        <v>47</v>
      </c>
      <c r="B150" s="15">
        <v>90000</v>
      </c>
      <c r="C150" s="15">
        <v>73396</v>
      </c>
      <c r="D150">
        <v>34</v>
      </c>
    </row>
    <row r="151" spans="1:4" x14ac:dyDescent="0.2">
      <c r="A151" s="12">
        <v>46235</v>
      </c>
      <c r="B151" s="15">
        <v>15000</v>
      </c>
      <c r="C151" s="15">
        <v>10880</v>
      </c>
      <c r="D151">
        <v>7</v>
      </c>
    </row>
    <row r="152" spans="1:4" x14ac:dyDescent="0.2">
      <c r="A152" s="12">
        <v>46234</v>
      </c>
      <c r="B152" s="15">
        <v>15000</v>
      </c>
      <c r="C152" s="15">
        <v>13206</v>
      </c>
      <c r="D152">
        <v>6</v>
      </c>
    </row>
    <row r="153" spans="1:4" x14ac:dyDescent="0.2">
      <c r="A153" s="12">
        <v>46233</v>
      </c>
      <c r="B153" s="15">
        <v>15000</v>
      </c>
      <c r="C153" s="15">
        <v>13528</v>
      </c>
      <c r="D153">
        <v>5</v>
      </c>
    </row>
    <row r="154" spans="1:4" x14ac:dyDescent="0.2">
      <c r="A154" s="12">
        <v>46232</v>
      </c>
      <c r="B154" s="15">
        <v>15000</v>
      </c>
      <c r="C154" s="15">
        <v>13669</v>
      </c>
      <c r="D154">
        <v>5</v>
      </c>
    </row>
    <row r="155" spans="1:4" x14ac:dyDescent="0.2">
      <c r="A155" s="12">
        <v>46231</v>
      </c>
      <c r="B155" s="15">
        <v>15000</v>
      </c>
      <c r="C155" s="15">
        <v>8290</v>
      </c>
      <c r="D155">
        <v>5</v>
      </c>
    </row>
    <row r="156" spans="1:4" x14ac:dyDescent="0.2">
      <c r="A156" s="12">
        <v>46230</v>
      </c>
      <c r="B156" s="15">
        <v>15000</v>
      </c>
      <c r="C156" s="15">
        <v>13823</v>
      </c>
      <c r="D156">
        <v>6</v>
      </c>
    </row>
    <row r="157" spans="1:4" x14ac:dyDescent="0.2">
      <c r="A157" s="10" t="s">
        <v>2681</v>
      </c>
      <c r="B157" s="15">
        <v>90000.000000000044</v>
      </c>
      <c r="C157" s="15">
        <v>75686</v>
      </c>
      <c r="D157">
        <v>36</v>
      </c>
    </row>
    <row r="158" spans="1:4" x14ac:dyDescent="0.2">
      <c r="A158" s="11" t="s">
        <v>47</v>
      </c>
      <c r="B158" s="15">
        <v>90000.000000000044</v>
      </c>
      <c r="C158" s="15">
        <v>75686</v>
      </c>
      <c r="D158">
        <v>36</v>
      </c>
    </row>
    <row r="159" spans="1:4" x14ac:dyDescent="0.2">
      <c r="A159" s="12">
        <v>46242</v>
      </c>
      <c r="B159" s="15">
        <v>15000</v>
      </c>
      <c r="C159" s="15">
        <v>9967</v>
      </c>
      <c r="D159">
        <v>4</v>
      </c>
    </row>
    <row r="160" spans="1:4" x14ac:dyDescent="0.2">
      <c r="A160" s="12">
        <v>46241</v>
      </c>
      <c r="B160" s="15">
        <v>15000</v>
      </c>
      <c r="C160" s="15">
        <v>13601</v>
      </c>
      <c r="D160">
        <v>6</v>
      </c>
    </row>
    <row r="161" spans="1:4" x14ac:dyDescent="0.2">
      <c r="A161" s="12">
        <v>46240</v>
      </c>
      <c r="B161" s="15">
        <v>15000</v>
      </c>
      <c r="C161" s="15">
        <v>12983</v>
      </c>
      <c r="D161">
        <v>7</v>
      </c>
    </row>
    <row r="162" spans="1:4" x14ac:dyDescent="0.2">
      <c r="A162" s="12">
        <v>46239</v>
      </c>
      <c r="B162" s="15">
        <v>15000</v>
      </c>
      <c r="C162" s="15">
        <v>13036</v>
      </c>
      <c r="D162">
        <v>7</v>
      </c>
    </row>
    <row r="163" spans="1:4" x14ac:dyDescent="0.2">
      <c r="A163" s="12">
        <v>46238</v>
      </c>
      <c r="B163" s="15">
        <v>15000</v>
      </c>
      <c r="C163" s="15">
        <v>10698</v>
      </c>
      <c r="D163">
        <v>5</v>
      </c>
    </row>
    <row r="164" spans="1:4" x14ac:dyDescent="0.2">
      <c r="A164" s="12">
        <v>46237</v>
      </c>
      <c r="B164" s="15">
        <v>15000</v>
      </c>
      <c r="C164" s="15">
        <v>15401</v>
      </c>
      <c r="D164">
        <v>7</v>
      </c>
    </row>
    <row r="165" spans="1:4" x14ac:dyDescent="0.2">
      <c r="A165" s="10" t="s">
        <v>2974</v>
      </c>
      <c r="B165" s="15">
        <v>90000.000000000015</v>
      </c>
      <c r="C165" s="15">
        <v>61676</v>
      </c>
      <c r="D165">
        <v>35</v>
      </c>
    </row>
    <row r="166" spans="1:4" x14ac:dyDescent="0.2">
      <c r="A166" s="11" t="s">
        <v>47</v>
      </c>
      <c r="B166" s="15">
        <v>90000.000000000015</v>
      </c>
      <c r="C166" s="15">
        <v>61676</v>
      </c>
      <c r="D166">
        <v>35</v>
      </c>
    </row>
    <row r="167" spans="1:4" x14ac:dyDescent="0.2">
      <c r="A167" s="12">
        <v>46249</v>
      </c>
      <c r="B167" s="15">
        <v>15000</v>
      </c>
      <c r="C167" s="15">
        <v>10018</v>
      </c>
      <c r="D167">
        <v>5</v>
      </c>
    </row>
    <row r="168" spans="1:4" x14ac:dyDescent="0.2">
      <c r="A168" s="12">
        <v>46248</v>
      </c>
      <c r="B168" s="15">
        <v>15000</v>
      </c>
      <c r="C168" s="15">
        <v>12349</v>
      </c>
      <c r="D168">
        <v>6</v>
      </c>
    </row>
    <row r="169" spans="1:4" x14ac:dyDescent="0.2">
      <c r="A169" s="12">
        <v>46247</v>
      </c>
      <c r="B169" s="15">
        <v>15000</v>
      </c>
      <c r="C169" s="15">
        <v>12708</v>
      </c>
      <c r="D169">
        <v>6</v>
      </c>
    </row>
    <row r="170" spans="1:4" x14ac:dyDescent="0.2">
      <c r="A170" s="12">
        <v>46246</v>
      </c>
      <c r="B170" s="15">
        <v>15000</v>
      </c>
      <c r="C170" s="15">
        <v>12153</v>
      </c>
      <c r="D170">
        <v>6</v>
      </c>
    </row>
    <row r="171" spans="1:4" x14ac:dyDescent="0.2">
      <c r="A171" s="12">
        <v>46245</v>
      </c>
      <c r="B171" s="15">
        <v>15000</v>
      </c>
      <c r="C171" s="15">
        <v>5587</v>
      </c>
      <c r="D171">
        <v>5</v>
      </c>
    </row>
    <row r="172" spans="1:4" x14ac:dyDescent="0.2">
      <c r="A172" s="12">
        <v>46244</v>
      </c>
      <c r="B172" s="15">
        <v>15000</v>
      </c>
      <c r="C172" s="15">
        <v>8861</v>
      </c>
      <c r="D172">
        <v>7</v>
      </c>
    </row>
    <row r="173" spans="1:4" x14ac:dyDescent="0.2">
      <c r="A173" s="10" t="s">
        <v>3094</v>
      </c>
      <c r="B173" s="15">
        <v>90000</v>
      </c>
      <c r="C173" s="15">
        <v>78143</v>
      </c>
      <c r="D173">
        <v>35</v>
      </c>
    </row>
    <row r="174" spans="1:4" x14ac:dyDescent="0.2">
      <c r="A174" s="11" t="s">
        <v>47</v>
      </c>
      <c r="B174" s="15">
        <v>90000</v>
      </c>
      <c r="C174" s="15">
        <v>78143</v>
      </c>
      <c r="D174">
        <v>35</v>
      </c>
    </row>
    <row r="175" spans="1:4" x14ac:dyDescent="0.2">
      <c r="A175" s="12">
        <v>46256</v>
      </c>
      <c r="B175" s="15">
        <v>15000</v>
      </c>
      <c r="C175" s="15">
        <v>11997</v>
      </c>
      <c r="D175">
        <v>5</v>
      </c>
    </row>
    <row r="176" spans="1:4" x14ac:dyDescent="0.2">
      <c r="A176" s="12">
        <v>46255</v>
      </c>
      <c r="B176" s="15">
        <v>15000</v>
      </c>
      <c r="C176" s="15">
        <v>13011</v>
      </c>
      <c r="D176">
        <v>6</v>
      </c>
    </row>
    <row r="177" spans="1:4" x14ac:dyDescent="0.2">
      <c r="A177" s="12">
        <v>46254</v>
      </c>
      <c r="B177" s="15">
        <v>15000</v>
      </c>
      <c r="C177" s="15">
        <v>9223</v>
      </c>
      <c r="D177">
        <v>6</v>
      </c>
    </row>
    <row r="178" spans="1:4" x14ac:dyDescent="0.2">
      <c r="A178" s="12">
        <v>46253</v>
      </c>
      <c r="B178" s="15">
        <v>15000</v>
      </c>
      <c r="C178" s="15">
        <v>13317</v>
      </c>
      <c r="D178">
        <v>6</v>
      </c>
    </row>
    <row r="179" spans="1:4" x14ac:dyDescent="0.2">
      <c r="A179" s="12">
        <v>46252</v>
      </c>
      <c r="B179" s="15">
        <v>15000</v>
      </c>
      <c r="C179" s="15">
        <v>14465</v>
      </c>
      <c r="D179">
        <v>6</v>
      </c>
    </row>
    <row r="180" spans="1:4" x14ac:dyDescent="0.2">
      <c r="A180" s="12">
        <v>46251</v>
      </c>
      <c r="B180" s="15">
        <v>15000</v>
      </c>
      <c r="C180" s="15">
        <v>16130</v>
      </c>
      <c r="D180">
        <v>6</v>
      </c>
    </row>
    <row r="181" spans="1:4" x14ac:dyDescent="0.2">
      <c r="A181" s="10" t="s">
        <v>3258</v>
      </c>
      <c r="B181" s="15">
        <v>1448999.9999999974</v>
      </c>
      <c r="C181" s="15">
        <v>976185</v>
      </c>
      <c r="D181">
        <v>596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3253</v>
      </c>
      <c r="B3" t="s">
        <v>3255</v>
      </c>
      <c r="C3" t="s">
        <v>3259</v>
      </c>
      <c r="O3" s="9" t="s">
        <v>3253</v>
      </c>
      <c r="P3" t="s">
        <v>3255</v>
      </c>
      <c r="Q3" t="s">
        <v>3259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3260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3258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3258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3261</v>
      </c>
      <c r="G3" s="17" t="s">
        <v>3262</v>
      </c>
      <c r="H3" s="17" t="s">
        <v>3263</v>
      </c>
      <c r="I3" s="17" t="s">
        <v>3264</v>
      </c>
      <c r="J3" s="17" t="s">
        <v>3265</v>
      </c>
      <c r="K3" s="17" t="s">
        <v>3266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3267</v>
      </c>
    </row>
    <row r="5" spans="6:11" x14ac:dyDescent="0.2">
      <c r="F5" s="17">
        <v>116</v>
      </c>
      <c r="H5" s="17">
        <v>110</v>
      </c>
      <c r="J5" s="17" t="s">
        <v>3268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3269</v>
      </c>
    </row>
    <row r="3" spans="1:17" x14ac:dyDescent="0.2">
      <c r="A3" s="25" t="s">
        <v>7</v>
      </c>
      <c r="B3" s="25" t="s">
        <v>3270</v>
      </c>
      <c r="C3" s="25" t="s">
        <v>3271</v>
      </c>
      <c r="D3" s="25" t="s">
        <v>3272</v>
      </c>
      <c r="E3" s="25" t="s">
        <v>3273</v>
      </c>
      <c r="F3" s="25" t="s">
        <v>3274</v>
      </c>
      <c r="H3" s="22" t="s">
        <v>3274</v>
      </c>
      <c r="I3" s="22" t="s">
        <v>3270</v>
      </c>
      <c r="J3" s="22" t="s">
        <v>3271</v>
      </c>
      <c r="K3" s="22" t="s">
        <v>3273</v>
      </c>
      <c r="L3" s="22" t="s">
        <v>3275</v>
      </c>
      <c r="M3" s="25" t="s">
        <v>3276</v>
      </c>
      <c r="O3" s="25" t="s">
        <v>7</v>
      </c>
      <c r="P3" s="25" t="s">
        <v>3273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3277</v>
      </c>
      <c r="H4" s="28" t="s">
        <v>3277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3277</v>
      </c>
      <c r="H5" s="28" t="s">
        <v>3278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3277</v>
      </c>
      <c r="H6" s="28" t="s">
        <v>3279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3277</v>
      </c>
      <c r="H7" s="28" t="s">
        <v>3280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3277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3277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3277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3277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3277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3277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3278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3278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3278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3278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3278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3278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3278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3279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3279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3279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3279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3279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3279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3279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3279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3279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3279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3279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3279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3279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3280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3280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3280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3280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3280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3280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3280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3280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3280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3280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3280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3280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3280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3280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3280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3280</v>
      </c>
    </row>
    <row r="50" spans="1:6" x14ac:dyDescent="0.2">
      <c r="A50" s="84" t="s">
        <v>3281</v>
      </c>
      <c r="B50" s="84"/>
      <c r="C50" s="84"/>
      <c r="E50" s="23">
        <f>SUM(E4:E49)</f>
        <v>12900</v>
      </c>
    </row>
    <row r="56" spans="1:6" ht="15.75" x14ac:dyDescent="0.25">
      <c r="A56" s="34" t="s">
        <v>3282</v>
      </c>
    </row>
    <row r="57" spans="1:6" ht="25.5" x14ac:dyDescent="0.2">
      <c r="A57" s="35" t="s">
        <v>3283</v>
      </c>
      <c r="B57" s="36" t="s">
        <v>3284</v>
      </c>
      <c r="C57" s="36" t="s">
        <v>3285</v>
      </c>
      <c r="D57" s="36" t="s">
        <v>3286</v>
      </c>
    </row>
    <row r="58" spans="1:6" x14ac:dyDescent="0.2">
      <c r="A58" s="40" t="s">
        <v>3287</v>
      </c>
      <c r="B58" s="37">
        <v>108384.01</v>
      </c>
      <c r="C58" s="37"/>
      <c r="D58" s="37">
        <v>108384.01</v>
      </c>
    </row>
    <row r="59" spans="1:6" x14ac:dyDescent="0.2">
      <c r="A59" s="40" t="s">
        <v>3288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3289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3290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3291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3292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3293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3294</v>
      </c>
      <c r="B65" s="37">
        <v>23860.793000000001</v>
      </c>
      <c r="C65" s="37"/>
      <c r="D65" s="37"/>
    </row>
    <row r="66" spans="1:4" x14ac:dyDescent="0.2">
      <c r="A66" s="40" t="s">
        <v>3295</v>
      </c>
      <c r="B66" s="37">
        <v>1344.431</v>
      </c>
      <c r="C66" s="37"/>
      <c r="D66" s="37"/>
    </row>
    <row r="67" spans="1:4" x14ac:dyDescent="0.2">
      <c r="A67" s="38" t="s">
        <v>3281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3296</v>
      </c>
      <c r="E2" s="48" t="s">
        <v>3297</v>
      </c>
      <c r="F2" s="48" t="s">
        <v>3298</v>
      </c>
      <c r="G2" s="48" t="s">
        <v>3299</v>
      </c>
      <c r="H2" s="48" t="s">
        <v>3300</v>
      </c>
      <c r="I2" s="48" t="s">
        <v>3301</v>
      </c>
      <c r="J2" s="48" t="s">
        <v>3302</v>
      </c>
      <c r="K2" s="48" t="s">
        <v>3303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2026-08-31T11:20:47Z</dcterms:modified>
  <cp:category/>
  <cp:contentStatus/>
</cp:coreProperties>
</file>